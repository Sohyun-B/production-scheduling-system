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im\OneDrive\바탕 화면\생산계획\스케줄링-0923 (local-updates branch)\python_engine\data\input\"/>
    </mc:Choice>
  </mc:AlternateContent>
  <xr:revisionPtr revIDLastSave="0" documentId="13_ncr:1_{CCE7326C-E18A-439A-BFE0-01AAC617CFEC}" xr6:coauthVersionLast="47" xr6:coauthVersionMax="47" xr10:uidLastSave="{00000000-0000-0000-0000-000000000000}"/>
  <bookViews>
    <workbookView xWindow="-120" yWindow="-16320" windowWidth="29040" windowHeight="15720" tabRatio="745" activeTab="10" xr2:uid="{00000000-000D-0000-FFFF-FFFF00000000}"/>
  </bookViews>
  <sheets>
    <sheet name="종합" sheetId="14" r:id="rId1"/>
    <sheet name="제품군-GITEM-SITEM" sheetId="8" r:id="rId2"/>
    <sheet name="GITEM-공정-순서" sheetId="7" r:id="rId3"/>
    <sheet name="공정군" sheetId="9" state="hidden" r:id="rId4"/>
    <sheet name="25년 공정정보(1월~7월) " sheetId="12" state="hidden" r:id="rId5"/>
    <sheet name="수율-GITEM등" sheetId="6" r:id="rId6"/>
    <sheet name="라인스피드-GITEM등" sheetId="11" r:id="rId7"/>
    <sheet name="배합액정보" sheetId="18" r:id="rId8"/>
    <sheet name="공정교체시간" sheetId="15" r:id="rId9"/>
    <sheet name="폭변경" sheetId="16" r:id="rId10"/>
    <sheet name="PO정보" sheetId="17" r:id="rId11"/>
  </sheets>
  <externalReferences>
    <externalReference r:id="rId12"/>
  </externalReferences>
  <definedNames>
    <definedName name="_xlnm._FilterDatabase" localSheetId="4" hidden="1">'25년 공정정보(1월~7월) '!$A$2:$CC$294</definedName>
    <definedName name="_xlnm._FilterDatabase" localSheetId="7" hidden="1">배합액정보!$A$6:$G$965</definedName>
    <definedName name="_xlnm._FilterDatabase" localSheetId="5" hidden="1">'수율-GITEM등'!$A$1:$R$1643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8" l="1"/>
  <c r="Q6" i="8"/>
  <c r="Q7" i="8"/>
  <c r="Q8" i="8"/>
  <c r="Q9" i="8"/>
  <c r="Q10" i="8"/>
  <c r="Q11" i="8"/>
  <c r="Q12" i="8"/>
  <c r="Q13" i="8"/>
  <c r="Q14" i="8"/>
  <c r="Q15" i="8"/>
  <c r="Q4" i="8"/>
  <c r="D294" i="12"/>
  <c r="C294" i="12"/>
  <c r="D293" i="12"/>
  <c r="C293" i="12"/>
  <c r="D292" i="12"/>
  <c r="C292" i="12"/>
  <c r="D291" i="12"/>
  <c r="C291" i="12"/>
  <c r="D290" i="12"/>
  <c r="C290" i="12"/>
  <c r="D289" i="12"/>
  <c r="C289" i="12"/>
  <c r="D288" i="12"/>
  <c r="C288" i="12"/>
  <c r="D287" i="12"/>
  <c r="C287" i="12"/>
  <c r="D286" i="12"/>
  <c r="C286" i="12"/>
  <c r="D285" i="12"/>
  <c r="C285" i="12"/>
  <c r="D284" i="12"/>
  <c r="C284" i="12"/>
  <c r="D283" i="12"/>
  <c r="C283" i="12"/>
  <c r="D282" i="12"/>
  <c r="C282" i="12"/>
  <c r="D281" i="12"/>
  <c r="C281" i="12"/>
  <c r="D280" i="12"/>
  <c r="C280" i="12"/>
  <c r="D279" i="12"/>
  <c r="C279" i="12"/>
  <c r="D278" i="12"/>
  <c r="C278" i="12"/>
  <c r="D277" i="12"/>
  <c r="C277" i="12"/>
  <c r="D276" i="12"/>
  <c r="C276" i="12"/>
  <c r="D275" i="12"/>
  <c r="C275" i="12"/>
  <c r="D274" i="12"/>
  <c r="C274" i="12"/>
  <c r="D273" i="12"/>
  <c r="C273" i="12"/>
  <c r="D272" i="12"/>
  <c r="C272" i="12"/>
  <c r="D271" i="12"/>
  <c r="C271" i="12"/>
  <c r="D270" i="12"/>
  <c r="C270" i="12"/>
  <c r="D269" i="12"/>
  <c r="C269" i="12"/>
  <c r="D268" i="12"/>
  <c r="C268" i="12"/>
  <c r="D267" i="12"/>
  <c r="C267" i="12"/>
  <c r="D266" i="12"/>
  <c r="C266" i="12"/>
  <c r="D265" i="12"/>
  <c r="C265" i="12"/>
  <c r="D264" i="12"/>
  <c r="C264" i="12"/>
  <c r="D263" i="12"/>
  <c r="C263" i="12"/>
  <c r="D262" i="12"/>
  <c r="C262" i="12"/>
  <c r="D261" i="12"/>
  <c r="C261" i="12"/>
  <c r="D260" i="12"/>
  <c r="C260" i="12"/>
  <c r="D259" i="12"/>
  <c r="C259" i="12"/>
  <c r="D258" i="12"/>
  <c r="C258" i="12"/>
  <c r="D257" i="12"/>
  <c r="C257" i="12"/>
  <c r="D256" i="12"/>
  <c r="C256" i="12"/>
  <c r="D255" i="12"/>
  <c r="C255" i="12"/>
  <c r="D254" i="12"/>
  <c r="C254" i="12"/>
  <c r="D253" i="12"/>
  <c r="C253" i="12"/>
  <c r="D252" i="12"/>
  <c r="C252" i="12"/>
  <c r="D251" i="12"/>
  <c r="C251" i="12"/>
  <c r="D250" i="12"/>
  <c r="C250" i="12"/>
  <c r="D249" i="12"/>
  <c r="C249" i="12"/>
  <c r="D248" i="12"/>
  <c r="C248" i="12"/>
  <c r="D247" i="12"/>
  <c r="C247" i="12"/>
  <c r="D246" i="12"/>
  <c r="C246" i="12"/>
  <c r="D245" i="12"/>
  <c r="C245" i="12"/>
  <c r="D244" i="12"/>
  <c r="C244" i="12"/>
  <c r="D243" i="12"/>
  <c r="C243" i="12"/>
  <c r="D242" i="12"/>
  <c r="C242" i="12"/>
  <c r="D241" i="12"/>
  <c r="C241" i="12"/>
  <c r="D240" i="12"/>
  <c r="C240" i="12"/>
  <c r="D239" i="12"/>
  <c r="C239" i="12"/>
  <c r="D238" i="12"/>
  <c r="C238" i="12"/>
  <c r="D237" i="12"/>
  <c r="C237" i="12"/>
  <c r="D236" i="12"/>
  <c r="C236" i="12"/>
  <c r="D235" i="12"/>
  <c r="C235" i="12"/>
  <c r="D234" i="12"/>
  <c r="C234" i="12"/>
  <c r="D233" i="12"/>
  <c r="C233" i="12"/>
  <c r="D232" i="12"/>
  <c r="C232" i="12"/>
  <c r="D231" i="12"/>
  <c r="C231" i="12"/>
  <c r="D230" i="12"/>
  <c r="C230" i="12"/>
  <c r="D229" i="12"/>
  <c r="C229" i="12"/>
  <c r="D228" i="12"/>
  <c r="C228" i="12"/>
  <c r="D227" i="12"/>
  <c r="C227" i="12"/>
  <c r="D226" i="12"/>
  <c r="C226" i="12"/>
  <c r="D225" i="12"/>
  <c r="C225" i="12"/>
  <c r="D224" i="12"/>
  <c r="C224" i="12"/>
  <c r="D223" i="12"/>
  <c r="C223" i="12"/>
  <c r="D222" i="12"/>
  <c r="C222" i="12"/>
  <c r="D221" i="12"/>
  <c r="C221" i="12"/>
  <c r="D220" i="12"/>
  <c r="C220" i="12"/>
  <c r="D219" i="12"/>
  <c r="C219" i="12"/>
  <c r="D218" i="12"/>
  <c r="C218" i="12"/>
  <c r="D217" i="12"/>
  <c r="C217" i="12"/>
  <c r="D216" i="12"/>
  <c r="C216" i="12"/>
  <c r="D215" i="12"/>
  <c r="C215" i="12"/>
  <c r="D214" i="12"/>
  <c r="C214" i="12"/>
  <c r="D213" i="12"/>
  <c r="C213" i="12"/>
  <c r="D212" i="12"/>
  <c r="C212" i="12"/>
  <c r="D211" i="12"/>
  <c r="C211" i="12"/>
  <c r="D210" i="12"/>
  <c r="C210" i="12"/>
  <c r="D209" i="12"/>
  <c r="C209" i="12"/>
  <c r="D208" i="12"/>
  <c r="C208" i="12"/>
  <c r="D207" i="12"/>
  <c r="C207" i="12"/>
  <c r="D206" i="12"/>
  <c r="C206" i="12"/>
  <c r="D205" i="12"/>
  <c r="C205" i="12"/>
  <c r="D204" i="12"/>
  <c r="C204" i="12"/>
  <c r="D203" i="12"/>
  <c r="C203" i="12"/>
  <c r="D202" i="12"/>
  <c r="C202" i="12"/>
  <c r="D201" i="12"/>
  <c r="C201" i="12"/>
  <c r="D200" i="12"/>
  <c r="C200" i="12"/>
  <c r="D199" i="12"/>
  <c r="C199" i="12"/>
  <c r="D198" i="12"/>
  <c r="C198" i="12"/>
  <c r="D197" i="12"/>
  <c r="C197" i="12"/>
  <c r="D196" i="12"/>
  <c r="C196" i="12"/>
  <c r="D195" i="12"/>
  <c r="C195" i="12"/>
  <c r="D194" i="12"/>
  <c r="C194" i="12"/>
  <c r="D193" i="12"/>
  <c r="C193" i="12"/>
  <c r="D192" i="12"/>
  <c r="C192" i="12"/>
  <c r="D191" i="12"/>
  <c r="C191" i="12"/>
  <c r="D190" i="12"/>
  <c r="C190" i="12"/>
  <c r="D189" i="12"/>
  <c r="C189" i="12"/>
  <c r="D188" i="12"/>
  <c r="C188" i="12"/>
  <c r="D187" i="12"/>
  <c r="C187" i="12"/>
  <c r="D186" i="12"/>
  <c r="C186" i="12"/>
  <c r="D185" i="12"/>
  <c r="C185" i="12"/>
  <c r="D184" i="12"/>
  <c r="C184" i="12"/>
  <c r="D183" i="12"/>
  <c r="C183" i="12"/>
  <c r="D182" i="12"/>
  <c r="C182" i="12"/>
  <c r="D181" i="12"/>
  <c r="C181" i="12"/>
  <c r="D180" i="12"/>
  <c r="C180" i="12"/>
  <c r="D179" i="12"/>
  <c r="C179" i="12"/>
  <c r="D178" i="12"/>
  <c r="C178" i="12"/>
  <c r="D177" i="12"/>
  <c r="C177" i="12"/>
  <c r="D176" i="12"/>
  <c r="C176" i="12"/>
  <c r="D175" i="12"/>
  <c r="C175" i="12"/>
  <c r="D174" i="12"/>
  <c r="C174" i="12"/>
  <c r="D173" i="12"/>
  <c r="C173" i="12"/>
  <c r="D172" i="12"/>
  <c r="C172" i="12"/>
  <c r="D171" i="12"/>
  <c r="C171" i="12"/>
  <c r="D170" i="12"/>
  <c r="C170" i="12"/>
  <c r="D169" i="12"/>
  <c r="C169" i="12"/>
  <c r="D168" i="12"/>
  <c r="C168" i="12"/>
  <c r="D167" i="12"/>
  <c r="C167" i="12"/>
  <c r="D166" i="12"/>
  <c r="C166" i="12"/>
  <c r="D165" i="12"/>
  <c r="C165" i="12"/>
  <c r="D164" i="12"/>
  <c r="C164" i="12"/>
  <c r="D163" i="12"/>
  <c r="C163" i="12"/>
  <c r="D162" i="12"/>
  <c r="C162" i="12"/>
  <c r="D161" i="12"/>
  <c r="C161" i="12"/>
  <c r="D160" i="12"/>
  <c r="C160" i="12"/>
  <c r="D159" i="12"/>
  <c r="C159" i="12"/>
  <c r="D158" i="12"/>
  <c r="C158" i="12"/>
  <c r="D157" i="12"/>
  <c r="C157" i="12"/>
  <c r="D156" i="12"/>
  <c r="C156" i="12"/>
  <c r="D155" i="12"/>
  <c r="C155" i="12"/>
  <c r="D154" i="12"/>
  <c r="C154" i="12"/>
  <c r="D153" i="12"/>
  <c r="C153" i="12"/>
  <c r="D152" i="12"/>
  <c r="C152" i="12"/>
  <c r="D151" i="12"/>
  <c r="C151" i="12"/>
  <c r="D150" i="12"/>
  <c r="C150" i="12"/>
  <c r="D149" i="12"/>
  <c r="C149" i="12"/>
  <c r="D148" i="12"/>
  <c r="C148" i="12"/>
  <c r="D147" i="12"/>
  <c r="C147" i="12"/>
  <c r="D146" i="12"/>
  <c r="C146" i="12"/>
  <c r="D145" i="12"/>
  <c r="C145" i="12"/>
  <c r="D144" i="12"/>
  <c r="C144" i="12"/>
  <c r="D143" i="12"/>
  <c r="C143" i="12"/>
  <c r="D142" i="12"/>
  <c r="C142" i="12"/>
  <c r="D141" i="12"/>
  <c r="C141" i="12"/>
  <c r="D140" i="12"/>
  <c r="C140" i="12"/>
  <c r="D139" i="12"/>
  <c r="C139" i="12"/>
  <c r="D138" i="12"/>
  <c r="C138" i="12"/>
  <c r="D137" i="12"/>
  <c r="C137" i="12"/>
  <c r="D136" i="12"/>
  <c r="C136" i="12"/>
  <c r="D135" i="12"/>
  <c r="C135" i="12"/>
  <c r="D134" i="12"/>
  <c r="C134" i="12"/>
  <c r="D133" i="12"/>
  <c r="C133" i="12"/>
  <c r="D132" i="12"/>
  <c r="C132" i="12"/>
  <c r="D131" i="12"/>
  <c r="C131" i="12"/>
  <c r="D130" i="12"/>
  <c r="C130" i="12"/>
  <c r="D129" i="12"/>
  <c r="C129" i="12"/>
  <c r="D128" i="12"/>
  <c r="C128" i="12"/>
  <c r="D127" i="12"/>
  <c r="C127" i="12"/>
  <c r="D126" i="12"/>
  <c r="C126" i="12"/>
  <c r="D125" i="12"/>
  <c r="C125" i="12"/>
  <c r="D124" i="12"/>
  <c r="C124" i="12"/>
  <c r="D123" i="12"/>
  <c r="C123" i="12"/>
  <c r="D122" i="12"/>
  <c r="C122" i="12"/>
  <c r="D121" i="12"/>
  <c r="C121" i="12"/>
  <c r="D120" i="12"/>
  <c r="C120" i="12"/>
  <c r="D119" i="12"/>
  <c r="C119" i="12"/>
  <c r="D118" i="12"/>
  <c r="C118" i="12"/>
  <c r="D117" i="12"/>
  <c r="C117" i="12"/>
  <c r="D116" i="12"/>
  <c r="C116" i="12"/>
  <c r="D115" i="12"/>
  <c r="C115" i="12"/>
  <c r="D114" i="12"/>
  <c r="C114" i="12"/>
  <c r="D113" i="12"/>
  <c r="C113" i="12"/>
  <c r="D112" i="12"/>
  <c r="C112" i="12"/>
  <c r="D111" i="12"/>
  <c r="C111" i="12"/>
  <c r="D110" i="12"/>
  <c r="C110" i="12"/>
  <c r="D109" i="12"/>
  <c r="C109" i="12"/>
  <c r="D108" i="12"/>
  <c r="C108" i="12"/>
  <c r="D107" i="12"/>
  <c r="C107" i="12"/>
  <c r="D106" i="12"/>
  <c r="C106" i="12"/>
  <c r="D105" i="12"/>
  <c r="C105" i="12"/>
  <c r="D104" i="12"/>
  <c r="C104" i="12"/>
  <c r="D103" i="12"/>
  <c r="C103" i="12"/>
  <c r="D102" i="12"/>
  <c r="C102" i="12"/>
  <c r="D101" i="12"/>
  <c r="C101" i="12"/>
  <c r="D100" i="12"/>
  <c r="C100" i="12"/>
  <c r="D99" i="12"/>
  <c r="C99" i="12"/>
  <c r="D98" i="12"/>
  <c r="C98" i="12"/>
  <c r="D97" i="12"/>
  <c r="C97" i="12"/>
  <c r="D96" i="12"/>
  <c r="C96" i="12"/>
  <c r="D95" i="12"/>
  <c r="C95" i="12"/>
  <c r="D94" i="12"/>
  <c r="C94" i="12"/>
  <c r="D93" i="12"/>
  <c r="C93" i="12"/>
  <c r="D92" i="12"/>
  <c r="C92" i="12"/>
  <c r="D91" i="12"/>
  <c r="C91" i="12"/>
  <c r="D90" i="12"/>
  <c r="C90" i="12"/>
  <c r="D89" i="12"/>
  <c r="C89" i="12"/>
  <c r="D88" i="12"/>
  <c r="C88" i="12"/>
  <c r="D87" i="12"/>
  <c r="C87" i="12"/>
  <c r="D86" i="12"/>
  <c r="C86" i="12"/>
  <c r="D85" i="12"/>
  <c r="C85" i="12"/>
  <c r="D84" i="12"/>
  <c r="C84" i="12"/>
  <c r="D83" i="12"/>
  <c r="C83" i="12"/>
  <c r="D82" i="12"/>
  <c r="C82" i="12"/>
  <c r="D81" i="12"/>
  <c r="C81" i="12"/>
  <c r="D80" i="12"/>
  <c r="C80" i="12"/>
  <c r="D79" i="12"/>
  <c r="C79" i="12"/>
  <c r="D78" i="12"/>
  <c r="C78" i="12"/>
  <c r="D77" i="12"/>
  <c r="C77" i="12"/>
  <c r="D76" i="12"/>
  <c r="C76" i="12"/>
  <c r="D75" i="12"/>
  <c r="C75" i="12"/>
  <c r="D74" i="12"/>
  <c r="C74" i="12"/>
  <c r="D73" i="12"/>
  <c r="C73" i="12"/>
  <c r="D72" i="12"/>
  <c r="C72" i="12"/>
  <c r="D71" i="12"/>
  <c r="C71" i="12"/>
  <c r="D70" i="12"/>
  <c r="C70" i="12"/>
  <c r="D69" i="12"/>
  <c r="C69" i="12"/>
  <c r="D68" i="12"/>
  <c r="C68" i="12"/>
  <c r="D67" i="12"/>
  <c r="C67" i="12"/>
  <c r="D66" i="12"/>
  <c r="C66" i="12"/>
  <c r="D65" i="12"/>
  <c r="C65" i="12"/>
  <c r="D64" i="12"/>
  <c r="C64" i="12"/>
  <c r="D63" i="12"/>
  <c r="C63" i="12"/>
  <c r="D62" i="12"/>
  <c r="C62" i="12"/>
  <c r="D61" i="12"/>
  <c r="C61" i="12"/>
  <c r="D60" i="12"/>
  <c r="C60" i="12"/>
  <c r="D59" i="12"/>
  <c r="C59" i="12"/>
  <c r="D58" i="12"/>
  <c r="C58" i="12"/>
  <c r="D57" i="12"/>
  <c r="C57" i="12"/>
  <c r="D56" i="12"/>
  <c r="C56" i="12"/>
  <c r="D55" i="12"/>
  <c r="C55" i="12"/>
  <c r="D54" i="12"/>
  <c r="C54" i="12"/>
  <c r="D53" i="12"/>
  <c r="C53" i="12"/>
  <c r="D52" i="12"/>
  <c r="C52" i="12"/>
  <c r="D51" i="12"/>
  <c r="C51" i="12"/>
  <c r="D50" i="12"/>
  <c r="C50" i="12"/>
  <c r="D49" i="12"/>
  <c r="C49" i="12"/>
  <c r="D48" i="12"/>
  <c r="C48" i="12"/>
  <c r="D47" i="12"/>
  <c r="C47" i="12"/>
  <c r="D46" i="12"/>
  <c r="C46" i="12"/>
  <c r="D45" i="12"/>
  <c r="C45" i="12"/>
  <c r="D44" i="12"/>
  <c r="C44" i="12"/>
  <c r="D43" i="12"/>
  <c r="C43" i="12"/>
  <c r="D42" i="12"/>
  <c r="C42" i="12"/>
  <c r="D41" i="12"/>
  <c r="C41" i="12"/>
  <c r="D40" i="12"/>
  <c r="C40" i="12"/>
  <c r="D39" i="12"/>
  <c r="C39" i="12"/>
  <c r="D38" i="12"/>
  <c r="C38" i="12"/>
  <c r="D37" i="12"/>
  <c r="C37" i="12"/>
  <c r="D36" i="12"/>
  <c r="C36" i="12"/>
  <c r="D35" i="12"/>
  <c r="C35" i="12"/>
  <c r="D34" i="12"/>
  <c r="C34" i="12"/>
  <c r="D33" i="12"/>
  <c r="C33" i="12"/>
  <c r="D32" i="12"/>
  <c r="C32" i="12"/>
  <c r="D31" i="12"/>
  <c r="C31" i="12"/>
  <c r="D30" i="12"/>
  <c r="C30" i="12"/>
  <c r="D29" i="12"/>
  <c r="C29" i="12"/>
  <c r="D28" i="12"/>
  <c r="C28" i="12"/>
  <c r="D27" i="12"/>
  <c r="C27" i="12"/>
  <c r="D26" i="12"/>
  <c r="C26" i="12"/>
  <c r="D25" i="12"/>
  <c r="C25" i="12"/>
  <c r="D24" i="12"/>
  <c r="C24" i="12"/>
  <c r="D23" i="12"/>
  <c r="C23" i="12"/>
  <c r="D22" i="12"/>
  <c r="C22" i="12"/>
  <c r="D21" i="12"/>
  <c r="C21" i="12"/>
  <c r="D20" i="12"/>
  <c r="C20" i="12"/>
  <c r="D19" i="12"/>
  <c r="C19" i="12"/>
  <c r="D18" i="12"/>
  <c r="C18" i="12"/>
  <c r="D17" i="12"/>
  <c r="C17" i="12"/>
  <c r="D16" i="12"/>
  <c r="C16" i="12"/>
  <c r="D15" i="12"/>
  <c r="C15" i="12"/>
  <c r="D14" i="12"/>
  <c r="C14" i="12"/>
  <c r="D13" i="12"/>
  <c r="C13" i="12"/>
  <c r="D12" i="12"/>
  <c r="C12" i="12"/>
  <c r="D11" i="12"/>
  <c r="C11" i="12"/>
  <c r="D10" i="12"/>
  <c r="C10" i="12"/>
  <c r="D9" i="12"/>
  <c r="C9" i="12"/>
  <c r="D8" i="12"/>
  <c r="C8" i="12"/>
  <c r="D7" i="12"/>
  <c r="C7" i="12"/>
  <c r="D6" i="12"/>
  <c r="C6" i="12"/>
  <c r="D5" i="12"/>
  <c r="C5" i="12"/>
  <c r="D4" i="12"/>
  <c r="C4" i="12"/>
  <c r="D3" i="12"/>
  <c r="C3" i="12"/>
</calcChain>
</file>

<file path=xl/sharedStrings.xml><?xml version="1.0" encoding="utf-8"?>
<sst xmlns="http://schemas.openxmlformats.org/spreadsheetml/2006/main" count="17701" uniqueCount="1673">
  <si>
    <t>1년</t>
    <phoneticPr fontId="1" type="noConversion"/>
  </si>
  <si>
    <t>6개월</t>
    <phoneticPr fontId="1" type="noConversion"/>
  </si>
  <si>
    <t>3개월</t>
    <phoneticPr fontId="1" type="noConversion"/>
  </si>
  <si>
    <t>라인스피드</t>
    <phoneticPr fontId="1" type="noConversion"/>
  </si>
  <si>
    <t>GITEM</t>
  </si>
  <si>
    <t>GITEM명</t>
  </si>
  <si>
    <t>공정code</t>
  </si>
  <si>
    <t>공정</t>
  </si>
  <si>
    <t>호기Code</t>
  </si>
  <si>
    <t>호기</t>
  </si>
  <si>
    <t>윈도우 제품군</t>
  </si>
  <si>
    <t>SCF-NS-SS03</t>
  </si>
  <si>
    <t>염료점착</t>
  </si>
  <si>
    <t>C2260</t>
  </si>
  <si>
    <t>코팅26호기_WIN</t>
  </si>
  <si>
    <t>유광 S/R</t>
  </si>
  <si>
    <t>C2010</t>
  </si>
  <si>
    <t>C2270</t>
  </si>
  <si>
    <t>SCF-NS-SS19</t>
  </si>
  <si>
    <t>SCF-NS-SS35</t>
  </si>
  <si>
    <t>SCF-NS-SS51</t>
  </si>
  <si>
    <t>SCF-NS-CCS05</t>
  </si>
  <si>
    <t>SCF-NS-CCS16</t>
  </si>
  <si>
    <t>SCF-NS-CCS20</t>
  </si>
  <si>
    <t>SCF-NS-CCS35</t>
  </si>
  <si>
    <t>SCF-NS-SS58(분말)</t>
  </si>
  <si>
    <t>SCF-NS-CCS05(SLP)</t>
  </si>
  <si>
    <t>SCF-NS-CCS20(SLP)</t>
  </si>
  <si>
    <t>SCF-NS-CCS35(SLP)</t>
  </si>
  <si>
    <t>SCF-NS-CCS16(SLP)</t>
  </si>
  <si>
    <t>SCF-DM-SPUTTER NiCr 20(NiCr 15%)</t>
  </si>
  <si>
    <t>투명점착</t>
  </si>
  <si>
    <t>투명접착</t>
  </si>
  <si>
    <t>SCF-DM-SPUTTER NiCr 35(NiCr 30%)</t>
  </si>
  <si>
    <t>염료접착</t>
  </si>
  <si>
    <t>COLEX-NS-WHITE-MATT(50㎛ 1PLY)</t>
  </si>
  <si>
    <t>NS-SOFT MOLD PATTERN(MATT/BLACK SATIN)</t>
  </si>
  <si>
    <t>Pattern 성형</t>
  </si>
  <si>
    <t>O2340</t>
  </si>
  <si>
    <t>단면 H/C (임가공용)</t>
  </si>
  <si>
    <t>PPF-NS-PPF이형지(SM50-10L-WHITE 88㎛)</t>
  </si>
  <si>
    <t>PPF-NS-PPF이형지(SM50-10L-WHITE 105㎛)</t>
  </si>
  <si>
    <t>NS-PPF 점착보호필름(ULTRAFIT)박리개선</t>
  </si>
  <si>
    <t>IR접착</t>
  </si>
  <si>
    <t>ISR(하드코팅)</t>
  </si>
  <si>
    <t>PLATINUM(개선1)-ND-IBLD7060</t>
  </si>
  <si>
    <t>CENTUM(S)-ND-8080</t>
  </si>
  <si>
    <t>NSR 코팅</t>
  </si>
  <si>
    <t>인쇄</t>
  </si>
  <si>
    <t>C2250</t>
  </si>
  <si>
    <t>IR-ND-TRUEBLUE 8565</t>
  </si>
  <si>
    <t>IR-ND-TRUEBLUE 7090(강점착)</t>
  </si>
  <si>
    <t>MIBK SR</t>
  </si>
  <si>
    <t>안료접착</t>
  </si>
  <si>
    <t>비산점착</t>
  </si>
  <si>
    <t>RAYNO-PLATINUM S45(HG 0.3)</t>
  </si>
  <si>
    <t>IRSF-ND-IR5090</t>
  </si>
  <si>
    <t>IRSF-ND-IR7080</t>
  </si>
  <si>
    <t>RAYNO-PLATINUM S15(HG 0.3)</t>
  </si>
  <si>
    <t>WSR 코팅</t>
  </si>
  <si>
    <t>SF-NS-2MIL</t>
  </si>
  <si>
    <t>SF-NS-4MIL</t>
  </si>
  <si>
    <t>SF-ND-8MIL</t>
  </si>
  <si>
    <t>비산접착(1차)</t>
  </si>
  <si>
    <t>SF-NT-12MIL</t>
  </si>
  <si>
    <t>비산접착(2차)</t>
  </si>
  <si>
    <t>SF-비산방지 SR</t>
  </si>
  <si>
    <t>SF-NS-7MIL</t>
  </si>
  <si>
    <t>SF-NS-2MIL(썬바이져용)</t>
  </si>
  <si>
    <t>SF-ND-9MIL</t>
  </si>
  <si>
    <t>SF-NS-2MIL(DS-4200)</t>
  </si>
  <si>
    <t>NS-Clear Matte (Haze 60%)</t>
  </si>
  <si>
    <t>Anti-glare coating</t>
  </si>
  <si>
    <t>O2310</t>
  </si>
  <si>
    <t>상보텍 100um (H/C + 점착)</t>
  </si>
  <si>
    <t>Phantom(BLACK)-ND-S7 1770</t>
  </si>
  <si>
    <t>SPD(개선2)-ND-0770(Creative)</t>
  </si>
  <si>
    <t>Phantom(BLACK)-ND-S5 2050</t>
  </si>
  <si>
    <t>Phantom(BLACK)-ND-S5 3550</t>
  </si>
  <si>
    <t>Phantom(BLACK)-ND-S5 4550</t>
  </si>
  <si>
    <t>Phantom(개선2)-ND-S7 2070</t>
  </si>
  <si>
    <t>Phantom(개선2)-ND-S7 3470</t>
  </si>
  <si>
    <t>Phantom(개선2)-ND-S7 4470</t>
  </si>
  <si>
    <t>Phantom(개선2)-ND-S9 1990</t>
  </si>
  <si>
    <t>Phantom(개선2)-ND-S9 3290</t>
  </si>
  <si>
    <t>Phantom(개선2)-ND-S9 4290</t>
  </si>
  <si>
    <t>Phantom(CHARCOAL)-ND-3750</t>
  </si>
  <si>
    <t>Phantom(BLACK)-ND-S5 2550</t>
  </si>
  <si>
    <t>Phantom(BLACK)-ND-S5 5550</t>
  </si>
  <si>
    <t>Phantom(BLACK)-ND-S5 4050</t>
  </si>
  <si>
    <t>Phantom(개선2)-ND-S7 2470</t>
  </si>
  <si>
    <t>Phantom(개선2)-ND-S7 3970</t>
  </si>
  <si>
    <t>Phantom(개선2)-ND-S7 5370</t>
  </si>
  <si>
    <t>Phantom(개선2)-ND-S9 2290</t>
  </si>
  <si>
    <t>Phantom(개선2)-ND-S9 3790</t>
  </si>
  <si>
    <t>Phantom(개선2)-ND-S9 4990</t>
  </si>
  <si>
    <t>Smith(KOR)-ND-T1 1560</t>
  </si>
  <si>
    <t>Smith(KOR)-ND-T1 3060</t>
  </si>
  <si>
    <t>Smith(KOR)-ND-T2 0590</t>
  </si>
  <si>
    <t>Smith(KOR)-ND-T2 3090</t>
  </si>
  <si>
    <t>SP-ND-ZBK35</t>
  </si>
  <si>
    <t>Phantom(KOR)-ND-S5 1750</t>
  </si>
  <si>
    <t>Phantom(KOR)-ND-S5 3350</t>
  </si>
  <si>
    <t>Phantom(KOR)-ND-S7 0770</t>
  </si>
  <si>
    <t>Phantom(KOR)-ND-S7 1770</t>
  </si>
  <si>
    <t>Phantom(KOR)-ND-S7 3370</t>
  </si>
  <si>
    <t>Phantom(KOR)-ND-S9 0790</t>
  </si>
  <si>
    <t>Phantom(KOR)-ND-S9 1790</t>
  </si>
  <si>
    <t>Phantom(KOR)-ND-S9 3390</t>
  </si>
  <si>
    <t>Phantom(KOR)-ND-S9 4290</t>
  </si>
  <si>
    <t>Phantom(USA)-ND-S5 0550</t>
  </si>
  <si>
    <t>Phantom(USA)-ND-S7 0570</t>
  </si>
  <si>
    <t>Phantom(USA)-ND-S9 0590</t>
  </si>
  <si>
    <t>SP(USA)-ND-Mono Carbon 35</t>
  </si>
  <si>
    <t>SP(USA)-ND-Mono Carbon 20</t>
  </si>
  <si>
    <t>SP(USA)-ND-Mono Carbon 05</t>
  </si>
  <si>
    <t>Phantom(CHARCOAL)-ND-1450</t>
  </si>
  <si>
    <t>Phantom(AUS)-ND-S5 7750</t>
  </si>
  <si>
    <t>Phantom(AUS)-ND-S7 7770</t>
  </si>
  <si>
    <t>Phantom(AUS)-ND-S9 7790</t>
  </si>
  <si>
    <t>RAINBOW(KOR)-DM-V90 0590(RHN31%)</t>
  </si>
  <si>
    <t>RAINBOW(KOR)-DM-V90 1290(RHN31%)</t>
  </si>
  <si>
    <t>RAINBOW(KOR)-DC-V90 3090(RHN40%)</t>
  </si>
  <si>
    <t>RAINBOW(KOR)-DM-V70 1270(RHN31%)</t>
  </si>
  <si>
    <t>RAINBOW(KOR)-DC-V70 3070(RHN40%)</t>
  </si>
  <si>
    <t>Phantom(KOR)-ND-S9 1090</t>
  </si>
  <si>
    <t>RAINBOW(KOR)-DM-V90 2390(RHN40%)</t>
  </si>
  <si>
    <t>Chroma(KOR)-SPT-CHROMA7 PRO 1075(RHN31%)</t>
  </si>
  <si>
    <t>Chroma(KOR)-SPT-CHROMA7 PRO 3075(RHN40%)</t>
  </si>
  <si>
    <t>RAINBOW(KOR)-ND-I90 0590</t>
  </si>
  <si>
    <t>RAINBOW(KOR)-ND-I90 1590</t>
  </si>
  <si>
    <t>RAINBOW(KOR)-ND-I90 3390</t>
  </si>
  <si>
    <t>RAINBOW(KOR)-ND-I55 0555S</t>
  </si>
  <si>
    <t>RAINBOW(KOR)-ND-I55 1055S</t>
  </si>
  <si>
    <t>RAINBOW(KOR)-ND-I55 1555S</t>
  </si>
  <si>
    <t>RAINBOW(KOR)-ND-I55 3555S</t>
  </si>
  <si>
    <t>RAINBOW(KOR)-ND-I90 2390</t>
  </si>
  <si>
    <t>Special R(KOR)-DM-SPECIAL R 1060(HG 0.3)</t>
  </si>
  <si>
    <t>CHROMA(KOR)-DM-CHROMA R 1060(HG 0.3)</t>
  </si>
  <si>
    <t>SPD-SCHUTZEN CX60 12</t>
  </si>
  <si>
    <t>SPD-SCHUTZEN CX60 30</t>
  </si>
  <si>
    <t>SPDM-SCHUTZEN MX70 07 (HG 0.3)</t>
  </si>
  <si>
    <t>SPDM-SCHUTZEN MX70 27 (HG 0.3)</t>
  </si>
  <si>
    <t>RAINBOW(KOR)-DM-VS200 05(RHN31%)</t>
  </si>
  <si>
    <t>RAINBOW(KOR)-DM-VS200 12(RHN31%)</t>
  </si>
  <si>
    <t>RAINBOW(KOR)-DM-VS200 23(RHN40%)</t>
  </si>
  <si>
    <t>RAINBOW(KOR)-DM-VS200 30(RHN40%)</t>
  </si>
  <si>
    <t>ISR(항균)</t>
  </si>
  <si>
    <t>Phantom(2nd)-ND-F95 5095(항균ISR)</t>
  </si>
  <si>
    <t>CHROMA(KOR)-DC-CHROMA 9 1090(RHN 31%-DYED)</t>
  </si>
  <si>
    <t>CHROMA(KOR)-DC-CHROMA 9 3090(RHN 31%)</t>
  </si>
  <si>
    <t>Tview-ND-Mono Carbon 05 (CFC)</t>
  </si>
  <si>
    <t>Tview-ND-Mono Carbon 15 (CFC)</t>
  </si>
  <si>
    <t>Tview-ND-Mono Carbon 35 (CFC)</t>
  </si>
  <si>
    <t>Tview-ND-Mono Carbon 45 (CFC)</t>
  </si>
  <si>
    <t>Tview-ND-Mono Carbon 85 (CFC)</t>
  </si>
  <si>
    <t>안료점착</t>
  </si>
  <si>
    <t>SPD-ND-Carbon G9 2090(SLP)</t>
  </si>
  <si>
    <t>SP(RUS)-ND-Mono Carbon 05 PS</t>
  </si>
  <si>
    <t>RAINBOW(KOR)-ND-I75 3365</t>
  </si>
  <si>
    <t>RAINBOW(KOR)-ND-IS100S 0575</t>
  </si>
  <si>
    <t>RAINBOW(KOR)-ND-IS100S 1575</t>
  </si>
  <si>
    <t>RAINBOW(KOR)-ND-IS100S 2375</t>
  </si>
  <si>
    <t>RAINBOW(KOR)-ND-IS100S 3375</t>
  </si>
  <si>
    <t>RAINBOW(KOR)-ND-IS200 0590</t>
  </si>
  <si>
    <t>RAINBOW(KOR)-ND-IS200 1590</t>
  </si>
  <si>
    <t>RAINBOW(KOR)-ND-IS200 2390</t>
  </si>
  <si>
    <t>RAINBOW(KOR)-ND-IS200 3390</t>
  </si>
  <si>
    <t>SP(RUS)-ND-Mono Carbon 15 PS</t>
  </si>
  <si>
    <t>SP(RUS)-ND-Mono Carbon 35 PS</t>
  </si>
  <si>
    <t>SP(RUS)-ND-Mono Carbon 50 PS</t>
  </si>
  <si>
    <t>ULTRAFIT-ND-ULTRAFIT VC 05</t>
  </si>
  <si>
    <t>ULTRAFIT-ND-ULTRAFIT VC 15</t>
  </si>
  <si>
    <t>ULTRAFIT-ND-ULTRAFIT VC 25</t>
  </si>
  <si>
    <t>ULTRAFIT-ND-ULTRAFIT VC 35</t>
  </si>
  <si>
    <t>ULTRAFIT-ND-ULTRAFIT VC 70</t>
  </si>
  <si>
    <t>ULTRAFIT-ND-ULTRAFIT VF 05</t>
  </si>
  <si>
    <t>ULTRAFIT-ND-ULTRAFIT VF 70</t>
  </si>
  <si>
    <t>ULTRAFIT-ND-ULTRAFIT VS 05</t>
  </si>
  <si>
    <t>ULTRAFIT-ND-ULTRAFIT VS 15</t>
  </si>
  <si>
    <t>ULTRAFIT-ND-ULTRAFIT VS 35</t>
  </si>
  <si>
    <t>ULTRAFIT-ND-ULTRAFIT VS 50</t>
  </si>
  <si>
    <t>ULTRAFIT-ND-ULTRAFIT VS 70</t>
  </si>
  <si>
    <t>RAINBOW(KOR)-DM-VS100 05(RHN31%)</t>
  </si>
  <si>
    <t>RAINBOW(KOR)-DM-VS100 12(RHN31%)</t>
  </si>
  <si>
    <t>RAINBOW(KOR)-DM-VS100 30(RHN40%)</t>
  </si>
  <si>
    <t>RAINBOW(KOR)-ND-IS200 4590</t>
  </si>
  <si>
    <t>Phantom(2nd)-ND-F5 0555(항균MIBK)</t>
  </si>
  <si>
    <t>MIBK SR(항균)</t>
  </si>
  <si>
    <t>Phantom(2nd)-ND-F5 1255(항균MIBK)</t>
  </si>
  <si>
    <t>Phantom(2nd)-ND-F5 2755(항균MIBK)</t>
  </si>
  <si>
    <t>Phantom(Charcoal)-ND-S5 2050(MEP)</t>
  </si>
  <si>
    <t>Phantom(Charcoal)-ND-S5 4050(MEP)</t>
  </si>
  <si>
    <t>ULTRAFIT-ND-ULTRAFIT VC 02</t>
  </si>
  <si>
    <t>Phantom(Charcoal)-ND-S5 7550(MEP)</t>
  </si>
  <si>
    <t>Phantom(2nd)-ND-F5 1555(항균MIBK)</t>
  </si>
  <si>
    <t>Phantom(2nd)-ND-F5 3555(항균MIBK)</t>
  </si>
  <si>
    <t>Phantom(2nd)-ND-F5 4555(항균MIBK)</t>
  </si>
  <si>
    <t>RAINBOW(KOR)-DM-LUCE 05(RHN25%)</t>
  </si>
  <si>
    <t>RAINBOW(KOR)-DM-LUCE 10(RHN25%)</t>
  </si>
  <si>
    <t>RAINBOW(KOR)-DM-LUCE 22(RHN31%)</t>
  </si>
  <si>
    <t>RAINBOW(KOR)-DM-LUCE 28(RHN40%)</t>
  </si>
  <si>
    <t>SP-ND-Energise CRT15</t>
  </si>
  <si>
    <t>SPDM-SCHUTZEN HX90 07 (RHN 25%)</t>
  </si>
  <si>
    <t>SPDC-SCHUTZEN FX90 TB27 (NiCr31)</t>
  </si>
  <si>
    <t>SPDC-SCHUTZEN FX90 VB07 (NiCr31-DYED)</t>
  </si>
  <si>
    <t>SPDC-SCHUTZEN FX90 VB27 (NiCr31)</t>
  </si>
  <si>
    <t>Phantom(Charcoal)-ND-S5 3550(MEP)</t>
  </si>
  <si>
    <t>SPD-ND-Mono carbon 20(SLP NEW YORK)</t>
  </si>
  <si>
    <t>SPD-ND-Mono carbon 35(SLP NEW YORK)</t>
  </si>
  <si>
    <t>Phantom(Charcoal)-ND-S7 2070(MEP)</t>
  </si>
  <si>
    <t>Phantom(Charcoal)-ND-S7 7570(MEP)</t>
  </si>
  <si>
    <t>Phantom(Charcoal)-ND-S7 4070(MEP)</t>
  </si>
  <si>
    <t>WINDSHIELD 보호필름(점착개선)</t>
  </si>
  <si>
    <t>ESR</t>
  </si>
  <si>
    <t>EPU코팅</t>
  </si>
  <si>
    <t>TEST-2Ply PET type Windshield</t>
  </si>
  <si>
    <t>TOP COATING</t>
  </si>
  <si>
    <t>ULTRAFIT-NS-ULTRAFIT WinCrest Clear</t>
  </si>
  <si>
    <t>WP-NS-IVIOS Axion</t>
  </si>
  <si>
    <t>PPF-NS-PPF이형지(WHITE)</t>
  </si>
  <si>
    <t>PPF점착</t>
  </si>
  <si>
    <t>PPF-NS-SGA(BLACK)</t>
  </si>
  <si>
    <t>PPF-NS-SGA MATT</t>
  </si>
  <si>
    <t>PPF-NS-PPF이형지(N-WHITE 88㎛)</t>
  </si>
  <si>
    <t>PPF-NS-TGA(WHITE)</t>
  </si>
  <si>
    <t>PPF-NS-SGA N</t>
  </si>
  <si>
    <t>PPF-보호필름(SGA-N)</t>
  </si>
  <si>
    <t>PPF-NS-TGA(S)-HL(Gray 50%)</t>
  </si>
  <si>
    <t>PPF-NS-SGA-HL(CHARCOAL50%)</t>
  </si>
  <si>
    <t>PPF-ND-Carbon Pattern PPF</t>
  </si>
  <si>
    <t>BLACK EPU코팅</t>
  </si>
  <si>
    <t>열합지</t>
  </si>
  <si>
    <t>PPF-NS-ULTRAFIT XP CRISTAL(MONO)</t>
  </si>
  <si>
    <t>PPF-NS-ULTRA FIT XP BLACK(MONO)</t>
  </si>
  <si>
    <t>PPF-ND-ULTRA FIT XP BLACK CARBON(MONO)</t>
  </si>
  <si>
    <t>PPF-NS-Gray Color PPF(MONO)</t>
  </si>
  <si>
    <t>PPF-NS-PPF MATTE(MONO)</t>
  </si>
  <si>
    <t>PPF-NS-XTM PLUS(Kaizer)</t>
  </si>
  <si>
    <t>NS-PPF 점착보호필름(ULTRAFIT)</t>
  </si>
  <si>
    <t>NS-SOFT MOLD PATTERN(FORGED)</t>
  </si>
  <si>
    <t>PPF-ND-ULTRA FIT BLACK MATTE(MONO)</t>
  </si>
  <si>
    <t>PPF-ND-Forged carbon pattern PPF(gloss type)</t>
  </si>
  <si>
    <t>PPF-NS-Crystal Satin Finish (Kaizer)</t>
  </si>
  <si>
    <t>PPF-NS-Onyx Black(Kaizer)</t>
  </si>
  <si>
    <t>PPF-NS-WINTER GRAY</t>
  </si>
  <si>
    <t>PEARL EPU코팅</t>
  </si>
  <si>
    <t>PPF-NS-TGA N (OP개선)</t>
  </si>
  <si>
    <t>PPF-NS-Onyxhield EX9</t>
  </si>
  <si>
    <t>PPF-NS-Onyxhield EX9 H</t>
  </si>
  <si>
    <t>열처리</t>
  </si>
  <si>
    <t>PPF-NS-Onyxhield EX11</t>
  </si>
  <si>
    <t>안료점착(WHITE)</t>
  </si>
  <si>
    <t>PPF-ND-Big forged Pattern</t>
  </si>
  <si>
    <t>TPU PATTERN성형</t>
  </si>
  <si>
    <t>PPF-NS-Onyxhield EXa MATT</t>
  </si>
  <si>
    <t>PPF-NS-IVIOS Kaizer White satin PPF</t>
  </si>
  <si>
    <t>PPF-NS-ULTRAFIT XP SUPREME TOP(PX93-15)</t>
  </si>
  <si>
    <t>PPF-NS-Onyxhield Exa ONYX CARBON</t>
  </si>
  <si>
    <t>PPF-NS-Onyxhield Exa MATTE BLACK</t>
  </si>
  <si>
    <t>WHITE EPU코팅</t>
  </si>
  <si>
    <t>PPF-NS-ULTRAFIT XP AURORA SILVER</t>
  </si>
  <si>
    <t>PPF-NS-TGA N (SPECIAL)</t>
  </si>
  <si>
    <t>PPF-NS-ULTRAFIT XP Metallic Silver Satin(PEARL)</t>
  </si>
  <si>
    <t>PPF-NS-ULTRAFIT XP BLACK FORGED</t>
  </si>
  <si>
    <t>Pattern EPU</t>
  </si>
  <si>
    <t>PPF-ND-PPF SUNROOF(3090)</t>
  </si>
  <si>
    <t>공정순서</t>
    <phoneticPr fontId="1" type="noConversion"/>
  </si>
  <si>
    <t>공정코드</t>
  </si>
  <si>
    <t>공정명</t>
  </si>
  <si>
    <t>공정분류</t>
    <phoneticPr fontId="1" type="noConversion"/>
  </si>
  <si>
    <t>EPU</t>
    <phoneticPr fontId="1" type="noConversion"/>
  </si>
  <si>
    <t>CSR 코팅</t>
  </si>
  <si>
    <t>SR</t>
    <phoneticPr fontId="1" type="noConversion"/>
  </si>
  <si>
    <t>CWSR</t>
  </si>
  <si>
    <t>DWSR 코팅</t>
  </si>
  <si>
    <t>H/C</t>
  </si>
  <si>
    <t>IR CUT S/R</t>
  </si>
  <si>
    <t>SWSR 코팅</t>
  </si>
  <si>
    <t>VWSR</t>
  </si>
  <si>
    <t>안료</t>
    <phoneticPr fontId="1" type="noConversion"/>
  </si>
  <si>
    <t>안료점착(GRAY)</t>
  </si>
  <si>
    <t>염료</t>
    <phoneticPr fontId="1" type="noConversion"/>
  </si>
  <si>
    <t>투명</t>
    <phoneticPr fontId="1" type="noConversion"/>
  </si>
  <si>
    <t>후처리</t>
    <phoneticPr fontId="1" type="noConversion"/>
  </si>
  <si>
    <t>인쇄</t>
    <phoneticPr fontId="1" type="noConversion"/>
  </si>
  <si>
    <t>1y</t>
    <phoneticPr fontId="1" type="noConversion"/>
  </si>
  <si>
    <t>6m</t>
    <phoneticPr fontId="1" type="noConversion"/>
  </si>
  <si>
    <t>3m</t>
    <phoneticPr fontId="1" type="noConversion"/>
  </si>
  <si>
    <t>g</t>
    <phoneticPr fontId="1" type="noConversion"/>
  </si>
  <si>
    <t>영문명</t>
    <phoneticPr fontId="1" type="noConversion"/>
  </si>
  <si>
    <t>한글명</t>
    <phoneticPr fontId="1" type="noConversion"/>
  </si>
  <si>
    <t>샘플데이터</t>
    <phoneticPr fontId="1" type="noConversion"/>
  </si>
  <si>
    <t>SITEM명</t>
  </si>
  <si>
    <t>SITEM명</t>
    <phoneticPr fontId="1" type="noConversion"/>
  </si>
  <si>
    <t>SPEC</t>
  </si>
  <si>
    <t>SPEC</t>
    <phoneticPr fontId="1" type="noConversion"/>
  </si>
  <si>
    <t>Gitem정보</t>
  </si>
  <si>
    <t>CodeName</t>
  </si>
  <si>
    <t>중분류</t>
    <phoneticPr fontId="1" type="noConversion"/>
  </si>
  <si>
    <t>소분류</t>
    <phoneticPr fontId="1" type="noConversion"/>
  </si>
  <si>
    <t>1공정</t>
  </si>
  <si>
    <t>2공정</t>
  </si>
  <si>
    <t>3공정</t>
  </si>
  <si>
    <t>4공정</t>
  </si>
  <si>
    <t>5공정</t>
  </si>
  <si>
    <t>6공정</t>
  </si>
  <si>
    <t>7공정</t>
  </si>
  <si>
    <t>GITEMNO</t>
  </si>
  <si>
    <t>GitemName</t>
  </si>
  <si>
    <t>호기코드</t>
  </si>
  <si>
    <t>수율</t>
  </si>
  <si>
    <t>배합코드</t>
  </si>
  <si>
    <t>배합코드 이력</t>
  </si>
  <si>
    <t>L/Speed</t>
  </si>
  <si>
    <t>투입BF</t>
  </si>
  <si>
    <t>합지BF</t>
  </si>
  <si>
    <t>합지BF2</t>
  </si>
  <si>
    <t>합지Doff(Gitem)</t>
  </si>
  <si>
    <t>O2340, C2010</t>
  </si>
  <si>
    <t>24670, 23352</t>
  </si>
  <si>
    <t>T01514</t>
  </si>
  <si>
    <t>T02439</t>
  </si>
  <si>
    <t>T02438, T02439</t>
  </si>
  <si>
    <t>25922, 26284</t>
  </si>
  <si>
    <t>T02149</t>
    <phoneticPr fontId="1" type="noConversion"/>
  </si>
  <si>
    <t>WRF065</t>
  </si>
  <si>
    <t>배합X</t>
    <phoneticPr fontId="1" type="noConversion"/>
  </si>
  <si>
    <t>T01799</t>
  </si>
  <si>
    <t>T01104</t>
  </si>
  <si>
    <t>T01226</t>
  </si>
  <si>
    <t>PPF-NS-Onyxhield Exa Viola-30</t>
  </si>
  <si>
    <t>T02533</t>
  </si>
  <si>
    <t>T01621</t>
  </si>
  <si>
    <t>T02116</t>
  </si>
  <si>
    <t>T014772</t>
  </si>
  <si>
    <t>PPF-NS-AURORA ROSY GREEN (pearl)</t>
  </si>
  <si>
    <t>T01775</t>
  </si>
  <si>
    <t>T01576</t>
  </si>
  <si>
    <t>T014774, T02116</t>
  </si>
  <si>
    <t>23352, 22875</t>
  </si>
  <si>
    <t>T01852</t>
    <phoneticPr fontId="1" type="noConversion"/>
  </si>
  <si>
    <t>22875, 23352</t>
  </si>
  <si>
    <t>C2010, C2260</t>
  </si>
  <si>
    <t>T02373</t>
  </si>
  <si>
    <t>25101, 20807, 25658</t>
  </si>
  <si>
    <t>20808, 25101</t>
  </si>
  <si>
    <t>W1818</t>
  </si>
  <si>
    <t>25658, 20807, 25101</t>
  </si>
  <si>
    <t>C2260, C2270</t>
  </si>
  <si>
    <t>W2010</t>
  </si>
  <si>
    <t>WRF065, W2010</t>
  </si>
  <si>
    <t>20807, 25658, 25101</t>
  </si>
  <si>
    <t>23352, 25661</t>
  </si>
  <si>
    <t>NS-PPF-보급형 S21 PPF</t>
  </si>
  <si>
    <t>T02440</t>
  </si>
  <si>
    <t>IRSF-ND-IR1090+4MIL</t>
  </si>
  <si>
    <t>T02491</t>
  </si>
  <si>
    <t>T02150</t>
    <phoneticPr fontId="1" type="noConversion"/>
  </si>
  <si>
    <t>T0897</t>
  </si>
  <si>
    <t>T02252</t>
  </si>
  <si>
    <t>T02467</t>
  </si>
  <si>
    <t>T014774</t>
  </si>
  <si>
    <t>31940, 32472</t>
  </si>
  <si>
    <t>T01288, T01514</t>
  </si>
  <si>
    <t>31244, 32621</t>
  </si>
  <si>
    <t>T02346</t>
  </si>
  <si>
    <t>T01965</t>
  </si>
  <si>
    <t>T02546, T01965</t>
  </si>
  <si>
    <t>26059, 26276, 26335</t>
  </si>
  <si>
    <t>T01862</t>
  </si>
  <si>
    <t>T02406</t>
  </si>
  <si>
    <t>T02546</t>
  </si>
  <si>
    <t>26276, 26335</t>
  </si>
  <si>
    <t>Phantom(2nd)-ND-F65 3865(항균ISR)-19㎛</t>
    <phoneticPr fontId="1" type="noConversion"/>
  </si>
  <si>
    <t>T02443</t>
    <phoneticPr fontId="1" type="noConversion"/>
  </si>
  <si>
    <t>W2026</t>
  </si>
  <si>
    <t>T02392</t>
  </si>
  <si>
    <t>T02433, T02392</t>
  </si>
  <si>
    <t>25659, 20807</t>
  </si>
  <si>
    <t>20808, 25660</t>
  </si>
  <si>
    <t>T02150</t>
  </si>
  <si>
    <t>W2010</t>
    <phoneticPr fontId="1" type="noConversion"/>
  </si>
  <si>
    <t>20807, 25659</t>
  </si>
  <si>
    <t>23352, 25662</t>
  </si>
  <si>
    <t>T02030</t>
  </si>
  <si>
    <t>T02193</t>
  </si>
  <si>
    <t>T02121</t>
  </si>
  <si>
    <t>Smith(KOR)-ND-T1 0560</t>
  </si>
  <si>
    <t>T02541, T02150</t>
  </si>
  <si>
    <t>T02404</t>
  </si>
  <si>
    <t>25101, 20807</t>
  </si>
  <si>
    <t>20807, 25101</t>
  </si>
  <si>
    <t>23352, 25382</t>
  </si>
  <si>
    <t>T02470</t>
  </si>
  <si>
    <t>t01898</t>
  </si>
  <si>
    <t>T02391</t>
  </si>
  <si>
    <t>T01512</t>
    <phoneticPr fontId="1" type="noConversion"/>
  </si>
  <si>
    <t>T02354</t>
  </si>
  <si>
    <t>SPD-ND-Sharpline CARBON 15</t>
  </si>
  <si>
    <t>T02474</t>
  </si>
  <si>
    <t>Phantom(Charcoal)-ND-S5 2550(MEP)</t>
    <phoneticPr fontId="1" type="noConversion"/>
  </si>
  <si>
    <t>T02330</t>
    <phoneticPr fontId="1" type="noConversion"/>
  </si>
  <si>
    <t>SPD-ND-Sharpline CARBON 05</t>
  </si>
  <si>
    <t>T02473</t>
  </si>
  <si>
    <t>T02350</t>
  </si>
  <si>
    <t>SPD-Ceramic CCS 87 35 (SLP)</t>
  </si>
  <si>
    <t>T02378</t>
  </si>
  <si>
    <t>SPD-Ceramic CCS 87 20 (SLP)</t>
  </si>
  <si>
    <t>T02377</t>
  </si>
  <si>
    <t>W1817</t>
  </si>
  <si>
    <t>T02372</t>
  </si>
  <si>
    <t>25659, 20807, 25657</t>
  </si>
  <si>
    <t>20808, 25658, 25660</t>
  </si>
  <si>
    <t>20807, 25659, 25657</t>
  </si>
  <si>
    <t>23352, 25661, 25662</t>
  </si>
  <si>
    <t>25657, 25659, 20807</t>
  </si>
  <si>
    <t>T01782, T01702, T01621</t>
  </si>
  <si>
    <t>25628, 26119, 26261</t>
  </si>
  <si>
    <t>T02393</t>
  </si>
  <si>
    <t>T02514, T02272, T01514, T02393</t>
  </si>
  <si>
    <t>26261, 26119, 25628</t>
  </si>
  <si>
    <t>베합X</t>
    <phoneticPr fontId="1" type="noConversion"/>
  </si>
  <si>
    <t>T01750</t>
  </si>
  <si>
    <t>T02089</t>
  </si>
  <si>
    <t>25659, 20807, 25101</t>
  </si>
  <si>
    <t>T02150, W1818</t>
  </si>
  <si>
    <t>25659, 25101, 20807</t>
  </si>
  <si>
    <t>25101, 20807, 25659</t>
  </si>
  <si>
    <t>23352, 25382, 25662</t>
  </si>
  <si>
    <t>25101, 25659, 20807</t>
  </si>
  <si>
    <t>T02469</t>
  </si>
  <si>
    <t>T02149</t>
  </si>
  <si>
    <t>T01856</t>
  </si>
  <si>
    <t>T01857</t>
  </si>
  <si>
    <t>T01852</t>
  </si>
  <si>
    <t>T02405</t>
  </si>
  <si>
    <t>22485, 22692</t>
  </si>
  <si>
    <t>SPD-Ceramic CCS 87 50 (SLP)</t>
  </si>
  <si>
    <t>T02379</t>
  </si>
  <si>
    <t>SPD-ND-Sharpline CARBON 50</t>
  </si>
  <si>
    <t>T02477</t>
  </si>
  <si>
    <t>Phantom(2nd)-ND-F95 5095(항균ISR)-19㎛</t>
  </si>
  <si>
    <t>25659, 25101, 25657</t>
  </si>
  <si>
    <t>T01512</t>
  </si>
  <si>
    <t>25101, 25657, 25659</t>
  </si>
  <si>
    <t>25659, 25657, 25101</t>
  </si>
  <si>
    <t>T02538</t>
  </si>
  <si>
    <t>T02423</t>
  </si>
  <si>
    <t>20808, 26363</t>
  </si>
  <si>
    <t>t01828</t>
  </si>
  <si>
    <t>T02090</t>
  </si>
  <si>
    <t>20807, 25101, 25926</t>
  </si>
  <si>
    <t>20808, 25101, 25658</t>
  </si>
  <si>
    <t>25101, 20807, 25926</t>
  </si>
  <si>
    <t>20807, 25926, 25101</t>
  </si>
  <si>
    <t>T02289</t>
  </si>
  <si>
    <t>20807, 25657</t>
  </si>
  <si>
    <t>W2010, WRF065</t>
  </si>
  <si>
    <t>23352, 25382, 25661</t>
  </si>
  <si>
    <t>C2250, O2510</t>
  </si>
  <si>
    <t>T02348</t>
  </si>
  <si>
    <t>RAYNO-PLATINUM S05(HG 0.3)</t>
  </si>
  <si>
    <t>t02409</t>
  </si>
  <si>
    <t>IR-ND-TRUEBLUE 3599(강점착)</t>
  </si>
  <si>
    <t>T02437</t>
  </si>
  <si>
    <t>PPF-NS-ULTRAFIT XP Fire Red Satin</t>
    <phoneticPr fontId="1" type="noConversion"/>
  </si>
  <si>
    <t>T02356</t>
    <phoneticPr fontId="1" type="noConversion"/>
  </si>
  <si>
    <t>T02359</t>
  </si>
  <si>
    <t>T01702</t>
  </si>
  <si>
    <t>T02323</t>
  </si>
  <si>
    <t>T02509, T02323</t>
  </si>
  <si>
    <t>T01726</t>
  </si>
  <si>
    <t>T02083</t>
  </si>
  <si>
    <t>T01828</t>
    <phoneticPr fontId="1" type="noConversion"/>
  </si>
  <si>
    <t>T02318</t>
  </si>
  <si>
    <t>T02496, T02318</t>
  </si>
  <si>
    <t>T02360</t>
    <phoneticPr fontId="1" type="noConversion"/>
  </si>
  <si>
    <t>T02355</t>
  </si>
  <si>
    <t>25926, 25660, 25101, 25658, 25927</t>
  </si>
  <si>
    <t>20808, 25101, 25658, 25660</t>
  </si>
  <si>
    <t>25926, 25659, 25658, 25101, 25660, 20807, 25927</t>
  </si>
  <si>
    <t>25660, 25101, 25659, 20807, 25926, 25658</t>
  </si>
  <si>
    <t>25658, 25660, 25659, 20807, 25101</t>
  </si>
  <si>
    <t>Special R(KOR)-DM-SPECIAL R 3060(HG 0.3)</t>
    <phoneticPr fontId="1" type="noConversion"/>
  </si>
  <si>
    <t>T02407</t>
    <phoneticPr fontId="1" type="noConversion"/>
  </si>
  <si>
    <t>W1558</t>
  </si>
  <si>
    <t>C2260, C2010</t>
  </si>
  <si>
    <t>T02521</t>
  </si>
  <si>
    <t>ULTRAFIT-ND-ULTRAFIT VS 30</t>
  </si>
  <si>
    <t>T02545</t>
  </si>
  <si>
    <t>25927, 20807</t>
  </si>
  <si>
    <t>20807, 25927</t>
  </si>
  <si>
    <t>25382, 25662</t>
  </si>
  <si>
    <t>IR-ND-TRUEBLUE 5099(강점착)</t>
  </si>
  <si>
    <t>T02456</t>
  </si>
  <si>
    <t>T02381</t>
  </si>
  <si>
    <t>W1912</t>
  </si>
  <si>
    <t>T02380</t>
  </si>
  <si>
    <t>W2027</t>
    <phoneticPr fontId="1" type="noConversion"/>
  </si>
  <si>
    <t>ND-UV420 40%</t>
  </si>
  <si>
    <t>T02454</t>
  </si>
  <si>
    <t>T02275</t>
  </si>
  <si>
    <t>T02149, W1817</t>
  </si>
  <si>
    <t>T02028</t>
  </si>
  <si>
    <t>Phantom(2nd)-ND-F85 3885(항균ISR)-19㎛</t>
  </si>
  <si>
    <t>T02444</t>
  </si>
  <si>
    <t>T02500</t>
  </si>
  <si>
    <t>T02134, T02500</t>
  </si>
  <si>
    <t>T02468</t>
  </si>
  <si>
    <t>T02303</t>
  </si>
  <si>
    <t>25889, 26129</t>
  </si>
  <si>
    <t>T02304</t>
  </si>
  <si>
    <t>W2027</t>
  </si>
  <si>
    <t>T02446</t>
  </si>
  <si>
    <t>T02410</t>
  </si>
  <si>
    <t>Phantom(2nd)-ND-F85 0585(항균ISR)-19㎛</t>
  </si>
  <si>
    <t>T02428</t>
  </si>
  <si>
    <t>T02277</t>
  </si>
  <si>
    <t>25659, 20807, 25926</t>
  </si>
  <si>
    <t>25659, 25926, 20807</t>
  </si>
  <si>
    <t>23352, 25382, 25661, 25662</t>
  </si>
  <si>
    <t>T02027</t>
  </si>
  <si>
    <t>O2310, C2270</t>
  </si>
  <si>
    <t>T02254</t>
  </si>
  <si>
    <t>T02328</t>
  </si>
  <si>
    <t>T02459, T02328</t>
  </si>
  <si>
    <t>W1817, T02149</t>
  </si>
  <si>
    <t>T02128</t>
  </si>
  <si>
    <t>T0763</t>
  </si>
  <si>
    <t>T02342</t>
  </si>
  <si>
    <t>25659, 20807, 25101, 25657</t>
  </si>
  <si>
    <t>25101, 25657, 25659, 20807</t>
  </si>
  <si>
    <t>C2270, C2260</t>
  </si>
  <si>
    <t>25657, 20807, 25101</t>
  </si>
  <si>
    <t>T01747</t>
  </si>
  <si>
    <t>CHROMA(KOR)-DC-CHROMA 9 3090(RHN 31%)-19um</t>
  </si>
  <si>
    <t>T02309</t>
  </si>
  <si>
    <t>T02222</t>
  </si>
  <si>
    <t>20807, 25657, 25659</t>
  </si>
  <si>
    <t>25657, 20807, 25659</t>
  </si>
  <si>
    <t>T02472</t>
  </si>
  <si>
    <t>T02560</t>
  </si>
  <si>
    <t>25657, 20807</t>
  </si>
  <si>
    <t>T02432</t>
  </si>
  <si>
    <t>RAINBOW(KOR)-ND-I75 1565</t>
  </si>
  <si>
    <t>T02411</t>
  </si>
  <si>
    <t>T02364</t>
  </si>
  <si>
    <t>T02014</t>
  </si>
  <si>
    <t>T02387</t>
  </si>
  <si>
    <t>SPD-SCHUTZEN CX90 30</t>
  </si>
  <si>
    <t>T02408</t>
  </si>
  <si>
    <t>PPF-NS-Onyxhield Exa desert sand</t>
  </si>
  <si>
    <t>T02556</t>
  </si>
  <si>
    <t>T02563</t>
  </si>
  <si>
    <t>Phantom(2nd)-ND-F95 0595(항균ISR)-19㎛</t>
  </si>
  <si>
    <t>T02383</t>
  </si>
  <si>
    <t>25658, 20807, 25660, 25101</t>
  </si>
  <si>
    <t>W2026, T01512</t>
  </si>
  <si>
    <t>20807, 25101, 25660, 25658</t>
  </si>
  <si>
    <t>WRF065, T01750</t>
  </si>
  <si>
    <t>25101, 20807, 25660, 25658</t>
  </si>
  <si>
    <t>25658, 25101, 25660, 20807</t>
  </si>
  <si>
    <t>T02281</t>
  </si>
  <si>
    <t>C2270, O2310</t>
  </si>
  <si>
    <t>T02522</t>
  </si>
  <si>
    <t>T02564, T02522</t>
  </si>
  <si>
    <t>T02031</t>
  </si>
  <si>
    <t>ULTRAFIT-ND-ULTRAFIT VF 15</t>
  </si>
  <si>
    <t>T01748</t>
  </si>
  <si>
    <t>T01786</t>
  </si>
  <si>
    <t>T02284</t>
  </si>
  <si>
    <t>20807, 25669, 25101, 25657</t>
  </si>
  <si>
    <t>20807, 20808, 25101, 25926</t>
  </si>
  <si>
    <t>20807, 25657, 25101, 25669</t>
  </si>
  <si>
    <t>25101, 20807, 25669, 25657</t>
  </si>
  <si>
    <t>20807, 25101, 25669, 25657</t>
  </si>
  <si>
    <t>T02561</t>
  </si>
  <si>
    <t>T02280</t>
  </si>
  <si>
    <t>T02295</t>
  </si>
  <si>
    <t>T02441</t>
  </si>
  <si>
    <t>T02484</t>
  </si>
  <si>
    <t>31940, 31985</t>
  </si>
  <si>
    <t>T01514, T01702, T01965, T01862</t>
  </si>
  <si>
    <t>T02532</t>
  </si>
  <si>
    <t>T01694, T02532</t>
  </si>
  <si>
    <t>20807, 25101, 25927</t>
  </si>
  <si>
    <t>25927, 20807, 25101</t>
  </si>
  <si>
    <t>25101, 20807, 25927</t>
  </si>
  <si>
    <t>25927, 25101, 20807</t>
  </si>
  <si>
    <t>T02138</t>
  </si>
  <si>
    <t>T01696</t>
  </si>
  <si>
    <t>T02525, T01696</t>
  </si>
  <si>
    <t>PPF-NS-ULTRAFIT XP Fire Red</t>
  </si>
  <si>
    <t>T02356</t>
  </si>
  <si>
    <t>T02442</t>
  </si>
  <si>
    <t>22485, 24553</t>
  </si>
  <si>
    <t>T02092</t>
  </si>
  <si>
    <t>25657, 25101, 20807</t>
  </si>
  <si>
    <t>20808, 25658</t>
  </si>
  <si>
    <t>T02228</t>
  </si>
  <si>
    <t>T01684</t>
  </si>
  <si>
    <t>T01719, T01684</t>
  </si>
  <si>
    <t>25927, 25659, 20807, 25101</t>
  </si>
  <si>
    <t>20808, 25101, 25660</t>
  </si>
  <si>
    <t>20807, 25927, 25659, 25101</t>
  </si>
  <si>
    <t>20807, 25659, 25101, 25927</t>
  </si>
  <si>
    <t>25927, 25101, 20807, 25659</t>
  </si>
  <si>
    <t>T02093</t>
  </si>
  <si>
    <t>T02131</t>
  </si>
  <si>
    <t>T02534</t>
  </si>
  <si>
    <t>25101, 25927, 20807</t>
  </si>
  <si>
    <t>SP-ND-Energise BR80</t>
  </si>
  <si>
    <t>T02486</t>
  </si>
  <si>
    <t>T02487</t>
  </si>
  <si>
    <t>T02480</t>
  </si>
  <si>
    <t>T0803</t>
  </si>
  <si>
    <t>T02542</t>
  </si>
  <si>
    <t>T02520</t>
  </si>
  <si>
    <t>T02125</t>
  </si>
  <si>
    <t>T02122</t>
  </si>
  <si>
    <t>ULTRAFIT-ND-ULTRAFIT VF 35</t>
  </si>
  <si>
    <t>T01688</t>
  </si>
  <si>
    <t>t01949</t>
  </si>
  <si>
    <t>T02436</t>
  </si>
  <si>
    <t>Phantom(2nd)-ND-F65 3565(항균ISR)-19㎛</t>
  </si>
  <si>
    <t>T02425</t>
  </si>
  <si>
    <t>25657, 25659</t>
  </si>
  <si>
    <t>25660, 25926</t>
  </si>
  <si>
    <t>25659, 25657</t>
  </si>
  <si>
    <t>25661, 25662</t>
  </si>
  <si>
    <t>T02478</t>
  </si>
  <si>
    <t>SCF-DM GRAYSILVER 15(0.8)</t>
  </si>
  <si>
    <t>t02519</t>
  </si>
  <si>
    <t>T02009</t>
  </si>
  <si>
    <t>SPDM-SCHUTZEN HX70 07(NiCr25%)</t>
  </si>
  <si>
    <t>T02537</t>
    <phoneticPr fontId="1" type="noConversion"/>
  </si>
  <si>
    <t>T02142</t>
  </si>
  <si>
    <t>T02498</t>
  </si>
  <si>
    <t>T02220, T02498</t>
  </si>
  <si>
    <t>T02539</t>
  </si>
  <si>
    <t>T02340, T02539</t>
  </si>
  <si>
    <t>T02173</t>
  </si>
  <si>
    <t>SPD-Ceramic CCS 87 05 (SLP)</t>
  </si>
  <si>
    <t>T02376</t>
  </si>
  <si>
    <t>T02326</t>
  </si>
  <si>
    <t>Phantom(2nd)-ND-F65 5065(항균ISR)-19㎛</t>
  </si>
  <si>
    <t>T02426</t>
  </si>
  <si>
    <t>25101, 25659, 25657</t>
  </si>
  <si>
    <t>25657, 25659, 25101</t>
  </si>
  <si>
    <t>SPD-ND-Sharpline CARBON 20</t>
  </si>
  <si>
    <t>T02475</t>
  </si>
  <si>
    <t>T02219</t>
  </si>
  <si>
    <t>T02511, T02219</t>
  </si>
  <si>
    <t>T02126</t>
  </si>
  <si>
    <t>T02555</t>
  </si>
  <si>
    <t>T02287, T02501, T02555</t>
  </si>
  <si>
    <t>T02450</t>
  </si>
  <si>
    <t>T02421, T02450</t>
  </si>
  <si>
    <t>T02174</t>
  </si>
  <si>
    <t>T02420, T02174</t>
  </si>
  <si>
    <t>Phantom(2nd)-ND-F95 4095(항균ISR)-19㎛</t>
  </si>
  <si>
    <t>T02386</t>
  </si>
  <si>
    <t>T02186</t>
  </si>
  <si>
    <t>T02016</t>
  </si>
  <si>
    <t>T02507</t>
  </si>
  <si>
    <t>T02320, T02507</t>
  </si>
  <si>
    <t>T02499</t>
  </si>
  <si>
    <t>T02461</t>
  </si>
  <si>
    <t>RAINBOW(KOR)-DC-BN100 1090RHN31%)</t>
  </si>
  <si>
    <t>T02506</t>
  </si>
  <si>
    <t>CHROMA(KOR)-DC-CHROMA 9 1090(RHN 31%-DYED) - 19um</t>
  </si>
  <si>
    <t>T02493</t>
  </si>
  <si>
    <t>T02146</t>
  </si>
  <si>
    <t>T02458</t>
  </si>
  <si>
    <t>SPDM-SCHUTZEN HX70 13(NiCr25%)</t>
  </si>
  <si>
    <t>T02536</t>
  </si>
  <si>
    <t>T02159</t>
  </si>
  <si>
    <t>25659, 20807, 25657, 26424</t>
  </si>
  <si>
    <t>20808, 25658, 25660, 26425</t>
  </si>
  <si>
    <t>20807, 26424, 25659, 25657</t>
  </si>
  <si>
    <t>25659, 25657, 20807, 26424</t>
  </si>
  <si>
    <t>ULTRAFIT-ND-ULTRAFIT VC 30</t>
  </si>
  <si>
    <t>T02543</t>
  </si>
  <si>
    <t>T02229</t>
  </si>
  <si>
    <t>W1818, T02150</t>
  </si>
  <si>
    <t>T02024</t>
  </si>
  <si>
    <t>25657, 20807, 25101, 25659</t>
  </si>
  <si>
    <t>25101, 20807, 25659, 25657</t>
  </si>
  <si>
    <t>25659, 25101, 25657, 20807</t>
  </si>
  <si>
    <t>RAYNO-PLATINUM S35(HG 0.3)</t>
    <phoneticPr fontId="1" type="noConversion"/>
  </si>
  <si>
    <t>T01586</t>
    <phoneticPr fontId="1" type="noConversion"/>
  </si>
  <si>
    <t>T02147</t>
  </si>
  <si>
    <t>T01592, W1817</t>
  </si>
  <si>
    <t>T02497</t>
  </si>
  <si>
    <t>T02324, T02497</t>
  </si>
  <si>
    <t>Phantom(2nd)-ND-F65 2765(항균ISR)-19㎛</t>
  </si>
  <si>
    <t>T02418</t>
  </si>
  <si>
    <t>25659, 25657, 20807</t>
  </si>
  <si>
    <t>Phantom(2nd)-ND-F95 3595(항균ISR)-19㎛</t>
  </si>
  <si>
    <t>T02431</t>
  </si>
  <si>
    <t>25658, 25660</t>
  </si>
  <si>
    <t>PPF-NS-ULTRAFIT XP PURPLE GALAXY</t>
  </si>
  <si>
    <t>T02357</t>
  </si>
  <si>
    <t>BLACK EPU코팅</t>
    <phoneticPr fontId="1" type="noConversion"/>
  </si>
  <si>
    <t>T01621</t>
    <phoneticPr fontId="1" type="noConversion"/>
  </si>
  <si>
    <t>SPD-ND-Sharpline CARBON 35</t>
  </si>
  <si>
    <t>T02476</t>
  </si>
  <si>
    <t>T02349</t>
  </si>
  <si>
    <t>T02482</t>
  </si>
  <si>
    <t>T02321</t>
  </si>
  <si>
    <t>T02508, T02321</t>
  </si>
  <si>
    <t>T02194</t>
  </si>
  <si>
    <t>T02118</t>
  </si>
  <si>
    <t>T02460</t>
  </si>
  <si>
    <t>PPF-NS-IVIOS Kaizer Blue PPF</t>
  </si>
  <si>
    <t>T02394</t>
  </si>
  <si>
    <t>Phantom(2nd)-ND-F85 2785(항균ISR)-19㎛</t>
  </si>
  <si>
    <t>T02416</t>
  </si>
  <si>
    <t>Phantom(2nd)-ND-F85 1285(항균ISR)-19㎛</t>
  </si>
  <si>
    <t>T02422</t>
  </si>
  <si>
    <t>ULTRAFIT-ND-ULTRAFIT VF 30</t>
  </si>
  <si>
    <t>T02544</t>
  </si>
  <si>
    <t>RAINBOW(KOR)-DC-BN85 2885(RHN40%)</t>
  </si>
  <si>
    <t>T02503</t>
  </si>
  <si>
    <t>Phantom(2nd)-ND-F95 2795(항균ISR)-19㎛</t>
  </si>
  <si>
    <t>T02385</t>
  </si>
  <si>
    <t>25101, 20807, 25659, 25926</t>
  </si>
  <si>
    <t>20807, 25659, 25926, 25101</t>
  </si>
  <si>
    <t>25659, 25101, 20807, 25926</t>
  </si>
  <si>
    <t>T02157, W2010</t>
  </si>
  <si>
    <t>T02157</t>
  </si>
  <si>
    <t>W1817, T02157</t>
  </si>
  <si>
    <t>T02390</t>
  </si>
  <si>
    <t>W1912, W2027</t>
  </si>
  <si>
    <t>SPD-ND-3M CM15%</t>
  </si>
  <si>
    <t>T02488</t>
  </si>
  <si>
    <t>W2028</t>
  </si>
  <si>
    <t>SPD-ND-3M CM30%</t>
  </si>
  <si>
    <t>T02489</t>
  </si>
  <si>
    <t>T02319</t>
  </si>
  <si>
    <t>T02132</t>
  </si>
  <si>
    <t>T02363</t>
  </si>
  <si>
    <t>RAINBOW(KOR)-DM-V70 2370(RHN40%)</t>
  </si>
  <si>
    <t>T02552</t>
  </si>
  <si>
    <t>RAINBOW(KOR)-ND-I55 2355S</t>
  </si>
  <si>
    <t>T02445</t>
  </si>
  <si>
    <t>ULTRAFIT-ND-ULTRAFIT VC 50</t>
  </si>
  <si>
    <t>T02524</t>
  </si>
  <si>
    <t>RAINBOW(KOR)-DC-BN100 2890RHN40%)</t>
  </si>
  <si>
    <t>T02505</t>
  </si>
  <si>
    <t>T02015</t>
  </si>
  <si>
    <t>T01824</t>
  </si>
  <si>
    <t>T02192</t>
  </si>
  <si>
    <t>SPDM-SCHUTZEN HX70 27(NiCr31%)</t>
  </si>
  <si>
    <t>T02535</t>
  </si>
  <si>
    <t>T02119</t>
  </si>
  <si>
    <t>W2025, T02119</t>
  </si>
  <si>
    <t>T01750, W2026</t>
  </si>
  <si>
    <t>T02395</t>
  </si>
  <si>
    <t>T01306</t>
  </si>
  <si>
    <t>T02020</t>
  </si>
  <si>
    <t>20807, 25101, 25659</t>
  </si>
  <si>
    <t>20807, 25659, 25101</t>
  </si>
  <si>
    <t>T02299</t>
  </si>
  <si>
    <t>T02185</t>
  </si>
  <si>
    <t>T02512, T02185</t>
  </si>
  <si>
    <t>T02301</t>
  </si>
  <si>
    <t>ULTRAFIT-ND-ULTRAFIT VF 25</t>
  </si>
  <si>
    <t>T01687</t>
  </si>
  <si>
    <t>T02158</t>
  </si>
  <si>
    <t>20807, 25926, 25101, 25669, 25659</t>
  </si>
  <si>
    <t>20807, 20808, 25658, 25660</t>
  </si>
  <si>
    <t>25659, 25101, 25669, 25926, 20807</t>
  </si>
  <si>
    <t>25926, 25101, 20807, 25659, 25669</t>
  </si>
  <si>
    <t>25669, 25101, 20807, 25659</t>
  </si>
  <si>
    <t>T02223</t>
  </si>
  <si>
    <t>SCF-DM-RSS15(0.8)</t>
  </si>
  <si>
    <t>T02518</t>
  </si>
  <si>
    <t>T02182</t>
  </si>
  <si>
    <t>ULTRAFIT-ND-ULTRAFIT VF 50</t>
  </si>
  <si>
    <t>T01689</t>
  </si>
  <si>
    <t>T01976</t>
  </si>
  <si>
    <t>T02294</t>
  </si>
  <si>
    <t>T02403</t>
  </si>
  <si>
    <t>T02023, T02403</t>
  </si>
  <si>
    <t>25658, 25668, 25101, 20807</t>
  </si>
  <si>
    <t>20808, 25101, 25669</t>
  </si>
  <si>
    <t>T01592</t>
  </si>
  <si>
    <t>W1817, T01592</t>
  </si>
  <si>
    <t>25658, 20807, 25101, 25668</t>
  </si>
  <si>
    <t>20807, 25658, 25101, 25668</t>
  </si>
  <si>
    <t>O2360, C2250</t>
  </si>
  <si>
    <t>25658, 20807, 25668, 25101</t>
  </si>
  <si>
    <t>t01984</t>
  </si>
  <si>
    <t>Phantom(2nd)-ND-F65 1265(항균ISR)-19㎛</t>
  </si>
  <si>
    <t>T02417</t>
  </si>
  <si>
    <t>25659, 20807, 25657, 25101</t>
  </si>
  <si>
    <t>25659, 25101, 20807, 25657</t>
  </si>
  <si>
    <t>T02034</t>
  </si>
  <si>
    <t>NS-PPF-보급형 S1 PPF</t>
  </si>
  <si>
    <t>31729, 32621</t>
  </si>
  <si>
    <t>T02531</t>
  </si>
  <si>
    <t>T02127</t>
  </si>
  <si>
    <t>T01067</t>
  </si>
  <si>
    <t>T02302</t>
  </si>
  <si>
    <t>T02038</t>
  </si>
  <si>
    <t>T02447</t>
  </si>
  <si>
    <t>W1809</t>
  </si>
  <si>
    <t>T01690</t>
  </si>
  <si>
    <t>SFSL-ND-CCS15+4MIL</t>
    <phoneticPr fontId="1" type="noConversion"/>
  </si>
  <si>
    <t>T02515</t>
    <phoneticPr fontId="1" type="noConversion"/>
  </si>
  <si>
    <t>T02117</t>
  </si>
  <si>
    <t>26416, 20807, 25101</t>
  </si>
  <si>
    <t>20807, 20808, 25101, 26417</t>
  </si>
  <si>
    <t>T02415</t>
  </si>
  <si>
    <t>T02149, W1817, T02492, T02415</t>
  </si>
  <si>
    <t>26416, 25101, 20807</t>
  </si>
  <si>
    <t>20807, 26416, 25101</t>
  </si>
  <si>
    <t>23352, 25382, 25980</t>
  </si>
  <si>
    <t>Phantom(2nd)-ND-F95 1295(항균ISR)-19㎛</t>
  </si>
  <si>
    <t>T02384</t>
  </si>
  <si>
    <t>25659, 25657, 20807, 25101</t>
  </si>
  <si>
    <t>C2010, C2270</t>
  </si>
  <si>
    <t>26232, 26216</t>
  </si>
  <si>
    <t>W1809, T02149</t>
  </si>
  <si>
    <t>W2017</t>
  </si>
  <si>
    <t>C2270, C2010</t>
  </si>
  <si>
    <t>W1809, T0873, T02149</t>
  </si>
  <si>
    <t>T02516</t>
  </si>
  <si>
    <t>T01987, T02516</t>
  </si>
  <si>
    <t>T02162</t>
  </si>
  <si>
    <t>T02331</t>
  </si>
  <si>
    <t>24834, 20378</t>
  </si>
  <si>
    <t>Phantom(2nd)-ND-F65 0565(항균ISR)-19㎛</t>
  </si>
  <si>
    <t>T02451</t>
  </si>
  <si>
    <t>T02430, T02451</t>
  </si>
  <si>
    <t>25658, 25101, 25660</t>
  </si>
  <si>
    <t>T01989</t>
  </si>
  <si>
    <t>26215, 26231</t>
  </si>
  <si>
    <t>W1558, T02560</t>
  </si>
  <si>
    <t>T02148</t>
  </si>
  <si>
    <t>23352, 25382, 26262, 26353</t>
  </si>
  <si>
    <t>T02382</t>
  </si>
  <si>
    <t>26119, 26261</t>
  </si>
  <si>
    <t>T02190</t>
  </si>
  <si>
    <t>T01576, T01702</t>
  </si>
  <si>
    <t>T01320</t>
  </si>
  <si>
    <t>T01359</t>
  </si>
  <si>
    <t>T02198, T02354</t>
  </si>
  <si>
    <t>T02120</t>
  </si>
  <si>
    <t>T01020</t>
  </si>
  <si>
    <t>22230, 24684, 23457, 24969, 24052, 25310, 26360, 26373</t>
  </si>
  <si>
    <t>22210, 23614, 23641, 24153, 25553, 25583, 26334</t>
  </si>
  <si>
    <t>23457, 22230, 26373, 24052, 24684, 26360, 24969, 25310</t>
  </si>
  <si>
    <t>23352, 26362</t>
  </si>
  <si>
    <t>RAYNO-TRINITY G35(NSN60)</t>
  </si>
  <si>
    <t>T02517</t>
  </si>
  <si>
    <t>25646, 25861, 25553, 26359, 26360</t>
  </si>
  <si>
    <t>23614, 25553, 25583, 26344</t>
  </si>
  <si>
    <t>25646, 25861, 26359, 26360, 25553</t>
  </si>
  <si>
    <t>23352, 26362, 26369, 26397</t>
  </si>
  <si>
    <t>T02296</t>
  </si>
  <si>
    <t>T02510</t>
  </si>
  <si>
    <t>SCF-NS-CCS49</t>
  </si>
  <si>
    <t>T02494</t>
  </si>
  <si>
    <t>RAINBOW(KOR)-DC-BN100 2390RHN31%)</t>
  </si>
  <si>
    <t>T02504</t>
  </si>
  <si>
    <t>T02515</t>
  </si>
  <si>
    <t>W2018</t>
  </si>
  <si>
    <t>T02149, W1809</t>
  </si>
  <si>
    <t>T0873, W1809</t>
  </si>
  <si>
    <t>26215, 26253, 26208</t>
  </si>
  <si>
    <t>T01331</t>
  </si>
  <si>
    <t>T01715</t>
  </si>
  <si>
    <t>T02513</t>
  </si>
  <si>
    <t>T0915</t>
  </si>
  <si>
    <t>W2019</t>
  </si>
  <si>
    <t>25495, 31729</t>
  </si>
  <si>
    <t>T02374</t>
  </si>
  <si>
    <t>T01988</t>
  </si>
  <si>
    <t>23352, 25887</t>
  </si>
  <si>
    <t>T01288</t>
  </si>
  <si>
    <t>T02300</t>
  </si>
  <si>
    <t>26230, 23728, 23525</t>
  </si>
  <si>
    <t>T01792</t>
  </si>
  <si>
    <t>23525, 23728, 26230</t>
  </si>
  <si>
    <t>25258, 25178</t>
  </si>
  <si>
    <t>T01366</t>
  </si>
  <si>
    <t>25178, 25258</t>
  </si>
  <si>
    <t>25178, 26078</t>
  </si>
  <si>
    <t>T01362</t>
  </si>
  <si>
    <t>T01716, T01362</t>
  </si>
  <si>
    <t>31729, 32090</t>
  </si>
  <si>
    <t>T01445</t>
  </si>
  <si>
    <t>23652, 26261, 26386</t>
  </si>
  <si>
    <t>T02244</t>
  </si>
  <si>
    <t>PPF-NS-COVER FLICK PPF(STABILL)-합지 이형지 88-10L</t>
  </si>
  <si>
    <t>23652, 26261</t>
  </si>
  <si>
    <t>T01713</t>
  </si>
  <si>
    <t>T01521, T0915</t>
  </si>
  <si>
    <t>25258, 25458</t>
  </si>
  <si>
    <t>31244, 32430</t>
  </si>
  <si>
    <t>T01288, T02549, T01715</t>
  </si>
  <si>
    <t>25458, 25258</t>
  </si>
  <si>
    <t>W1558, T01366, T01713</t>
  </si>
  <si>
    <t>T02098, T02116</t>
  </si>
  <si>
    <t>T01543</t>
  </si>
  <si>
    <t>T02098, T0915, T01543</t>
  </si>
  <si>
    <t>32090, 32621</t>
  </si>
  <si>
    <t>T02098</t>
  </si>
  <si>
    <t>T02115, T02116</t>
  </si>
  <si>
    <t>PPF-NS-Onyxhield EXa MATT(USA)</t>
  </si>
  <si>
    <t>T01702, T01288</t>
  </si>
  <si>
    <t>25051, 25800</t>
  </si>
  <si>
    <t>T01521</t>
  </si>
  <si>
    <t>T01639</t>
  </si>
  <si>
    <t>T01640</t>
  </si>
  <si>
    <t>T02352</t>
  </si>
  <si>
    <t>종류</t>
    <phoneticPr fontId="1" type="noConversion"/>
  </si>
  <si>
    <t>설명</t>
    <phoneticPr fontId="1" type="noConversion"/>
  </si>
  <si>
    <t>참고 sheet</t>
    <phoneticPr fontId="1" type="noConversion"/>
  </si>
  <si>
    <t>기준정보</t>
    <phoneticPr fontId="1" type="noConversion"/>
  </si>
  <si>
    <t>제품군 종합</t>
    <phoneticPr fontId="1" type="noConversion"/>
  </si>
  <si>
    <t>제목</t>
    <phoneticPr fontId="1" type="noConversion"/>
  </si>
  <si>
    <t>제품군-GITEM-SITEM-SPEC</t>
    <phoneticPr fontId="1" type="noConversion"/>
  </si>
  <si>
    <t>제품군-GITEM-SITEM'!A1</t>
  </si>
  <si>
    <t>GITEM-공정-순서</t>
    <phoneticPr fontId="1" type="noConversion"/>
  </si>
  <si>
    <t>제품공정순서</t>
    <phoneticPr fontId="1" type="noConversion"/>
  </si>
  <si>
    <t>GITEM-공정-순서'!A1</t>
  </si>
  <si>
    <t>공정군</t>
    <phoneticPr fontId="1" type="noConversion"/>
  </si>
  <si>
    <t>용도</t>
    <phoneticPr fontId="1" type="noConversion"/>
  </si>
  <si>
    <t>기종교체시간 단순화</t>
    <phoneticPr fontId="1" type="noConversion"/>
  </si>
  <si>
    <t>폭조합</t>
    <phoneticPr fontId="1" type="noConversion"/>
  </si>
  <si>
    <t>제품생산순서, 배합액확인</t>
    <phoneticPr fontId="1" type="noConversion"/>
  </si>
  <si>
    <t>공정군!A1</t>
  </si>
  <si>
    <t>25년 공정정보</t>
    <phoneticPr fontId="1" type="noConversion"/>
  </si>
  <si>
    <t>생산팀에서 입수한 자료임</t>
    <phoneticPr fontId="1" type="noConversion"/>
  </si>
  <si>
    <t>종합 보고서 형태</t>
    <phoneticPr fontId="1" type="noConversion"/>
  </si>
  <si>
    <t>수율정보 종합</t>
    <phoneticPr fontId="1" type="noConversion"/>
  </si>
  <si>
    <t>라인스피드 종합</t>
    <phoneticPr fontId="1" type="noConversion"/>
  </si>
  <si>
    <t>수율(1년, 6개월, 3개월 SUMMARY)</t>
    <phoneticPr fontId="1" type="noConversion"/>
  </si>
  <si>
    <t>ls(1년, 6개월, 3개월 SUMMARY)</t>
    <phoneticPr fontId="1" type="noConversion"/>
  </si>
  <si>
    <t>투입량 계산</t>
    <phoneticPr fontId="1" type="noConversion"/>
  </si>
  <si>
    <t>설비선택 기준</t>
    <phoneticPr fontId="1" type="noConversion"/>
  </si>
  <si>
    <t>수율-GITEM등'!A1</t>
  </si>
  <si>
    <t>라인스피드-GITEM등'!A1</t>
  </si>
  <si>
    <t>선행공정분류</t>
    <phoneticPr fontId="1" type="noConversion"/>
  </si>
  <si>
    <t>후행공정분류</t>
    <phoneticPr fontId="1" type="noConversion"/>
  </si>
  <si>
    <t>타입교체시간</t>
    <phoneticPr fontId="1" type="noConversion"/>
  </si>
  <si>
    <t>long_to_short</t>
    <phoneticPr fontId="1" type="noConversion"/>
  </si>
  <si>
    <t>short_to_long</t>
    <phoneticPr fontId="1" type="noConversion"/>
  </si>
  <si>
    <t>데이터소스</t>
    <phoneticPr fontId="1" type="noConversion"/>
  </si>
  <si>
    <t>ERP</t>
    <phoneticPr fontId="1" type="noConversion"/>
  </si>
  <si>
    <t>수기</t>
    <phoneticPr fontId="1" type="noConversion"/>
  </si>
  <si>
    <t>공정교체시간</t>
    <phoneticPr fontId="1" type="noConversion"/>
  </si>
  <si>
    <t>공정군 기준으로 교체시간 정의</t>
    <phoneticPr fontId="1" type="noConversion"/>
  </si>
  <si>
    <t>교체시간 계산</t>
    <phoneticPr fontId="1" type="noConversion"/>
  </si>
  <si>
    <t>폭변경</t>
    <phoneticPr fontId="1" type="noConversion"/>
  </si>
  <si>
    <t>폭변경시 교체시간 정의</t>
    <phoneticPr fontId="1" type="noConversion"/>
  </si>
  <si>
    <t>공정교체시간!A1</t>
  </si>
  <si>
    <t>폭변경!A1</t>
  </si>
  <si>
    <t>주문정보</t>
    <phoneticPr fontId="1" type="noConversion"/>
  </si>
  <si>
    <t>양산/개발</t>
  </si>
  <si>
    <t>P/O 등록일</t>
  </si>
  <si>
    <t>P/O NO</t>
  </si>
  <si>
    <t>거래처</t>
  </si>
  <si>
    <t>인도처</t>
  </si>
  <si>
    <t>SITEM</t>
  </si>
  <si>
    <t>재고량</t>
  </si>
  <si>
    <t>의뢰량</t>
  </si>
  <si>
    <t>생산량</t>
  </si>
  <si>
    <t>납기일</t>
  </si>
  <si>
    <t>의뢰부서</t>
  </si>
  <si>
    <t>의뢰자</t>
  </si>
  <si>
    <t>참고사항</t>
  </si>
  <si>
    <t>PO정보</t>
    <phoneticPr fontId="1" type="noConversion"/>
  </si>
  <si>
    <t>PO정보!A1</t>
  </si>
  <si>
    <t>주문정보 확인</t>
    <phoneticPr fontId="1" type="noConversion"/>
  </si>
  <si>
    <t>주문 우선순위, segmentation</t>
    <phoneticPr fontId="1" type="noConversion"/>
  </si>
  <si>
    <t>공정분류</t>
    <phoneticPr fontId="1" type="noConversion"/>
  </si>
  <si>
    <t>공정-공정분류</t>
    <phoneticPr fontId="1" type="noConversion"/>
  </si>
  <si>
    <t>x</t>
    <phoneticPr fontId="1" type="noConversion"/>
  </si>
  <si>
    <t>DeptGbn</t>
  </si>
  <si>
    <t>DeptGbnNAme</t>
  </si>
  <si>
    <t>Grp1</t>
  </si>
  <si>
    <t>GRP1_NAME</t>
  </si>
  <si>
    <t>Grp2</t>
  </si>
  <si>
    <t>GRP2_Name</t>
  </si>
  <si>
    <t>SItemNo</t>
  </si>
  <si>
    <t>Thick</t>
  </si>
  <si>
    <t>IWidth</t>
  </si>
  <si>
    <t>ILength</t>
  </si>
  <si>
    <t>Spec</t>
  </si>
  <si>
    <t>HIGH-END</t>
  </si>
  <si>
    <t>C-PPF</t>
  </si>
  <si>
    <t>PPF-NS-ULTRAFIT XP DEEP CHROMA BLUE</t>
  </si>
  <si>
    <t>PPF-ND-Diamond cut forged carbon K PPF</t>
  </si>
  <si>
    <t>PPF-NS-ULTRA FIT STONE BEIGE</t>
  </si>
  <si>
    <t>PPF-NS-ULTRAFIT XP PEARL WHITE Satin</t>
  </si>
  <si>
    <t>PPF-NS-Onyxhield EXa Crayon</t>
  </si>
  <si>
    <t>PPF-NS-Onyxhield EXa Valencia Orange</t>
  </si>
  <si>
    <t>PPF-NS-PPF HL Butter Yellow (Kaizer)</t>
  </si>
  <si>
    <t>PPF-NS-PPF HL Iron Gray (Kaizer)</t>
  </si>
  <si>
    <t>TEST-PPF-NON CAP (SM50-50-10L)</t>
  </si>
  <si>
    <t>PPF-NS-Black Satin Finish(Kaizer)</t>
  </si>
  <si>
    <t>PPF-NS-ULTRAFIT XP TUSCAN YELLOW (PEARL)</t>
  </si>
  <si>
    <t>PPF-NS-ULTRAFIT XP PEARL WHITE</t>
  </si>
  <si>
    <t>PPF-NS-ULTRA FIT H/L Graphite(35%)</t>
  </si>
  <si>
    <t>PPF-BLUE CARBON PATTERN PPF(100)</t>
  </si>
  <si>
    <t>PPF-NS-ULTRAFIT XP AURORA AQUA</t>
  </si>
  <si>
    <t>PPF-NS-ULTRAFIT XP AURORA PURPLE</t>
  </si>
  <si>
    <t>PPF-NS-ULTRAFIT XP PHOENIX RED(PEARL)</t>
  </si>
  <si>
    <t>PPF-NS-ULTRA FIT RETRO STONE BEIGE</t>
  </si>
  <si>
    <t>PPF-NS-ULTRAFIT XP RETRO TUSCAN YELLOW (PEARL)</t>
  </si>
  <si>
    <t>PPF-NS-ULTRAFIT XP LIGHT STONE</t>
  </si>
  <si>
    <t>PPF-NS-ULTRAFIT XP AURORA FOREST</t>
  </si>
  <si>
    <t>PPF-NS-Onyxhield EXα Aqua Marine Blue Metallic(pearl)</t>
  </si>
  <si>
    <t>PPF-NS-ULTRA FIT RETRO PHOENIX RED</t>
  </si>
  <si>
    <t>PPF(LINE TSET)</t>
  </si>
  <si>
    <t>PPF-NS-ULTRAFIT XP Fire Red Satin</t>
  </si>
  <si>
    <t>PPF-RED FORGED PATTERN PPF(100)</t>
  </si>
  <si>
    <t>PPF-NS-IVIOS Kaizer Red PPF</t>
  </si>
  <si>
    <t>PPF-NS-SGA</t>
  </si>
  <si>
    <t>PPF-NS-ULTRAFIT XP AURORA MAGENTA</t>
  </si>
  <si>
    <t>PPF-NS-Onyxhield EXα Bloom Pink(pearl)</t>
  </si>
  <si>
    <t>PPF-NS-Onyxhield EXa Shade Green</t>
  </si>
  <si>
    <t>PPF-ND-Diamond cut forged carbon PPF</t>
  </si>
  <si>
    <t>PPF-NS-Onyxhield EXa Gulf Blue</t>
  </si>
  <si>
    <t>SCF-NS-CG28</t>
  </si>
  <si>
    <t>SCF-NS-BS03</t>
  </si>
  <si>
    <t>SCF-NS-CCS10</t>
  </si>
  <si>
    <t>SCF-ND-CG28</t>
  </si>
  <si>
    <t>SCF-NS-BS28</t>
  </si>
  <si>
    <t>SCF-ND-CG50</t>
  </si>
  <si>
    <t>SCF-NS-CCS40</t>
  </si>
  <si>
    <t>SCF-NS-CS15</t>
  </si>
  <si>
    <t>SCF-ND-LGN58</t>
  </si>
  <si>
    <t>SCF-NS-CS28</t>
  </si>
  <si>
    <t>SCF-NS-BS52</t>
  </si>
  <si>
    <t>SCF-NS-CCS02</t>
  </si>
  <si>
    <t>SCF-ND-OLG 05</t>
  </si>
  <si>
    <t>SCF-NS-OLG 05</t>
  </si>
  <si>
    <t>PDLC 7mil 보호필름</t>
  </si>
  <si>
    <t>ULTRAFIT-ND-ULTRAFIT VS 25</t>
  </si>
  <si>
    <t>Phantom(2nd)-ND-F65 2765(항균ISR)</t>
  </si>
  <si>
    <t>SPDM-SCHUTZEN HX80 07 (RHN 25%)</t>
  </si>
  <si>
    <t>RAINBOW(KOR)-ND-LUCE IS 33</t>
  </si>
  <si>
    <t>Phantom(AUS)-ND-S5 2750</t>
  </si>
  <si>
    <t>SPD-ND-1550(Extreme)</t>
  </si>
  <si>
    <t>Phantom(2nd)-ND-F95 1295(항균ISR)</t>
  </si>
  <si>
    <t>Premium LX(KOR)-DM-Premium LX(NSN60)</t>
  </si>
  <si>
    <t>SPD-SCHUTZEN CX60 40</t>
  </si>
  <si>
    <t>RAINBOW(KOR)-ND-Legend Grace 3397</t>
  </si>
  <si>
    <t>RAINBOW(KOR)-DM-Legend Luminous 4095(RHN40%)</t>
  </si>
  <si>
    <t>Special R(KOR)-DM-SPECIAL R 3060(HG 0.3)</t>
  </si>
  <si>
    <t>Phantom(2nd)-ND-F65 1265(항균ISR)</t>
  </si>
  <si>
    <t>SCF-NS-CG50</t>
  </si>
  <si>
    <t>SP-NS-CBK 20W (SLP-WA500)</t>
  </si>
  <si>
    <t>RAINBOW(KOR)-DM-LUCE VS 28(RHN40%)</t>
  </si>
  <si>
    <t>단면 H/C (임가공용)-100um</t>
  </si>
  <si>
    <t>SCF-ND-CG15</t>
  </si>
  <si>
    <t>SCF-DM-SGR15(0.3)</t>
  </si>
  <si>
    <t>건축용 PDLC(하부)</t>
  </si>
  <si>
    <t>Phantom(2nd)-ND-F95 0595(항균ISR)</t>
  </si>
  <si>
    <t>RAINBOW(KOR)-DM-Legend Luminous 3095(RHN40%)</t>
  </si>
  <si>
    <t>SPD-SCHUTZEN CX60 70</t>
  </si>
  <si>
    <t>SPD-SCHUTZEN CX90 30(NEW)</t>
  </si>
  <si>
    <t>SPD-SCHUTZEN CX90 40(NEW)</t>
  </si>
  <si>
    <t>SPD-ND-LG向 CARBON</t>
  </si>
  <si>
    <t>RAINBOW(KOR)-ND-Legend Grace 1597</t>
  </si>
  <si>
    <t>RAINBOW(KOR)-DM-Legend Luminous 0597(RHN31%)</t>
  </si>
  <si>
    <t>Phantom(2nd)-ND-F65 0565(항균ISR)</t>
  </si>
  <si>
    <t>SPD-ND-Mono carbon 50(SLP NEW YORK)</t>
  </si>
  <si>
    <t>SPD-ND-5070(Extreme)</t>
  </si>
  <si>
    <t>Phantom(Charcoal)-ND-S5 2550(MEP)</t>
  </si>
  <si>
    <t>SPD(S개선2)-ND-0670</t>
  </si>
  <si>
    <t>Phantom(2nd)-ND-F65 3865(항균ISR)-19㎛</t>
  </si>
  <si>
    <t>Windshield ver 3.0 (3ply)</t>
  </si>
  <si>
    <t>SP-NS-CBK 50W (SLP-WA500)</t>
  </si>
  <si>
    <t>SPDM-SCHUTZEN HX80 27 (RHN 31%)</t>
  </si>
  <si>
    <t>RAINBOW(KOR)-ND-IS200 1090</t>
  </si>
  <si>
    <t>SCF-ND-CG05</t>
  </si>
  <si>
    <t>SCF-NS-SS77(염료)</t>
  </si>
  <si>
    <t>Phantom(2nd)-ND-F95 2795(항균ISR)</t>
  </si>
  <si>
    <t>RAINBOW(KOR)-ND-IS100S 1080</t>
  </si>
  <si>
    <t>SPD-SCHUTZEN CX90 50(NEW)</t>
  </si>
  <si>
    <t>편광필름-PF-T2-48</t>
  </si>
  <si>
    <t>SPD-ND-3370(Extreme)</t>
  </si>
  <si>
    <t>SP-NS-CBK 05W (SLP-WA500)</t>
  </si>
  <si>
    <t>RAYNO-PLATINUM N35(NSN60)</t>
  </si>
  <si>
    <t>RAYNO-PLATINUM N45(NSN60)</t>
  </si>
  <si>
    <t>Smith(KOR)-ND-T2 1590</t>
  </si>
  <si>
    <t>RAYNO-PLATINUM N35(NSN70)</t>
  </si>
  <si>
    <t>SCF-DC-DGN30(0.3)</t>
  </si>
  <si>
    <t>SCF-NS-CS05</t>
  </si>
  <si>
    <t>SP(USA)-ND-Mono Carbon 50</t>
  </si>
  <si>
    <t>Windshield ver 3.0 (4ply)</t>
  </si>
  <si>
    <t>SPDM-SCHUTZEN HX90 27 (RHN 31%)</t>
  </si>
  <si>
    <t>SPD-SCHUTZEN CX60 05</t>
  </si>
  <si>
    <t>RAINBOW(KOR)-ND-LUCE IS 05</t>
  </si>
  <si>
    <t>RAINBOW(KOR)-ND-I55 4555S</t>
  </si>
  <si>
    <t>RAYNO-PLATINUM N45(NSN70)</t>
  </si>
  <si>
    <t>RAYNO-PLATINUM S35(HG 0.3)</t>
  </si>
  <si>
    <t>Phantom(2nd)-ND-F95 3895 (항균ISR)</t>
  </si>
  <si>
    <t>SPD-SCHUTZEN CX60 50</t>
  </si>
  <si>
    <t>SPD-SCHUTZEN CX90 70(NEW)</t>
  </si>
  <si>
    <t>RAINBOW(KOR)-ND-Legend Grace 2397</t>
  </si>
  <si>
    <t>RAINBOW(KOR)-ND-Legend Grace 0597</t>
  </si>
  <si>
    <t>RAINBOW(KOR)-DM-Legend Luminous 1297(RHN31%)</t>
  </si>
  <si>
    <t>RAINBOW(KOR)-DM-Legend Luminous 2297(RHN40%)</t>
  </si>
  <si>
    <t>CHROMA(KOR)-DM-CHROMA R 3060(HG 0.3)</t>
  </si>
  <si>
    <t>SPD-ND-Mono carbon 05(SLP NEW YORK)</t>
  </si>
  <si>
    <t>SP-NS-CBK 35W (SLP-WA500)</t>
  </si>
  <si>
    <t>RAINBOW(KOR)-DM-LUCE VS 05(RHN25%)</t>
  </si>
  <si>
    <t>ND-UV420 30%</t>
  </si>
  <si>
    <t>CHROMA(KOR)-DC-CHROMA 9 0590(RHN 31%-DYED ST16K)-19um</t>
  </si>
  <si>
    <t>Phantom(2nd)-ND-F5 3855(항균MIBK)</t>
  </si>
  <si>
    <t>RAINBOW(KOR)-DM-VS100 23(RHN40%)</t>
  </si>
  <si>
    <t>RAINBOW(KOR)-ND-I90 1090</t>
  </si>
  <si>
    <t>RAINBOW(KOR)-ND-IS100S 4580</t>
  </si>
  <si>
    <t>RAINBOW(KOR)-ND-Legend Grace 4597</t>
  </si>
  <si>
    <t>NS-Windshield(EPU TYPE)</t>
  </si>
  <si>
    <t>Phantom(2nd)-ND-F85 1285(항균ISR)</t>
  </si>
  <si>
    <t>Phantom(2nd)-ND-F85 2785(항균ISR)</t>
  </si>
  <si>
    <t>IRSF-ND-IR3090+4MIL</t>
  </si>
  <si>
    <t>RAINBOW(KOR)-DM-LUCE VS 22(RHN31%)</t>
  </si>
  <si>
    <t>Mando(KOR)-ND-M6 3060</t>
  </si>
  <si>
    <t>RAINBOW(KOR)-DM-V70 0770(RHN31%)</t>
  </si>
  <si>
    <t>SFSL-ND-CCS15+4MIL</t>
  </si>
  <si>
    <t>건축용 PDLC(상부)</t>
  </si>
  <si>
    <t>SPD-ND-2250(Extreme)</t>
  </si>
  <si>
    <t>Phantom(2nd)-ND-F95 3595(항균ISR)</t>
  </si>
  <si>
    <t>SPD-SCHUTZEN CX90 05(NEW)</t>
  </si>
  <si>
    <t>SPD-SCHUTZEN CX90 12(NEW)</t>
  </si>
  <si>
    <t>RAYNO-TRINITY G50(NSN70)</t>
  </si>
  <si>
    <t>SP-DM-Energise G9M 10 (RHN31%)</t>
  </si>
  <si>
    <t>SPD-ND-2270(Extreme)</t>
  </si>
  <si>
    <t>RAINBOW(KOR)-DM-LUCE VS 10(RHN25%)</t>
  </si>
  <si>
    <t>ND-UV420 15%</t>
  </si>
  <si>
    <t>SPDM-SCHUTZEN HX90 13 (RHN 25%)</t>
  </si>
  <si>
    <t>RAINBOW(KOR)-ND-LUCE IS 15</t>
  </si>
  <si>
    <t>RAINBOW(KOR)-ND-Legend Grace 1097</t>
  </si>
  <si>
    <t>ND1D5_BGD_TOP-QM</t>
  </si>
  <si>
    <t>SLHF-1AX-B75</t>
  </si>
  <si>
    <t>IDF Sangbo PC Prisim 32D</t>
  </si>
  <si>
    <t>SLPF-1AX-225</t>
  </si>
  <si>
    <t>NULL</t>
  </si>
  <si>
    <t>IDF Sangbo PC Prisim 14D</t>
  </si>
  <si>
    <t>IDF Sangbo PC Prisim 20D</t>
  </si>
  <si>
    <t>3M Auto PC Prism</t>
  </si>
  <si>
    <t>SLHF-1AX-B65</t>
  </si>
  <si>
    <t>SLPF-2AX-205</t>
  </si>
  <si>
    <t>SLPF-2AX-L-PL</t>
  </si>
  <si>
    <t>SLPF-2AX-268</t>
  </si>
  <si>
    <t>SLPF-1AX-160</t>
  </si>
  <si>
    <t>LGD Privacy Lenticular Pattern</t>
  </si>
  <si>
    <t xml:space="preserve"> TAF-NC5C</t>
  </si>
  <si>
    <t>TAF-NC5A</t>
  </si>
  <si>
    <t>TAF-ND5A</t>
  </si>
  <si>
    <t>TAF-D7</t>
  </si>
  <si>
    <t>SF-335B</t>
  </si>
  <si>
    <t>Hard Coating</t>
  </si>
  <si>
    <t>SBAR-T3A3-8-60</t>
  </si>
  <si>
    <t>SF-335</t>
  </si>
  <si>
    <t>TAF-PPM2AP</t>
  </si>
  <si>
    <t>SB-10S2</t>
  </si>
  <si>
    <t>GBF-1-50-AGLR (ML)</t>
  </si>
  <si>
    <t>QBF-2-130-B3(A)</t>
  </si>
  <si>
    <t>DBF-2-50</t>
  </si>
  <si>
    <t>QBF-1-80-B3(M)</t>
  </si>
  <si>
    <t>HBF-2-50-OC(Pv)</t>
  </si>
  <si>
    <t>GBF-1-50-AGLR(ML)</t>
  </si>
  <si>
    <t>QBF-1-30-B30(N)</t>
  </si>
  <si>
    <t>EBF-2-150-A</t>
  </si>
  <si>
    <t>QBF-1K4A-S1</t>
  </si>
  <si>
    <t>GBF-1-150-DA(SN)</t>
  </si>
  <si>
    <t>DBF</t>
  </si>
  <si>
    <t>QBF-2-115-B3(A)</t>
  </si>
  <si>
    <t>EBF-2-250-A</t>
  </si>
  <si>
    <t>QBF-2-115-B40(A)</t>
  </si>
  <si>
    <t>QBF-1-50-B35(N)</t>
  </si>
  <si>
    <t>QBF-1-75-B35(N)</t>
  </si>
  <si>
    <t>QBF-1-100-CL(T)</t>
  </si>
  <si>
    <t>QBF-1-100-B3(T)</t>
  </si>
  <si>
    <t>QBF-1K2A-S1</t>
  </si>
  <si>
    <t>GB-1L-4-P1N</t>
  </si>
  <si>
    <t>QBF-1-75-B40(A)</t>
  </si>
  <si>
    <t>HBF-2-100</t>
  </si>
  <si>
    <t>TEST-Privacy</t>
  </si>
  <si>
    <t>SMLNF-L1AH831C</t>
  </si>
  <si>
    <t>SLCF-XQ420N</t>
  </si>
  <si>
    <t>SMLNF-G6H303N1</t>
  </si>
  <si>
    <t>STF-A125-S</t>
  </si>
  <si>
    <t>SBAR-P2A2-C-125</t>
  </si>
  <si>
    <t>SBAR-P1A1-C-50</t>
  </si>
  <si>
    <t>SMLNF-G6AH383L3</t>
  </si>
  <si>
    <t>SMLNF-L1AH833B3</t>
  </si>
  <si>
    <t>SMLNF-G5AH833B1</t>
  </si>
  <si>
    <t>TEST-Privacy-AG</t>
  </si>
  <si>
    <t>AUTO STF-A340-SE</t>
  </si>
  <si>
    <t>SBAR-P2A2-C-50</t>
  </si>
  <si>
    <t>SMLMF-L1B03301</t>
  </si>
  <si>
    <t>SMLMF-L1P03301</t>
  </si>
  <si>
    <t>SLCF-Y300H</t>
  </si>
  <si>
    <t>SBAG-H40-250</t>
  </si>
  <si>
    <t>SMLMF-L1H03301</t>
  </si>
  <si>
    <t>TEST-Privacy-AG 코팅</t>
  </si>
  <si>
    <t>SBAG-H24-250(AM)</t>
  </si>
  <si>
    <t>AUTO STF-A380-PP</t>
  </si>
  <si>
    <t>STF-B320-PP</t>
  </si>
  <si>
    <t>02</t>
  </si>
  <si>
    <t>03</t>
  </si>
  <si>
    <t>01</t>
  </si>
  <si>
    <t>쿼리</t>
    <phoneticPr fontId="1" type="noConversion"/>
  </si>
  <si>
    <t>PROCCODE</t>
  </si>
  <si>
    <t>PROCNAME</t>
  </si>
  <si>
    <t>PROCSEQ</t>
  </si>
  <si>
    <t>표면코팅</t>
  </si>
  <si>
    <t>이면U.V코팅</t>
  </si>
  <si>
    <t>이면코팅</t>
  </si>
  <si>
    <t>합지</t>
  </si>
  <si>
    <t>접착합지</t>
  </si>
  <si>
    <t>PRIMER COATING</t>
  </si>
  <si>
    <t>1차 확산 U.V SANDING 성형</t>
  </si>
  <si>
    <t>2차 확산 U.V SANDING 성형</t>
  </si>
  <si>
    <t>상면 배리어 코팅</t>
  </si>
  <si>
    <t>NMB_AgNW면OC+단면P/F라미</t>
  </si>
  <si>
    <t>OVER COATING</t>
  </si>
  <si>
    <t>확산 U.V SANDING 성형</t>
  </si>
  <si>
    <t>NMB_AG Hard Coating</t>
  </si>
  <si>
    <t>점착+합지</t>
  </si>
  <si>
    <t>보호필름 합지</t>
  </si>
  <si>
    <t>PATTERN 충진</t>
  </si>
  <si>
    <t>UV 접착 합지</t>
  </si>
  <si>
    <t>BACK COATING</t>
  </si>
  <si>
    <t>양면배리어+BACK COATING 합지</t>
  </si>
  <si>
    <t>PET 보호필름 합지</t>
  </si>
  <si>
    <t>PE 보호필름 합지</t>
  </si>
  <si>
    <t>PRIMER O/C + BEAD</t>
  </si>
  <si>
    <t>Louver Clrar P/T</t>
  </si>
  <si>
    <t>Louver Black</t>
  </si>
  <si>
    <t>ProcCode</t>
    <phoneticPr fontId="1" type="noConversion"/>
  </si>
  <si>
    <t>ProcGbn</t>
    <phoneticPr fontId="1" type="noConversion"/>
  </si>
  <si>
    <t>select * from  dbSBKSmartFactory.sbdata.v1_GetItemSpec</t>
    <phoneticPr fontId="1" type="noConversion"/>
  </si>
  <si>
    <t>GitemNo</t>
    <phoneticPr fontId="1" type="noConversion"/>
  </si>
  <si>
    <t>GItemName</t>
    <phoneticPr fontId="1" type="noConversion"/>
  </si>
  <si>
    <t>1년</t>
    <phoneticPr fontId="1" type="noConversion"/>
  </si>
  <si>
    <t>Grp3</t>
    <phoneticPr fontId="1" type="noConversion"/>
  </si>
  <si>
    <t>GRP3_Name</t>
    <phoneticPr fontId="1" type="noConversion"/>
  </si>
  <si>
    <t>1분류</t>
    <phoneticPr fontId="1" type="noConversion"/>
  </si>
  <si>
    <t>2분류</t>
    <phoneticPr fontId="1" type="noConversion"/>
  </si>
  <si>
    <t>3분류</t>
    <phoneticPr fontId="1" type="noConversion"/>
  </si>
  <si>
    <t>4분류</t>
    <phoneticPr fontId="1" type="noConversion"/>
  </si>
  <si>
    <t>Gitem</t>
    <phoneticPr fontId="1" type="noConversion"/>
  </si>
  <si>
    <t>Grp3(4분류)</t>
    <phoneticPr fontId="1" type="noConversion"/>
  </si>
  <si>
    <t>Grp2(3분류)</t>
    <phoneticPr fontId="1" type="noConversion"/>
  </si>
  <si>
    <t>Grp1(2분류)</t>
    <phoneticPr fontId="1" type="noConversion"/>
  </si>
  <si>
    <t>DeptGbn(1분류)</t>
    <phoneticPr fontId="1" type="noConversion"/>
  </si>
  <si>
    <t>수율</t>
    <phoneticPr fontId="1" type="noConversion"/>
  </si>
  <si>
    <t>S10</t>
  </si>
  <si>
    <t>S11</t>
  </si>
  <si>
    <t>S12</t>
  </si>
  <si>
    <t>S20</t>
  </si>
  <si>
    <t>S21</t>
  </si>
  <si>
    <t>S22</t>
  </si>
  <si>
    <t>S30</t>
  </si>
  <si>
    <t>S31</t>
  </si>
  <si>
    <t>S32</t>
  </si>
  <si>
    <t>S40</t>
  </si>
  <si>
    <t>S41</t>
  </si>
  <si>
    <t>S42</t>
  </si>
  <si>
    <t>S50</t>
  </si>
  <si>
    <t>S51</t>
  </si>
  <si>
    <t>S52</t>
  </si>
  <si>
    <t>L10</t>
  </si>
  <si>
    <t>L11</t>
  </si>
  <si>
    <t>L12</t>
  </si>
  <si>
    <t>L20</t>
  </si>
  <si>
    <t>L21</t>
  </si>
  <si>
    <t>L22</t>
  </si>
  <si>
    <t>L30</t>
  </si>
  <si>
    <t>L31</t>
  </si>
  <si>
    <t>L32</t>
  </si>
  <si>
    <t>L40</t>
  </si>
  <si>
    <t>L41</t>
  </si>
  <si>
    <t>L42</t>
  </si>
  <si>
    <t>L50</t>
  </si>
  <si>
    <t>L51</t>
  </si>
  <si>
    <t>L52</t>
  </si>
  <si>
    <t>MachineNo</t>
    <phoneticPr fontId="1" type="noConversion"/>
  </si>
  <si>
    <t>MachineName</t>
    <phoneticPr fontId="1" type="noConversion"/>
  </si>
  <si>
    <t>View</t>
    <phoneticPr fontId="1" type="noConversion"/>
  </si>
  <si>
    <t>procedure
파라미터 아무것도 없으면 최근 1년치 
파라미터1 : 년월(202508) -&gt; 해당월 기준 1년치
파라미터2 : GitemNO
파라미터3 : ProcCode
파라미터4 : MachineNo</t>
    <phoneticPr fontId="1" type="noConversion"/>
  </si>
  <si>
    <t>코팅27호기_WIN</t>
  </si>
  <si>
    <t>코팅1호기_WIN</t>
  </si>
  <si>
    <t>코팅25호기_WIN</t>
  </si>
  <si>
    <t>O2510</t>
  </si>
  <si>
    <t>코팅51호기(미사용)</t>
  </si>
  <si>
    <t>코팅31호기_DSP</t>
  </si>
  <si>
    <t>O2360</t>
  </si>
  <si>
    <t>코팅36호기_DSP</t>
  </si>
  <si>
    <t>코팅34호기_DSP</t>
  </si>
  <si>
    <t>D2280</t>
  </si>
  <si>
    <t>코팅28호기_DSP</t>
  </si>
  <si>
    <t>O2320</t>
  </si>
  <si>
    <t>코팅32호기_DSP</t>
  </si>
  <si>
    <t>O2590</t>
  </si>
  <si>
    <t>코팅59호기_DSP</t>
  </si>
  <si>
    <t>A2020</t>
  </si>
  <si>
    <t>AgNW2호기</t>
  </si>
  <si>
    <t>select * from dbSBKSmartFactory.sbdata.v1_GetItemProc</t>
    <phoneticPr fontId="1" type="noConversion"/>
  </si>
  <si>
    <t>위에 v1_GetItemProc</t>
    <phoneticPr fontId="1" type="noConversion"/>
  </si>
  <si>
    <t>엑셀에 정리된거는 입력 처리</t>
    <phoneticPr fontId="1" type="noConversion"/>
  </si>
  <si>
    <t>배합액1</t>
    <phoneticPr fontId="1" type="noConversion"/>
  </si>
  <si>
    <t>배합액2</t>
    <phoneticPr fontId="1" type="noConversion"/>
  </si>
  <si>
    <t>Che1</t>
    <phoneticPr fontId="1" type="noConversion"/>
  </si>
  <si>
    <t>Che2</t>
    <phoneticPr fontId="1" type="noConversion"/>
  </si>
  <si>
    <t>T02629</t>
  </si>
  <si>
    <t>T02582</t>
  </si>
  <si>
    <t>T0873</t>
  </si>
  <si>
    <t>T01987</t>
  </si>
  <si>
    <t>T02584</t>
  </si>
  <si>
    <t>T02634</t>
  </si>
  <si>
    <t>W2052</t>
  </si>
  <si>
    <t>T02628</t>
  </si>
  <si>
    <t>T02597</t>
  </si>
  <si>
    <t>T02596</t>
  </si>
  <si>
    <t>T02631</t>
  </si>
  <si>
    <t>T02635</t>
  </si>
  <si>
    <t>W2045</t>
  </si>
  <si>
    <t>T02595</t>
  </si>
  <si>
    <t>T02605</t>
  </si>
  <si>
    <t>T02627</t>
  </si>
  <si>
    <t>T02606</t>
  </si>
  <si>
    <t>T02607</t>
  </si>
  <si>
    <t>T02213</t>
  </si>
  <si>
    <t>T02623</t>
  </si>
  <si>
    <t>T02624</t>
  </si>
  <si>
    <t>T02583</t>
  </si>
  <si>
    <t>T02608</t>
  </si>
  <si>
    <t>T02609</t>
  </si>
  <si>
    <t>W2058</t>
  </si>
  <si>
    <t>W2079</t>
  </si>
  <si>
    <t>W2070</t>
  </si>
  <si>
    <t>T02573</t>
  </si>
  <si>
    <t>T02298</t>
  </si>
  <si>
    <t>W2053</t>
  </si>
  <si>
    <t>W2080</t>
  </si>
  <si>
    <t>W2081</t>
  </si>
  <si>
    <t>W2073</t>
  </si>
  <si>
    <t>W2074</t>
  </si>
  <si>
    <t>T02572</t>
  </si>
  <si>
    <t>T02433</t>
  </si>
  <si>
    <t>T02541</t>
  </si>
  <si>
    <t>T02247</t>
  </si>
  <si>
    <t>T01724</t>
  </si>
  <si>
    <t>T02581</t>
  </si>
  <si>
    <t>W2068</t>
  </si>
  <si>
    <t>W2069</t>
  </si>
  <si>
    <t>T02230</t>
  </si>
  <si>
    <t>W2078</t>
  </si>
  <si>
    <t>W2025</t>
  </si>
  <si>
    <t>W1861</t>
  </si>
  <si>
    <t>T02580</t>
  </si>
  <si>
    <t>W2030</t>
  </si>
  <si>
    <t>T02397</t>
  </si>
  <si>
    <t>W2055</t>
  </si>
  <si>
    <t>W2075</t>
  </si>
  <si>
    <t>T02276</t>
  </si>
  <si>
    <t>T02248</t>
  </si>
  <si>
    <t>W2033</t>
  </si>
  <si>
    <t>W2071</t>
  </si>
  <si>
    <t>W2072</t>
  </si>
  <si>
    <t>T02290</t>
  </si>
  <si>
    <t>T02224</t>
  </si>
  <si>
    <t>W2036</t>
  </si>
  <si>
    <t>T02293</t>
  </si>
  <si>
    <t>T02343</t>
  </si>
  <si>
    <t>T02353</t>
  </si>
  <si>
    <t>T02291</t>
  </si>
  <si>
    <t>BT0040</t>
  </si>
  <si>
    <t>BT0054</t>
  </si>
  <si>
    <t>W2040</t>
  </si>
  <si>
    <t>T01716</t>
  </si>
  <si>
    <t>T02603</t>
  </si>
  <si>
    <t>T02286</t>
  </si>
  <si>
    <t>T02600</t>
  </si>
  <si>
    <t>W2032</t>
  </si>
  <si>
    <t>T1602</t>
  </si>
  <si>
    <t>T984</t>
  </si>
  <si>
    <t>W2060</t>
  </si>
  <si>
    <t>PPF-NS-BLACK PPF</t>
  </si>
  <si>
    <t>T02549</t>
  </si>
  <si>
    <t>T02652</t>
  </si>
  <si>
    <t>T02651</t>
  </si>
  <si>
    <t>W2044</t>
  </si>
  <si>
    <t>T02250</t>
  </si>
  <si>
    <t>T02249</t>
  </si>
  <si>
    <t>T02585</t>
  </si>
  <si>
    <t>L070</t>
  </si>
  <si>
    <t>T01324</t>
  </si>
  <si>
    <t>T02251</t>
  </si>
  <si>
    <t>W2039</t>
  </si>
  <si>
    <t>T02496</t>
  </si>
  <si>
    <t>T02320</t>
  </si>
  <si>
    <t>T02508</t>
  </si>
  <si>
    <t>T01149</t>
  </si>
  <si>
    <t>T02198</t>
  </si>
  <si>
    <t>T02163</t>
  </si>
  <si>
    <t>T02164</t>
  </si>
  <si>
    <t>T02165</t>
  </si>
  <si>
    <t>D523</t>
  </si>
  <si>
    <t>L051</t>
  </si>
  <si>
    <t>T01535</t>
  </si>
  <si>
    <t>T02638</t>
  </si>
  <si>
    <t>T02637</t>
  </si>
  <si>
    <t>T02234</t>
  </si>
  <si>
    <t>T02169</t>
  </si>
  <si>
    <t>T02170</t>
  </si>
  <si>
    <t>T02171</t>
  </si>
  <si>
    <t>T02167</t>
  </si>
  <si>
    <t>T02168</t>
  </si>
  <si>
    <t>T02598</t>
  </si>
  <si>
    <t>W2054</t>
  </si>
  <si>
    <t>T02210</t>
  </si>
  <si>
    <t>T02211</t>
  </si>
  <si>
    <t>T02212</t>
  </si>
  <si>
    <t>T01847</t>
  </si>
  <si>
    <t>T02570</t>
  </si>
  <si>
    <t>T02578</t>
  </si>
  <si>
    <t>T02512</t>
  </si>
  <si>
    <t>T02632</t>
  </si>
  <si>
    <t>T02568</t>
  </si>
  <si>
    <t>T02511</t>
  </si>
  <si>
    <t>W2082</t>
  </si>
  <si>
    <t>T02640</t>
  </si>
  <si>
    <t>W2051</t>
  </si>
  <si>
    <t>T02569</t>
  </si>
  <si>
    <t>P0026</t>
  </si>
  <si>
    <t>p0066</t>
  </si>
  <si>
    <t>T01719</t>
  </si>
  <si>
    <t>T02564</t>
  </si>
  <si>
    <t>W2064</t>
  </si>
  <si>
    <t>T01751</t>
  </si>
  <si>
    <t>T02340</t>
  </si>
  <si>
    <t>T02540</t>
  </si>
  <si>
    <t>T01752</t>
  </si>
  <si>
    <t>T01694</t>
  </si>
  <si>
    <t>T01695</t>
  </si>
  <si>
    <t>W2059</t>
  </si>
  <si>
    <t>T02525</t>
  </si>
  <si>
    <t>T02233</t>
  </si>
  <si>
    <t>P0045</t>
  </si>
  <si>
    <t>P0053</t>
  </si>
  <si>
    <t>T02288</t>
  </si>
  <si>
    <t>T02509</t>
  </si>
  <si>
    <t>T02324</t>
  </si>
  <si>
    <t>T02325</t>
  </si>
  <si>
    <t>T02619</t>
  </si>
  <si>
    <t>T02590</t>
  </si>
  <si>
    <t>T02587</t>
  </si>
  <si>
    <t>T02133</t>
  </si>
  <si>
    <t>T02172</t>
  </si>
  <si>
    <t>W2066</t>
  </si>
  <si>
    <t>W2067</t>
  </si>
  <si>
    <t>T02420</t>
  </si>
  <si>
    <t>T02175</t>
  </si>
  <si>
    <t>t02329</t>
  </si>
  <si>
    <t>T02278</t>
  </si>
  <si>
    <t>T01806</t>
  </si>
  <si>
    <t>T02115</t>
  </si>
  <si>
    <t>T01782</t>
  </si>
  <si>
    <t>T01815</t>
  </si>
  <si>
    <t>T01816</t>
  </si>
  <si>
    <t>T01844</t>
  </si>
  <si>
    <t>T01845</t>
  </si>
  <si>
    <t>T02589</t>
  </si>
  <si>
    <t>T02502</t>
  </si>
  <si>
    <t>BT0052</t>
  </si>
  <si>
    <t>p0028</t>
  </si>
  <si>
    <t>P0005</t>
  </si>
  <si>
    <t>T1600</t>
  </si>
  <si>
    <t>T01860</t>
  </si>
  <si>
    <t>T02246</t>
  </si>
  <si>
    <t>BT0038</t>
  </si>
  <si>
    <t>BT0039</t>
  </si>
  <si>
    <t>T01864</t>
  </si>
  <si>
    <t>T02154</t>
  </si>
  <si>
    <t>T02273</t>
  </si>
  <si>
    <t>T02195</t>
  </si>
  <si>
    <t>T02421</t>
  </si>
  <si>
    <t>T02362</t>
  </si>
  <si>
    <t>T02207</t>
  </si>
  <si>
    <t>T02205</t>
  </si>
  <si>
    <t>T02206</t>
  </si>
  <si>
    <t>T02209</t>
  </si>
  <si>
    <t>T01645</t>
  </si>
  <si>
    <t>T02361</t>
  </si>
  <si>
    <t>T02344</t>
  </si>
  <si>
    <t>T02345</t>
  </si>
  <si>
    <t>W2041</t>
  </si>
  <si>
    <t>T02459</t>
  </si>
  <si>
    <t>T02311</t>
  </si>
  <si>
    <t>T02310</t>
  </si>
  <si>
    <t>T02438</t>
  </si>
  <si>
    <t>T02338</t>
  </si>
  <si>
    <t>T02226</t>
  </si>
  <si>
    <t>T02215</t>
  </si>
  <si>
    <t>BT0057</t>
  </si>
  <si>
    <t>BT0062</t>
  </si>
  <si>
    <t>T02577</t>
  </si>
  <si>
    <t>P0101</t>
  </si>
  <si>
    <t>T1605</t>
  </si>
  <si>
    <t>P0105</t>
  </si>
  <si>
    <t>P0109</t>
  </si>
  <si>
    <t>P0106</t>
  </si>
  <si>
    <t>P0099</t>
  </si>
  <si>
    <t>BT0058</t>
  </si>
  <si>
    <t>P0096</t>
  </si>
  <si>
    <t>P0108</t>
  </si>
  <si>
    <t>T02339</t>
  </si>
  <si>
    <t>T02183</t>
  </si>
  <si>
    <t>T02021</t>
  </si>
  <si>
    <t>T02242</t>
  </si>
  <si>
    <t>T02285</t>
  </si>
  <si>
    <t>T02255</t>
  </si>
  <si>
    <t>W2077</t>
  </si>
  <si>
    <t>T02256</t>
  </si>
  <si>
    <t>T02257</t>
  </si>
  <si>
    <t>T02258</t>
  </si>
  <si>
    <t>T02617</t>
  </si>
  <si>
    <t>T02259</t>
  </si>
  <si>
    <t>T02261</t>
  </si>
  <si>
    <t>T02283</t>
  </si>
  <si>
    <t>T02262</t>
  </si>
  <si>
    <t>T02263</t>
  </si>
  <si>
    <t>T02264</t>
  </si>
  <si>
    <t>T02313</t>
  </si>
  <si>
    <t>T02314</t>
  </si>
  <si>
    <t>T02316</t>
  </si>
  <si>
    <t>T02317</t>
  </si>
  <si>
    <t>T02217</t>
  </si>
  <si>
    <t>T02371</t>
  </si>
  <si>
    <t>T02216</t>
  </si>
  <si>
    <t>T02514</t>
  </si>
  <si>
    <t>T02243</t>
  </si>
  <si>
    <t>T02237</t>
  </si>
  <si>
    <t>N0047</t>
  </si>
  <si>
    <t>N0051</t>
  </si>
  <si>
    <t>N0046</t>
  </si>
  <si>
    <t>N0050</t>
  </si>
  <si>
    <t>T02576</t>
  </si>
  <si>
    <t>T02369</t>
  </si>
  <si>
    <t>T02266</t>
  </si>
  <si>
    <t>T02267</t>
  </si>
  <si>
    <t>T02268</t>
  </si>
  <si>
    <t>T02269</t>
  </si>
  <si>
    <t>T02270</t>
  </si>
  <si>
    <t>T02330</t>
  </si>
  <si>
    <t>BT1031</t>
  </si>
  <si>
    <t>BT1033</t>
  </si>
  <si>
    <t>BT1035</t>
  </si>
  <si>
    <t>BT0051</t>
  </si>
  <si>
    <t>BT0053</t>
  </si>
  <si>
    <t>T02351</t>
  </si>
  <si>
    <t>W2063</t>
  </si>
  <si>
    <t>T02347</t>
  </si>
  <si>
    <t>T02312</t>
  </si>
  <si>
    <t>P0098</t>
  </si>
  <si>
    <t>P0029</t>
  </si>
  <si>
    <t>P0032</t>
  </si>
  <si>
    <t>T02341</t>
  </si>
  <si>
    <t>P0088</t>
  </si>
  <si>
    <t>t02575</t>
  </si>
  <si>
    <t>W2061</t>
  </si>
  <si>
    <t>W2037</t>
  </si>
  <si>
    <t>T02375</t>
  </si>
  <si>
    <t>GT1038</t>
  </si>
  <si>
    <t>T02430</t>
  </si>
  <si>
    <t>W2034</t>
  </si>
  <si>
    <t>W2035</t>
  </si>
  <si>
    <t>W2057</t>
  </si>
  <si>
    <t>W2042</t>
  </si>
  <si>
    <t>T02452</t>
  </si>
  <si>
    <t>W2065</t>
  </si>
  <si>
    <t>T02644</t>
  </si>
  <si>
    <t>W2056</t>
  </si>
  <si>
    <t>W2043</t>
  </si>
  <si>
    <t>T02528</t>
  </si>
  <si>
    <t>T02530</t>
  </si>
  <si>
    <t>T02481</t>
  </si>
  <si>
    <t>P0091</t>
  </si>
  <si>
    <t>BT0027</t>
  </si>
  <si>
    <t>BT0045</t>
  </si>
  <si>
    <t>W2047</t>
  </si>
  <si>
    <t>W2048</t>
  </si>
  <si>
    <t>W2049</t>
  </si>
  <si>
    <t>W2050</t>
  </si>
  <si>
    <t>T02435</t>
  </si>
  <si>
    <t>P0104</t>
  </si>
  <si>
    <t>T02633</t>
  </si>
  <si>
    <t>T1582</t>
  </si>
  <si>
    <t>T02650</t>
  </si>
  <si>
    <t>T02591</t>
  </si>
  <si>
    <t>RAYNO(TM)-TRINITY G50(NSN60)-250730</t>
  </si>
  <si>
    <t>W2083</t>
  </si>
  <si>
    <t>W2084</t>
  </si>
  <si>
    <t>T02586</t>
  </si>
  <si>
    <t>BT1040</t>
  </si>
  <si>
    <t>T02610</t>
  </si>
  <si>
    <t>T02612</t>
  </si>
  <si>
    <t>W2046</t>
  </si>
  <si>
    <t>T02616</t>
  </si>
  <si>
    <t>W2085</t>
  </si>
  <si>
    <t>T02601</t>
  </si>
  <si>
    <t>W2086</t>
  </si>
  <si>
    <t>건축용 PDLC(레이노)</t>
  </si>
  <si>
    <t>T01829</t>
  </si>
  <si>
    <r>
      <t xml:space="preserve">procedure
파라미터 아무것도 없으면 최근 1년치 
파라미터1 : 년월(202508) -&gt; 해당월 기준 1년치
파라미터2 : GitemNO
</t>
    </r>
    <r>
      <rPr>
        <sz val="11"/>
        <color rgb="FFFF0000"/>
        <rFont val="맑은 고딕"/>
        <family val="3"/>
        <charset val="129"/>
        <scheme val="minor"/>
      </rPr>
      <t>파라미터3 : ProcCode (제거)</t>
    </r>
    <phoneticPr fontId="1" type="noConversion"/>
  </si>
  <si>
    <r>
      <t xml:space="preserve">procedure
파라미터 아무것도 없으면 최근 1년치 
파라미터1 : 년월(202508) -&gt; 해당월 기준 1년치
파라미터2 : GitemNO
</t>
    </r>
    <r>
      <rPr>
        <sz val="11"/>
        <color theme="1"/>
        <rFont val="맑은 고딕"/>
        <family val="3"/>
        <charset val="129"/>
        <scheme val="minor"/>
      </rPr>
      <t>파라미터3 : ProcCode</t>
    </r>
    <phoneticPr fontId="1" type="noConversion"/>
  </si>
  <si>
    <t>배합액정보</t>
    <phoneticPr fontId="1" type="noConversion"/>
  </si>
  <si>
    <t>exec dbSBKSmartFactory..[str_GetChemical]
or  exec dbSBKSmartFactory..[str_GetChemical] '','25003','20902'</t>
    <phoneticPr fontId="1" type="noConversion"/>
  </si>
  <si>
    <t>exec dbSBKSmartFactory..[str_GetSu]
or  exec dbSBKSmartFactory..[str_GetSu] '','25003'</t>
    <phoneticPr fontId="1" type="noConversion"/>
  </si>
  <si>
    <t>exec dbSBKSmartFactory..[str_GetLineSpeed]
or  exec dbSBKSmartFactory..[str_GetLineSpeed] '','25003','20700',''</t>
    <phoneticPr fontId="1" type="noConversion"/>
  </si>
  <si>
    <t>exec dbSBKSmartFactory..[str_GetPoList]
or  exec dbSBKSmartFactory..[str_GetPoList] '',''</t>
    <phoneticPr fontId="1" type="noConversion"/>
  </si>
  <si>
    <t>procedure
1년 전부터 이후 데이터 전체
파라미터1 : GitemNO
파라미터2 : SitemNo</t>
    <phoneticPr fontId="1" type="noConversion"/>
  </si>
  <si>
    <t>PoNo</t>
  </si>
  <si>
    <t>Rnd_Type</t>
  </si>
  <si>
    <t>PoReqDate</t>
  </si>
  <si>
    <t>CustName</t>
  </si>
  <si>
    <t>CHULCOMPName</t>
  </si>
  <si>
    <t>sitemno</t>
  </si>
  <si>
    <t>SitemName</t>
  </si>
  <si>
    <t>ReqQty</t>
  </si>
  <si>
    <t>IpgmQty</t>
  </si>
  <si>
    <t>Stock</t>
  </si>
  <si>
    <t>DUEDATE</t>
  </si>
  <si>
    <t>DeptName</t>
  </si>
  <si>
    <t>reqname</t>
  </si>
  <si>
    <t>Sissue</t>
  </si>
  <si>
    <t>SW1250407101</t>
  </si>
  <si>
    <t>SW1250505201</t>
  </si>
  <si>
    <t>SW1250505202</t>
  </si>
  <si>
    <t>SW1250505203</t>
  </si>
  <si>
    <t>SW1250506105</t>
  </si>
  <si>
    <t>SW1250506106</t>
  </si>
  <si>
    <t>SW1250506107</t>
  </si>
  <si>
    <t>SW1250506108</t>
  </si>
  <si>
    <t>SW1250506109</t>
  </si>
  <si>
    <t>SW1250506110</t>
  </si>
  <si>
    <t>SW1250506111</t>
  </si>
  <si>
    <t>SW1250506113</t>
  </si>
  <si>
    <t>10*1524*15</t>
  </si>
  <si>
    <t>10*1524*31</t>
  </si>
  <si>
    <t>10*508*31</t>
  </si>
  <si>
    <t>10*609*31</t>
  </si>
  <si>
    <t>10*914*31</t>
  </si>
  <si>
    <t>10*1016*31</t>
  </si>
  <si>
    <t>C2010</t>
    <phoneticPr fontId="1" type="noConversion"/>
  </si>
  <si>
    <t>C2260</t>
    <phoneticPr fontId="1" type="noConversion"/>
  </si>
  <si>
    <t>C2270</t>
    <phoneticPr fontId="1" type="noConversion"/>
  </si>
  <si>
    <t>prev_operation_type</t>
    <phoneticPr fontId="1" type="noConversion"/>
  </si>
  <si>
    <t>next_operation_type</t>
    <phoneticPr fontId="1" type="noConversion"/>
  </si>
  <si>
    <t>type_change_time</t>
    <phoneticPr fontId="1" type="noConversion"/>
  </si>
  <si>
    <t>염료</t>
  </si>
  <si>
    <t>SR</t>
  </si>
  <si>
    <t>유광 S/R</t>
    <phoneticPr fontId="1" type="noConversion"/>
  </si>
  <si>
    <t>투명</t>
  </si>
  <si>
    <t>투명점착</t>
    <phoneticPr fontId="1" type="noConversion"/>
  </si>
  <si>
    <t>MIBK SR</t>
    <phoneticPr fontId="1" type="noConversion"/>
  </si>
  <si>
    <t>안료</t>
  </si>
  <si>
    <t>GitemName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</si>
</sst>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Malgun Gothic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10" fillId="0" borderId="1" xfId="1" quotePrefix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0" fillId="0" borderId="1" xfId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49" fontId="4" fillId="0" borderId="1" xfId="0" applyNumberFormat="1" applyFont="1" applyBorder="1">
      <alignment vertical="center"/>
    </xf>
    <xf numFmtId="49" fontId="4" fillId="0" borderId="0" xfId="0" applyNumberFormat="1" applyFont="1">
      <alignment vertical="center"/>
    </xf>
    <xf numFmtId="0" fontId="2" fillId="2" borderId="5" xfId="0" applyFont="1" applyFill="1" applyBorder="1">
      <alignment vertical="center"/>
    </xf>
    <xf numFmtId="0" fontId="4" fillId="0" borderId="5" xfId="0" applyFont="1" applyBorder="1">
      <alignment vertical="center"/>
    </xf>
    <xf numFmtId="0" fontId="11" fillId="5" borderId="1" xfId="0" applyFont="1" applyFill="1" applyBorder="1">
      <alignment vertical="center"/>
    </xf>
    <xf numFmtId="0" fontId="12" fillId="5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0" fillId="5" borderId="1" xfId="0" applyFill="1" applyBorder="1">
      <alignment vertical="center"/>
    </xf>
    <xf numFmtId="0" fontId="4" fillId="5" borderId="1" xfId="0" applyFont="1" applyFill="1" applyBorder="1">
      <alignment vertical="center"/>
    </xf>
    <xf numFmtId="0" fontId="10" fillId="0" borderId="1" xfId="1" quotePrefix="1" applyBorder="1" applyAlignment="1">
      <alignment vertical="center" wrapText="1"/>
    </xf>
    <xf numFmtId="0" fontId="2" fillId="0" borderId="5" xfId="0" applyFont="1" applyBorder="1">
      <alignment vertical="center"/>
    </xf>
    <xf numFmtId="0" fontId="3" fillId="2" borderId="1" xfId="0" applyFont="1" applyFill="1" applyBorder="1">
      <alignment vertical="center"/>
    </xf>
    <xf numFmtId="14" fontId="0" fillId="0" borderId="1" xfId="0" applyNumberFormat="1" applyBorder="1">
      <alignment vertical="center"/>
    </xf>
    <xf numFmtId="0" fontId="15" fillId="0" borderId="6" xfId="0" applyFont="1" applyBorder="1" applyAlignment="1">
      <alignment horizontal="right" wrapText="1"/>
    </xf>
    <xf numFmtId="0" fontId="16" fillId="0" borderId="7" xfId="0" applyFont="1" applyBorder="1" applyAlignment="1">
      <alignment horizontal="right" wrapText="1"/>
    </xf>
    <xf numFmtId="0" fontId="16" fillId="0" borderId="6" xfId="0" applyFont="1" applyBorder="1" applyAlignment="1">
      <alignment horizontal="right" wrapText="1"/>
    </xf>
    <xf numFmtId="0" fontId="15" fillId="0" borderId="6" xfId="0" applyFont="1" applyBorder="1" applyAlignment="1">
      <alignment wrapText="1"/>
    </xf>
    <xf numFmtId="22" fontId="15" fillId="0" borderId="6" xfId="0" applyNumberFormat="1" applyFont="1" applyBorder="1" applyAlignment="1">
      <alignment horizontal="right" wrapText="1"/>
    </xf>
    <xf numFmtId="0" fontId="3" fillId="3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200025</xdr:colOff>
      <xdr:row>6</xdr:row>
      <xdr:rowOff>57150</xdr:rowOff>
    </xdr:from>
    <xdr:to>
      <xdr:col>19</xdr:col>
      <xdr:colOff>647700</xdr:colOff>
      <xdr:row>33</xdr:row>
      <xdr:rowOff>66675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5495925" y="971550"/>
          <a:ext cx="8334375" cy="4124325"/>
        </a:xfrm>
        <a:prstGeom prst="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0000"/>
            <a:t>미사용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cuments\&#52852;&#52852;&#50724;&#53665;%20&#48155;&#51008;%20&#54028;&#51068;\25&#45380;%20&#49373;&#49328;%20&#51228;&#54408;%20&#44277;&#51221;&#51221;&#48372;(1&#50900;~7&#50900;)-&#48288;&#54633;&#53076;&#46300;%20&#52628;&#4403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25년 공정정보(1월~7월) "/>
      <sheetName val="Sheet1"/>
    </sheetNames>
    <sheetDataSet>
      <sheetData sheetId="0"/>
      <sheetData sheetId="1"/>
      <sheetData sheetId="2">
        <row r="1">
          <cell r="A1" t="str">
            <v>GITEM 코드</v>
          </cell>
          <cell r="B1" t="str">
            <v>GITEM명</v>
          </cell>
          <cell r="C1" t="str">
            <v>제품구분</v>
          </cell>
          <cell r="D1" t="str">
            <v>제품군</v>
          </cell>
          <cell r="E1" t="str">
            <v>대분류</v>
          </cell>
          <cell r="F1" t="str">
            <v>중분류</v>
          </cell>
        </row>
        <row r="2">
          <cell r="A2">
            <v>1573</v>
          </cell>
          <cell r="B2" t="str">
            <v>PET FILM</v>
          </cell>
          <cell r="C2" t="str">
            <v>상품</v>
          </cell>
          <cell r="D2" t="str">
            <v>윈도우 제품군</v>
          </cell>
          <cell r="E2" t="str">
            <v>미분류</v>
          </cell>
          <cell r="F2" t="str">
            <v>미분류</v>
          </cell>
        </row>
        <row r="3">
          <cell r="A3">
            <v>2544</v>
          </cell>
          <cell r="B3" t="str">
            <v>ABS750(N)-KUMHO</v>
          </cell>
          <cell r="C3" t="str">
            <v>상품</v>
          </cell>
          <cell r="D3" t="str">
            <v>윈도우 제품군</v>
          </cell>
          <cell r="E3" t="str">
            <v>미분류</v>
          </cell>
          <cell r="F3" t="str">
            <v>미분류</v>
          </cell>
        </row>
        <row r="4">
          <cell r="A4">
            <v>17755</v>
          </cell>
          <cell r="B4" t="str">
            <v>HP CHARCOAL 22</v>
          </cell>
          <cell r="C4" t="str">
            <v>상품</v>
          </cell>
          <cell r="D4" t="str">
            <v>윈도우 제품군</v>
          </cell>
          <cell r="E4" t="str">
            <v>미분류</v>
          </cell>
          <cell r="F4" t="str">
            <v>미분류</v>
          </cell>
        </row>
        <row r="5">
          <cell r="A5">
            <v>17756</v>
          </cell>
          <cell r="B5" t="str">
            <v>HP CHARCOAL 13</v>
          </cell>
          <cell r="C5" t="str">
            <v>상품</v>
          </cell>
          <cell r="D5" t="str">
            <v>윈도우 제품군</v>
          </cell>
          <cell r="E5" t="str">
            <v>미분류</v>
          </cell>
          <cell r="F5" t="str">
            <v>미분류</v>
          </cell>
        </row>
        <row r="6">
          <cell r="A6">
            <v>17757</v>
          </cell>
          <cell r="B6" t="str">
            <v>HP CHARCOAL 06</v>
          </cell>
          <cell r="C6" t="str">
            <v>상품</v>
          </cell>
          <cell r="D6" t="str">
            <v>윈도우 제품군</v>
          </cell>
          <cell r="E6" t="str">
            <v>미분류</v>
          </cell>
          <cell r="F6" t="str">
            <v>미분류</v>
          </cell>
        </row>
        <row r="7">
          <cell r="A7">
            <v>17758</v>
          </cell>
          <cell r="B7" t="str">
            <v>HP TITANIUM 33</v>
          </cell>
          <cell r="C7" t="str">
            <v>상품</v>
          </cell>
          <cell r="D7" t="str">
            <v>윈도우 제품군</v>
          </cell>
          <cell r="E7" t="str">
            <v>미분류</v>
          </cell>
          <cell r="F7" t="str">
            <v>미분류</v>
          </cell>
        </row>
        <row r="8">
          <cell r="A8">
            <v>17778</v>
          </cell>
          <cell r="B8" t="str">
            <v>NR SMOKE 50</v>
          </cell>
          <cell r="C8" t="str">
            <v>상품</v>
          </cell>
          <cell r="D8" t="str">
            <v>윈도우 제품군</v>
          </cell>
          <cell r="E8" t="str">
            <v>미분류</v>
          </cell>
          <cell r="F8" t="str">
            <v>미분류</v>
          </cell>
        </row>
        <row r="9">
          <cell r="A9">
            <v>17779</v>
          </cell>
          <cell r="B9" t="str">
            <v>NR SMOKE 35</v>
          </cell>
          <cell r="C9" t="str">
            <v>상품</v>
          </cell>
          <cell r="D9" t="str">
            <v>윈도우 제품군</v>
          </cell>
          <cell r="E9" t="str">
            <v>미분류</v>
          </cell>
          <cell r="F9" t="str">
            <v>미분류</v>
          </cell>
        </row>
        <row r="10">
          <cell r="A10">
            <v>17780</v>
          </cell>
          <cell r="B10" t="str">
            <v>NR SMOKE 20</v>
          </cell>
          <cell r="C10" t="str">
            <v>상품</v>
          </cell>
          <cell r="D10" t="str">
            <v>윈도우 제품군</v>
          </cell>
          <cell r="E10" t="str">
            <v>미분류</v>
          </cell>
          <cell r="F10" t="str">
            <v>미분류</v>
          </cell>
        </row>
        <row r="11">
          <cell r="A11">
            <v>17813</v>
          </cell>
          <cell r="B11" t="str">
            <v>SILVER 20</v>
          </cell>
          <cell r="C11" t="str">
            <v>상품</v>
          </cell>
          <cell r="D11" t="str">
            <v>윈도우 제품군</v>
          </cell>
          <cell r="E11" t="str">
            <v>미분류</v>
          </cell>
          <cell r="F11" t="str">
            <v>미분류</v>
          </cell>
        </row>
        <row r="12">
          <cell r="A12">
            <v>17836</v>
          </cell>
          <cell r="B12" t="str">
            <v>4MIL STAINLESS STEEL 30</v>
          </cell>
          <cell r="C12" t="str">
            <v>상품</v>
          </cell>
          <cell r="D12" t="str">
            <v>윈도우 제품군</v>
          </cell>
          <cell r="E12" t="str">
            <v>미분류</v>
          </cell>
          <cell r="F12" t="str">
            <v>미분류</v>
          </cell>
        </row>
        <row r="13">
          <cell r="A13">
            <v>19302</v>
          </cell>
          <cell r="B13" t="str">
            <v>Automotive sample book(HP)</v>
          </cell>
          <cell r="C13" t="str">
            <v>상품</v>
          </cell>
          <cell r="D13" t="str">
            <v>윈도우 제품군</v>
          </cell>
          <cell r="E13" t="str">
            <v>미분류</v>
          </cell>
          <cell r="F13" t="str">
            <v>미분류</v>
          </cell>
        </row>
        <row r="14">
          <cell r="A14">
            <v>20079</v>
          </cell>
          <cell r="B14" t="str">
            <v>RESIN ABS SR-0340M</v>
          </cell>
          <cell r="C14" t="str">
            <v>상품</v>
          </cell>
          <cell r="D14" t="str">
            <v>윈도우 제품군</v>
          </cell>
          <cell r="E14" t="str">
            <v>미분류</v>
          </cell>
          <cell r="F14" t="str">
            <v>미분류</v>
          </cell>
        </row>
        <row r="15">
          <cell r="A15">
            <v>21940</v>
          </cell>
          <cell r="B15" t="str">
            <v>PET FILM</v>
          </cell>
          <cell r="C15" t="str">
            <v>상품</v>
          </cell>
          <cell r="D15" t="str">
            <v>윈도우 제품군</v>
          </cell>
          <cell r="E15" t="str">
            <v>미분류</v>
          </cell>
          <cell r="F15" t="str">
            <v>미분류</v>
          </cell>
        </row>
        <row r="16">
          <cell r="A16">
            <v>22571</v>
          </cell>
          <cell r="B16" t="str">
            <v>PET FILM</v>
          </cell>
          <cell r="C16" t="str">
            <v>상품</v>
          </cell>
          <cell r="D16" t="str">
            <v>윈도우 제품군</v>
          </cell>
          <cell r="E16" t="str">
            <v>미분류</v>
          </cell>
          <cell r="F16" t="str">
            <v>미분류</v>
          </cell>
        </row>
        <row r="17">
          <cell r="A17">
            <v>25003</v>
          </cell>
          <cell r="B17" t="str">
            <v>SCF-NS-BS03</v>
          </cell>
          <cell r="C17" t="str">
            <v>제품</v>
          </cell>
          <cell r="D17" t="str">
            <v>윈도우 제품군</v>
          </cell>
          <cell r="E17" t="str">
            <v>염료</v>
          </cell>
          <cell r="F17" t="str">
            <v>1PLY</v>
          </cell>
        </row>
        <row r="18">
          <cell r="A18">
            <v>25004</v>
          </cell>
          <cell r="B18" t="str">
            <v>SCF-NS-BS15</v>
          </cell>
          <cell r="C18" t="str">
            <v>제품</v>
          </cell>
          <cell r="D18" t="str">
            <v>윈도우 제품군</v>
          </cell>
          <cell r="E18" t="str">
            <v>염료</v>
          </cell>
          <cell r="F18" t="str">
            <v>1PLY</v>
          </cell>
        </row>
        <row r="19">
          <cell r="A19">
            <v>25005</v>
          </cell>
          <cell r="B19" t="str">
            <v>SCF-NS-BS21</v>
          </cell>
          <cell r="C19" t="str">
            <v>제품</v>
          </cell>
          <cell r="D19" t="str">
            <v>윈도우 제품군</v>
          </cell>
          <cell r="E19" t="str">
            <v>염료</v>
          </cell>
          <cell r="F19" t="str">
            <v>1PLY</v>
          </cell>
        </row>
        <row r="20">
          <cell r="A20">
            <v>25006</v>
          </cell>
          <cell r="B20" t="str">
            <v>SCF-NS-BS32</v>
          </cell>
          <cell r="C20" t="str">
            <v>제품</v>
          </cell>
          <cell r="D20" t="str">
            <v>윈도우 제품군</v>
          </cell>
          <cell r="E20" t="str">
            <v>염료</v>
          </cell>
          <cell r="F20" t="str">
            <v>1PLY</v>
          </cell>
        </row>
        <row r="21">
          <cell r="A21">
            <v>25007</v>
          </cell>
          <cell r="B21" t="str">
            <v>SCF-NS-BS41</v>
          </cell>
          <cell r="C21" t="str">
            <v>제품</v>
          </cell>
          <cell r="D21" t="str">
            <v>윈도우 제품군</v>
          </cell>
          <cell r="E21" t="str">
            <v>염료</v>
          </cell>
          <cell r="F21" t="str">
            <v>1PLY</v>
          </cell>
        </row>
        <row r="22">
          <cell r="A22">
            <v>25008</v>
          </cell>
          <cell r="B22" t="str">
            <v>SCF-NS-BS52</v>
          </cell>
          <cell r="C22" t="str">
            <v>제품</v>
          </cell>
          <cell r="D22" t="str">
            <v>윈도우 제품군</v>
          </cell>
          <cell r="E22" t="str">
            <v>염료</v>
          </cell>
          <cell r="F22" t="str">
            <v>1PLY</v>
          </cell>
        </row>
        <row r="23">
          <cell r="A23">
            <v>25009</v>
          </cell>
          <cell r="B23" t="str">
            <v>SCF-NS-BS70</v>
          </cell>
          <cell r="C23" t="str">
            <v>제품</v>
          </cell>
          <cell r="D23" t="str">
            <v>윈도우 제품군</v>
          </cell>
          <cell r="E23" t="str">
            <v>염료</v>
          </cell>
          <cell r="F23" t="str">
            <v>1PLY</v>
          </cell>
        </row>
        <row r="24">
          <cell r="A24">
            <v>25010</v>
          </cell>
          <cell r="B24" t="str">
            <v>SCF-NS-GS06</v>
          </cell>
          <cell r="C24" t="str">
            <v>제품</v>
          </cell>
          <cell r="D24" t="str">
            <v>윈도우 제품군</v>
          </cell>
          <cell r="E24" t="str">
            <v>염료</v>
          </cell>
          <cell r="F24" t="str">
            <v>1PLY</v>
          </cell>
        </row>
        <row r="25">
          <cell r="A25">
            <v>25011</v>
          </cell>
          <cell r="B25" t="str">
            <v>SCF-NS-GS24</v>
          </cell>
          <cell r="C25" t="str">
            <v>제품</v>
          </cell>
          <cell r="D25" t="str">
            <v>윈도우 제품군</v>
          </cell>
          <cell r="E25" t="str">
            <v>염료</v>
          </cell>
          <cell r="F25" t="str">
            <v>1PLY</v>
          </cell>
        </row>
        <row r="26">
          <cell r="A26">
            <v>25012</v>
          </cell>
          <cell r="B26" t="str">
            <v>SCF-NS-GS40</v>
          </cell>
          <cell r="C26" t="str">
            <v>제품</v>
          </cell>
          <cell r="D26" t="str">
            <v>윈도우 제품군</v>
          </cell>
          <cell r="E26" t="str">
            <v>염료</v>
          </cell>
          <cell r="F26" t="str">
            <v>1PLY</v>
          </cell>
        </row>
        <row r="27">
          <cell r="A27">
            <v>25013</v>
          </cell>
          <cell r="B27" t="str">
            <v>SCF-NS-GS60</v>
          </cell>
          <cell r="C27" t="str">
            <v>제품</v>
          </cell>
          <cell r="D27" t="str">
            <v>윈도우 제품군</v>
          </cell>
          <cell r="E27" t="str">
            <v>염료</v>
          </cell>
          <cell r="F27" t="str">
            <v>1PLY</v>
          </cell>
        </row>
        <row r="28">
          <cell r="A28">
            <v>25014</v>
          </cell>
          <cell r="B28" t="str">
            <v>SCF-NS-SGS05</v>
          </cell>
          <cell r="C28" t="str">
            <v>제품</v>
          </cell>
          <cell r="D28" t="str">
            <v>윈도우 제품군</v>
          </cell>
          <cell r="E28" t="str">
            <v>염료</v>
          </cell>
          <cell r="F28" t="str">
            <v>1PLY</v>
          </cell>
        </row>
        <row r="29">
          <cell r="A29">
            <v>25015</v>
          </cell>
          <cell r="B29" t="str">
            <v>SCF-NS-SGS15</v>
          </cell>
          <cell r="C29" t="str">
            <v>제품</v>
          </cell>
          <cell r="D29" t="str">
            <v>윈도우 제품군</v>
          </cell>
          <cell r="E29" t="str">
            <v>염료</v>
          </cell>
          <cell r="F29" t="str">
            <v>1PLY</v>
          </cell>
        </row>
        <row r="30">
          <cell r="A30">
            <v>25016</v>
          </cell>
          <cell r="B30" t="str">
            <v>SCF-NS-SGS35</v>
          </cell>
          <cell r="C30" t="str">
            <v>제품</v>
          </cell>
          <cell r="D30" t="str">
            <v>윈도우 제품군</v>
          </cell>
          <cell r="E30" t="str">
            <v>염료</v>
          </cell>
          <cell r="F30" t="str">
            <v>1PLY</v>
          </cell>
        </row>
        <row r="31">
          <cell r="A31">
            <v>25017</v>
          </cell>
          <cell r="B31" t="str">
            <v>SCF-NS-SGS40</v>
          </cell>
          <cell r="C31" t="str">
            <v>제품</v>
          </cell>
          <cell r="D31" t="str">
            <v>윈도우 제품군</v>
          </cell>
          <cell r="E31" t="str">
            <v>염료</v>
          </cell>
          <cell r="F31" t="str">
            <v>1PLY</v>
          </cell>
        </row>
        <row r="32">
          <cell r="A32">
            <v>25018</v>
          </cell>
          <cell r="B32" t="str">
            <v>SCF-NS-SGS50</v>
          </cell>
          <cell r="C32" t="str">
            <v>제품</v>
          </cell>
          <cell r="D32" t="str">
            <v>윈도우 제품군</v>
          </cell>
          <cell r="E32" t="str">
            <v>염료</v>
          </cell>
          <cell r="F32" t="str">
            <v>1PLY</v>
          </cell>
        </row>
        <row r="33">
          <cell r="A33">
            <v>25019</v>
          </cell>
          <cell r="B33" t="str">
            <v>SCF-NS-SHGS05</v>
          </cell>
          <cell r="C33" t="str">
            <v>제품</v>
          </cell>
          <cell r="D33" t="str">
            <v>윈도우 제품군</v>
          </cell>
          <cell r="E33" t="str">
            <v>염료</v>
          </cell>
          <cell r="F33" t="str">
            <v>1PLY</v>
          </cell>
        </row>
        <row r="34">
          <cell r="A34">
            <v>25020</v>
          </cell>
          <cell r="B34" t="str">
            <v>SCF-NS-SHGS32</v>
          </cell>
          <cell r="C34" t="str">
            <v>제품</v>
          </cell>
          <cell r="D34" t="str">
            <v>윈도우 제품군</v>
          </cell>
          <cell r="E34" t="str">
            <v>염료</v>
          </cell>
          <cell r="F34" t="str">
            <v>1PLY</v>
          </cell>
        </row>
        <row r="35">
          <cell r="A35">
            <v>25021</v>
          </cell>
          <cell r="B35" t="str">
            <v>SCF-NS-SHGS39</v>
          </cell>
          <cell r="C35" t="str">
            <v>제품</v>
          </cell>
          <cell r="D35" t="str">
            <v>윈도우 제품군</v>
          </cell>
          <cell r="E35" t="str">
            <v>염료</v>
          </cell>
          <cell r="F35" t="str">
            <v>1PLY</v>
          </cell>
        </row>
        <row r="36">
          <cell r="A36">
            <v>25022</v>
          </cell>
          <cell r="B36" t="str">
            <v>SCF-NS-SHGS57</v>
          </cell>
          <cell r="C36" t="str">
            <v>제품</v>
          </cell>
          <cell r="D36" t="str">
            <v>윈도우 제품군</v>
          </cell>
          <cell r="E36" t="str">
            <v>염료</v>
          </cell>
          <cell r="F36" t="str">
            <v>1PLY</v>
          </cell>
        </row>
        <row r="37">
          <cell r="A37">
            <v>25023</v>
          </cell>
          <cell r="B37" t="str">
            <v>SCF-NS-CS16</v>
          </cell>
          <cell r="C37" t="str">
            <v>제품</v>
          </cell>
          <cell r="D37" t="str">
            <v>윈도우 제품군</v>
          </cell>
          <cell r="E37" t="str">
            <v>염료</v>
          </cell>
          <cell r="F37" t="str">
            <v>1PLY</v>
          </cell>
        </row>
        <row r="38">
          <cell r="A38">
            <v>25024</v>
          </cell>
          <cell r="B38" t="str">
            <v>SCF-NS-CS38</v>
          </cell>
          <cell r="C38" t="str">
            <v>제품</v>
          </cell>
          <cell r="D38" t="str">
            <v>윈도우 제품군</v>
          </cell>
          <cell r="E38" t="str">
            <v>염료</v>
          </cell>
          <cell r="F38" t="str">
            <v>1PLY</v>
          </cell>
        </row>
        <row r="39">
          <cell r="A39">
            <v>25025</v>
          </cell>
          <cell r="B39" t="str">
            <v>SCF-NS-CS58</v>
          </cell>
          <cell r="C39" t="str">
            <v>제품</v>
          </cell>
          <cell r="D39" t="str">
            <v>윈도우 제품군</v>
          </cell>
          <cell r="E39" t="str">
            <v>염료</v>
          </cell>
          <cell r="F39" t="str">
            <v>1PLY</v>
          </cell>
        </row>
        <row r="40">
          <cell r="A40">
            <v>25026</v>
          </cell>
          <cell r="B40" t="str">
            <v>SCF-NS-SS03</v>
          </cell>
          <cell r="C40" t="str">
            <v>제품</v>
          </cell>
          <cell r="D40" t="str">
            <v>윈도우 제품군</v>
          </cell>
          <cell r="E40" t="str">
            <v>염료</v>
          </cell>
          <cell r="F40" t="str">
            <v>1PLY</v>
          </cell>
        </row>
        <row r="41">
          <cell r="A41">
            <v>25027</v>
          </cell>
          <cell r="B41" t="str">
            <v>SCF-NS-SS09</v>
          </cell>
          <cell r="C41" t="str">
            <v>제품</v>
          </cell>
          <cell r="D41" t="str">
            <v>윈도우 제품군</v>
          </cell>
          <cell r="E41" t="str">
            <v>미분류</v>
          </cell>
          <cell r="F41" t="str">
            <v>미분류</v>
          </cell>
        </row>
        <row r="42">
          <cell r="A42">
            <v>25028</v>
          </cell>
          <cell r="B42" t="str">
            <v>SCF-NS-SS15</v>
          </cell>
          <cell r="C42" t="str">
            <v>제품</v>
          </cell>
          <cell r="D42" t="str">
            <v>윈도우 제품군</v>
          </cell>
          <cell r="E42" t="str">
            <v>염료</v>
          </cell>
          <cell r="F42" t="str">
            <v>1PLY</v>
          </cell>
        </row>
        <row r="43">
          <cell r="A43">
            <v>25029</v>
          </cell>
          <cell r="B43" t="str">
            <v>SCF-NS-SS19</v>
          </cell>
          <cell r="C43" t="str">
            <v>제품</v>
          </cell>
          <cell r="D43" t="str">
            <v>윈도우 제품군</v>
          </cell>
          <cell r="E43" t="str">
            <v>염료</v>
          </cell>
          <cell r="F43" t="str">
            <v>1PLY</v>
          </cell>
        </row>
        <row r="44">
          <cell r="A44">
            <v>25030</v>
          </cell>
          <cell r="B44" t="str">
            <v>SCF-NS-SS35</v>
          </cell>
          <cell r="C44" t="str">
            <v>제품</v>
          </cell>
          <cell r="D44" t="str">
            <v>윈도우 제품군</v>
          </cell>
          <cell r="E44" t="str">
            <v>염료</v>
          </cell>
          <cell r="F44" t="str">
            <v>1PLY</v>
          </cell>
        </row>
        <row r="45">
          <cell r="A45">
            <v>25031</v>
          </cell>
          <cell r="B45" t="str">
            <v>SCF-NS-SS40</v>
          </cell>
          <cell r="C45" t="str">
            <v>제품</v>
          </cell>
          <cell r="D45" t="str">
            <v>윈도우 제품군</v>
          </cell>
          <cell r="E45" t="str">
            <v>염료</v>
          </cell>
          <cell r="F45" t="str">
            <v>1PLY</v>
          </cell>
        </row>
        <row r="46">
          <cell r="A46">
            <v>25032</v>
          </cell>
          <cell r="B46" t="str">
            <v>SCF-NS-SS51</v>
          </cell>
          <cell r="C46" t="str">
            <v>제품</v>
          </cell>
          <cell r="D46" t="str">
            <v>윈도우 제품군</v>
          </cell>
          <cell r="E46" t="str">
            <v>염료</v>
          </cell>
          <cell r="F46" t="str">
            <v>1PLY</v>
          </cell>
        </row>
        <row r="47">
          <cell r="A47">
            <v>25033</v>
          </cell>
          <cell r="B47" t="str">
            <v>SCF-NS-CCS05</v>
          </cell>
          <cell r="C47" t="str">
            <v>제품</v>
          </cell>
          <cell r="D47" t="str">
            <v>윈도우 제품군</v>
          </cell>
          <cell r="E47" t="str">
            <v>염료</v>
          </cell>
          <cell r="F47" t="str">
            <v>1PLY</v>
          </cell>
        </row>
        <row r="48">
          <cell r="A48">
            <v>25034</v>
          </cell>
          <cell r="B48" t="str">
            <v>SCF-NS-CCS10</v>
          </cell>
          <cell r="C48" t="str">
            <v>제품</v>
          </cell>
          <cell r="D48" t="str">
            <v>윈도우 제품군</v>
          </cell>
          <cell r="E48" t="str">
            <v>염료</v>
          </cell>
          <cell r="F48" t="str">
            <v>1PLY</v>
          </cell>
        </row>
        <row r="49">
          <cell r="A49">
            <v>25035</v>
          </cell>
          <cell r="B49" t="str">
            <v>SCF-NS-CCS16</v>
          </cell>
          <cell r="C49" t="str">
            <v>제품</v>
          </cell>
          <cell r="D49" t="str">
            <v>윈도우 제품군</v>
          </cell>
          <cell r="E49" t="str">
            <v>염료</v>
          </cell>
          <cell r="F49" t="str">
            <v>1PLY</v>
          </cell>
        </row>
        <row r="50">
          <cell r="A50">
            <v>25036</v>
          </cell>
          <cell r="B50" t="str">
            <v>SCF-NS-CCS20</v>
          </cell>
          <cell r="C50" t="str">
            <v>제품</v>
          </cell>
          <cell r="D50" t="str">
            <v>윈도우 제품군</v>
          </cell>
          <cell r="E50" t="str">
            <v>염료</v>
          </cell>
          <cell r="F50" t="str">
            <v>1PLY</v>
          </cell>
        </row>
        <row r="51">
          <cell r="A51">
            <v>25037</v>
          </cell>
          <cell r="B51" t="str">
            <v>SCF-NS-CCS35</v>
          </cell>
          <cell r="C51" t="str">
            <v>제품</v>
          </cell>
          <cell r="D51" t="str">
            <v>윈도우 제품군</v>
          </cell>
          <cell r="E51" t="str">
            <v>염료</v>
          </cell>
          <cell r="F51" t="str">
            <v>1PLY</v>
          </cell>
        </row>
        <row r="52">
          <cell r="A52">
            <v>25038</v>
          </cell>
          <cell r="B52" t="str">
            <v>SCF-NS-CCS49</v>
          </cell>
          <cell r="C52" t="str">
            <v>제품</v>
          </cell>
          <cell r="D52" t="str">
            <v>윈도우 제품군</v>
          </cell>
          <cell r="E52" t="str">
            <v>염료</v>
          </cell>
          <cell r="F52" t="str">
            <v>1PLY</v>
          </cell>
        </row>
        <row r="53">
          <cell r="A53">
            <v>25039</v>
          </cell>
          <cell r="B53" t="str">
            <v>SCF-NS-GGS05</v>
          </cell>
          <cell r="C53" t="str">
            <v>제품</v>
          </cell>
          <cell r="D53" t="str">
            <v>윈도우 제품군</v>
          </cell>
          <cell r="E53" t="str">
            <v>염료</v>
          </cell>
          <cell r="F53" t="str">
            <v>1PLY</v>
          </cell>
        </row>
        <row r="54">
          <cell r="A54">
            <v>25040</v>
          </cell>
          <cell r="B54" t="str">
            <v>SCF-NS-GGS13</v>
          </cell>
          <cell r="C54" t="str">
            <v>제품</v>
          </cell>
          <cell r="D54" t="str">
            <v>윈도우 제품군</v>
          </cell>
          <cell r="E54" t="str">
            <v>염료</v>
          </cell>
          <cell r="F54" t="str">
            <v>1PLY</v>
          </cell>
        </row>
        <row r="55">
          <cell r="A55">
            <v>25041</v>
          </cell>
          <cell r="B55" t="str">
            <v>SCF-NS-GGS33</v>
          </cell>
          <cell r="C55" t="str">
            <v>제품</v>
          </cell>
          <cell r="D55" t="str">
            <v>윈도우 제품군</v>
          </cell>
          <cell r="E55" t="str">
            <v>염료</v>
          </cell>
          <cell r="F55" t="str">
            <v>1PLY</v>
          </cell>
        </row>
        <row r="56">
          <cell r="A56">
            <v>25042</v>
          </cell>
          <cell r="B56" t="str">
            <v>SCF-NS-BRN06</v>
          </cell>
          <cell r="C56" t="str">
            <v>제품</v>
          </cell>
          <cell r="D56" t="str">
            <v>윈도우 제품군</v>
          </cell>
          <cell r="E56" t="str">
            <v>염료</v>
          </cell>
          <cell r="F56" t="str">
            <v>1PLY</v>
          </cell>
        </row>
        <row r="57">
          <cell r="A57">
            <v>25043</v>
          </cell>
          <cell r="B57" t="str">
            <v>SCF-NS-BRN09</v>
          </cell>
          <cell r="C57" t="str">
            <v>제품</v>
          </cell>
          <cell r="D57" t="str">
            <v>윈도우 제품군</v>
          </cell>
          <cell r="E57" t="str">
            <v>염료</v>
          </cell>
          <cell r="F57" t="str">
            <v>1PLY</v>
          </cell>
        </row>
        <row r="58">
          <cell r="A58">
            <v>25044</v>
          </cell>
          <cell r="B58" t="str">
            <v>SCF-NS-BRN19</v>
          </cell>
          <cell r="C58" t="str">
            <v>제품</v>
          </cell>
          <cell r="D58" t="str">
            <v>윈도우 제품군</v>
          </cell>
          <cell r="E58" t="str">
            <v>염료</v>
          </cell>
          <cell r="F58" t="str">
            <v>1PLY</v>
          </cell>
        </row>
        <row r="59">
          <cell r="A59">
            <v>25045</v>
          </cell>
          <cell r="B59" t="str">
            <v>SCF-NS-BRN35</v>
          </cell>
          <cell r="C59" t="str">
            <v>제품</v>
          </cell>
          <cell r="D59" t="str">
            <v>윈도우 제품군</v>
          </cell>
          <cell r="E59" t="str">
            <v>염료</v>
          </cell>
          <cell r="F59" t="str">
            <v>1PLY</v>
          </cell>
        </row>
        <row r="60">
          <cell r="A60">
            <v>25046</v>
          </cell>
          <cell r="B60" t="str">
            <v>SCF-NS-NS04</v>
          </cell>
          <cell r="C60" t="str">
            <v>제품</v>
          </cell>
          <cell r="D60" t="str">
            <v>윈도우 제품군</v>
          </cell>
          <cell r="E60" t="str">
            <v>염료</v>
          </cell>
          <cell r="F60" t="str">
            <v>1PLY</v>
          </cell>
        </row>
        <row r="61">
          <cell r="A61">
            <v>25047</v>
          </cell>
          <cell r="B61" t="str">
            <v>SCF-NS-NS10</v>
          </cell>
          <cell r="C61" t="str">
            <v>제품</v>
          </cell>
          <cell r="D61" t="str">
            <v>윈도우 제품군</v>
          </cell>
          <cell r="E61" t="str">
            <v>염료</v>
          </cell>
          <cell r="F61" t="str">
            <v>1PLY</v>
          </cell>
        </row>
        <row r="62">
          <cell r="A62">
            <v>25048</v>
          </cell>
          <cell r="B62" t="str">
            <v>SCF-NS-NS20</v>
          </cell>
          <cell r="C62" t="str">
            <v>제품</v>
          </cell>
          <cell r="D62" t="str">
            <v>윈도우 제품군</v>
          </cell>
          <cell r="E62" t="str">
            <v>염료</v>
          </cell>
          <cell r="F62" t="str">
            <v>1PLY</v>
          </cell>
        </row>
        <row r="63">
          <cell r="A63">
            <v>25049</v>
          </cell>
          <cell r="B63" t="str">
            <v>SCF-NS-NS35</v>
          </cell>
          <cell r="C63" t="str">
            <v>제품</v>
          </cell>
          <cell r="D63" t="str">
            <v>윈도우 제품군</v>
          </cell>
          <cell r="E63" t="str">
            <v>염료</v>
          </cell>
          <cell r="F63" t="str">
            <v>1PLY</v>
          </cell>
        </row>
        <row r="64">
          <cell r="A64">
            <v>25050</v>
          </cell>
          <cell r="B64" t="str">
            <v>SCF-NS-GRS04</v>
          </cell>
          <cell r="C64" t="str">
            <v>제품</v>
          </cell>
          <cell r="D64" t="str">
            <v>윈도우 제품군</v>
          </cell>
          <cell r="E64" t="str">
            <v>염료</v>
          </cell>
          <cell r="F64" t="str">
            <v>1PLY</v>
          </cell>
        </row>
        <row r="65">
          <cell r="A65">
            <v>25051</v>
          </cell>
          <cell r="B65" t="str">
            <v>SCF-NS-GRS20</v>
          </cell>
          <cell r="C65" t="str">
            <v>제품</v>
          </cell>
          <cell r="D65" t="str">
            <v>윈도우 제품군</v>
          </cell>
          <cell r="E65" t="str">
            <v>염료</v>
          </cell>
          <cell r="F65" t="str">
            <v>1PLY</v>
          </cell>
        </row>
        <row r="66">
          <cell r="A66">
            <v>25052</v>
          </cell>
          <cell r="B66" t="str">
            <v>SCF-NS-GRS35</v>
          </cell>
          <cell r="C66" t="str">
            <v>제품</v>
          </cell>
          <cell r="D66" t="str">
            <v>윈도우 제품군</v>
          </cell>
          <cell r="E66" t="str">
            <v>염료</v>
          </cell>
          <cell r="F66" t="str">
            <v>1PLY</v>
          </cell>
        </row>
        <row r="67">
          <cell r="A67">
            <v>25053</v>
          </cell>
          <cell r="B67" t="str">
            <v>SCF-NS-CS02</v>
          </cell>
          <cell r="C67" t="str">
            <v>제품</v>
          </cell>
          <cell r="D67" t="str">
            <v>윈도우 제품군</v>
          </cell>
          <cell r="E67" t="str">
            <v>염료</v>
          </cell>
          <cell r="F67" t="str">
            <v>1PLY</v>
          </cell>
        </row>
        <row r="68">
          <cell r="A68">
            <v>25054</v>
          </cell>
          <cell r="B68" t="str">
            <v>SCF-NS-GS21</v>
          </cell>
          <cell r="C68" t="str">
            <v>제품</v>
          </cell>
          <cell r="D68" t="str">
            <v>윈도우 제품군</v>
          </cell>
          <cell r="E68" t="str">
            <v>염료</v>
          </cell>
          <cell r="F68" t="str">
            <v>1PLY</v>
          </cell>
        </row>
        <row r="69">
          <cell r="A69">
            <v>25055</v>
          </cell>
          <cell r="B69" t="str">
            <v>SCF-NS-DBU20</v>
          </cell>
          <cell r="C69" t="str">
            <v>제품</v>
          </cell>
          <cell r="D69" t="str">
            <v>윈도우 제품군</v>
          </cell>
          <cell r="E69" t="str">
            <v>염료</v>
          </cell>
          <cell r="F69" t="str">
            <v>1PLY</v>
          </cell>
        </row>
        <row r="70">
          <cell r="A70">
            <v>25056</v>
          </cell>
          <cell r="B70" t="str">
            <v>SCF-NS-UBK05</v>
          </cell>
          <cell r="C70" t="str">
            <v>제품</v>
          </cell>
          <cell r="D70" t="str">
            <v>윈도우 제품군</v>
          </cell>
          <cell r="E70" t="str">
            <v>염료</v>
          </cell>
          <cell r="F70" t="str">
            <v>1PLY</v>
          </cell>
        </row>
        <row r="71">
          <cell r="A71">
            <v>25057</v>
          </cell>
          <cell r="B71" t="str">
            <v>SCF-NS-DSM08</v>
          </cell>
          <cell r="C71" t="str">
            <v>제품</v>
          </cell>
          <cell r="D71" t="str">
            <v>윈도우 제품군</v>
          </cell>
          <cell r="E71" t="str">
            <v>염료</v>
          </cell>
          <cell r="F71" t="str">
            <v>1PLY</v>
          </cell>
        </row>
        <row r="72">
          <cell r="A72">
            <v>25058</v>
          </cell>
          <cell r="B72" t="str">
            <v>SCF-NS-DSM20</v>
          </cell>
          <cell r="C72" t="str">
            <v>제품</v>
          </cell>
          <cell r="D72" t="str">
            <v>윈도우 제품군</v>
          </cell>
          <cell r="E72" t="str">
            <v>염료</v>
          </cell>
          <cell r="F72" t="str">
            <v>1PLY</v>
          </cell>
        </row>
        <row r="73">
          <cell r="A73">
            <v>25059</v>
          </cell>
          <cell r="B73" t="str">
            <v>SCF-NS-DSM37</v>
          </cell>
          <cell r="C73" t="str">
            <v>제품</v>
          </cell>
          <cell r="D73" t="str">
            <v>윈도우 제품군</v>
          </cell>
          <cell r="E73" t="str">
            <v>염료</v>
          </cell>
          <cell r="F73" t="str">
            <v>1PLY</v>
          </cell>
        </row>
        <row r="74">
          <cell r="A74">
            <v>25060</v>
          </cell>
          <cell r="B74" t="str">
            <v>SCF-NS-DSM14</v>
          </cell>
          <cell r="C74" t="str">
            <v>제품</v>
          </cell>
          <cell r="D74" t="str">
            <v>윈도우 제품군</v>
          </cell>
          <cell r="E74" t="str">
            <v>염료</v>
          </cell>
          <cell r="F74" t="str">
            <v>1PLY</v>
          </cell>
        </row>
        <row r="75">
          <cell r="A75">
            <v>25061</v>
          </cell>
          <cell r="B75" t="str">
            <v>SCF-NS-DSM27</v>
          </cell>
          <cell r="C75" t="str">
            <v>제품</v>
          </cell>
          <cell r="D75" t="str">
            <v>윈도우 제품군</v>
          </cell>
          <cell r="E75" t="str">
            <v>염료</v>
          </cell>
          <cell r="F75" t="str">
            <v>1PLY</v>
          </cell>
        </row>
        <row r="76">
          <cell r="A76">
            <v>25062</v>
          </cell>
          <cell r="B76" t="str">
            <v>SCF-NS-DSM41</v>
          </cell>
          <cell r="C76" t="str">
            <v>제품</v>
          </cell>
          <cell r="D76" t="str">
            <v>윈도우 제품군</v>
          </cell>
          <cell r="E76" t="str">
            <v>염료</v>
          </cell>
          <cell r="F76" t="str">
            <v>1PLY</v>
          </cell>
        </row>
        <row r="77">
          <cell r="A77">
            <v>25063</v>
          </cell>
          <cell r="B77" t="str">
            <v>SCF-NS-DSM06</v>
          </cell>
          <cell r="C77" t="str">
            <v>제품</v>
          </cell>
          <cell r="D77" t="str">
            <v>윈도우 제품군</v>
          </cell>
          <cell r="E77" t="str">
            <v>염료</v>
          </cell>
          <cell r="F77" t="str">
            <v>1PLY</v>
          </cell>
        </row>
        <row r="78">
          <cell r="A78">
            <v>25064</v>
          </cell>
          <cell r="B78" t="str">
            <v>SCF-NS-SMK20</v>
          </cell>
          <cell r="C78" t="str">
            <v>제품</v>
          </cell>
          <cell r="D78" t="str">
            <v>윈도우 제품군</v>
          </cell>
          <cell r="E78" t="str">
            <v>염료</v>
          </cell>
          <cell r="F78" t="str">
            <v>1PLY</v>
          </cell>
        </row>
        <row r="79">
          <cell r="A79">
            <v>25066</v>
          </cell>
          <cell r="B79" t="str">
            <v>SCF-NS-Super Black03</v>
          </cell>
          <cell r="C79" t="str">
            <v>제품</v>
          </cell>
          <cell r="D79" t="str">
            <v>윈도우 제품군</v>
          </cell>
          <cell r="E79" t="str">
            <v>염료</v>
          </cell>
          <cell r="F79" t="str">
            <v>1PLY</v>
          </cell>
        </row>
        <row r="80">
          <cell r="A80">
            <v>25067</v>
          </cell>
          <cell r="B80" t="str">
            <v>SCF-NS-GRCH05</v>
          </cell>
          <cell r="C80" t="str">
            <v>제품</v>
          </cell>
          <cell r="D80" t="str">
            <v>윈도우 제품군</v>
          </cell>
          <cell r="E80" t="str">
            <v>염료</v>
          </cell>
          <cell r="F80" t="str">
            <v>1PLY</v>
          </cell>
        </row>
        <row r="81">
          <cell r="A81">
            <v>25068</v>
          </cell>
          <cell r="B81" t="str">
            <v>SCF-NS-GRCH20</v>
          </cell>
          <cell r="C81" t="str">
            <v>제품</v>
          </cell>
          <cell r="D81" t="str">
            <v>윈도우 제품군</v>
          </cell>
          <cell r="E81" t="str">
            <v>염료</v>
          </cell>
          <cell r="F81" t="str">
            <v>1PLY</v>
          </cell>
        </row>
        <row r="82">
          <cell r="A82">
            <v>25069</v>
          </cell>
          <cell r="B82" t="str">
            <v>SCF-NS-GRCH35</v>
          </cell>
          <cell r="C82" t="str">
            <v>제품</v>
          </cell>
          <cell r="D82" t="str">
            <v>윈도우 제품군</v>
          </cell>
          <cell r="E82" t="str">
            <v>염료</v>
          </cell>
          <cell r="F82" t="str">
            <v>1PLY</v>
          </cell>
        </row>
        <row r="83">
          <cell r="A83">
            <v>25070</v>
          </cell>
          <cell r="B83" t="str">
            <v>SCF-NS-G05</v>
          </cell>
          <cell r="C83" t="str">
            <v>제품</v>
          </cell>
          <cell r="D83" t="str">
            <v>윈도우 제품군</v>
          </cell>
          <cell r="E83" t="str">
            <v>염료</v>
          </cell>
          <cell r="F83" t="str">
            <v>1PLY</v>
          </cell>
        </row>
        <row r="84">
          <cell r="A84">
            <v>25074</v>
          </cell>
          <cell r="B84" t="str">
            <v>SCF-DM-OG23(0.3)</v>
          </cell>
          <cell r="C84" t="str">
            <v>제품</v>
          </cell>
          <cell r="D84" t="str">
            <v>윈도우 제품군</v>
          </cell>
          <cell r="E84" t="str">
            <v>염료</v>
          </cell>
          <cell r="F84" t="str">
            <v>2PLY</v>
          </cell>
        </row>
        <row r="85">
          <cell r="A85">
            <v>25076</v>
          </cell>
          <cell r="B85" t="str">
            <v>SCF-TRB-GRN30</v>
          </cell>
          <cell r="C85" t="str">
            <v>제품</v>
          </cell>
          <cell r="D85" t="str">
            <v>윈도우 제품군</v>
          </cell>
          <cell r="E85" t="str">
            <v>염료</v>
          </cell>
          <cell r="F85" t="str">
            <v>1PLY</v>
          </cell>
        </row>
        <row r="86">
          <cell r="A86">
            <v>25077</v>
          </cell>
          <cell r="B86" t="str">
            <v>SCF-TRB-OG18</v>
          </cell>
          <cell r="C86" t="str">
            <v>제품</v>
          </cell>
          <cell r="D86" t="str">
            <v>윈도우 제품군</v>
          </cell>
          <cell r="E86" t="str">
            <v>염료</v>
          </cell>
          <cell r="F86" t="str">
            <v>1PLY</v>
          </cell>
        </row>
        <row r="87">
          <cell r="A87">
            <v>25078</v>
          </cell>
          <cell r="B87" t="str">
            <v>SCF-NS-ABS05</v>
          </cell>
          <cell r="C87" t="str">
            <v>제품</v>
          </cell>
          <cell r="D87" t="str">
            <v>윈도우 제품군</v>
          </cell>
          <cell r="E87" t="str">
            <v>염료</v>
          </cell>
          <cell r="F87" t="str">
            <v>1PLY</v>
          </cell>
        </row>
        <row r="88">
          <cell r="A88">
            <v>25079</v>
          </cell>
          <cell r="B88" t="str">
            <v>SCF-NS-ABS20</v>
          </cell>
          <cell r="C88" t="str">
            <v>제품</v>
          </cell>
          <cell r="D88" t="str">
            <v>윈도우 제품군</v>
          </cell>
          <cell r="E88" t="str">
            <v>염료</v>
          </cell>
          <cell r="F88" t="str">
            <v>1PLY</v>
          </cell>
        </row>
        <row r="89">
          <cell r="A89">
            <v>25080</v>
          </cell>
          <cell r="B89" t="str">
            <v>SCF-NS-ABS35</v>
          </cell>
          <cell r="C89" t="str">
            <v>제품</v>
          </cell>
          <cell r="D89" t="str">
            <v>윈도우 제품군</v>
          </cell>
          <cell r="E89" t="str">
            <v>염료</v>
          </cell>
          <cell r="F89" t="str">
            <v>1PLY</v>
          </cell>
        </row>
        <row r="90">
          <cell r="A90">
            <v>25081</v>
          </cell>
          <cell r="B90" t="str">
            <v>SCF-NS-AHP05</v>
          </cell>
          <cell r="C90" t="str">
            <v>제품</v>
          </cell>
          <cell r="D90" t="str">
            <v>윈도우 제품군</v>
          </cell>
          <cell r="E90" t="str">
            <v>염료</v>
          </cell>
          <cell r="F90" t="str">
            <v>1PLY</v>
          </cell>
        </row>
        <row r="91">
          <cell r="A91">
            <v>25082</v>
          </cell>
          <cell r="B91" t="str">
            <v>SCF-NS-AHP20</v>
          </cell>
          <cell r="C91" t="str">
            <v>제품</v>
          </cell>
          <cell r="D91" t="str">
            <v>윈도우 제품군</v>
          </cell>
          <cell r="E91" t="str">
            <v>염료</v>
          </cell>
          <cell r="F91" t="str">
            <v>1PLY</v>
          </cell>
        </row>
        <row r="92">
          <cell r="A92">
            <v>25083</v>
          </cell>
          <cell r="B92" t="str">
            <v>SCF-NS-AHP35</v>
          </cell>
          <cell r="C92" t="str">
            <v>제품</v>
          </cell>
          <cell r="D92" t="str">
            <v>윈도우 제품군</v>
          </cell>
          <cell r="E92" t="str">
            <v>염료</v>
          </cell>
          <cell r="F92" t="str">
            <v>1PLY</v>
          </cell>
        </row>
        <row r="93">
          <cell r="A93">
            <v>25084</v>
          </cell>
          <cell r="B93" t="str">
            <v>SCF-NS-AHP50</v>
          </cell>
          <cell r="C93" t="str">
            <v>제품</v>
          </cell>
          <cell r="D93" t="str">
            <v>윈도우 제품군</v>
          </cell>
          <cell r="E93" t="str">
            <v>염료</v>
          </cell>
          <cell r="F93" t="str">
            <v>1PLY</v>
          </cell>
        </row>
        <row r="94">
          <cell r="A94">
            <v>25085</v>
          </cell>
          <cell r="B94" t="str">
            <v>SCF-NS-ABS50</v>
          </cell>
          <cell r="C94" t="str">
            <v>제품</v>
          </cell>
          <cell r="D94" t="str">
            <v>윈도우 제품군</v>
          </cell>
          <cell r="E94" t="str">
            <v>염료</v>
          </cell>
          <cell r="F94" t="str">
            <v>1PLY</v>
          </cell>
        </row>
        <row r="95">
          <cell r="A95">
            <v>25095</v>
          </cell>
          <cell r="B95" t="str">
            <v>SCF-ND-LBK51</v>
          </cell>
          <cell r="C95" t="str">
            <v>제품</v>
          </cell>
          <cell r="D95" t="str">
            <v>윈도우 제품군</v>
          </cell>
          <cell r="E95" t="str">
            <v>염료</v>
          </cell>
          <cell r="F95" t="str">
            <v>2PLY</v>
          </cell>
        </row>
        <row r="96">
          <cell r="A96">
            <v>25096</v>
          </cell>
          <cell r="B96" t="str">
            <v>SCF-ND-LGN58</v>
          </cell>
          <cell r="C96" t="str">
            <v>제품</v>
          </cell>
          <cell r="D96" t="str">
            <v>윈도우 제품군</v>
          </cell>
          <cell r="E96" t="str">
            <v>염료</v>
          </cell>
          <cell r="F96" t="str">
            <v>2PLY</v>
          </cell>
        </row>
        <row r="97">
          <cell r="A97">
            <v>25097</v>
          </cell>
          <cell r="B97" t="str">
            <v>SCF-ND-LGN41</v>
          </cell>
          <cell r="C97" t="str">
            <v>제품</v>
          </cell>
          <cell r="D97" t="str">
            <v>윈도우 제품군</v>
          </cell>
          <cell r="E97" t="str">
            <v>염료</v>
          </cell>
          <cell r="F97" t="str">
            <v>2PLY</v>
          </cell>
        </row>
        <row r="98">
          <cell r="A98">
            <v>25098</v>
          </cell>
          <cell r="B98" t="str">
            <v>SCF-ND-SLBK05</v>
          </cell>
          <cell r="C98" t="str">
            <v>제품</v>
          </cell>
          <cell r="D98" t="str">
            <v>윈도우 제품군</v>
          </cell>
          <cell r="E98" t="str">
            <v>염료</v>
          </cell>
          <cell r="F98" t="str">
            <v>2PLY</v>
          </cell>
        </row>
        <row r="99">
          <cell r="A99">
            <v>25099</v>
          </cell>
          <cell r="B99" t="str">
            <v>SCF-ND-SLBK20</v>
          </cell>
          <cell r="C99" t="str">
            <v>제품</v>
          </cell>
          <cell r="D99" t="str">
            <v>윈도우 제품군</v>
          </cell>
          <cell r="E99" t="str">
            <v>염료</v>
          </cell>
          <cell r="F99" t="str">
            <v>2PLY</v>
          </cell>
        </row>
        <row r="100">
          <cell r="A100">
            <v>25100</v>
          </cell>
          <cell r="B100" t="str">
            <v>SCF-ND-LBK35</v>
          </cell>
          <cell r="C100" t="str">
            <v>제품</v>
          </cell>
          <cell r="D100" t="str">
            <v>윈도우 제품군</v>
          </cell>
          <cell r="E100" t="str">
            <v>염료</v>
          </cell>
          <cell r="F100" t="str">
            <v>2PLY</v>
          </cell>
        </row>
        <row r="101">
          <cell r="A101">
            <v>25101</v>
          </cell>
          <cell r="B101" t="str">
            <v>SCF-ND-LBK30</v>
          </cell>
          <cell r="C101" t="str">
            <v>제품</v>
          </cell>
          <cell r="D101" t="str">
            <v>윈도우 제품군</v>
          </cell>
          <cell r="E101" t="str">
            <v>염료</v>
          </cell>
          <cell r="F101" t="str">
            <v>2PLY</v>
          </cell>
        </row>
        <row r="102">
          <cell r="A102">
            <v>25102</v>
          </cell>
          <cell r="B102" t="str">
            <v>SCF-ND-LBK17</v>
          </cell>
          <cell r="C102" t="str">
            <v>제품</v>
          </cell>
          <cell r="D102" t="str">
            <v>윈도우 제품군</v>
          </cell>
          <cell r="E102" t="str">
            <v>염료</v>
          </cell>
          <cell r="F102" t="str">
            <v>2PLY</v>
          </cell>
        </row>
        <row r="103">
          <cell r="A103">
            <v>25103</v>
          </cell>
          <cell r="B103" t="str">
            <v>SCF-ND-LBK05</v>
          </cell>
          <cell r="C103" t="str">
            <v>제품</v>
          </cell>
          <cell r="D103" t="str">
            <v>윈도우 제품군</v>
          </cell>
          <cell r="E103" t="str">
            <v>염료</v>
          </cell>
          <cell r="F103" t="str">
            <v>2PLY</v>
          </cell>
        </row>
        <row r="104">
          <cell r="A104">
            <v>25104</v>
          </cell>
          <cell r="B104" t="str">
            <v>SCF-ND-SMK38</v>
          </cell>
          <cell r="C104" t="str">
            <v>제품</v>
          </cell>
          <cell r="D104" t="str">
            <v>윈도우 제품군</v>
          </cell>
          <cell r="E104" t="str">
            <v>염료</v>
          </cell>
          <cell r="F104" t="str">
            <v>2PLY</v>
          </cell>
        </row>
        <row r="105">
          <cell r="A105">
            <v>25105</v>
          </cell>
          <cell r="B105" t="str">
            <v>SCF-ND-SMK20</v>
          </cell>
          <cell r="C105" t="str">
            <v>제품</v>
          </cell>
          <cell r="D105" t="str">
            <v>윈도우 제품군</v>
          </cell>
          <cell r="E105" t="str">
            <v>염료</v>
          </cell>
          <cell r="F105" t="str">
            <v>2PLY</v>
          </cell>
        </row>
        <row r="106">
          <cell r="A106">
            <v>25106</v>
          </cell>
          <cell r="B106" t="str">
            <v>SCF-ND-SMK10</v>
          </cell>
          <cell r="C106" t="str">
            <v>제품</v>
          </cell>
          <cell r="D106" t="str">
            <v>윈도우 제품군</v>
          </cell>
          <cell r="E106" t="str">
            <v>염료</v>
          </cell>
          <cell r="F106" t="str">
            <v>2PLY</v>
          </cell>
        </row>
        <row r="107">
          <cell r="A107">
            <v>25107</v>
          </cell>
          <cell r="B107" t="str">
            <v>SCF-ND-SMK05</v>
          </cell>
          <cell r="C107" t="str">
            <v>제품</v>
          </cell>
          <cell r="D107" t="str">
            <v>윈도우 제품군</v>
          </cell>
          <cell r="E107" t="str">
            <v>염료</v>
          </cell>
          <cell r="F107" t="str">
            <v>2PLY</v>
          </cell>
        </row>
        <row r="108">
          <cell r="A108">
            <v>25108</v>
          </cell>
          <cell r="B108" t="str">
            <v>SCF-ND-CHGN06</v>
          </cell>
          <cell r="C108" t="str">
            <v>제품</v>
          </cell>
          <cell r="D108" t="str">
            <v>윈도우 제품군</v>
          </cell>
          <cell r="E108" t="str">
            <v>염료</v>
          </cell>
          <cell r="F108" t="str">
            <v>2PLY</v>
          </cell>
        </row>
        <row r="109">
          <cell r="A109">
            <v>25109</v>
          </cell>
          <cell r="B109" t="str">
            <v>SCF-ND-CHGN21</v>
          </cell>
          <cell r="C109" t="str">
            <v>제품</v>
          </cell>
          <cell r="D109" t="str">
            <v>윈도우 제품군</v>
          </cell>
          <cell r="E109" t="str">
            <v>염료</v>
          </cell>
          <cell r="F109" t="str">
            <v>2PLY</v>
          </cell>
        </row>
        <row r="110">
          <cell r="A110">
            <v>25110</v>
          </cell>
          <cell r="B110" t="str">
            <v>SCF-ND-CHBR40</v>
          </cell>
          <cell r="C110" t="str">
            <v>제품</v>
          </cell>
          <cell r="D110" t="str">
            <v>윈도우 제품군</v>
          </cell>
          <cell r="E110" t="str">
            <v>염료</v>
          </cell>
          <cell r="F110" t="str">
            <v>2PLY</v>
          </cell>
        </row>
        <row r="111">
          <cell r="A111">
            <v>25111</v>
          </cell>
          <cell r="B111" t="str">
            <v>SCF-ND-CHBR53</v>
          </cell>
          <cell r="C111" t="str">
            <v>제품</v>
          </cell>
          <cell r="D111" t="str">
            <v>윈도우 제품군</v>
          </cell>
          <cell r="E111" t="str">
            <v>염료</v>
          </cell>
          <cell r="F111" t="str">
            <v>2PLY</v>
          </cell>
        </row>
        <row r="112">
          <cell r="A112">
            <v>25112</v>
          </cell>
          <cell r="B112" t="str">
            <v>SCF-ND-HP38</v>
          </cell>
          <cell r="C112" t="str">
            <v>제품</v>
          </cell>
          <cell r="D112" t="str">
            <v>윈도우 제품군</v>
          </cell>
          <cell r="E112" t="str">
            <v>염료</v>
          </cell>
          <cell r="F112" t="str">
            <v>2PLY</v>
          </cell>
        </row>
        <row r="113">
          <cell r="A113">
            <v>25113</v>
          </cell>
          <cell r="B113" t="str">
            <v>SCF-ND-HP50</v>
          </cell>
          <cell r="C113" t="str">
            <v>제품</v>
          </cell>
          <cell r="D113" t="str">
            <v>윈도우 제품군</v>
          </cell>
          <cell r="E113" t="str">
            <v>염료</v>
          </cell>
          <cell r="F113" t="str">
            <v>2PLY</v>
          </cell>
        </row>
        <row r="114">
          <cell r="A114">
            <v>25114</v>
          </cell>
          <cell r="B114" t="str">
            <v>SCF-ND-HPCH67</v>
          </cell>
          <cell r="C114" t="str">
            <v>제품</v>
          </cell>
          <cell r="D114" t="str">
            <v>윈도우 제품군</v>
          </cell>
          <cell r="E114" t="str">
            <v>염료</v>
          </cell>
          <cell r="F114" t="str">
            <v>2PLY</v>
          </cell>
        </row>
        <row r="115">
          <cell r="A115">
            <v>25115</v>
          </cell>
          <cell r="B115" t="str">
            <v>SCF-ND-CG05</v>
          </cell>
          <cell r="C115" t="str">
            <v>제품</v>
          </cell>
          <cell r="D115" t="str">
            <v>윈도우 제품군</v>
          </cell>
          <cell r="E115" t="str">
            <v>염료</v>
          </cell>
          <cell r="F115" t="str">
            <v>2PLY</v>
          </cell>
        </row>
        <row r="116">
          <cell r="A116">
            <v>25116</v>
          </cell>
          <cell r="B116" t="str">
            <v>SCF-ND-CG20</v>
          </cell>
          <cell r="C116" t="str">
            <v>제품</v>
          </cell>
          <cell r="D116" t="str">
            <v>윈도우 제품군</v>
          </cell>
          <cell r="E116" t="str">
            <v>염료</v>
          </cell>
          <cell r="F116" t="str">
            <v>2PLY</v>
          </cell>
        </row>
        <row r="117">
          <cell r="A117">
            <v>25117</v>
          </cell>
          <cell r="B117" t="str">
            <v>SCF-ND-CG35</v>
          </cell>
          <cell r="C117" t="str">
            <v>제품</v>
          </cell>
          <cell r="D117" t="str">
            <v>윈도우 제품군</v>
          </cell>
          <cell r="E117" t="str">
            <v>염료</v>
          </cell>
          <cell r="F117" t="str">
            <v>2PLY</v>
          </cell>
        </row>
        <row r="118">
          <cell r="A118">
            <v>25118</v>
          </cell>
          <cell r="B118" t="str">
            <v>SCF-ND-CG50</v>
          </cell>
          <cell r="C118" t="str">
            <v>제품</v>
          </cell>
          <cell r="D118" t="str">
            <v>윈도우 제품군</v>
          </cell>
          <cell r="E118" t="str">
            <v>염료</v>
          </cell>
          <cell r="F118" t="str">
            <v>2PLY</v>
          </cell>
        </row>
        <row r="119">
          <cell r="A119">
            <v>25119</v>
          </cell>
          <cell r="B119" t="str">
            <v>SCF-ND-CG70</v>
          </cell>
          <cell r="C119" t="str">
            <v>제품</v>
          </cell>
          <cell r="D119" t="str">
            <v>윈도우 제품군</v>
          </cell>
          <cell r="E119" t="str">
            <v>염료</v>
          </cell>
          <cell r="F119" t="str">
            <v>2PLY</v>
          </cell>
        </row>
        <row r="120">
          <cell r="A120">
            <v>25120</v>
          </cell>
          <cell r="B120" t="str">
            <v>SCF-ND-DBL15</v>
          </cell>
          <cell r="C120" t="str">
            <v>제품</v>
          </cell>
          <cell r="D120" t="str">
            <v>윈도우 제품군</v>
          </cell>
          <cell r="E120" t="str">
            <v>염료</v>
          </cell>
          <cell r="F120" t="str">
            <v>2PLY</v>
          </cell>
        </row>
        <row r="121">
          <cell r="A121">
            <v>25121</v>
          </cell>
          <cell r="B121" t="str">
            <v>SCF-ND-DGN13</v>
          </cell>
          <cell r="C121" t="str">
            <v>제품</v>
          </cell>
          <cell r="D121" t="str">
            <v>윈도우 제품군</v>
          </cell>
          <cell r="E121" t="str">
            <v>염료</v>
          </cell>
          <cell r="F121" t="str">
            <v>2PLY</v>
          </cell>
        </row>
        <row r="122">
          <cell r="A122">
            <v>25122</v>
          </cell>
          <cell r="B122" t="str">
            <v>SCF-ND-SBK15</v>
          </cell>
          <cell r="C122" t="str">
            <v>제품</v>
          </cell>
          <cell r="D122" t="str">
            <v>윈도우 제품군</v>
          </cell>
          <cell r="E122" t="str">
            <v>염료</v>
          </cell>
          <cell r="F122" t="str">
            <v>2PLY</v>
          </cell>
        </row>
        <row r="123">
          <cell r="A123">
            <v>25123</v>
          </cell>
          <cell r="B123" t="str">
            <v>SCF-ND-BC77J</v>
          </cell>
          <cell r="C123" t="str">
            <v>제품</v>
          </cell>
          <cell r="D123" t="str">
            <v>윈도우 제품군</v>
          </cell>
          <cell r="E123" t="str">
            <v>염료</v>
          </cell>
          <cell r="F123" t="str">
            <v>2PLY</v>
          </cell>
        </row>
        <row r="124">
          <cell r="A124">
            <v>25124</v>
          </cell>
          <cell r="B124" t="str">
            <v>SCF-ND-B22K</v>
          </cell>
          <cell r="C124" t="str">
            <v>제품</v>
          </cell>
          <cell r="D124" t="str">
            <v>윈도우 제품군</v>
          </cell>
          <cell r="E124" t="str">
            <v>염료</v>
          </cell>
          <cell r="F124" t="str">
            <v>2PLY</v>
          </cell>
        </row>
        <row r="125">
          <cell r="A125">
            <v>25126</v>
          </cell>
          <cell r="B125" t="str">
            <v>SCF-ND-G52K</v>
          </cell>
          <cell r="C125" t="str">
            <v>제품</v>
          </cell>
          <cell r="D125" t="str">
            <v>윈도우 제품군</v>
          </cell>
          <cell r="E125" t="str">
            <v>염료</v>
          </cell>
          <cell r="F125" t="str">
            <v>2PLY</v>
          </cell>
        </row>
        <row r="126">
          <cell r="A126">
            <v>25127</v>
          </cell>
          <cell r="B126" t="str">
            <v>SCF-ND-ABS05</v>
          </cell>
          <cell r="C126" t="str">
            <v>제품</v>
          </cell>
          <cell r="D126" t="str">
            <v>윈도우 제품군</v>
          </cell>
          <cell r="E126" t="str">
            <v>염료</v>
          </cell>
          <cell r="F126" t="str">
            <v>2PLY</v>
          </cell>
        </row>
        <row r="127">
          <cell r="A127">
            <v>25128</v>
          </cell>
          <cell r="B127" t="str">
            <v>SCF-ND-ABS35</v>
          </cell>
          <cell r="C127" t="str">
            <v>제품</v>
          </cell>
          <cell r="D127" t="str">
            <v>윈도우 제품군</v>
          </cell>
          <cell r="E127" t="str">
            <v>염료</v>
          </cell>
          <cell r="F127" t="str">
            <v>2PLY</v>
          </cell>
        </row>
        <row r="128">
          <cell r="A128">
            <v>25129</v>
          </cell>
          <cell r="B128" t="str">
            <v>SCF-ND-AHP05</v>
          </cell>
          <cell r="C128" t="str">
            <v>제품</v>
          </cell>
          <cell r="D128" t="str">
            <v>윈도우 제품군</v>
          </cell>
          <cell r="E128" t="str">
            <v>염료</v>
          </cell>
          <cell r="F128" t="str">
            <v>2PLY</v>
          </cell>
        </row>
        <row r="129">
          <cell r="A129">
            <v>25130</v>
          </cell>
          <cell r="B129" t="str">
            <v>SCF-ND-AHP20</v>
          </cell>
          <cell r="C129" t="str">
            <v>제품</v>
          </cell>
          <cell r="D129" t="str">
            <v>윈도우 제품군</v>
          </cell>
          <cell r="E129" t="str">
            <v>염료</v>
          </cell>
          <cell r="F129" t="str">
            <v>2PLY</v>
          </cell>
        </row>
        <row r="130">
          <cell r="A130">
            <v>25131</v>
          </cell>
          <cell r="B130" t="str">
            <v>SCF-ND-AHP35</v>
          </cell>
          <cell r="C130" t="str">
            <v>제품</v>
          </cell>
          <cell r="D130" t="str">
            <v>윈도우 제품군</v>
          </cell>
          <cell r="E130" t="str">
            <v>염료</v>
          </cell>
          <cell r="F130" t="str">
            <v>2PLY</v>
          </cell>
        </row>
        <row r="131">
          <cell r="A131">
            <v>25132</v>
          </cell>
          <cell r="B131" t="str">
            <v>SCF-ND-AHP50</v>
          </cell>
          <cell r="C131" t="str">
            <v>제품</v>
          </cell>
          <cell r="D131" t="str">
            <v>윈도우 제품군</v>
          </cell>
          <cell r="E131" t="str">
            <v>염료</v>
          </cell>
          <cell r="F131" t="str">
            <v>2PLY</v>
          </cell>
        </row>
        <row r="132">
          <cell r="A132">
            <v>25134</v>
          </cell>
          <cell r="B132" t="str">
            <v>SCF-ND-A68</v>
          </cell>
          <cell r="C132" t="str">
            <v>제품</v>
          </cell>
          <cell r="D132" t="str">
            <v>윈도우 제품군</v>
          </cell>
          <cell r="E132" t="str">
            <v>염료</v>
          </cell>
          <cell r="F132" t="str">
            <v>2PLY</v>
          </cell>
        </row>
        <row r="133">
          <cell r="A133">
            <v>25135</v>
          </cell>
          <cell r="B133" t="str">
            <v>SCF-ND-C2</v>
          </cell>
          <cell r="C133" t="str">
            <v>제품</v>
          </cell>
          <cell r="D133" t="str">
            <v>윈도우 제품군</v>
          </cell>
          <cell r="E133" t="str">
            <v>염료</v>
          </cell>
          <cell r="F133" t="str">
            <v>2PLY</v>
          </cell>
        </row>
        <row r="134">
          <cell r="A134">
            <v>25136</v>
          </cell>
          <cell r="B134" t="str">
            <v>SCF-ND-BK15D</v>
          </cell>
          <cell r="C134" t="str">
            <v>제품</v>
          </cell>
          <cell r="D134" t="str">
            <v>윈도우 제품군</v>
          </cell>
          <cell r="E134" t="str">
            <v>염료</v>
          </cell>
          <cell r="F134" t="str">
            <v>2PLY</v>
          </cell>
        </row>
        <row r="135">
          <cell r="A135">
            <v>25137</v>
          </cell>
          <cell r="B135" t="str">
            <v>SCF-TRB-OG23</v>
          </cell>
          <cell r="C135" t="str">
            <v>제품</v>
          </cell>
          <cell r="D135" t="str">
            <v>윈도우 제품군</v>
          </cell>
          <cell r="E135" t="str">
            <v>염료</v>
          </cell>
          <cell r="F135" t="str">
            <v>3PLY</v>
          </cell>
        </row>
        <row r="136">
          <cell r="A136">
            <v>25138</v>
          </cell>
          <cell r="B136" t="str">
            <v>SCF-TRB-OG18</v>
          </cell>
          <cell r="C136" t="str">
            <v>제품</v>
          </cell>
          <cell r="D136" t="str">
            <v>윈도우 제품군</v>
          </cell>
          <cell r="E136" t="str">
            <v>염료</v>
          </cell>
          <cell r="F136" t="str">
            <v>3PLY</v>
          </cell>
        </row>
        <row r="137">
          <cell r="A137">
            <v>25139</v>
          </cell>
          <cell r="B137" t="str">
            <v>SCF-TRB-GRN30</v>
          </cell>
          <cell r="C137" t="str">
            <v>제품</v>
          </cell>
          <cell r="D137" t="str">
            <v>윈도우 제품군</v>
          </cell>
          <cell r="E137" t="str">
            <v>염료</v>
          </cell>
          <cell r="F137" t="str">
            <v>3PLY</v>
          </cell>
        </row>
        <row r="138">
          <cell r="A138">
            <v>25143</v>
          </cell>
          <cell r="B138" t="str">
            <v>SCF-DM-SILVER GRADATION 07</v>
          </cell>
          <cell r="C138" t="str">
            <v>제품</v>
          </cell>
          <cell r="D138" t="str">
            <v>윈도우 제품군</v>
          </cell>
          <cell r="E138" t="str">
            <v>염료</v>
          </cell>
          <cell r="F138" t="str">
            <v>2PLY</v>
          </cell>
        </row>
        <row r="139">
          <cell r="A139">
            <v>25144</v>
          </cell>
          <cell r="B139" t="str">
            <v>SCF-DM-SILVER GRADATION 27</v>
          </cell>
          <cell r="C139" t="str">
            <v>제품</v>
          </cell>
          <cell r="D139" t="str">
            <v>윈도우 제품군</v>
          </cell>
          <cell r="E139" t="str">
            <v>염료</v>
          </cell>
          <cell r="F139" t="str">
            <v>2PLY</v>
          </cell>
        </row>
        <row r="140">
          <cell r="A140">
            <v>25145</v>
          </cell>
          <cell r="B140" t="str">
            <v>SCF-DM-SILVER GRADATION 37</v>
          </cell>
          <cell r="C140" t="str">
            <v>제품</v>
          </cell>
          <cell r="D140" t="str">
            <v>윈도우 제품군</v>
          </cell>
          <cell r="E140" t="str">
            <v>염료</v>
          </cell>
          <cell r="F140" t="str">
            <v>2PLY</v>
          </cell>
        </row>
        <row r="141">
          <cell r="A141">
            <v>25146</v>
          </cell>
          <cell r="B141" t="str">
            <v>SCF-DM-GOLD GRADATION 20(1.2)</v>
          </cell>
          <cell r="C141" t="str">
            <v>제품</v>
          </cell>
          <cell r="D141" t="str">
            <v>윈도우 제품군</v>
          </cell>
          <cell r="E141" t="str">
            <v>염료</v>
          </cell>
          <cell r="F141" t="str">
            <v>2PLY</v>
          </cell>
        </row>
        <row r="142">
          <cell r="A142">
            <v>25147</v>
          </cell>
          <cell r="B142" t="str">
            <v>SCF-DM-VIOLET GRADATION 20(1.2)</v>
          </cell>
          <cell r="C142" t="str">
            <v>제품</v>
          </cell>
          <cell r="D142" t="str">
            <v>윈도우 제품군</v>
          </cell>
          <cell r="E142" t="str">
            <v>염료</v>
          </cell>
          <cell r="F142" t="str">
            <v>2PLY</v>
          </cell>
        </row>
        <row r="143">
          <cell r="A143">
            <v>25148</v>
          </cell>
          <cell r="B143" t="str">
            <v>SCF-DM-CHROME TOP 05(1.2)</v>
          </cell>
          <cell r="C143" t="str">
            <v>제품</v>
          </cell>
          <cell r="D143" t="str">
            <v>윈도우 제품군</v>
          </cell>
          <cell r="E143" t="str">
            <v>염료</v>
          </cell>
          <cell r="F143" t="str">
            <v>2PLY</v>
          </cell>
        </row>
        <row r="144">
          <cell r="A144">
            <v>25150</v>
          </cell>
          <cell r="B144" t="str">
            <v>SCF-DM-CHROME TOP 35(1.2)</v>
          </cell>
          <cell r="C144" t="str">
            <v>제품</v>
          </cell>
          <cell r="D144" t="str">
            <v>윈도우 제품군</v>
          </cell>
          <cell r="E144" t="str">
            <v>염료</v>
          </cell>
          <cell r="F144" t="str">
            <v>2PLY</v>
          </cell>
        </row>
        <row r="145">
          <cell r="A145">
            <v>25151</v>
          </cell>
          <cell r="B145" t="str">
            <v>SCF-DM-CHROME TOP 18(1.2)</v>
          </cell>
          <cell r="C145" t="str">
            <v>제품</v>
          </cell>
          <cell r="D145" t="str">
            <v>윈도우 제품군</v>
          </cell>
          <cell r="E145" t="str">
            <v>염료</v>
          </cell>
          <cell r="F145" t="str">
            <v>2PLY</v>
          </cell>
        </row>
        <row r="146">
          <cell r="A146">
            <v>25152</v>
          </cell>
          <cell r="B146" t="str">
            <v>SCF-DM-METAL20</v>
          </cell>
          <cell r="C146" t="str">
            <v>제품</v>
          </cell>
          <cell r="D146" t="str">
            <v>윈도우 제품군</v>
          </cell>
          <cell r="E146" t="str">
            <v>염료</v>
          </cell>
          <cell r="F146" t="str">
            <v>2PLY</v>
          </cell>
        </row>
        <row r="147">
          <cell r="A147">
            <v>25153</v>
          </cell>
          <cell r="B147" t="str">
            <v>SCF-DM-METAL35</v>
          </cell>
          <cell r="C147" t="str">
            <v>제품</v>
          </cell>
          <cell r="D147" t="str">
            <v>윈도우 제품군</v>
          </cell>
          <cell r="E147" t="str">
            <v>염료</v>
          </cell>
          <cell r="F147" t="str">
            <v>2PLY</v>
          </cell>
        </row>
        <row r="148">
          <cell r="A148">
            <v>25154</v>
          </cell>
          <cell r="B148" t="str">
            <v>SCF-DC-RGG15(0.8)</v>
          </cell>
          <cell r="C148" t="str">
            <v>제품</v>
          </cell>
          <cell r="D148" t="str">
            <v>윈도우 제품군</v>
          </cell>
          <cell r="E148" t="str">
            <v>염료</v>
          </cell>
          <cell r="F148" t="str">
            <v>2PLY</v>
          </cell>
        </row>
        <row r="149">
          <cell r="A149">
            <v>25155</v>
          </cell>
          <cell r="B149" t="str">
            <v>SCF-DC-RGP10(0.8)</v>
          </cell>
          <cell r="C149" t="str">
            <v>제품</v>
          </cell>
          <cell r="D149" t="str">
            <v>윈도우 제품군</v>
          </cell>
          <cell r="E149" t="str">
            <v>염료</v>
          </cell>
          <cell r="F149" t="str">
            <v>2PLY</v>
          </cell>
        </row>
        <row r="150">
          <cell r="A150">
            <v>25156</v>
          </cell>
          <cell r="B150" t="str">
            <v>SCF-DC-RGB05(0.8)</v>
          </cell>
          <cell r="C150" t="str">
            <v>제품</v>
          </cell>
          <cell r="D150" t="str">
            <v>윈도우 제품군</v>
          </cell>
          <cell r="E150" t="str">
            <v>염료</v>
          </cell>
          <cell r="F150" t="str">
            <v>2PLY</v>
          </cell>
        </row>
        <row r="151">
          <cell r="A151">
            <v>25157</v>
          </cell>
          <cell r="B151" t="str">
            <v>SCF-DM-AGR05(0.2)</v>
          </cell>
          <cell r="C151" t="str">
            <v>제품</v>
          </cell>
          <cell r="D151" t="str">
            <v>윈도우 제품군</v>
          </cell>
          <cell r="E151" t="str">
            <v>염료</v>
          </cell>
          <cell r="F151" t="str">
            <v>2PLY</v>
          </cell>
        </row>
        <row r="152">
          <cell r="A152">
            <v>25158</v>
          </cell>
          <cell r="B152" t="str">
            <v>SCF-DM-AGR15(0.2)</v>
          </cell>
          <cell r="C152" t="str">
            <v>제품</v>
          </cell>
          <cell r="D152" t="str">
            <v>윈도우 제품군</v>
          </cell>
          <cell r="E152" t="str">
            <v>염료</v>
          </cell>
          <cell r="F152" t="str">
            <v>2PLY</v>
          </cell>
        </row>
        <row r="153">
          <cell r="A153">
            <v>25159</v>
          </cell>
          <cell r="B153" t="str">
            <v>SCF-DM-AGR35(0.2)</v>
          </cell>
          <cell r="C153" t="str">
            <v>제품</v>
          </cell>
          <cell r="D153" t="str">
            <v>윈도우 제품군</v>
          </cell>
          <cell r="E153" t="str">
            <v>염료</v>
          </cell>
          <cell r="F153" t="str">
            <v>2PLY</v>
          </cell>
        </row>
        <row r="154">
          <cell r="A154">
            <v>25160</v>
          </cell>
          <cell r="B154" t="str">
            <v>SCF-DM-AGR50(0.2)</v>
          </cell>
          <cell r="C154" t="str">
            <v>제품</v>
          </cell>
          <cell r="D154" t="str">
            <v>윈도우 제품군</v>
          </cell>
          <cell r="E154" t="str">
            <v>염료</v>
          </cell>
          <cell r="F154" t="str">
            <v>2PLY</v>
          </cell>
        </row>
        <row r="155">
          <cell r="A155">
            <v>25161</v>
          </cell>
          <cell r="B155" t="str">
            <v>SCF-DM-AGY05(0.2)</v>
          </cell>
          <cell r="C155" t="str">
            <v>제품</v>
          </cell>
          <cell r="D155" t="str">
            <v>윈도우 제품군</v>
          </cell>
          <cell r="E155" t="str">
            <v>염료</v>
          </cell>
          <cell r="F155" t="str">
            <v>2PLY</v>
          </cell>
        </row>
        <row r="156">
          <cell r="A156">
            <v>25162</v>
          </cell>
          <cell r="B156" t="str">
            <v>SCF-DM-AGY15(0.2)</v>
          </cell>
          <cell r="C156" t="str">
            <v>제품</v>
          </cell>
          <cell r="D156" t="str">
            <v>윈도우 제품군</v>
          </cell>
          <cell r="E156" t="str">
            <v>염료</v>
          </cell>
          <cell r="F156" t="str">
            <v>2PLY</v>
          </cell>
        </row>
        <row r="157">
          <cell r="A157">
            <v>25163</v>
          </cell>
          <cell r="B157" t="str">
            <v>SCF-DM-AGY35(0.2)</v>
          </cell>
          <cell r="C157" t="str">
            <v>제품</v>
          </cell>
          <cell r="D157" t="str">
            <v>윈도우 제품군</v>
          </cell>
          <cell r="E157" t="str">
            <v>염료</v>
          </cell>
          <cell r="F157" t="str">
            <v>2PLY</v>
          </cell>
        </row>
        <row r="158">
          <cell r="A158">
            <v>25164</v>
          </cell>
          <cell r="B158" t="str">
            <v>SCF-DM-ATN33(0.3)</v>
          </cell>
          <cell r="C158" t="str">
            <v>제품</v>
          </cell>
          <cell r="D158" t="str">
            <v>윈도우 제품군</v>
          </cell>
          <cell r="E158" t="str">
            <v>염료</v>
          </cell>
          <cell r="F158" t="str">
            <v>2PLY</v>
          </cell>
        </row>
        <row r="159">
          <cell r="A159">
            <v>25165</v>
          </cell>
          <cell r="B159" t="str">
            <v>SCF-DM-ATN28(0.3)</v>
          </cell>
          <cell r="C159" t="str">
            <v>제품</v>
          </cell>
          <cell r="D159" t="str">
            <v>윈도우 제품군</v>
          </cell>
          <cell r="E159" t="str">
            <v>염료</v>
          </cell>
          <cell r="F159" t="str">
            <v>2PLY</v>
          </cell>
        </row>
        <row r="160">
          <cell r="A160">
            <v>25166</v>
          </cell>
          <cell r="B160" t="str">
            <v>SCF-DC-DGN30(0.3)</v>
          </cell>
          <cell r="C160" t="str">
            <v>제품</v>
          </cell>
          <cell r="D160" t="str">
            <v>윈도우 제품군</v>
          </cell>
          <cell r="E160" t="str">
            <v>염료</v>
          </cell>
          <cell r="F160" t="str">
            <v>2PLY</v>
          </cell>
        </row>
        <row r="161">
          <cell r="A161">
            <v>25167</v>
          </cell>
          <cell r="B161" t="str">
            <v>SCF-DM-RGN10(0.8)</v>
          </cell>
          <cell r="C161" t="str">
            <v>제품</v>
          </cell>
          <cell r="D161" t="str">
            <v>윈도우 제품군</v>
          </cell>
          <cell r="E161" t="str">
            <v>염료</v>
          </cell>
          <cell r="F161" t="str">
            <v>2PLY</v>
          </cell>
        </row>
        <row r="162">
          <cell r="A162">
            <v>25168</v>
          </cell>
          <cell r="B162" t="str">
            <v>SCF-DC-SL55(0.3)</v>
          </cell>
          <cell r="C162" t="str">
            <v>제품</v>
          </cell>
          <cell r="D162" t="str">
            <v>윈도우 제품군</v>
          </cell>
          <cell r="E162" t="str">
            <v>염료</v>
          </cell>
          <cell r="F162" t="str">
            <v>2PLY</v>
          </cell>
        </row>
        <row r="163">
          <cell r="A163">
            <v>25170</v>
          </cell>
          <cell r="B163" t="str">
            <v>SCF-DC-BC30(0.5)</v>
          </cell>
          <cell r="C163" t="str">
            <v>제품</v>
          </cell>
          <cell r="D163" t="str">
            <v>윈도우 제품군</v>
          </cell>
          <cell r="E163" t="str">
            <v>염료</v>
          </cell>
          <cell r="F163" t="str">
            <v>2PLY</v>
          </cell>
        </row>
        <row r="164">
          <cell r="A164">
            <v>25171</v>
          </cell>
          <cell r="B164" t="str">
            <v>SCF-DM-BC30(0.4)</v>
          </cell>
          <cell r="C164" t="str">
            <v>제품</v>
          </cell>
          <cell r="D164" t="str">
            <v>윈도우 제품군</v>
          </cell>
          <cell r="E164" t="str">
            <v>염료</v>
          </cell>
          <cell r="F164" t="str">
            <v>2PLY</v>
          </cell>
        </row>
        <row r="165">
          <cell r="A165">
            <v>25172</v>
          </cell>
          <cell r="B165" t="str">
            <v>SCF-DC-VIOLET50(0.3)</v>
          </cell>
          <cell r="C165" t="str">
            <v>제품</v>
          </cell>
          <cell r="D165" t="str">
            <v>윈도우 제품군</v>
          </cell>
          <cell r="E165" t="str">
            <v>염료</v>
          </cell>
          <cell r="F165" t="str">
            <v>2PLY</v>
          </cell>
        </row>
        <row r="166">
          <cell r="A166">
            <v>25173</v>
          </cell>
          <cell r="B166" t="str">
            <v>SCF-DM-RBS21</v>
          </cell>
          <cell r="C166" t="str">
            <v>제품</v>
          </cell>
          <cell r="D166" t="str">
            <v>윈도우 제품군</v>
          </cell>
          <cell r="E166" t="str">
            <v>염료</v>
          </cell>
          <cell r="F166" t="str">
            <v>2PLY</v>
          </cell>
        </row>
        <row r="167">
          <cell r="A167">
            <v>25174</v>
          </cell>
          <cell r="B167" t="str">
            <v>SCF-DM-RBS21R(0.5)</v>
          </cell>
          <cell r="C167" t="str">
            <v>제품</v>
          </cell>
          <cell r="D167" t="str">
            <v>윈도우 제품군</v>
          </cell>
          <cell r="E167" t="str">
            <v>염료</v>
          </cell>
          <cell r="F167" t="str">
            <v>2PLY</v>
          </cell>
        </row>
        <row r="168">
          <cell r="A168">
            <v>25176</v>
          </cell>
          <cell r="B168" t="str">
            <v>SCF-DC-HP22(0.3)</v>
          </cell>
          <cell r="C168" t="str">
            <v>제품</v>
          </cell>
          <cell r="D168" t="str">
            <v>윈도우 제품군</v>
          </cell>
          <cell r="E168" t="str">
            <v>염료</v>
          </cell>
          <cell r="F168" t="str">
            <v>2PLY</v>
          </cell>
        </row>
        <row r="169">
          <cell r="A169">
            <v>25177</v>
          </cell>
          <cell r="B169" t="str">
            <v>SCF-DC-RNT25(0.5)</v>
          </cell>
          <cell r="C169" t="str">
            <v>제품</v>
          </cell>
          <cell r="D169" t="str">
            <v>윈도우 제품군</v>
          </cell>
          <cell r="E169" t="str">
            <v>염료</v>
          </cell>
          <cell r="F169" t="str">
            <v>2PLY</v>
          </cell>
        </row>
        <row r="170">
          <cell r="A170">
            <v>25178</v>
          </cell>
          <cell r="B170" t="str">
            <v>SCF-DC-RNT40(0.3)</v>
          </cell>
          <cell r="C170" t="str">
            <v>제품</v>
          </cell>
          <cell r="D170" t="str">
            <v>윈도우 제품군</v>
          </cell>
          <cell r="E170" t="str">
            <v>염료</v>
          </cell>
          <cell r="F170" t="str">
            <v>2PLY</v>
          </cell>
        </row>
        <row r="171">
          <cell r="A171">
            <v>25179</v>
          </cell>
          <cell r="B171" t="str">
            <v>SCF-DC-NEUTRAL25(0.4)</v>
          </cell>
          <cell r="C171" t="str">
            <v>제품</v>
          </cell>
          <cell r="D171" t="str">
            <v>윈도우 제품군</v>
          </cell>
          <cell r="E171" t="str">
            <v>염료</v>
          </cell>
          <cell r="F171" t="str">
            <v>2PLY</v>
          </cell>
        </row>
        <row r="172">
          <cell r="A172">
            <v>25180</v>
          </cell>
          <cell r="B172" t="str">
            <v>SCF-DC-NEUTRAL45(0.3)</v>
          </cell>
          <cell r="C172" t="str">
            <v>제품</v>
          </cell>
          <cell r="D172" t="str">
            <v>윈도우 제품군</v>
          </cell>
          <cell r="E172" t="str">
            <v>염료</v>
          </cell>
          <cell r="F172" t="str">
            <v>2PLY</v>
          </cell>
        </row>
        <row r="173">
          <cell r="A173">
            <v>25181</v>
          </cell>
          <cell r="B173" t="str">
            <v>SCF-DM-RSS15(0.8)</v>
          </cell>
          <cell r="C173" t="str">
            <v>제품</v>
          </cell>
          <cell r="D173" t="str">
            <v>윈도우 제품군</v>
          </cell>
          <cell r="E173" t="str">
            <v>염료</v>
          </cell>
          <cell r="F173" t="str">
            <v>2PLY</v>
          </cell>
        </row>
        <row r="174">
          <cell r="A174">
            <v>25182</v>
          </cell>
          <cell r="B174" t="str">
            <v>SCF-DM-SS35(0.3)</v>
          </cell>
          <cell r="C174" t="str">
            <v>제품</v>
          </cell>
          <cell r="D174" t="str">
            <v>윈도우 제품군</v>
          </cell>
          <cell r="E174" t="str">
            <v>염료</v>
          </cell>
          <cell r="F174" t="str">
            <v>2PLY</v>
          </cell>
        </row>
        <row r="175">
          <cell r="A175">
            <v>25183</v>
          </cell>
          <cell r="B175" t="str">
            <v>SCF-DM-RSS35(0.6)</v>
          </cell>
          <cell r="C175" t="str">
            <v>제품</v>
          </cell>
          <cell r="D175" t="str">
            <v>윈도우 제품군</v>
          </cell>
          <cell r="E175" t="str">
            <v>염료</v>
          </cell>
          <cell r="F175" t="str">
            <v>2PLY</v>
          </cell>
        </row>
        <row r="176">
          <cell r="A176">
            <v>25184</v>
          </cell>
          <cell r="B176" t="str">
            <v>SCF-DM-CHBR40(0.3)</v>
          </cell>
          <cell r="C176" t="str">
            <v>제품</v>
          </cell>
          <cell r="D176" t="str">
            <v>윈도우 제품군</v>
          </cell>
          <cell r="E176" t="str">
            <v>염료</v>
          </cell>
          <cell r="F176" t="str">
            <v>2PLY</v>
          </cell>
        </row>
        <row r="177">
          <cell r="A177">
            <v>25185</v>
          </cell>
          <cell r="B177" t="str">
            <v>SCF-DM-GLARL15(0.4)</v>
          </cell>
          <cell r="C177" t="str">
            <v>제품</v>
          </cell>
          <cell r="D177" t="str">
            <v>윈도우 제품군</v>
          </cell>
          <cell r="E177" t="str">
            <v>염료</v>
          </cell>
          <cell r="F177" t="str">
            <v>2PLY</v>
          </cell>
        </row>
        <row r="178">
          <cell r="A178">
            <v>25186</v>
          </cell>
          <cell r="B178" t="str">
            <v>SCF-DM-GLARL20(0.4)</v>
          </cell>
          <cell r="C178" t="str">
            <v>제품</v>
          </cell>
          <cell r="D178" t="str">
            <v>윈도우 제품군</v>
          </cell>
          <cell r="E178" t="str">
            <v>염료</v>
          </cell>
          <cell r="F178" t="str">
            <v>2PLY</v>
          </cell>
        </row>
        <row r="179">
          <cell r="A179">
            <v>25187</v>
          </cell>
          <cell r="B179" t="str">
            <v>SCF-DC-CV27(3M25GLARL- 28%)0.4</v>
          </cell>
          <cell r="C179" t="str">
            <v>제품</v>
          </cell>
          <cell r="D179" t="str">
            <v>윈도우 제품군</v>
          </cell>
          <cell r="E179" t="str">
            <v>염료</v>
          </cell>
          <cell r="F179" t="str">
            <v>2PLY</v>
          </cell>
        </row>
        <row r="180">
          <cell r="A180">
            <v>25188</v>
          </cell>
          <cell r="B180" t="str">
            <v>SCF-DM-ALL SILVER BLUE 20(0.6)</v>
          </cell>
          <cell r="C180" t="str">
            <v>제품</v>
          </cell>
          <cell r="D180" t="str">
            <v>윈도우 제품군</v>
          </cell>
          <cell r="E180" t="str">
            <v>염료</v>
          </cell>
          <cell r="F180" t="str">
            <v>2PLY</v>
          </cell>
        </row>
        <row r="181">
          <cell r="A181">
            <v>25189</v>
          </cell>
          <cell r="B181" t="str">
            <v>SCF-DM-CRG55(0.25)</v>
          </cell>
          <cell r="C181" t="str">
            <v>제품</v>
          </cell>
          <cell r="D181" t="str">
            <v>윈도우 제품군</v>
          </cell>
          <cell r="E181" t="str">
            <v>염료</v>
          </cell>
          <cell r="F181" t="str">
            <v>2PLY</v>
          </cell>
        </row>
        <row r="182">
          <cell r="A182">
            <v>25190</v>
          </cell>
          <cell r="B182" t="str">
            <v>SCF-DM-CRG65(0.2)</v>
          </cell>
          <cell r="C182" t="str">
            <v>제품</v>
          </cell>
          <cell r="D182" t="str">
            <v>윈도우 제품군</v>
          </cell>
          <cell r="E182" t="str">
            <v>염료</v>
          </cell>
          <cell r="F182" t="str">
            <v>2PLY</v>
          </cell>
        </row>
        <row r="183">
          <cell r="A183">
            <v>25191</v>
          </cell>
          <cell r="B183" t="str">
            <v>SCF-DM-LGN55(0.25)</v>
          </cell>
          <cell r="C183" t="str">
            <v>제품</v>
          </cell>
          <cell r="D183" t="str">
            <v>윈도우 제품군</v>
          </cell>
          <cell r="E183" t="str">
            <v>염료</v>
          </cell>
          <cell r="F183" t="str">
            <v>2PLY</v>
          </cell>
        </row>
        <row r="184">
          <cell r="A184">
            <v>25192</v>
          </cell>
          <cell r="B184" t="str">
            <v>SCF-DM-CSK60(0.25)</v>
          </cell>
          <cell r="C184" t="str">
            <v>제품</v>
          </cell>
          <cell r="D184" t="str">
            <v>윈도우 제품군</v>
          </cell>
          <cell r="E184" t="str">
            <v>염료</v>
          </cell>
          <cell r="F184" t="str">
            <v>2PLY</v>
          </cell>
        </row>
        <row r="185">
          <cell r="A185">
            <v>25193</v>
          </cell>
          <cell r="B185" t="str">
            <v>SCF-DM-LGY40(0.25)</v>
          </cell>
          <cell r="C185" t="str">
            <v>제품</v>
          </cell>
          <cell r="D185" t="str">
            <v>윈도우 제품군</v>
          </cell>
          <cell r="E185" t="str">
            <v>염료</v>
          </cell>
          <cell r="F185" t="str">
            <v>2PLY</v>
          </cell>
        </row>
        <row r="186">
          <cell r="A186">
            <v>25194</v>
          </cell>
          <cell r="B186" t="str">
            <v>SCF-DM-GSR35</v>
          </cell>
          <cell r="C186" t="str">
            <v>제품</v>
          </cell>
          <cell r="D186" t="str">
            <v>윈도우 제품군</v>
          </cell>
          <cell r="E186" t="str">
            <v>염료</v>
          </cell>
          <cell r="F186" t="str">
            <v>2PLY</v>
          </cell>
        </row>
        <row r="187">
          <cell r="A187">
            <v>25195</v>
          </cell>
          <cell r="B187" t="str">
            <v>SCF-DM-SGY27</v>
          </cell>
          <cell r="C187" t="str">
            <v>제품</v>
          </cell>
          <cell r="D187" t="str">
            <v>윈도우 제품군</v>
          </cell>
          <cell r="E187" t="str">
            <v>염료</v>
          </cell>
          <cell r="F187" t="str">
            <v>2PLY</v>
          </cell>
        </row>
        <row r="188">
          <cell r="A188">
            <v>25196</v>
          </cell>
          <cell r="B188" t="str">
            <v>SCF-DM-CGY26(0.3)</v>
          </cell>
          <cell r="C188" t="str">
            <v>제품</v>
          </cell>
          <cell r="D188" t="str">
            <v>윈도우 제품군</v>
          </cell>
          <cell r="E188" t="str">
            <v>염료</v>
          </cell>
          <cell r="F188" t="str">
            <v>2PLY</v>
          </cell>
        </row>
        <row r="189">
          <cell r="A189">
            <v>25197</v>
          </cell>
          <cell r="B189" t="str">
            <v>SCF-DM-GSR23(0.4)</v>
          </cell>
          <cell r="C189" t="str">
            <v>제품</v>
          </cell>
          <cell r="D189" t="str">
            <v>윈도우 제품군</v>
          </cell>
          <cell r="E189" t="str">
            <v>염료</v>
          </cell>
          <cell r="F189" t="str">
            <v>2PLY</v>
          </cell>
        </row>
        <row r="190">
          <cell r="A190">
            <v>25198</v>
          </cell>
          <cell r="B190" t="str">
            <v>SCF-DM-GSR23-1</v>
          </cell>
          <cell r="C190" t="str">
            <v>제품</v>
          </cell>
          <cell r="D190" t="str">
            <v>윈도우 제품군</v>
          </cell>
          <cell r="E190" t="str">
            <v>염료</v>
          </cell>
          <cell r="F190" t="str">
            <v>2PLY</v>
          </cell>
        </row>
        <row r="191">
          <cell r="A191">
            <v>25199</v>
          </cell>
          <cell r="B191" t="str">
            <v>SCF-DM-VBL10(0.4)</v>
          </cell>
          <cell r="C191" t="str">
            <v>제품</v>
          </cell>
          <cell r="D191" t="str">
            <v>윈도우 제품군</v>
          </cell>
          <cell r="E191" t="str">
            <v>염료</v>
          </cell>
          <cell r="F191" t="str">
            <v>2PLY</v>
          </cell>
        </row>
        <row r="192">
          <cell r="A192">
            <v>25200</v>
          </cell>
          <cell r="B192" t="str">
            <v>SCF-DM-VBL20(0.4)</v>
          </cell>
          <cell r="C192" t="str">
            <v>제품</v>
          </cell>
          <cell r="D192" t="str">
            <v>윈도우 제품군</v>
          </cell>
          <cell r="E192" t="str">
            <v>염료</v>
          </cell>
          <cell r="F192" t="str">
            <v>2PLY</v>
          </cell>
        </row>
        <row r="193">
          <cell r="A193">
            <v>25201</v>
          </cell>
          <cell r="B193" t="str">
            <v>SCF-DM-SGY30(0.3)</v>
          </cell>
          <cell r="C193" t="str">
            <v>제품</v>
          </cell>
          <cell r="D193" t="str">
            <v>윈도우 제품군</v>
          </cell>
          <cell r="E193" t="str">
            <v>염료</v>
          </cell>
          <cell r="F193" t="str">
            <v>2PLY</v>
          </cell>
        </row>
        <row r="194">
          <cell r="A194">
            <v>25203</v>
          </cell>
          <cell r="B194" t="str">
            <v>SCF-DC-CRS45(0.4)</v>
          </cell>
          <cell r="C194" t="str">
            <v>제품</v>
          </cell>
          <cell r="D194" t="str">
            <v>윈도우 제품군</v>
          </cell>
          <cell r="E194" t="str">
            <v>염료</v>
          </cell>
          <cell r="F194" t="str">
            <v>2PLY</v>
          </cell>
        </row>
        <row r="195">
          <cell r="A195">
            <v>25204</v>
          </cell>
          <cell r="B195" t="str">
            <v>SCF-DM-DSK25(0.3)</v>
          </cell>
          <cell r="C195" t="str">
            <v>제품</v>
          </cell>
          <cell r="D195" t="str">
            <v>윈도우 제품군</v>
          </cell>
          <cell r="E195" t="str">
            <v>염료</v>
          </cell>
          <cell r="F195" t="str">
            <v>2PLY</v>
          </cell>
        </row>
        <row r="196">
          <cell r="A196">
            <v>25205</v>
          </cell>
          <cell r="B196" t="str">
            <v>SCF-DM-S35(0.4)</v>
          </cell>
          <cell r="C196" t="str">
            <v>제품</v>
          </cell>
          <cell r="D196" t="str">
            <v>윈도우 제품군</v>
          </cell>
          <cell r="E196" t="str">
            <v>염료</v>
          </cell>
          <cell r="F196" t="str">
            <v>2PLY</v>
          </cell>
        </row>
        <row r="197">
          <cell r="A197">
            <v>25206</v>
          </cell>
          <cell r="B197" t="str">
            <v>SCF-DC-CRS55(0.3)</v>
          </cell>
          <cell r="C197" t="str">
            <v>제품</v>
          </cell>
          <cell r="D197" t="str">
            <v>윈도우 제품군</v>
          </cell>
          <cell r="E197" t="str">
            <v>염료</v>
          </cell>
          <cell r="F197" t="str">
            <v>2PLY</v>
          </cell>
        </row>
        <row r="198">
          <cell r="A198">
            <v>25207</v>
          </cell>
          <cell r="B198" t="str">
            <v>SCF-DM-SGR15(0.3)</v>
          </cell>
          <cell r="C198" t="str">
            <v>제품</v>
          </cell>
          <cell r="D198" t="str">
            <v>윈도우 제품군</v>
          </cell>
          <cell r="E198" t="str">
            <v>염료</v>
          </cell>
          <cell r="F198" t="str">
            <v>2PLY</v>
          </cell>
        </row>
        <row r="199">
          <cell r="A199">
            <v>25208</v>
          </cell>
          <cell r="B199" t="str">
            <v>SCF-DM-USB07(0.8)</v>
          </cell>
          <cell r="C199" t="str">
            <v>제품</v>
          </cell>
          <cell r="D199" t="str">
            <v>윈도우 제품군</v>
          </cell>
          <cell r="E199" t="str">
            <v>염료</v>
          </cell>
          <cell r="F199" t="str">
            <v>2PLY</v>
          </cell>
        </row>
        <row r="200">
          <cell r="A200">
            <v>25209</v>
          </cell>
          <cell r="B200" t="str">
            <v>SCF-DC-G53R(0.3)</v>
          </cell>
          <cell r="C200" t="str">
            <v>제품</v>
          </cell>
          <cell r="D200" t="str">
            <v>윈도우 제품군</v>
          </cell>
          <cell r="E200" t="str">
            <v>염료</v>
          </cell>
          <cell r="F200" t="str">
            <v>2PLY</v>
          </cell>
        </row>
        <row r="201">
          <cell r="A201">
            <v>25211</v>
          </cell>
          <cell r="B201" t="str">
            <v>SCF-DM-B09D(0.3)</v>
          </cell>
          <cell r="C201" t="str">
            <v>제품</v>
          </cell>
          <cell r="D201" t="str">
            <v>윈도우 제품군</v>
          </cell>
          <cell r="E201" t="str">
            <v>염료</v>
          </cell>
          <cell r="F201" t="str">
            <v>2PLY</v>
          </cell>
        </row>
        <row r="202">
          <cell r="A202">
            <v>25212</v>
          </cell>
          <cell r="B202" t="str">
            <v>SCF-DM-C08(0.2)</v>
          </cell>
          <cell r="C202" t="str">
            <v>제품</v>
          </cell>
          <cell r="D202" t="str">
            <v>윈도우 제품군</v>
          </cell>
          <cell r="E202" t="str">
            <v>염료</v>
          </cell>
          <cell r="F202" t="str">
            <v>2PLY</v>
          </cell>
        </row>
        <row r="203">
          <cell r="A203">
            <v>25213</v>
          </cell>
          <cell r="B203" t="str">
            <v>SCF-DM-G35(0.3)</v>
          </cell>
          <cell r="C203" t="str">
            <v>제품</v>
          </cell>
          <cell r="D203" t="str">
            <v>윈도우 제품군</v>
          </cell>
          <cell r="E203" t="str">
            <v>염료</v>
          </cell>
          <cell r="F203" t="str">
            <v>2PLY</v>
          </cell>
        </row>
        <row r="204">
          <cell r="A204">
            <v>25215</v>
          </cell>
          <cell r="B204" t="str">
            <v>SCF-DC-G40D(0.3)</v>
          </cell>
          <cell r="C204" t="str">
            <v>제품</v>
          </cell>
          <cell r="D204" t="str">
            <v>윈도우 제품군</v>
          </cell>
          <cell r="E204" t="str">
            <v>염료</v>
          </cell>
          <cell r="F204" t="str">
            <v>2PLY</v>
          </cell>
        </row>
        <row r="205">
          <cell r="A205">
            <v>25216</v>
          </cell>
          <cell r="B205" t="str">
            <v>SCF-DC-GN35(0.3)</v>
          </cell>
          <cell r="C205" t="str">
            <v>제품</v>
          </cell>
          <cell r="D205" t="str">
            <v>윈도우 제품군</v>
          </cell>
          <cell r="E205" t="str">
            <v>염료</v>
          </cell>
          <cell r="F205" t="str">
            <v>2PLY</v>
          </cell>
        </row>
        <row r="206">
          <cell r="A206">
            <v>25217</v>
          </cell>
          <cell r="B206" t="str">
            <v>SCF-DM-GR46D(0.3)</v>
          </cell>
          <cell r="C206" t="str">
            <v>제품</v>
          </cell>
          <cell r="D206" t="str">
            <v>윈도우 제품군</v>
          </cell>
          <cell r="E206" t="str">
            <v>염료</v>
          </cell>
          <cell r="F206" t="str">
            <v>2PLY</v>
          </cell>
        </row>
        <row r="207">
          <cell r="A207">
            <v>25218</v>
          </cell>
          <cell r="B207" t="str">
            <v>SCF-DC-GR15D(0.3)</v>
          </cell>
          <cell r="C207" t="str">
            <v>제품</v>
          </cell>
          <cell r="D207" t="str">
            <v>윈도우 제품군</v>
          </cell>
          <cell r="E207" t="str">
            <v>염료</v>
          </cell>
          <cell r="F207" t="str">
            <v>2PLY</v>
          </cell>
        </row>
        <row r="208">
          <cell r="A208">
            <v>25219</v>
          </cell>
          <cell r="B208" t="str">
            <v>SCF-DM-G53HT</v>
          </cell>
          <cell r="C208" t="str">
            <v>제품</v>
          </cell>
          <cell r="D208" t="str">
            <v>윈도우 제품군</v>
          </cell>
          <cell r="E208" t="str">
            <v>염료</v>
          </cell>
          <cell r="F208" t="str">
            <v>2PLY</v>
          </cell>
        </row>
        <row r="209">
          <cell r="A209">
            <v>25220</v>
          </cell>
          <cell r="B209" t="str">
            <v>SCF-DC-G45(0.3)</v>
          </cell>
          <cell r="C209" t="str">
            <v>제품</v>
          </cell>
          <cell r="D209" t="str">
            <v>윈도우 제품군</v>
          </cell>
          <cell r="E209" t="str">
            <v>염료</v>
          </cell>
          <cell r="F209" t="str">
            <v>2PLY</v>
          </cell>
        </row>
        <row r="210">
          <cell r="A210">
            <v>25221</v>
          </cell>
          <cell r="B210" t="str">
            <v>SCF-DC-P27SX(0.5)</v>
          </cell>
          <cell r="C210" t="str">
            <v>제품</v>
          </cell>
          <cell r="D210" t="str">
            <v>윈도우 제품군</v>
          </cell>
          <cell r="E210" t="str">
            <v>염료</v>
          </cell>
          <cell r="F210" t="str">
            <v>2PLY</v>
          </cell>
        </row>
        <row r="211">
          <cell r="A211">
            <v>25222</v>
          </cell>
          <cell r="B211" t="str">
            <v>SCF-DM-B21WF(0.25)</v>
          </cell>
          <cell r="C211" t="str">
            <v>제품</v>
          </cell>
          <cell r="D211" t="str">
            <v>윈도우 제품군</v>
          </cell>
          <cell r="E211" t="str">
            <v>염료</v>
          </cell>
          <cell r="F211" t="str">
            <v>2PLY</v>
          </cell>
        </row>
        <row r="212">
          <cell r="A212">
            <v>25223</v>
          </cell>
          <cell r="B212" t="str">
            <v>SCF-DM-G53WF</v>
          </cell>
          <cell r="C212" t="str">
            <v>제품</v>
          </cell>
          <cell r="D212" t="str">
            <v>윈도우 제품군</v>
          </cell>
          <cell r="E212" t="str">
            <v>염료</v>
          </cell>
          <cell r="F212" t="str">
            <v>2PLY</v>
          </cell>
        </row>
        <row r="213">
          <cell r="A213">
            <v>25224</v>
          </cell>
          <cell r="B213" t="str">
            <v>SCF-DM-HT60(0.2)</v>
          </cell>
          <cell r="C213" t="str">
            <v>제품</v>
          </cell>
          <cell r="D213" t="str">
            <v>윈도우 제품군</v>
          </cell>
          <cell r="E213" t="str">
            <v>염료</v>
          </cell>
          <cell r="F213" t="str">
            <v>2PLY</v>
          </cell>
        </row>
        <row r="214">
          <cell r="A214">
            <v>25225</v>
          </cell>
          <cell r="B214" t="str">
            <v>SCF-DM-LIMO BLACK 09(0.2)</v>
          </cell>
          <cell r="C214" t="str">
            <v>제품</v>
          </cell>
          <cell r="D214" t="str">
            <v>윈도우 제품군</v>
          </cell>
          <cell r="E214" t="str">
            <v>염료</v>
          </cell>
          <cell r="F214" t="str">
            <v>2PLY</v>
          </cell>
        </row>
        <row r="215">
          <cell r="A215">
            <v>25226</v>
          </cell>
          <cell r="B215" t="str">
            <v>SCF-DM-F(0.2)</v>
          </cell>
          <cell r="C215" t="str">
            <v>제품</v>
          </cell>
          <cell r="D215" t="str">
            <v>윈도우 제품군</v>
          </cell>
          <cell r="E215" t="str">
            <v>염료</v>
          </cell>
          <cell r="F215" t="str">
            <v>2PLY</v>
          </cell>
        </row>
        <row r="216">
          <cell r="A216">
            <v>25227</v>
          </cell>
          <cell r="B216" t="str">
            <v>SCF-DM-CL65(0.2)</v>
          </cell>
          <cell r="C216" t="str">
            <v>제품</v>
          </cell>
          <cell r="D216" t="str">
            <v>윈도우 제품군</v>
          </cell>
          <cell r="E216" t="str">
            <v>염료</v>
          </cell>
          <cell r="F216" t="str">
            <v>2PLY</v>
          </cell>
        </row>
        <row r="217">
          <cell r="A217">
            <v>25228</v>
          </cell>
          <cell r="B217" t="str">
            <v>SCF-DC-SL20(0.5)</v>
          </cell>
          <cell r="C217" t="str">
            <v>제품</v>
          </cell>
          <cell r="D217" t="str">
            <v>윈도우 제품군</v>
          </cell>
          <cell r="E217" t="str">
            <v>염료</v>
          </cell>
          <cell r="F217" t="str">
            <v>2PLY</v>
          </cell>
        </row>
        <row r="218">
          <cell r="A218">
            <v>25229</v>
          </cell>
          <cell r="B218" t="str">
            <v>SCF-DM-K18(0.3)</v>
          </cell>
          <cell r="C218" t="str">
            <v>제품</v>
          </cell>
          <cell r="D218" t="str">
            <v>윈도우 제품군</v>
          </cell>
          <cell r="E218" t="str">
            <v>염료</v>
          </cell>
          <cell r="F218" t="str">
            <v>2PLY</v>
          </cell>
        </row>
        <row r="219">
          <cell r="A219">
            <v>25230</v>
          </cell>
          <cell r="B219" t="str">
            <v>SCF-DM-WEL41</v>
          </cell>
          <cell r="C219" t="str">
            <v>제품</v>
          </cell>
          <cell r="D219" t="str">
            <v>윈도우 제품군</v>
          </cell>
          <cell r="E219" t="str">
            <v>염료</v>
          </cell>
          <cell r="F219" t="str">
            <v>2PLY</v>
          </cell>
        </row>
        <row r="220">
          <cell r="A220">
            <v>25231</v>
          </cell>
          <cell r="B220" t="str">
            <v>SCF-DM-OLIVER GREEN 20</v>
          </cell>
          <cell r="C220" t="str">
            <v>제품</v>
          </cell>
          <cell r="D220" t="str">
            <v>윈도우 제품군</v>
          </cell>
          <cell r="E220" t="str">
            <v>염료</v>
          </cell>
          <cell r="F220" t="str">
            <v>2PLY</v>
          </cell>
        </row>
        <row r="221">
          <cell r="A221">
            <v>25232</v>
          </cell>
          <cell r="B221" t="str">
            <v>SCF-DM-CS23R(0.3)</v>
          </cell>
          <cell r="C221" t="str">
            <v>제품</v>
          </cell>
          <cell r="D221" t="str">
            <v>윈도우 제품군</v>
          </cell>
          <cell r="E221" t="str">
            <v>염료</v>
          </cell>
          <cell r="F221" t="str">
            <v>2PLY</v>
          </cell>
        </row>
        <row r="222">
          <cell r="A222">
            <v>25233</v>
          </cell>
          <cell r="B222" t="str">
            <v>SCF-DM-A60(0.2)</v>
          </cell>
          <cell r="C222" t="str">
            <v>제품</v>
          </cell>
          <cell r="D222" t="str">
            <v>윈도우 제품군</v>
          </cell>
          <cell r="E222" t="str">
            <v>염료</v>
          </cell>
          <cell r="F222" t="str">
            <v>2PLY</v>
          </cell>
        </row>
        <row r="223">
          <cell r="A223">
            <v>25234</v>
          </cell>
          <cell r="B223" t="str">
            <v>SCF-DC-GREEN57(0.25)</v>
          </cell>
          <cell r="C223" t="str">
            <v>제품</v>
          </cell>
          <cell r="D223" t="str">
            <v>윈도우 제품군</v>
          </cell>
          <cell r="E223" t="str">
            <v>염료</v>
          </cell>
          <cell r="F223" t="str">
            <v>2PLY</v>
          </cell>
        </row>
        <row r="224">
          <cell r="A224">
            <v>25235</v>
          </cell>
          <cell r="B224" t="str">
            <v>SCF-DC-GOLD55(0.25)</v>
          </cell>
          <cell r="C224" t="str">
            <v>제품</v>
          </cell>
          <cell r="D224" t="str">
            <v>윈도우 제품군</v>
          </cell>
          <cell r="E224" t="str">
            <v>염료</v>
          </cell>
          <cell r="F224" t="str">
            <v>2PLY</v>
          </cell>
        </row>
        <row r="225">
          <cell r="A225">
            <v>25236</v>
          </cell>
          <cell r="B225" t="str">
            <v>SCF-DM-LR GLARL 15(0.2)</v>
          </cell>
          <cell r="C225" t="str">
            <v>제품</v>
          </cell>
          <cell r="D225" t="str">
            <v>윈도우 제품군</v>
          </cell>
          <cell r="E225" t="str">
            <v>염료</v>
          </cell>
          <cell r="F225" t="str">
            <v>2PLY</v>
          </cell>
        </row>
        <row r="226">
          <cell r="A226">
            <v>25237</v>
          </cell>
          <cell r="B226" t="str">
            <v>SCF-DM-LR GLARL 25(0.2)</v>
          </cell>
          <cell r="C226" t="str">
            <v>제품</v>
          </cell>
          <cell r="D226" t="str">
            <v>윈도우 제품군</v>
          </cell>
          <cell r="E226" t="str">
            <v>염료</v>
          </cell>
          <cell r="F226" t="str">
            <v>2PLY</v>
          </cell>
        </row>
        <row r="227">
          <cell r="A227">
            <v>25238</v>
          </cell>
          <cell r="B227" t="str">
            <v>SCF-DC-BLACK METAL 20(0.25)</v>
          </cell>
          <cell r="C227" t="str">
            <v>제품</v>
          </cell>
          <cell r="D227" t="str">
            <v>윈도우 제품군</v>
          </cell>
          <cell r="E227" t="str">
            <v>염료</v>
          </cell>
          <cell r="F227" t="str">
            <v>2PLY</v>
          </cell>
        </row>
        <row r="228">
          <cell r="A228">
            <v>25239</v>
          </cell>
          <cell r="B228" t="str">
            <v>SCF-DM-DN21(0.25)</v>
          </cell>
          <cell r="C228" t="str">
            <v>제품</v>
          </cell>
          <cell r="D228" t="str">
            <v>윈도우 제품군</v>
          </cell>
          <cell r="E228" t="str">
            <v>염료</v>
          </cell>
          <cell r="F228" t="str">
            <v>2PLY</v>
          </cell>
        </row>
        <row r="229">
          <cell r="A229">
            <v>25240</v>
          </cell>
          <cell r="B229" t="str">
            <v>SCF-DM-CH23(0.3)</v>
          </cell>
          <cell r="C229" t="str">
            <v>제품</v>
          </cell>
          <cell r="D229" t="str">
            <v>윈도우 제품군</v>
          </cell>
          <cell r="E229" t="str">
            <v>염료</v>
          </cell>
          <cell r="F229" t="str">
            <v>2PLY</v>
          </cell>
        </row>
        <row r="230">
          <cell r="A230">
            <v>25241</v>
          </cell>
          <cell r="B230" t="str">
            <v>SCF-DM-SM39</v>
          </cell>
          <cell r="C230" t="str">
            <v>제품</v>
          </cell>
          <cell r="D230" t="str">
            <v>윈도우 제품군</v>
          </cell>
          <cell r="E230" t="str">
            <v>염료</v>
          </cell>
          <cell r="F230" t="str">
            <v>2PLY</v>
          </cell>
        </row>
        <row r="231">
          <cell r="A231">
            <v>25242</v>
          </cell>
          <cell r="B231" t="str">
            <v>SCF-DM-GB42</v>
          </cell>
          <cell r="C231" t="str">
            <v>제품</v>
          </cell>
          <cell r="D231" t="str">
            <v>윈도우 제품군</v>
          </cell>
          <cell r="E231" t="str">
            <v>염료</v>
          </cell>
          <cell r="F231" t="str">
            <v>2PLY</v>
          </cell>
        </row>
        <row r="232">
          <cell r="A232">
            <v>25243</v>
          </cell>
          <cell r="B232" t="str">
            <v>SCF-DB-SOG18(0.5)</v>
          </cell>
          <cell r="C232" t="str">
            <v>제품</v>
          </cell>
          <cell r="D232" t="str">
            <v>윈도우 제품군</v>
          </cell>
          <cell r="E232" t="str">
            <v>염료</v>
          </cell>
          <cell r="F232" t="str">
            <v>2PLY</v>
          </cell>
        </row>
        <row r="233">
          <cell r="A233">
            <v>25244</v>
          </cell>
          <cell r="B233" t="str">
            <v>SCF-DB-VIOLET30</v>
          </cell>
          <cell r="C233" t="str">
            <v>제품</v>
          </cell>
          <cell r="D233" t="str">
            <v>윈도우 제품군</v>
          </cell>
          <cell r="E233" t="str">
            <v>염료</v>
          </cell>
          <cell r="F233" t="str">
            <v>2PLY</v>
          </cell>
        </row>
        <row r="234">
          <cell r="A234">
            <v>25245</v>
          </cell>
          <cell r="B234" t="str">
            <v>SCF-DB-CG05</v>
          </cell>
          <cell r="C234" t="str">
            <v>제품</v>
          </cell>
          <cell r="D234" t="str">
            <v>윈도우 제품군</v>
          </cell>
          <cell r="E234" t="str">
            <v>염료</v>
          </cell>
          <cell r="F234" t="str">
            <v>2PLY</v>
          </cell>
        </row>
        <row r="235">
          <cell r="A235">
            <v>25246</v>
          </cell>
          <cell r="B235" t="str">
            <v>SCF-DB-A903</v>
          </cell>
          <cell r="C235" t="str">
            <v>제품</v>
          </cell>
          <cell r="D235" t="str">
            <v>윈도우 제품군</v>
          </cell>
          <cell r="E235" t="str">
            <v>염료</v>
          </cell>
          <cell r="F235" t="str">
            <v>2PLY</v>
          </cell>
        </row>
        <row r="236">
          <cell r="A236">
            <v>25247</v>
          </cell>
          <cell r="B236" t="str">
            <v>SCF-DB-METAL05</v>
          </cell>
          <cell r="C236" t="str">
            <v>제품</v>
          </cell>
          <cell r="D236" t="str">
            <v>윈도우 제품군</v>
          </cell>
          <cell r="E236" t="str">
            <v>염료</v>
          </cell>
          <cell r="F236" t="str">
            <v>2PLY</v>
          </cell>
        </row>
        <row r="237">
          <cell r="A237">
            <v>25248</v>
          </cell>
          <cell r="B237" t="str">
            <v>SCF-DM-20D(0.25)</v>
          </cell>
          <cell r="C237" t="str">
            <v>제품</v>
          </cell>
          <cell r="D237" t="str">
            <v>윈도우 제품군</v>
          </cell>
          <cell r="E237" t="str">
            <v>염료</v>
          </cell>
          <cell r="F237" t="str">
            <v>2PLY</v>
          </cell>
        </row>
        <row r="238">
          <cell r="A238">
            <v>25249</v>
          </cell>
          <cell r="B238" t="str">
            <v>SCF-DB-1838</v>
          </cell>
          <cell r="C238" t="str">
            <v>제품</v>
          </cell>
          <cell r="D238" t="str">
            <v>윈도우 제품군</v>
          </cell>
          <cell r="E238" t="str">
            <v>염료</v>
          </cell>
          <cell r="F238" t="str">
            <v>2PLY</v>
          </cell>
        </row>
        <row r="239">
          <cell r="A239">
            <v>25270</v>
          </cell>
          <cell r="B239" t="str">
            <v>경박리 실리콘</v>
          </cell>
          <cell r="C239" t="str">
            <v>제품</v>
          </cell>
          <cell r="D239" t="str">
            <v>윈도우 제품군</v>
          </cell>
          <cell r="E239" t="str">
            <v>미분류</v>
          </cell>
          <cell r="F239" t="str">
            <v>미분류</v>
          </cell>
        </row>
        <row r="240">
          <cell r="A240">
            <v>25271</v>
          </cell>
          <cell r="B240" t="str">
            <v>경박리 실리콘</v>
          </cell>
          <cell r="C240" t="str">
            <v>제품</v>
          </cell>
          <cell r="D240" t="str">
            <v>윈도우 제품군</v>
          </cell>
          <cell r="E240" t="str">
            <v>염료</v>
          </cell>
          <cell r="F240" t="str">
            <v>1PLY</v>
          </cell>
        </row>
        <row r="241">
          <cell r="A241">
            <v>25272</v>
          </cell>
          <cell r="B241" t="str">
            <v>중박리 실리콘</v>
          </cell>
          <cell r="C241" t="str">
            <v>제품</v>
          </cell>
          <cell r="D241" t="str">
            <v>윈도우 제품군</v>
          </cell>
          <cell r="E241" t="str">
            <v>미분류</v>
          </cell>
          <cell r="F241" t="str">
            <v>미분류</v>
          </cell>
        </row>
        <row r="242">
          <cell r="A242">
            <v>25277</v>
          </cell>
          <cell r="B242" t="str">
            <v>SF-NS-2MIL</v>
          </cell>
          <cell r="C242" t="str">
            <v>제품</v>
          </cell>
          <cell r="D242" t="str">
            <v>윈도우 제품군</v>
          </cell>
          <cell r="E242" t="str">
            <v>전략</v>
          </cell>
          <cell r="F242" t="str">
            <v>SAFETY</v>
          </cell>
        </row>
        <row r="243">
          <cell r="A243">
            <v>25278</v>
          </cell>
          <cell r="B243" t="str">
            <v>SF-NS-4MIL</v>
          </cell>
          <cell r="C243" t="str">
            <v>제품</v>
          </cell>
          <cell r="D243" t="str">
            <v>윈도우 제품군</v>
          </cell>
          <cell r="E243" t="str">
            <v>전략</v>
          </cell>
          <cell r="F243" t="str">
            <v>SAFETY</v>
          </cell>
        </row>
        <row r="244">
          <cell r="A244">
            <v>25279</v>
          </cell>
          <cell r="B244" t="str">
            <v>SF-ND-8MIL</v>
          </cell>
          <cell r="C244" t="str">
            <v>제품</v>
          </cell>
          <cell r="D244" t="str">
            <v>윈도우 제품군</v>
          </cell>
          <cell r="E244" t="str">
            <v>전략</v>
          </cell>
          <cell r="F244" t="str">
            <v>SAFETY</v>
          </cell>
        </row>
        <row r="245">
          <cell r="A245">
            <v>25280</v>
          </cell>
          <cell r="B245" t="str">
            <v>SF-NT-12MIL</v>
          </cell>
          <cell r="C245" t="str">
            <v>제품</v>
          </cell>
          <cell r="D245" t="str">
            <v>윈도우 제품군</v>
          </cell>
          <cell r="E245" t="str">
            <v>전략</v>
          </cell>
          <cell r="F245" t="str">
            <v>SAFETY</v>
          </cell>
        </row>
        <row r="246">
          <cell r="A246">
            <v>25285</v>
          </cell>
          <cell r="B246" t="str">
            <v>SCF-DC-RNT35(0.3)</v>
          </cell>
          <cell r="C246" t="str">
            <v>제품</v>
          </cell>
          <cell r="D246" t="str">
            <v>윈도우 제품군</v>
          </cell>
          <cell r="E246" t="str">
            <v>염료</v>
          </cell>
          <cell r="F246" t="str">
            <v>2PLY</v>
          </cell>
        </row>
        <row r="247">
          <cell r="A247">
            <v>25286</v>
          </cell>
          <cell r="B247" t="str">
            <v>SCF-DM-CCS05R(0.25)</v>
          </cell>
          <cell r="C247" t="str">
            <v>제품</v>
          </cell>
          <cell r="D247" t="str">
            <v>윈도우 제품군</v>
          </cell>
          <cell r="E247" t="str">
            <v>염료</v>
          </cell>
          <cell r="F247" t="str">
            <v>2PLY</v>
          </cell>
        </row>
        <row r="248">
          <cell r="A248">
            <v>25287</v>
          </cell>
          <cell r="B248" t="str">
            <v>SCF-ND-CCS05</v>
          </cell>
          <cell r="C248" t="str">
            <v>제품</v>
          </cell>
          <cell r="D248" t="str">
            <v>윈도우 제품군</v>
          </cell>
          <cell r="E248" t="str">
            <v>염료</v>
          </cell>
          <cell r="F248" t="str">
            <v>2PLY</v>
          </cell>
        </row>
        <row r="249">
          <cell r="A249">
            <v>25288</v>
          </cell>
          <cell r="B249" t="str">
            <v>SCF-ND-CCS15</v>
          </cell>
          <cell r="C249" t="str">
            <v>제품</v>
          </cell>
          <cell r="D249" t="str">
            <v>윈도우 제품군</v>
          </cell>
          <cell r="E249" t="str">
            <v>염료</v>
          </cell>
          <cell r="F249" t="str">
            <v>2PLY</v>
          </cell>
        </row>
        <row r="250">
          <cell r="A250">
            <v>25289</v>
          </cell>
          <cell r="B250" t="str">
            <v>SCF-ND-CCS20</v>
          </cell>
          <cell r="C250" t="str">
            <v>제품</v>
          </cell>
          <cell r="D250" t="str">
            <v>윈도우 제품군</v>
          </cell>
          <cell r="E250" t="str">
            <v>염료</v>
          </cell>
          <cell r="F250" t="str">
            <v>2PLY</v>
          </cell>
        </row>
        <row r="251">
          <cell r="A251">
            <v>25290</v>
          </cell>
          <cell r="B251" t="str">
            <v>SCF-DC-CCS20R(0.25)</v>
          </cell>
          <cell r="C251" t="str">
            <v>제품</v>
          </cell>
          <cell r="D251" t="str">
            <v>윈도우 제품군</v>
          </cell>
          <cell r="E251" t="str">
            <v>염료</v>
          </cell>
          <cell r="F251" t="str">
            <v>2PLY</v>
          </cell>
        </row>
        <row r="252">
          <cell r="A252">
            <v>25291</v>
          </cell>
          <cell r="B252" t="str">
            <v>SCF-DC-CCS35R(0.25)</v>
          </cell>
          <cell r="C252" t="str">
            <v>제품</v>
          </cell>
          <cell r="D252" t="str">
            <v>윈도우 제품군</v>
          </cell>
          <cell r="E252" t="str">
            <v>염료</v>
          </cell>
          <cell r="F252" t="str">
            <v>2PLY</v>
          </cell>
        </row>
        <row r="253">
          <cell r="A253">
            <v>25292</v>
          </cell>
          <cell r="B253" t="str">
            <v>SCF-ND-CCS35</v>
          </cell>
          <cell r="C253" t="str">
            <v>제품</v>
          </cell>
          <cell r="D253" t="str">
            <v>윈도우 제품군</v>
          </cell>
          <cell r="E253" t="str">
            <v>염료</v>
          </cell>
          <cell r="F253" t="str">
            <v>2PLY</v>
          </cell>
        </row>
        <row r="254">
          <cell r="A254">
            <v>25293</v>
          </cell>
          <cell r="B254" t="str">
            <v>SCF-NS-CCS40</v>
          </cell>
          <cell r="C254" t="str">
            <v>제품</v>
          </cell>
          <cell r="D254" t="str">
            <v>윈도우 제품군</v>
          </cell>
          <cell r="E254" t="str">
            <v>염료</v>
          </cell>
          <cell r="F254" t="str">
            <v>1PLY</v>
          </cell>
        </row>
        <row r="255">
          <cell r="A255">
            <v>25294</v>
          </cell>
          <cell r="B255" t="str">
            <v>SCF-NS-CCS01</v>
          </cell>
          <cell r="C255" t="str">
            <v>제품</v>
          </cell>
          <cell r="D255" t="str">
            <v>윈도우 제품군</v>
          </cell>
          <cell r="E255" t="str">
            <v>염료</v>
          </cell>
          <cell r="F255" t="str">
            <v>1PLY</v>
          </cell>
        </row>
        <row r="256">
          <cell r="A256">
            <v>25295</v>
          </cell>
          <cell r="B256" t="str">
            <v>SCF-ND-CCS49</v>
          </cell>
          <cell r="C256" t="str">
            <v>제품</v>
          </cell>
          <cell r="D256" t="str">
            <v>윈도우 제품군</v>
          </cell>
          <cell r="E256" t="str">
            <v>염료</v>
          </cell>
          <cell r="F256" t="str">
            <v>2PLY</v>
          </cell>
        </row>
        <row r="257">
          <cell r="A257">
            <v>25296</v>
          </cell>
          <cell r="B257" t="str">
            <v>SCF-NS-CG05</v>
          </cell>
          <cell r="C257" t="str">
            <v>제품</v>
          </cell>
          <cell r="D257" t="str">
            <v>윈도우 제품군</v>
          </cell>
          <cell r="E257" t="str">
            <v>염료</v>
          </cell>
          <cell r="F257" t="str">
            <v>1PLY</v>
          </cell>
        </row>
        <row r="258">
          <cell r="A258">
            <v>25297</v>
          </cell>
          <cell r="B258" t="str">
            <v>SCF-NS-CG20</v>
          </cell>
          <cell r="C258" t="str">
            <v>제품</v>
          </cell>
          <cell r="D258" t="str">
            <v>윈도우 제품군</v>
          </cell>
          <cell r="E258" t="str">
            <v>염료</v>
          </cell>
          <cell r="F258" t="str">
            <v>1PLY</v>
          </cell>
        </row>
        <row r="259">
          <cell r="A259">
            <v>25298</v>
          </cell>
          <cell r="B259" t="str">
            <v>SCF-NS-CG35</v>
          </cell>
          <cell r="C259" t="str">
            <v>제품</v>
          </cell>
          <cell r="D259" t="str">
            <v>윈도우 제품군</v>
          </cell>
          <cell r="E259" t="str">
            <v>염료</v>
          </cell>
          <cell r="F259" t="str">
            <v>1PLY</v>
          </cell>
        </row>
        <row r="260">
          <cell r="A260">
            <v>25299</v>
          </cell>
          <cell r="B260" t="str">
            <v>SCF-NS-CG50</v>
          </cell>
          <cell r="C260" t="str">
            <v>제품</v>
          </cell>
          <cell r="D260" t="str">
            <v>윈도우 제품군</v>
          </cell>
          <cell r="E260" t="str">
            <v>염료</v>
          </cell>
          <cell r="F260" t="str">
            <v>1PLY</v>
          </cell>
        </row>
        <row r="261">
          <cell r="A261">
            <v>25300</v>
          </cell>
          <cell r="B261" t="str">
            <v>SCF-DM-AGY50(0.2)</v>
          </cell>
          <cell r="C261" t="str">
            <v>제품</v>
          </cell>
          <cell r="D261" t="str">
            <v>윈도우 제품군</v>
          </cell>
          <cell r="E261" t="str">
            <v>염료</v>
          </cell>
          <cell r="F261" t="str">
            <v>2PLY</v>
          </cell>
        </row>
        <row r="262">
          <cell r="A262">
            <v>25301</v>
          </cell>
          <cell r="B262" t="str">
            <v>SCF-ND-A80</v>
          </cell>
          <cell r="C262" t="str">
            <v>제품</v>
          </cell>
          <cell r="D262" t="str">
            <v>윈도우 제품군</v>
          </cell>
          <cell r="E262" t="str">
            <v>염료</v>
          </cell>
          <cell r="F262" t="str">
            <v>2PLY</v>
          </cell>
        </row>
        <row r="263">
          <cell r="A263">
            <v>25302</v>
          </cell>
          <cell r="B263" t="str">
            <v>SCF-DM-AL400(0.4)</v>
          </cell>
          <cell r="C263" t="str">
            <v>제품</v>
          </cell>
          <cell r="D263" t="str">
            <v>윈도우 제품군</v>
          </cell>
          <cell r="E263" t="str">
            <v>염료</v>
          </cell>
          <cell r="F263" t="str">
            <v>2PLY</v>
          </cell>
        </row>
        <row r="264">
          <cell r="A264">
            <v>25303</v>
          </cell>
          <cell r="B264" t="str">
            <v>SCF-NS-MMM05</v>
          </cell>
          <cell r="C264" t="str">
            <v>제품</v>
          </cell>
          <cell r="D264" t="str">
            <v>윈도우 제품군</v>
          </cell>
          <cell r="E264" t="str">
            <v>염료</v>
          </cell>
          <cell r="F264" t="str">
            <v>1PLY</v>
          </cell>
        </row>
        <row r="265">
          <cell r="A265">
            <v>25304</v>
          </cell>
          <cell r="B265" t="str">
            <v>SCF-NS-MMM20</v>
          </cell>
          <cell r="C265" t="str">
            <v>제품</v>
          </cell>
          <cell r="D265" t="str">
            <v>윈도우 제품군</v>
          </cell>
          <cell r="E265" t="str">
            <v>염료</v>
          </cell>
          <cell r="F265" t="str">
            <v>1PLY</v>
          </cell>
        </row>
        <row r="266">
          <cell r="A266">
            <v>25305</v>
          </cell>
          <cell r="B266" t="str">
            <v>SCF-NS-MMM30</v>
          </cell>
          <cell r="C266" t="str">
            <v>제품</v>
          </cell>
          <cell r="D266" t="str">
            <v>윈도우 제품군</v>
          </cell>
          <cell r="E266" t="str">
            <v>염료</v>
          </cell>
          <cell r="F266" t="str">
            <v>1PLY</v>
          </cell>
        </row>
        <row r="267">
          <cell r="A267">
            <v>25306</v>
          </cell>
          <cell r="B267" t="str">
            <v>SCF-NS-MMM38</v>
          </cell>
          <cell r="C267" t="str">
            <v>제품</v>
          </cell>
          <cell r="D267" t="str">
            <v>윈도우 제품군</v>
          </cell>
          <cell r="E267" t="str">
            <v>염료</v>
          </cell>
          <cell r="F267" t="str">
            <v>1PLY</v>
          </cell>
        </row>
        <row r="268">
          <cell r="A268">
            <v>25307</v>
          </cell>
          <cell r="B268" t="str">
            <v>SCF-ND-MMM38S</v>
          </cell>
          <cell r="C268" t="str">
            <v>제품</v>
          </cell>
          <cell r="D268" t="str">
            <v>윈도우 제품군</v>
          </cell>
          <cell r="E268" t="str">
            <v>염료</v>
          </cell>
          <cell r="F268" t="str">
            <v>2PLY</v>
          </cell>
        </row>
        <row r="269">
          <cell r="A269">
            <v>25308</v>
          </cell>
          <cell r="B269" t="str">
            <v>SCF-ND-MMM35S</v>
          </cell>
          <cell r="C269" t="str">
            <v>제품</v>
          </cell>
          <cell r="D269" t="str">
            <v>윈도우 제품군</v>
          </cell>
          <cell r="E269" t="str">
            <v>염료</v>
          </cell>
          <cell r="F269" t="str">
            <v>2PLY</v>
          </cell>
        </row>
        <row r="270">
          <cell r="A270">
            <v>25309</v>
          </cell>
          <cell r="B270" t="str">
            <v>COLEX-ND-MATT 2PLY</v>
          </cell>
          <cell r="C270" t="str">
            <v>제품</v>
          </cell>
          <cell r="D270" t="str">
            <v>윈도우 제품군</v>
          </cell>
          <cell r="E270" t="str">
            <v>염료</v>
          </cell>
          <cell r="F270" t="str">
            <v>COLEX</v>
          </cell>
        </row>
        <row r="271">
          <cell r="A271">
            <v>25310</v>
          </cell>
          <cell r="B271" t="str">
            <v>COLEX-NS-WHITE 125 GOSSAMER(인쇄 TYPE)</v>
          </cell>
          <cell r="C271" t="str">
            <v>제품</v>
          </cell>
          <cell r="D271" t="str">
            <v>윈도우 제품군</v>
          </cell>
          <cell r="E271" t="str">
            <v>염료</v>
          </cell>
          <cell r="F271" t="str">
            <v>COLEX</v>
          </cell>
        </row>
        <row r="272">
          <cell r="A272">
            <v>25311</v>
          </cell>
          <cell r="B272" t="str">
            <v>COLEX-NS-WHITE 130 MINI BLINDS(인쇄 TYPE)</v>
          </cell>
          <cell r="C272" t="str">
            <v>제품</v>
          </cell>
          <cell r="D272" t="str">
            <v>윈도우 제품군</v>
          </cell>
          <cell r="E272" t="str">
            <v>염료</v>
          </cell>
          <cell r="F272" t="str">
            <v>COLEX</v>
          </cell>
        </row>
        <row r="273">
          <cell r="A273">
            <v>25312</v>
          </cell>
          <cell r="B273" t="str">
            <v>COLEX-NS-WHITE 131 REGIMENTAL (투명)</v>
          </cell>
          <cell r="C273" t="str">
            <v>제품</v>
          </cell>
          <cell r="D273" t="str">
            <v>윈도우 제품군</v>
          </cell>
          <cell r="E273" t="str">
            <v>염료</v>
          </cell>
          <cell r="F273" t="str">
            <v>COLEX</v>
          </cell>
        </row>
        <row r="274">
          <cell r="A274">
            <v>25313</v>
          </cell>
          <cell r="B274" t="str">
            <v>COLEX-NS-WHITE BOLD BLOCKS(인쇄 TYPE)</v>
          </cell>
          <cell r="C274" t="str">
            <v>제품</v>
          </cell>
          <cell r="D274" t="str">
            <v>윈도우 제품군</v>
          </cell>
          <cell r="E274" t="str">
            <v>염료</v>
          </cell>
          <cell r="F274" t="str">
            <v>COLEX</v>
          </cell>
        </row>
        <row r="275">
          <cell r="A275">
            <v>25314</v>
          </cell>
          <cell r="B275" t="str">
            <v>COLEX-NS-MATT 135 18mm (MATT)</v>
          </cell>
          <cell r="C275" t="str">
            <v>제품</v>
          </cell>
          <cell r="D275" t="str">
            <v>윈도우 제품군</v>
          </cell>
          <cell r="E275" t="str">
            <v>염료</v>
          </cell>
          <cell r="F275" t="str">
            <v>COLEX</v>
          </cell>
        </row>
        <row r="276">
          <cell r="A276">
            <v>25315</v>
          </cell>
          <cell r="B276" t="str">
            <v>COLEX-NS-MATT 135 18mm SAND MATTE</v>
          </cell>
          <cell r="C276" t="str">
            <v>제품</v>
          </cell>
          <cell r="D276" t="str">
            <v>윈도우 제품군</v>
          </cell>
          <cell r="E276" t="str">
            <v>염료</v>
          </cell>
          <cell r="F276" t="str">
            <v>COLEX</v>
          </cell>
        </row>
        <row r="277">
          <cell r="A277">
            <v>25316</v>
          </cell>
          <cell r="B277" t="str">
            <v>COLEX-NS-WHITE F 135 VENETIAN BLINDS</v>
          </cell>
          <cell r="C277" t="str">
            <v>제품</v>
          </cell>
          <cell r="D277" t="str">
            <v>윈도우 제품군</v>
          </cell>
          <cell r="E277" t="str">
            <v>염료</v>
          </cell>
          <cell r="F277" t="str">
            <v>COLEX</v>
          </cell>
        </row>
        <row r="278">
          <cell r="A278">
            <v>25317</v>
          </cell>
          <cell r="B278" t="str">
            <v>COLEX-NS-MATT 135 A 18mm MATT 6mm TR</v>
          </cell>
          <cell r="C278" t="str">
            <v>제품</v>
          </cell>
          <cell r="D278" t="str">
            <v>윈도우 제품군</v>
          </cell>
          <cell r="E278" t="str">
            <v>염료</v>
          </cell>
          <cell r="F278" t="str">
            <v>COLEX</v>
          </cell>
        </row>
        <row r="279">
          <cell r="A279">
            <v>25318</v>
          </cell>
          <cell r="B279" t="str">
            <v>COLEX-NS-WHITE 108</v>
          </cell>
          <cell r="C279" t="str">
            <v>제품</v>
          </cell>
          <cell r="D279" t="str">
            <v>윈도우 제품군</v>
          </cell>
          <cell r="E279" t="str">
            <v>염료</v>
          </cell>
          <cell r="F279" t="str">
            <v>COLEX</v>
          </cell>
        </row>
        <row r="280">
          <cell r="A280">
            <v>25319</v>
          </cell>
          <cell r="B280" t="str">
            <v>COLEX-NS-WHITE 130</v>
          </cell>
          <cell r="C280" t="str">
            <v>제품</v>
          </cell>
          <cell r="D280" t="str">
            <v>윈도우 제품군</v>
          </cell>
          <cell r="E280" t="str">
            <v>염료</v>
          </cell>
          <cell r="F280" t="str">
            <v>COLEX</v>
          </cell>
        </row>
        <row r="281">
          <cell r="A281">
            <v>25320</v>
          </cell>
          <cell r="B281" t="str">
            <v>COLEX-NS-MATT F 35M10(MATT)</v>
          </cell>
          <cell r="C281" t="str">
            <v>제품</v>
          </cell>
          <cell r="D281" t="str">
            <v>윈도우 제품군</v>
          </cell>
          <cell r="E281" t="str">
            <v>염료</v>
          </cell>
          <cell r="F281" t="str">
            <v>COLEX</v>
          </cell>
        </row>
        <row r="282">
          <cell r="A282">
            <v>25321</v>
          </cell>
          <cell r="B282" t="str">
            <v>COLEX-NS-WHITE 135 10MM WHITE 7MM TR</v>
          </cell>
          <cell r="C282" t="str">
            <v>제품</v>
          </cell>
          <cell r="D282" t="str">
            <v>윈도우 제품군</v>
          </cell>
          <cell r="E282" t="str">
            <v>염료</v>
          </cell>
          <cell r="F282" t="str">
            <v>COLEX</v>
          </cell>
        </row>
        <row r="283">
          <cell r="A283">
            <v>25322</v>
          </cell>
          <cell r="B283" t="str">
            <v>COLEX-NS-MATT 135 18MM SAND MATTE 6MM TR</v>
          </cell>
          <cell r="C283" t="str">
            <v>제품</v>
          </cell>
          <cell r="D283" t="str">
            <v>윈도우 제품군</v>
          </cell>
          <cell r="E283" t="str">
            <v>염료</v>
          </cell>
          <cell r="F283" t="str">
            <v>COLEX</v>
          </cell>
        </row>
        <row r="284">
          <cell r="A284">
            <v>25323</v>
          </cell>
          <cell r="B284" t="str">
            <v>COLEX-NS-WHITE 135 A (18MM WHITE 6MM TR)</v>
          </cell>
          <cell r="C284" t="str">
            <v>제품</v>
          </cell>
          <cell r="D284" t="str">
            <v>윈도우 제품군</v>
          </cell>
          <cell r="E284" t="str">
            <v>염료</v>
          </cell>
          <cell r="F284" t="str">
            <v>COLEX</v>
          </cell>
        </row>
        <row r="285">
          <cell r="A285">
            <v>25324</v>
          </cell>
          <cell r="B285" t="str">
            <v>COLEX-NS-MATT 135 10MM LINES AND 4MM CLEAR</v>
          </cell>
          <cell r="C285" t="str">
            <v>제품</v>
          </cell>
          <cell r="D285" t="str">
            <v>윈도우 제품군</v>
          </cell>
          <cell r="E285" t="str">
            <v>염료</v>
          </cell>
          <cell r="F285" t="str">
            <v>COLEX</v>
          </cell>
        </row>
        <row r="286">
          <cell r="A286">
            <v>25325</v>
          </cell>
          <cell r="B286" t="str">
            <v>COLEX-NS-MATT COMPLETELY FROST</v>
          </cell>
          <cell r="C286" t="str">
            <v>제품</v>
          </cell>
          <cell r="D286" t="str">
            <v>윈도우 제품군</v>
          </cell>
          <cell r="E286" t="str">
            <v>염료</v>
          </cell>
          <cell r="F286" t="str">
            <v>COLEX</v>
          </cell>
        </row>
        <row r="287">
          <cell r="A287">
            <v>25326</v>
          </cell>
          <cell r="B287" t="str">
            <v>COLEX-NS-WHITE 141</v>
          </cell>
          <cell r="C287" t="str">
            <v>제품</v>
          </cell>
          <cell r="D287" t="str">
            <v>윈도우 제품군</v>
          </cell>
          <cell r="E287" t="str">
            <v>염료</v>
          </cell>
          <cell r="F287" t="str">
            <v>COLEX</v>
          </cell>
        </row>
        <row r="288">
          <cell r="A288">
            <v>25328</v>
          </cell>
          <cell r="B288" t="str">
            <v>COLEX-NS-MATT 44*44MM(10MM CP)FROSTED-Mexico</v>
          </cell>
          <cell r="C288" t="str">
            <v>제품</v>
          </cell>
          <cell r="D288" t="str">
            <v>윈도우 제품군</v>
          </cell>
          <cell r="E288" t="str">
            <v>염료</v>
          </cell>
          <cell r="F288" t="str">
            <v>COLEX</v>
          </cell>
        </row>
        <row r="289">
          <cell r="A289">
            <v>25330</v>
          </cell>
          <cell r="B289" t="str">
            <v>COLEX-NS-MATT SHELL SHAPES 1170(MATT)</v>
          </cell>
          <cell r="C289" t="str">
            <v>제품</v>
          </cell>
          <cell r="D289" t="str">
            <v>윈도우 제품군</v>
          </cell>
          <cell r="E289" t="str">
            <v>염료</v>
          </cell>
          <cell r="F289" t="str">
            <v>COLEX</v>
          </cell>
        </row>
        <row r="290">
          <cell r="A290">
            <v>25401</v>
          </cell>
          <cell r="B290" t="str">
            <v>SCF-ND-NCRG65</v>
          </cell>
          <cell r="C290" t="str">
            <v>제품</v>
          </cell>
          <cell r="D290" t="str">
            <v>윈도우 제품군</v>
          </cell>
          <cell r="E290" t="str">
            <v>염료</v>
          </cell>
          <cell r="F290" t="str">
            <v>2PLY</v>
          </cell>
        </row>
        <row r="291">
          <cell r="A291">
            <v>25402</v>
          </cell>
          <cell r="B291" t="str">
            <v>HOT FIX (ACYLE TYPE)</v>
          </cell>
          <cell r="C291" t="str">
            <v>제품</v>
          </cell>
          <cell r="D291" t="str">
            <v>윈도우 제품군</v>
          </cell>
          <cell r="E291" t="str">
            <v>염료</v>
          </cell>
          <cell r="F291" t="str">
            <v>1PLY</v>
          </cell>
        </row>
        <row r="292">
          <cell r="A292">
            <v>25403</v>
          </cell>
          <cell r="B292" t="str">
            <v>COLEX-NS-MATT SBI(1170*50)</v>
          </cell>
          <cell r="C292" t="str">
            <v>제품</v>
          </cell>
          <cell r="D292" t="str">
            <v>윈도우 제품군</v>
          </cell>
          <cell r="E292" t="str">
            <v>염료</v>
          </cell>
          <cell r="F292" t="str">
            <v>COLEX</v>
          </cell>
        </row>
        <row r="293">
          <cell r="A293">
            <v>25407</v>
          </cell>
          <cell r="B293" t="str">
            <v>SCF-NS-BS03(광고용)</v>
          </cell>
          <cell r="C293" t="str">
            <v>제품</v>
          </cell>
          <cell r="D293" t="str">
            <v>윈도우 제품군</v>
          </cell>
          <cell r="E293" t="str">
            <v>염료</v>
          </cell>
          <cell r="F293" t="str">
            <v>1PLY</v>
          </cell>
        </row>
        <row r="294">
          <cell r="A294">
            <v>25408</v>
          </cell>
          <cell r="B294" t="str">
            <v>SCF-NS-GS06(광고용)</v>
          </cell>
          <cell r="C294" t="str">
            <v>제품</v>
          </cell>
          <cell r="D294" t="str">
            <v>윈도우 제품군</v>
          </cell>
          <cell r="E294" t="str">
            <v>염료</v>
          </cell>
          <cell r="F294" t="str">
            <v>1PLY</v>
          </cell>
        </row>
        <row r="295">
          <cell r="A295">
            <v>25409</v>
          </cell>
          <cell r="B295" t="str">
            <v>SCF-NS-CS02(광고용)</v>
          </cell>
          <cell r="C295" t="str">
            <v>제품</v>
          </cell>
          <cell r="D295" t="str">
            <v>윈도우 제품군</v>
          </cell>
          <cell r="E295" t="str">
            <v>염료</v>
          </cell>
          <cell r="F295" t="str">
            <v>1PLY</v>
          </cell>
        </row>
        <row r="296">
          <cell r="A296">
            <v>25410</v>
          </cell>
          <cell r="B296" t="str">
            <v>SCF-NS-SS03(광고용)</v>
          </cell>
          <cell r="C296" t="str">
            <v>제품</v>
          </cell>
          <cell r="D296" t="str">
            <v>윈도우 제품군</v>
          </cell>
          <cell r="E296" t="str">
            <v>염료</v>
          </cell>
          <cell r="F296" t="str">
            <v>1PLY</v>
          </cell>
        </row>
        <row r="297">
          <cell r="A297">
            <v>25412</v>
          </cell>
          <cell r="B297" t="str">
            <v>SCF-NS-GRS04(광고용)</v>
          </cell>
          <cell r="C297" t="str">
            <v>제품</v>
          </cell>
          <cell r="D297" t="str">
            <v>윈도우 제품군</v>
          </cell>
          <cell r="E297" t="str">
            <v>염료</v>
          </cell>
          <cell r="F297" t="str">
            <v>1PLY</v>
          </cell>
        </row>
        <row r="298">
          <cell r="A298">
            <v>25413</v>
          </cell>
          <cell r="B298" t="str">
            <v>SCF-NS-BC77J</v>
          </cell>
          <cell r="C298" t="str">
            <v>제품</v>
          </cell>
          <cell r="D298" t="str">
            <v>윈도우 제품군</v>
          </cell>
          <cell r="E298" t="str">
            <v>염료</v>
          </cell>
          <cell r="F298" t="str">
            <v>1PLY</v>
          </cell>
        </row>
        <row r="299">
          <cell r="A299">
            <v>25417</v>
          </cell>
          <cell r="B299" t="str">
            <v>SCF-DC-RSS15(0.8)</v>
          </cell>
          <cell r="C299" t="str">
            <v>제품</v>
          </cell>
          <cell r="D299" t="str">
            <v>윈도우 제품군</v>
          </cell>
          <cell r="E299" t="str">
            <v>염료</v>
          </cell>
          <cell r="F299" t="str">
            <v>2PLY</v>
          </cell>
        </row>
        <row r="300">
          <cell r="A300">
            <v>25419</v>
          </cell>
          <cell r="B300" t="str">
            <v>COLEX-NS-WIHTE MATT(1PLY)</v>
          </cell>
          <cell r="C300" t="str">
            <v>제품</v>
          </cell>
          <cell r="D300" t="str">
            <v>윈도우 제품군</v>
          </cell>
          <cell r="E300" t="str">
            <v>염료</v>
          </cell>
          <cell r="F300" t="str">
            <v>COLEX</v>
          </cell>
        </row>
        <row r="301">
          <cell r="A301">
            <v>25420</v>
          </cell>
          <cell r="B301" t="str">
            <v>SCF-DM-IBS65</v>
          </cell>
          <cell r="C301" t="str">
            <v>제품</v>
          </cell>
          <cell r="D301" t="str">
            <v>윈도우 제품군</v>
          </cell>
          <cell r="E301" t="str">
            <v>염료</v>
          </cell>
          <cell r="F301" t="str">
            <v>2PLY</v>
          </cell>
        </row>
        <row r="302">
          <cell r="A302">
            <v>25421</v>
          </cell>
          <cell r="B302" t="str">
            <v>SCF-DM-IBS75</v>
          </cell>
          <cell r="C302" t="str">
            <v>제품</v>
          </cell>
          <cell r="D302" t="str">
            <v>윈도우 제품군</v>
          </cell>
          <cell r="E302" t="str">
            <v>염료</v>
          </cell>
          <cell r="F302" t="str">
            <v>2PLY</v>
          </cell>
        </row>
        <row r="303">
          <cell r="A303">
            <v>25422</v>
          </cell>
          <cell r="B303" t="str">
            <v>SCF-DM-ISS67</v>
          </cell>
          <cell r="C303" t="str">
            <v>제품</v>
          </cell>
          <cell r="D303" t="str">
            <v>윈도우 제품군</v>
          </cell>
          <cell r="E303" t="str">
            <v>염료</v>
          </cell>
          <cell r="F303" t="str">
            <v>2PLY</v>
          </cell>
        </row>
        <row r="304">
          <cell r="A304">
            <v>25423</v>
          </cell>
          <cell r="B304" t="str">
            <v>SCF-DM-ISS75</v>
          </cell>
          <cell r="C304" t="str">
            <v>제품</v>
          </cell>
          <cell r="D304" t="str">
            <v>윈도우 제품군</v>
          </cell>
          <cell r="E304" t="str">
            <v>염료</v>
          </cell>
          <cell r="F304" t="str">
            <v>2PLY</v>
          </cell>
        </row>
        <row r="305">
          <cell r="A305">
            <v>25424</v>
          </cell>
          <cell r="B305" t="str">
            <v>SCF-DM-IGS77</v>
          </cell>
          <cell r="C305" t="str">
            <v>제품</v>
          </cell>
          <cell r="D305" t="str">
            <v>윈도우 제품군</v>
          </cell>
          <cell r="E305" t="str">
            <v>미분류</v>
          </cell>
          <cell r="F305" t="str">
            <v>미분류</v>
          </cell>
        </row>
        <row r="306">
          <cell r="A306">
            <v>25425</v>
          </cell>
          <cell r="B306" t="str">
            <v>SCF-DM-ICCS90</v>
          </cell>
          <cell r="C306" t="str">
            <v>제품</v>
          </cell>
          <cell r="D306" t="str">
            <v>윈도우 제품군</v>
          </cell>
          <cell r="E306" t="str">
            <v>염료</v>
          </cell>
          <cell r="F306" t="str">
            <v>2PLY</v>
          </cell>
        </row>
        <row r="307">
          <cell r="A307">
            <v>25427</v>
          </cell>
          <cell r="B307" t="str">
            <v>SCF-DM-KSO5000</v>
          </cell>
          <cell r="C307" t="str">
            <v>제품</v>
          </cell>
          <cell r="D307" t="str">
            <v>윈도우 제품군</v>
          </cell>
          <cell r="E307" t="str">
            <v>염료</v>
          </cell>
          <cell r="F307" t="str">
            <v>2PLY</v>
          </cell>
        </row>
        <row r="308">
          <cell r="A308">
            <v>25428</v>
          </cell>
          <cell r="B308" t="str">
            <v>SCF-DM-AL400(0.4)</v>
          </cell>
          <cell r="C308" t="str">
            <v>제품</v>
          </cell>
          <cell r="D308" t="str">
            <v>윈도우 제품군</v>
          </cell>
          <cell r="E308" t="str">
            <v>염료</v>
          </cell>
          <cell r="F308" t="str">
            <v>2PLY</v>
          </cell>
        </row>
        <row r="309">
          <cell r="A309">
            <v>25429</v>
          </cell>
          <cell r="B309" t="str">
            <v>SCF-DM-ITO202</v>
          </cell>
          <cell r="C309" t="str">
            <v>제품</v>
          </cell>
          <cell r="D309" t="str">
            <v>윈도우 제품군</v>
          </cell>
          <cell r="E309" t="str">
            <v>염료</v>
          </cell>
          <cell r="F309" t="str">
            <v>2PLY</v>
          </cell>
        </row>
        <row r="310">
          <cell r="A310">
            <v>25430</v>
          </cell>
          <cell r="B310" t="str">
            <v>SCF-DM-ICE BLUE</v>
          </cell>
          <cell r="C310" t="str">
            <v>제품</v>
          </cell>
          <cell r="D310" t="str">
            <v>윈도우 제품군</v>
          </cell>
          <cell r="E310" t="str">
            <v>염료</v>
          </cell>
          <cell r="F310" t="str">
            <v>2PLY</v>
          </cell>
        </row>
        <row r="311">
          <cell r="A311">
            <v>25431</v>
          </cell>
          <cell r="B311" t="str">
            <v>SCF-DM-NR 1</v>
          </cell>
          <cell r="C311" t="str">
            <v>제품</v>
          </cell>
          <cell r="D311" t="str">
            <v>윈도우 제품군</v>
          </cell>
          <cell r="E311" t="str">
            <v>염료</v>
          </cell>
          <cell r="F311" t="str">
            <v>2PLY</v>
          </cell>
        </row>
        <row r="312">
          <cell r="A312">
            <v>25432</v>
          </cell>
          <cell r="B312" t="str">
            <v>SCF-DM-10RB(0.8)</v>
          </cell>
          <cell r="C312" t="str">
            <v>제품</v>
          </cell>
          <cell r="D312" t="str">
            <v>윈도우 제품군</v>
          </cell>
          <cell r="E312" t="str">
            <v>염료</v>
          </cell>
          <cell r="F312" t="str">
            <v>2PLY</v>
          </cell>
        </row>
        <row r="313">
          <cell r="A313">
            <v>25433</v>
          </cell>
          <cell r="B313" t="str">
            <v>SCF-DM-15RG(0.6)</v>
          </cell>
          <cell r="C313" t="str">
            <v>제품</v>
          </cell>
          <cell r="D313" t="str">
            <v>윈도우 제품군</v>
          </cell>
          <cell r="E313" t="str">
            <v>염료</v>
          </cell>
          <cell r="F313" t="str">
            <v>2PLY</v>
          </cell>
        </row>
        <row r="314">
          <cell r="A314">
            <v>25434</v>
          </cell>
          <cell r="B314" t="str">
            <v>SCF-DM-SOG18(0.5)</v>
          </cell>
          <cell r="C314" t="str">
            <v>제품</v>
          </cell>
          <cell r="D314" t="str">
            <v>윈도우 제품군</v>
          </cell>
          <cell r="E314" t="str">
            <v>염료</v>
          </cell>
          <cell r="F314" t="str">
            <v>2PLY</v>
          </cell>
        </row>
        <row r="315">
          <cell r="A315">
            <v>25435</v>
          </cell>
          <cell r="B315" t="str">
            <v>SCF-NS-BS28</v>
          </cell>
          <cell r="C315" t="str">
            <v>제품</v>
          </cell>
          <cell r="D315" t="str">
            <v>윈도우 제품군</v>
          </cell>
          <cell r="E315" t="str">
            <v>염료</v>
          </cell>
          <cell r="F315" t="str">
            <v>1PLY</v>
          </cell>
        </row>
        <row r="316">
          <cell r="A316">
            <v>25436</v>
          </cell>
          <cell r="B316" t="str">
            <v>SCF-ND-BS28</v>
          </cell>
          <cell r="C316" t="str">
            <v>제품</v>
          </cell>
          <cell r="D316" t="str">
            <v>윈도우 제품군</v>
          </cell>
          <cell r="E316" t="str">
            <v>염료</v>
          </cell>
          <cell r="F316" t="str">
            <v>2PLY</v>
          </cell>
        </row>
        <row r="317">
          <cell r="A317">
            <v>25437</v>
          </cell>
          <cell r="B317" t="str">
            <v>SCF-ND-BS15</v>
          </cell>
          <cell r="C317" t="str">
            <v>제품</v>
          </cell>
          <cell r="D317" t="str">
            <v>윈도우 제품군</v>
          </cell>
          <cell r="E317" t="str">
            <v>염료</v>
          </cell>
          <cell r="F317" t="str">
            <v>2PLY</v>
          </cell>
        </row>
        <row r="318">
          <cell r="A318">
            <v>25438</v>
          </cell>
          <cell r="B318" t="str">
            <v>SCF-NS-CG15</v>
          </cell>
          <cell r="C318" t="str">
            <v>제품</v>
          </cell>
          <cell r="D318" t="str">
            <v>윈도우 제품군</v>
          </cell>
          <cell r="E318" t="str">
            <v>염료</v>
          </cell>
          <cell r="F318" t="str">
            <v>1PLY</v>
          </cell>
        </row>
        <row r="319">
          <cell r="A319">
            <v>25439</v>
          </cell>
          <cell r="B319" t="str">
            <v>SCF-ND-CG15</v>
          </cell>
          <cell r="C319" t="str">
            <v>제품</v>
          </cell>
          <cell r="D319" t="str">
            <v>윈도우 제품군</v>
          </cell>
          <cell r="E319" t="str">
            <v>염료</v>
          </cell>
          <cell r="F319" t="str">
            <v>2PLY</v>
          </cell>
        </row>
        <row r="320">
          <cell r="A320">
            <v>25440</v>
          </cell>
          <cell r="B320" t="str">
            <v>SCF-ND-BS03</v>
          </cell>
          <cell r="C320" t="str">
            <v>제품</v>
          </cell>
          <cell r="D320" t="str">
            <v>윈도우 제품군</v>
          </cell>
          <cell r="E320" t="str">
            <v>염료</v>
          </cell>
          <cell r="F320" t="str">
            <v>2PLY</v>
          </cell>
        </row>
        <row r="321">
          <cell r="A321">
            <v>25441</v>
          </cell>
          <cell r="B321" t="str">
            <v>SCF-NS-CG28</v>
          </cell>
          <cell r="C321" t="str">
            <v>제품</v>
          </cell>
          <cell r="D321" t="str">
            <v>윈도우 제품군</v>
          </cell>
          <cell r="E321" t="str">
            <v>염료</v>
          </cell>
          <cell r="F321" t="str">
            <v>1PLY</v>
          </cell>
        </row>
        <row r="322">
          <cell r="A322">
            <v>25442</v>
          </cell>
          <cell r="B322" t="str">
            <v>SCF-ND-CG28</v>
          </cell>
          <cell r="C322" t="str">
            <v>제품</v>
          </cell>
          <cell r="D322" t="str">
            <v>윈도우 제품군</v>
          </cell>
          <cell r="E322" t="str">
            <v>염료</v>
          </cell>
          <cell r="F322" t="str">
            <v>2PLY</v>
          </cell>
        </row>
        <row r="323">
          <cell r="A323">
            <v>25443</v>
          </cell>
          <cell r="B323" t="str">
            <v>SCF-ND-BS50</v>
          </cell>
          <cell r="C323" t="str">
            <v>제품</v>
          </cell>
          <cell r="D323" t="str">
            <v>윈도우 제품군</v>
          </cell>
          <cell r="E323" t="str">
            <v>염료</v>
          </cell>
          <cell r="F323" t="str">
            <v>2PLY</v>
          </cell>
        </row>
        <row r="324">
          <cell r="A324">
            <v>25444</v>
          </cell>
          <cell r="B324" t="str">
            <v>SCF-DM-ATN05(0.3)</v>
          </cell>
          <cell r="C324" t="str">
            <v>제품</v>
          </cell>
          <cell r="D324" t="str">
            <v>윈도우 제품군</v>
          </cell>
          <cell r="E324" t="str">
            <v>염료</v>
          </cell>
          <cell r="F324" t="str">
            <v>2PLY</v>
          </cell>
        </row>
        <row r="325">
          <cell r="A325">
            <v>25445</v>
          </cell>
          <cell r="B325" t="str">
            <v>SCF-DM-ATN15(0.3)</v>
          </cell>
          <cell r="C325" t="str">
            <v>제품</v>
          </cell>
          <cell r="D325" t="str">
            <v>윈도우 제품군</v>
          </cell>
          <cell r="E325" t="str">
            <v>염료</v>
          </cell>
          <cell r="F325" t="str">
            <v>2PLY</v>
          </cell>
        </row>
        <row r="326">
          <cell r="A326">
            <v>25446</v>
          </cell>
          <cell r="B326" t="str">
            <v>SCF-DM-RNT50(0.25)</v>
          </cell>
          <cell r="C326" t="str">
            <v>제품</v>
          </cell>
          <cell r="D326" t="str">
            <v>윈도우 제품군</v>
          </cell>
          <cell r="E326" t="str">
            <v>염료</v>
          </cell>
          <cell r="F326" t="str">
            <v>2PLY</v>
          </cell>
        </row>
        <row r="327">
          <cell r="A327">
            <v>25448</v>
          </cell>
          <cell r="B327" t="str">
            <v>SCF-DM-SMG15D(0.4)</v>
          </cell>
          <cell r="C327" t="str">
            <v>제품</v>
          </cell>
          <cell r="D327" t="str">
            <v>윈도우 제품군</v>
          </cell>
          <cell r="E327" t="str">
            <v>염료</v>
          </cell>
          <cell r="F327" t="str">
            <v>2PLY</v>
          </cell>
        </row>
        <row r="328">
          <cell r="A328">
            <v>25449</v>
          </cell>
          <cell r="B328" t="str">
            <v>SCF-DM-SMG25D(0.4)</v>
          </cell>
          <cell r="C328" t="str">
            <v>제품</v>
          </cell>
          <cell r="D328" t="str">
            <v>윈도우 제품군</v>
          </cell>
          <cell r="E328" t="str">
            <v>염료</v>
          </cell>
          <cell r="F328" t="str">
            <v>2PLY</v>
          </cell>
        </row>
        <row r="329">
          <cell r="A329">
            <v>25451</v>
          </cell>
          <cell r="B329" t="str">
            <v>한화 PVC 유광 코팅(NO PRIMER)</v>
          </cell>
          <cell r="C329" t="str">
            <v>제품</v>
          </cell>
          <cell r="D329" t="str">
            <v>윈도우 제품군</v>
          </cell>
          <cell r="E329" t="str">
            <v>염료</v>
          </cell>
          <cell r="F329" t="str">
            <v>1PLY</v>
          </cell>
        </row>
        <row r="330">
          <cell r="A330">
            <v>25457</v>
          </cell>
          <cell r="B330" t="str">
            <v>IR-ICL 60</v>
          </cell>
          <cell r="C330" t="str">
            <v>제품</v>
          </cell>
          <cell r="D330" t="str">
            <v>윈도우 제품군</v>
          </cell>
          <cell r="E330" t="str">
            <v>전략</v>
          </cell>
          <cell r="F330" t="str">
            <v>IR</v>
          </cell>
        </row>
        <row r="331">
          <cell r="A331">
            <v>25458</v>
          </cell>
          <cell r="B331" t="str">
            <v>SCF-DM-CG05(0.3)</v>
          </cell>
          <cell r="C331" t="str">
            <v>제품</v>
          </cell>
          <cell r="D331" t="str">
            <v>윈도우 제품군</v>
          </cell>
          <cell r="E331" t="str">
            <v>염료</v>
          </cell>
          <cell r="F331" t="str">
            <v>2PLY</v>
          </cell>
        </row>
        <row r="332">
          <cell r="A332">
            <v>25465</v>
          </cell>
          <cell r="B332" t="str">
            <v>SCF-ND-BK20</v>
          </cell>
          <cell r="C332" t="str">
            <v>제품</v>
          </cell>
          <cell r="D332" t="str">
            <v>윈도우 제품군</v>
          </cell>
          <cell r="E332" t="str">
            <v>염료</v>
          </cell>
          <cell r="F332" t="str">
            <v>2PLY</v>
          </cell>
        </row>
        <row r="333">
          <cell r="A333">
            <v>25466</v>
          </cell>
          <cell r="B333" t="str">
            <v>SCF-ND-BK35</v>
          </cell>
          <cell r="C333" t="str">
            <v>제품</v>
          </cell>
          <cell r="D333" t="str">
            <v>윈도우 제품군</v>
          </cell>
          <cell r="E333" t="str">
            <v>염료</v>
          </cell>
          <cell r="F333" t="str">
            <v>2PLY</v>
          </cell>
        </row>
        <row r="334">
          <cell r="A334">
            <v>25467</v>
          </cell>
          <cell r="B334" t="str">
            <v>SCF-DC-15RG(0.6)</v>
          </cell>
          <cell r="C334" t="str">
            <v>제품</v>
          </cell>
          <cell r="D334" t="str">
            <v>윈도우 제품군</v>
          </cell>
          <cell r="E334" t="str">
            <v>염료</v>
          </cell>
          <cell r="F334" t="str">
            <v>2PLY</v>
          </cell>
        </row>
        <row r="335">
          <cell r="A335">
            <v>25468</v>
          </cell>
          <cell r="B335" t="str">
            <v>SCF-DC-10RB(0.8)</v>
          </cell>
          <cell r="C335" t="str">
            <v>제품</v>
          </cell>
          <cell r="D335" t="str">
            <v>윈도우 제품군</v>
          </cell>
          <cell r="E335" t="str">
            <v>염료</v>
          </cell>
          <cell r="F335" t="str">
            <v>2PLY</v>
          </cell>
        </row>
        <row r="336">
          <cell r="A336">
            <v>25495</v>
          </cell>
          <cell r="B336" t="str">
            <v>SF-비산방지 SR</v>
          </cell>
          <cell r="C336" t="str">
            <v>제품</v>
          </cell>
          <cell r="D336" t="str">
            <v>윈도우 제품군</v>
          </cell>
          <cell r="E336" t="str">
            <v>전략</v>
          </cell>
          <cell r="F336" t="str">
            <v>SAFETY</v>
          </cell>
        </row>
        <row r="337">
          <cell r="A337">
            <v>25497</v>
          </cell>
          <cell r="B337" t="str">
            <v>SCF-ND-ABS20</v>
          </cell>
          <cell r="C337" t="str">
            <v>제품</v>
          </cell>
          <cell r="D337" t="str">
            <v>윈도우 제품군</v>
          </cell>
          <cell r="E337" t="str">
            <v>염료</v>
          </cell>
          <cell r="F337" t="str">
            <v>2PLY</v>
          </cell>
        </row>
        <row r="338">
          <cell r="A338">
            <v>25498</v>
          </cell>
          <cell r="B338" t="str">
            <v>SCF-ND-BK70</v>
          </cell>
          <cell r="C338" t="str">
            <v>제품</v>
          </cell>
          <cell r="D338" t="str">
            <v>윈도우 제품군</v>
          </cell>
          <cell r="E338" t="str">
            <v>염료</v>
          </cell>
          <cell r="F338" t="str">
            <v>2PLY</v>
          </cell>
        </row>
        <row r="339">
          <cell r="A339">
            <v>25500</v>
          </cell>
          <cell r="B339" t="str">
            <v>SCF-NS-ORG05</v>
          </cell>
          <cell r="C339" t="str">
            <v>제품</v>
          </cell>
          <cell r="D339" t="str">
            <v>윈도우 제품군</v>
          </cell>
          <cell r="E339" t="str">
            <v>염료</v>
          </cell>
          <cell r="F339" t="str">
            <v>1PLY</v>
          </cell>
        </row>
        <row r="340">
          <cell r="A340">
            <v>25501</v>
          </cell>
          <cell r="B340" t="str">
            <v>SCF-DM-DN30</v>
          </cell>
          <cell r="C340" t="str">
            <v>제품</v>
          </cell>
          <cell r="D340" t="str">
            <v>윈도우 제품군</v>
          </cell>
          <cell r="E340" t="str">
            <v>염료</v>
          </cell>
          <cell r="F340" t="str">
            <v>2PLY</v>
          </cell>
        </row>
        <row r="341">
          <cell r="A341">
            <v>25502</v>
          </cell>
          <cell r="B341" t="str">
            <v>SCF-NS-GRAY 35</v>
          </cell>
          <cell r="C341" t="str">
            <v>제품</v>
          </cell>
          <cell r="D341" t="str">
            <v>윈도우 제품군</v>
          </cell>
          <cell r="E341" t="str">
            <v>염료</v>
          </cell>
          <cell r="F341" t="str">
            <v>1PLY</v>
          </cell>
        </row>
        <row r="342">
          <cell r="A342">
            <v>25503</v>
          </cell>
          <cell r="B342" t="str">
            <v>SCF-NS-RCH20W-01 비반사 1PLY S/R 38 후지</v>
          </cell>
          <cell r="C342" t="str">
            <v>제품</v>
          </cell>
          <cell r="D342" t="str">
            <v>윈도우 제품군</v>
          </cell>
          <cell r="E342" t="str">
            <v>염료</v>
          </cell>
          <cell r="F342" t="str">
            <v>1PLY</v>
          </cell>
        </row>
        <row r="343">
          <cell r="A343">
            <v>25504</v>
          </cell>
          <cell r="B343" t="str">
            <v>SCF-ND-RCH20W-01 비반사 2PLY S/R 25후지</v>
          </cell>
          <cell r="C343" t="str">
            <v>제품</v>
          </cell>
          <cell r="D343" t="str">
            <v>윈도우 제품군</v>
          </cell>
          <cell r="E343" t="str">
            <v>염료</v>
          </cell>
          <cell r="F343" t="str">
            <v>2PLY</v>
          </cell>
        </row>
        <row r="344">
          <cell r="A344">
            <v>25505</v>
          </cell>
          <cell r="B344" t="str">
            <v>SCF-NS-S-CC35</v>
          </cell>
          <cell r="C344" t="str">
            <v>제품</v>
          </cell>
          <cell r="D344" t="str">
            <v>윈도우 제품군</v>
          </cell>
          <cell r="E344" t="str">
            <v>염료</v>
          </cell>
          <cell r="F344" t="str">
            <v>1PLY</v>
          </cell>
        </row>
        <row r="345">
          <cell r="A345">
            <v>25506</v>
          </cell>
          <cell r="B345" t="str">
            <v>SCF-DM-SILVER 35 반사 PS SR 2PLY 2MIL</v>
          </cell>
          <cell r="C345" t="str">
            <v>제품</v>
          </cell>
          <cell r="D345" t="str">
            <v>윈도우 제품군</v>
          </cell>
          <cell r="E345" t="str">
            <v>염료</v>
          </cell>
          <cell r="F345" t="str">
            <v>2PLY</v>
          </cell>
        </row>
        <row r="346">
          <cell r="A346">
            <v>25507</v>
          </cell>
          <cell r="B346" t="str">
            <v>SCF-DM-WF007</v>
          </cell>
          <cell r="C346" t="str">
            <v>제품</v>
          </cell>
          <cell r="D346" t="str">
            <v>윈도우 제품군</v>
          </cell>
          <cell r="E346" t="str">
            <v>염료</v>
          </cell>
          <cell r="F346" t="str">
            <v>2PLY</v>
          </cell>
        </row>
        <row r="347">
          <cell r="A347">
            <v>25508</v>
          </cell>
          <cell r="B347" t="str">
            <v>SCF-DM-WF004</v>
          </cell>
          <cell r="C347" t="str">
            <v>제품</v>
          </cell>
          <cell r="D347" t="str">
            <v>윈도우 제품군</v>
          </cell>
          <cell r="E347" t="str">
            <v>염료</v>
          </cell>
          <cell r="F347" t="str">
            <v>2PLY</v>
          </cell>
        </row>
        <row r="348">
          <cell r="A348">
            <v>25514</v>
          </cell>
          <cell r="B348" t="str">
            <v>SCF-DM-AURA 35</v>
          </cell>
          <cell r="C348" t="str">
            <v>제품</v>
          </cell>
          <cell r="D348" t="str">
            <v>윈도우 제품군</v>
          </cell>
          <cell r="E348" t="str">
            <v>염료</v>
          </cell>
          <cell r="F348" t="str">
            <v>2PLY</v>
          </cell>
        </row>
        <row r="349">
          <cell r="A349">
            <v>25520</v>
          </cell>
          <cell r="B349" t="str">
            <v>대표아이템 정리대상(윈도우)</v>
          </cell>
          <cell r="C349" t="str">
            <v>제품</v>
          </cell>
          <cell r="D349" t="str">
            <v>윈도우 제품군</v>
          </cell>
          <cell r="E349" t="str">
            <v>염료</v>
          </cell>
          <cell r="F349" t="str">
            <v>1PLY</v>
          </cell>
        </row>
        <row r="350">
          <cell r="A350">
            <v>25522</v>
          </cell>
          <cell r="B350" t="str">
            <v>DB-1838-1</v>
          </cell>
          <cell r="C350" t="str">
            <v>제품</v>
          </cell>
          <cell r="D350" t="str">
            <v>윈도우 제품군</v>
          </cell>
          <cell r="E350" t="str">
            <v>염료</v>
          </cell>
          <cell r="F350" t="str">
            <v>2PLY</v>
          </cell>
        </row>
        <row r="351">
          <cell r="A351">
            <v>25523</v>
          </cell>
          <cell r="B351" t="str">
            <v>SCF-ND-GY20</v>
          </cell>
          <cell r="C351" t="str">
            <v>제품</v>
          </cell>
          <cell r="D351" t="str">
            <v>윈도우 제품군</v>
          </cell>
          <cell r="E351" t="str">
            <v>염료</v>
          </cell>
          <cell r="F351" t="str">
            <v>2PLY</v>
          </cell>
        </row>
        <row r="352">
          <cell r="A352">
            <v>25524</v>
          </cell>
          <cell r="B352" t="str">
            <v>SCF-DC-SGCB(0.2)</v>
          </cell>
          <cell r="C352" t="str">
            <v>제품</v>
          </cell>
          <cell r="D352" t="str">
            <v>윈도우 제품군</v>
          </cell>
          <cell r="E352" t="str">
            <v>염료</v>
          </cell>
          <cell r="F352" t="str">
            <v>2PLY</v>
          </cell>
        </row>
        <row r="353">
          <cell r="A353">
            <v>25525</v>
          </cell>
          <cell r="B353" t="str">
            <v>SCF-ND-SMK15</v>
          </cell>
          <cell r="C353" t="str">
            <v>제품</v>
          </cell>
          <cell r="D353" t="str">
            <v>윈도우 제품군</v>
          </cell>
          <cell r="E353" t="str">
            <v>염료</v>
          </cell>
          <cell r="F353" t="str">
            <v>2PLY</v>
          </cell>
        </row>
        <row r="354">
          <cell r="A354">
            <v>25526</v>
          </cell>
          <cell r="B354" t="str">
            <v>SCF-NS-MMM15</v>
          </cell>
          <cell r="C354" t="str">
            <v>제품</v>
          </cell>
          <cell r="D354" t="str">
            <v>윈도우 제품군</v>
          </cell>
          <cell r="E354" t="str">
            <v>염료</v>
          </cell>
          <cell r="F354" t="str">
            <v>1PLY</v>
          </cell>
        </row>
        <row r="355">
          <cell r="A355">
            <v>25527</v>
          </cell>
          <cell r="B355" t="str">
            <v>SCF-NS-MMM10</v>
          </cell>
          <cell r="C355" t="str">
            <v>제품</v>
          </cell>
          <cell r="D355" t="str">
            <v>윈도우 제품군</v>
          </cell>
          <cell r="E355" t="str">
            <v>염료</v>
          </cell>
          <cell r="F355" t="str">
            <v>1PLY</v>
          </cell>
        </row>
        <row r="356">
          <cell r="A356">
            <v>25528</v>
          </cell>
          <cell r="B356" t="str">
            <v>SCF-ND-CSK70</v>
          </cell>
          <cell r="C356" t="str">
            <v>제품</v>
          </cell>
          <cell r="D356" t="str">
            <v>윈도우 제품군</v>
          </cell>
          <cell r="E356" t="str">
            <v>염료</v>
          </cell>
          <cell r="F356" t="str">
            <v>2PLY</v>
          </cell>
        </row>
        <row r="357">
          <cell r="A357">
            <v>25532</v>
          </cell>
          <cell r="B357" t="str">
            <v>SCF-DM-GRA GR60</v>
          </cell>
          <cell r="C357" t="str">
            <v>제품</v>
          </cell>
          <cell r="D357" t="str">
            <v>윈도우 제품군</v>
          </cell>
          <cell r="E357" t="str">
            <v>염료</v>
          </cell>
          <cell r="F357" t="str">
            <v>2PLY</v>
          </cell>
        </row>
        <row r="358">
          <cell r="A358">
            <v>25533</v>
          </cell>
          <cell r="B358" t="str">
            <v>SFSL-ND-CG20+4MIL</v>
          </cell>
          <cell r="C358" t="str">
            <v>제품</v>
          </cell>
          <cell r="D358" t="str">
            <v>윈도우 제품군</v>
          </cell>
          <cell r="E358" t="str">
            <v>전략</v>
          </cell>
          <cell r="F358" t="str">
            <v>SAFETY</v>
          </cell>
        </row>
        <row r="359">
          <cell r="A359">
            <v>25534</v>
          </cell>
          <cell r="B359" t="str">
            <v>HOT FIX(PVC 실리콘 TYPE)</v>
          </cell>
          <cell r="C359" t="str">
            <v>제품</v>
          </cell>
          <cell r="D359" t="str">
            <v>윈도우 제품군</v>
          </cell>
          <cell r="E359" t="str">
            <v>염료</v>
          </cell>
          <cell r="F359" t="str">
            <v>1PLY</v>
          </cell>
        </row>
        <row r="360">
          <cell r="A360">
            <v>25535</v>
          </cell>
          <cell r="B360" t="str">
            <v>HOT FIX (PVC ACYLE TYPE)</v>
          </cell>
          <cell r="C360" t="str">
            <v>제품</v>
          </cell>
          <cell r="D360" t="str">
            <v>윈도우 제품군</v>
          </cell>
          <cell r="E360" t="str">
            <v>염료</v>
          </cell>
          <cell r="F360" t="str">
            <v>1PLY</v>
          </cell>
        </row>
        <row r="361">
          <cell r="A361">
            <v>25536</v>
          </cell>
          <cell r="B361" t="str">
            <v>HOT FIX (PP ACYLE TYPE)</v>
          </cell>
          <cell r="C361" t="str">
            <v>제품</v>
          </cell>
          <cell r="D361" t="str">
            <v>윈도우 제품군</v>
          </cell>
          <cell r="E361" t="str">
            <v>염료</v>
          </cell>
          <cell r="F361" t="str">
            <v>1PLY</v>
          </cell>
        </row>
        <row r="362">
          <cell r="A362">
            <v>25537</v>
          </cell>
          <cell r="B362" t="str">
            <v>HOT FIX (황후지 ACYLE TYPE)</v>
          </cell>
          <cell r="C362" t="str">
            <v>제품</v>
          </cell>
          <cell r="D362" t="str">
            <v>윈도우 제품군</v>
          </cell>
          <cell r="E362" t="str">
            <v>염료</v>
          </cell>
          <cell r="F362" t="str">
            <v>1PLY</v>
          </cell>
        </row>
        <row r="363">
          <cell r="A363">
            <v>25541</v>
          </cell>
          <cell r="B363" t="str">
            <v>SCF-NS-SMK35</v>
          </cell>
          <cell r="C363" t="str">
            <v>제품</v>
          </cell>
          <cell r="D363" t="str">
            <v>윈도우 제품군</v>
          </cell>
          <cell r="E363" t="str">
            <v>염료</v>
          </cell>
          <cell r="F363" t="str">
            <v>1PLY</v>
          </cell>
        </row>
        <row r="364">
          <cell r="A364">
            <v>25543</v>
          </cell>
          <cell r="B364" t="str">
            <v>DM-IGS77</v>
          </cell>
          <cell r="C364" t="str">
            <v>제품</v>
          </cell>
          <cell r="D364" t="str">
            <v>윈도우 제품군</v>
          </cell>
          <cell r="E364" t="str">
            <v>염료</v>
          </cell>
          <cell r="F364" t="str">
            <v>2PLY</v>
          </cell>
        </row>
        <row r="365">
          <cell r="A365">
            <v>25546</v>
          </cell>
          <cell r="B365" t="str">
            <v>SCF-NS-DSM14D(NON-SR)</v>
          </cell>
          <cell r="C365" t="str">
            <v>제품</v>
          </cell>
          <cell r="D365" t="str">
            <v>윈도우 제품군</v>
          </cell>
          <cell r="E365" t="str">
            <v>염료</v>
          </cell>
          <cell r="F365" t="str">
            <v>1PLY</v>
          </cell>
        </row>
        <row r="366">
          <cell r="A366">
            <v>25547</v>
          </cell>
          <cell r="B366" t="str">
            <v>SCF-NS-DSM41(NON-SR)</v>
          </cell>
          <cell r="C366" t="str">
            <v>제품</v>
          </cell>
          <cell r="D366" t="str">
            <v>윈도우 제품군</v>
          </cell>
          <cell r="E366" t="str">
            <v>염료</v>
          </cell>
          <cell r="F366" t="str">
            <v>1PLY</v>
          </cell>
        </row>
        <row r="367">
          <cell r="A367">
            <v>25548</v>
          </cell>
          <cell r="B367" t="str">
            <v>SCF-NS-DSM27(NON-SR)</v>
          </cell>
          <cell r="C367" t="str">
            <v>제품</v>
          </cell>
          <cell r="D367" t="str">
            <v>윈도우 제품군</v>
          </cell>
          <cell r="E367" t="str">
            <v>염료</v>
          </cell>
          <cell r="F367" t="str">
            <v>1PLY</v>
          </cell>
        </row>
        <row r="368">
          <cell r="A368">
            <v>25549</v>
          </cell>
          <cell r="B368" t="str">
            <v>SCF-NS-DSM08(NON-SR)</v>
          </cell>
          <cell r="C368" t="str">
            <v>제품</v>
          </cell>
          <cell r="D368" t="str">
            <v>윈도우 제품군</v>
          </cell>
          <cell r="E368" t="str">
            <v>염료</v>
          </cell>
          <cell r="F368" t="str">
            <v>1PLY</v>
          </cell>
        </row>
        <row r="369">
          <cell r="A369">
            <v>25550</v>
          </cell>
          <cell r="B369" t="str">
            <v>SCF-NS-WF026(NON-SR)</v>
          </cell>
          <cell r="C369" t="str">
            <v>제품</v>
          </cell>
          <cell r="D369" t="str">
            <v>윈도우 제품군</v>
          </cell>
          <cell r="E369" t="str">
            <v>염료</v>
          </cell>
          <cell r="F369" t="str">
            <v>1PLY</v>
          </cell>
        </row>
        <row r="370">
          <cell r="A370">
            <v>25551</v>
          </cell>
          <cell r="B370" t="str">
            <v>SCF-DM-TTSM</v>
          </cell>
          <cell r="C370" t="str">
            <v>제품</v>
          </cell>
          <cell r="D370" t="str">
            <v>윈도우 제품군</v>
          </cell>
          <cell r="E370" t="str">
            <v>염료</v>
          </cell>
          <cell r="F370" t="str">
            <v>2PLY</v>
          </cell>
        </row>
        <row r="371">
          <cell r="A371">
            <v>25552</v>
          </cell>
          <cell r="B371" t="str">
            <v>SCF-ND-BRN06</v>
          </cell>
          <cell r="C371" t="str">
            <v>제품</v>
          </cell>
          <cell r="D371" t="str">
            <v>윈도우 제품군</v>
          </cell>
          <cell r="E371" t="str">
            <v>염료</v>
          </cell>
          <cell r="F371" t="str">
            <v>2PLY</v>
          </cell>
        </row>
        <row r="372">
          <cell r="A372">
            <v>25553</v>
          </cell>
          <cell r="B372" t="str">
            <v>SCF-DC-USB07(0.8)</v>
          </cell>
          <cell r="C372" t="str">
            <v>제품</v>
          </cell>
          <cell r="D372" t="str">
            <v>윈도우 제품군</v>
          </cell>
          <cell r="E372" t="str">
            <v>염료</v>
          </cell>
          <cell r="F372" t="str">
            <v>2PLY</v>
          </cell>
        </row>
        <row r="373">
          <cell r="A373">
            <v>25555</v>
          </cell>
          <cell r="B373" t="str">
            <v>SCF-DM-COLD35</v>
          </cell>
          <cell r="C373" t="str">
            <v>제품</v>
          </cell>
          <cell r="D373" t="str">
            <v>윈도우 제품군</v>
          </cell>
          <cell r="E373" t="str">
            <v>염료</v>
          </cell>
          <cell r="F373" t="str">
            <v>2PLY</v>
          </cell>
        </row>
        <row r="374">
          <cell r="A374">
            <v>25557</v>
          </cell>
          <cell r="B374" t="str">
            <v>SCF-DM-SG20 50R</v>
          </cell>
          <cell r="C374" t="str">
            <v>제품</v>
          </cell>
          <cell r="D374" t="str">
            <v>윈도우 제품군</v>
          </cell>
          <cell r="E374" t="str">
            <v>염료</v>
          </cell>
          <cell r="F374" t="str">
            <v>2PLY</v>
          </cell>
        </row>
        <row r="375">
          <cell r="A375">
            <v>25566</v>
          </cell>
          <cell r="B375" t="str">
            <v>SCF-DC-CCS35R(0.25)</v>
          </cell>
          <cell r="C375" t="str">
            <v>제품</v>
          </cell>
          <cell r="D375" t="str">
            <v>윈도우 제품군</v>
          </cell>
          <cell r="E375" t="str">
            <v>염료</v>
          </cell>
          <cell r="F375" t="str">
            <v>2PLY</v>
          </cell>
        </row>
        <row r="376">
          <cell r="A376">
            <v>25583</v>
          </cell>
          <cell r="B376" t="str">
            <v>SP-DM-LBK05</v>
          </cell>
          <cell r="C376" t="str">
            <v>제품</v>
          </cell>
          <cell r="D376" t="str">
            <v>윈도우 제품군</v>
          </cell>
          <cell r="E376" t="str">
            <v>전략</v>
          </cell>
          <cell r="F376" t="str">
            <v>SP</v>
          </cell>
        </row>
        <row r="377">
          <cell r="A377">
            <v>25585</v>
          </cell>
          <cell r="B377" t="str">
            <v>SPDM-LBK35</v>
          </cell>
          <cell r="C377" t="str">
            <v>제품</v>
          </cell>
          <cell r="D377" t="str">
            <v>윈도우 제품군</v>
          </cell>
          <cell r="E377" t="str">
            <v>전략</v>
          </cell>
          <cell r="F377" t="str">
            <v>SP</v>
          </cell>
        </row>
        <row r="378">
          <cell r="A378">
            <v>25586</v>
          </cell>
          <cell r="B378" t="str">
            <v>SP-DM-CCL05</v>
          </cell>
          <cell r="C378" t="str">
            <v>제품</v>
          </cell>
          <cell r="D378" t="str">
            <v>윈도우 제품군</v>
          </cell>
          <cell r="E378" t="str">
            <v>전략</v>
          </cell>
          <cell r="F378" t="str">
            <v>SP</v>
          </cell>
        </row>
        <row r="379">
          <cell r="A379">
            <v>25587</v>
          </cell>
          <cell r="B379" t="str">
            <v>SP-DM-CCL20</v>
          </cell>
          <cell r="C379" t="str">
            <v>제품</v>
          </cell>
          <cell r="D379" t="str">
            <v>윈도우 제품군</v>
          </cell>
          <cell r="E379" t="str">
            <v>전략</v>
          </cell>
          <cell r="F379" t="str">
            <v>SP</v>
          </cell>
        </row>
        <row r="380">
          <cell r="A380">
            <v>25588</v>
          </cell>
          <cell r="B380" t="str">
            <v>SP-DM-CCL35</v>
          </cell>
          <cell r="C380" t="str">
            <v>제품</v>
          </cell>
          <cell r="D380" t="str">
            <v>윈도우 제품군</v>
          </cell>
          <cell r="E380" t="str">
            <v>전략</v>
          </cell>
          <cell r="F380" t="str">
            <v>SP</v>
          </cell>
        </row>
        <row r="381">
          <cell r="A381">
            <v>25595</v>
          </cell>
          <cell r="B381" t="str">
            <v>SP-ND-CCL05</v>
          </cell>
          <cell r="C381" t="str">
            <v>제품</v>
          </cell>
          <cell r="D381" t="str">
            <v>윈도우 제품군</v>
          </cell>
          <cell r="E381" t="str">
            <v>전략</v>
          </cell>
          <cell r="F381" t="str">
            <v>SP</v>
          </cell>
        </row>
        <row r="382">
          <cell r="A382">
            <v>25596</v>
          </cell>
          <cell r="B382" t="str">
            <v>SP-ND-CCL20</v>
          </cell>
          <cell r="C382" t="str">
            <v>제품</v>
          </cell>
          <cell r="D382" t="str">
            <v>윈도우 제품군</v>
          </cell>
          <cell r="E382" t="str">
            <v>전략</v>
          </cell>
          <cell r="F382" t="str">
            <v>SP</v>
          </cell>
        </row>
        <row r="383">
          <cell r="A383">
            <v>25597</v>
          </cell>
          <cell r="B383" t="str">
            <v>SPS-CCL35</v>
          </cell>
          <cell r="C383" t="str">
            <v>제품</v>
          </cell>
          <cell r="D383" t="str">
            <v>윈도우 제품군</v>
          </cell>
          <cell r="E383" t="str">
            <v>전략</v>
          </cell>
          <cell r="F383" t="str">
            <v>SP</v>
          </cell>
        </row>
        <row r="384">
          <cell r="A384">
            <v>25624</v>
          </cell>
          <cell r="B384" t="str">
            <v>SCF-ND-SL65</v>
          </cell>
          <cell r="C384" t="str">
            <v>제품</v>
          </cell>
          <cell r="D384" t="str">
            <v>윈도우 제품군</v>
          </cell>
          <cell r="E384" t="str">
            <v>염료</v>
          </cell>
          <cell r="F384" t="str">
            <v>2PLY</v>
          </cell>
        </row>
        <row r="385">
          <cell r="A385">
            <v>25630</v>
          </cell>
          <cell r="B385" t="str">
            <v>SCF-DM-CHBR30S</v>
          </cell>
          <cell r="C385" t="str">
            <v>제품</v>
          </cell>
          <cell r="D385" t="str">
            <v>윈도우 제품군</v>
          </cell>
          <cell r="E385" t="str">
            <v>염료</v>
          </cell>
          <cell r="F385" t="str">
            <v>2PLY</v>
          </cell>
        </row>
        <row r="386">
          <cell r="A386">
            <v>25631</v>
          </cell>
          <cell r="B386" t="str">
            <v>SCF-DM-SILVER 50</v>
          </cell>
          <cell r="C386" t="str">
            <v>제품</v>
          </cell>
          <cell r="D386" t="str">
            <v>윈도우 제품군</v>
          </cell>
          <cell r="E386" t="str">
            <v>염료</v>
          </cell>
          <cell r="F386" t="str">
            <v>2PLY</v>
          </cell>
        </row>
        <row r="387">
          <cell r="A387">
            <v>25633</v>
          </cell>
          <cell r="B387" t="str">
            <v>COLEX-NS-MATT FROST PVC FILM PET RELEASE LINER</v>
          </cell>
          <cell r="C387" t="str">
            <v>제품</v>
          </cell>
          <cell r="D387" t="str">
            <v>윈도우 제품군</v>
          </cell>
          <cell r="E387" t="str">
            <v>염료</v>
          </cell>
          <cell r="F387" t="str">
            <v>COLEX</v>
          </cell>
        </row>
        <row r="388">
          <cell r="A388">
            <v>25649</v>
          </cell>
          <cell r="B388" t="str">
            <v>H/GLOSSY</v>
          </cell>
          <cell r="C388" t="str">
            <v>제품</v>
          </cell>
          <cell r="D388" t="str">
            <v>윈도우 제품군</v>
          </cell>
          <cell r="E388" t="str">
            <v>염료</v>
          </cell>
          <cell r="F388" t="str">
            <v>1PLY</v>
          </cell>
        </row>
        <row r="389">
          <cell r="A389">
            <v>25650</v>
          </cell>
          <cell r="B389" t="str">
            <v>SCF-DM-GOLD 40(0.3)</v>
          </cell>
          <cell r="C389" t="str">
            <v>제품</v>
          </cell>
          <cell r="D389" t="str">
            <v>윈도우 제품군</v>
          </cell>
          <cell r="E389" t="str">
            <v>염료</v>
          </cell>
          <cell r="F389" t="str">
            <v>2PLY</v>
          </cell>
        </row>
        <row r="390">
          <cell r="A390">
            <v>25651</v>
          </cell>
          <cell r="B390" t="str">
            <v>SCF-DM-BK21</v>
          </cell>
          <cell r="C390" t="str">
            <v>제품</v>
          </cell>
          <cell r="D390" t="str">
            <v>윈도우 제품군</v>
          </cell>
          <cell r="E390" t="str">
            <v>염료</v>
          </cell>
          <cell r="F390" t="str">
            <v>2PLY</v>
          </cell>
        </row>
        <row r="391">
          <cell r="A391">
            <v>25652</v>
          </cell>
          <cell r="B391" t="str">
            <v>SCF-DM-DK GREEN 13</v>
          </cell>
          <cell r="C391" t="str">
            <v>제품</v>
          </cell>
          <cell r="D391" t="str">
            <v>윈도우 제품군</v>
          </cell>
          <cell r="E391" t="str">
            <v>염료</v>
          </cell>
          <cell r="F391" t="str">
            <v>2PLY</v>
          </cell>
        </row>
        <row r="392">
          <cell r="A392">
            <v>25653</v>
          </cell>
          <cell r="B392" t="str">
            <v>SCF-DM-DK GREEN 25</v>
          </cell>
          <cell r="C392" t="str">
            <v>제품</v>
          </cell>
          <cell r="D392" t="str">
            <v>윈도우 제품군</v>
          </cell>
          <cell r="E392" t="str">
            <v>염료</v>
          </cell>
          <cell r="F392" t="str">
            <v>2PLY</v>
          </cell>
        </row>
        <row r="393">
          <cell r="A393">
            <v>25655</v>
          </cell>
          <cell r="B393" t="str">
            <v>SCF-NS-CSM 52</v>
          </cell>
          <cell r="C393" t="str">
            <v>제품</v>
          </cell>
          <cell r="D393" t="str">
            <v>윈도우 제품군</v>
          </cell>
          <cell r="E393" t="str">
            <v>염료</v>
          </cell>
          <cell r="F393" t="str">
            <v>1PLY</v>
          </cell>
        </row>
        <row r="394">
          <cell r="A394">
            <v>25656</v>
          </cell>
          <cell r="B394" t="str">
            <v>SCF-DM-SC20</v>
          </cell>
          <cell r="C394" t="str">
            <v>제품</v>
          </cell>
          <cell r="D394" t="str">
            <v>윈도우 제품군</v>
          </cell>
          <cell r="E394" t="str">
            <v>염료</v>
          </cell>
          <cell r="F394" t="str">
            <v>2PLY</v>
          </cell>
        </row>
        <row r="395">
          <cell r="A395">
            <v>25657</v>
          </cell>
          <cell r="B395" t="str">
            <v>SCF-DM-RGN 10CS</v>
          </cell>
          <cell r="C395" t="str">
            <v>제품</v>
          </cell>
          <cell r="D395" t="str">
            <v>윈도우 제품군</v>
          </cell>
          <cell r="E395" t="str">
            <v>염료</v>
          </cell>
          <cell r="F395" t="str">
            <v>2PLY</v>
          </cell>
        </row>
        <row r="396">
          <cell r="A396">
            <v>25658</v>
          </cell>
          <cell r="B396" t="str">
            <v>SCF-DM-BC20S</v>
          </cell>
          <cell r="C396" t="str">
            <v>제품</v>
          </cell>
          <cell r="D396" t="str">
            <v>윈도우 제품군</v>
          </cell>
          <cell r="E396" t="str">
            <v>염료</v>
          </cell>
          <cell r="F396" t="str">
            <v>2PLY</v>
          </cell>
        </row>
        <row r="397">
          <cell r="A397">
            <v>25676</v>
          </cell>
          <cell r="B397" t="str">
            <v>SCF-DM-BK40D(FOSHAN0.3)</v>
          </cell>
          <cell r="C397" t="str">
            <v>제품</v>
          </cell>
          <cell r="D397" t="str">
            <v>윈도우 제품군</v>
          </cell>
          <cell r="E397" t="str">
            <v>염료</v>
          </cell>
          <cell r="F397" t="str">
            <v>2PLY</v>
          </cell>
        </row>
        <row r="398">
          <cell r="A398">
            <v>25677</v>
          </cell>
          <cell r="B398" t="str">
            <v>SCF-NS-M50B</v>
          </cell>
          <cell r="C398" t="str">
            <v>제품</v>
          </cell>
          <cell r="D398" t="str">
            <v>윈도우 제품군</v>
          </cell>
          <cell r="E398" t="str">
            <v>염료</v>
          </cell>
          <cell r="F398" t="str">
            <v>1PLY</v>
          </cell>
        </row>
        <row r="399">
          <cell r="A399">
            <v>25679</v>
          </cell>
          <cell r="B399" t="str">
            <v>SCF-NS-S-SILVER 50</v>
          </cell>
          <cell r="C399" t="str">
            <v>제품</v>
          </cell>
          <cell r="D399" t="str">
            <v>윈도우 제품군</v>
          </cell>
          <cell r="E399" t="str">
            <v>염료</v>
          </cell>
          <cell r="F399" t="str">
            <v>1PLY</v>
          </cell>
        </row>
        <row r="400">
          <cell r="A400">
            <v>25680</v>
          </cell>
          <cell r="B400" t="str">
            <v>SCF-NS-S-GREEN 50</v>
          </cell>
          <cell r="C400" t="str">
            <v>제품</v>
          </cell>
          <cell r="D400" t="str">
            <v>윈도우 제품군</v>
          </cell>
          <cell r="E400" t="str">
            <v>염료</v>
          </cell>
          <cell r="F400" t="str">
            <v>1PLY</v>
          </cell>
        </row>
        <row r="401">
          <cell r="A401">
            <v>25682</v>
          </cell>
          <cell r="B401" t="str">
            <v>SFSL-ND-BK15+4MIL</v>
          </cell>
          <cell r="C401" t="str">
            <v>제품</v>
          </cell>
          <cell r="D401" t="str">
            <v>윈도우 제품군</v>
          </cell>
          <cell r="E401" t="str">
            <v>전략</v>
          </cell>
          <cell r="F401" t="str">
            <v>SAFETY</v>
          </cell>
        </row>
        <row r="402">
          <cell r="A402">
            <v>25728</v>
          </cell>
          <cell r="B402" t="str">
            <v>SCF-NS-UBK05(NO/SR)</v>
          </cell>
          <cell r="C402" t="str">
            <v>제품</v>
          </cell>
          <cell r="D402" t="str">
            <v>윈도우 제품군</v>
          </cell>
          <cell r="E402" t="str">
            <v>염료</v>
          </cell>
          <cell r="F402" t="str">
            <v>1PLY</v>
          </cell>
        </row>
        <row r="403">
          <cell r="A403">
            <v>25729</v>
          </cell>
          <cell r="B403" t="str">
            <v>SCF-DB-SOLAR BRONZE 35(0.3)</v>
          </cell>
          <cell r="C403" t="str">
            <v>제품</v>
          </cell>
          <cell r="D403" t="str">
            <v>윈도우 제품군</v>
          </cell>
          <cell r="E403" t="str">
            <v>염료</v>
          </cell>
          <cell r="F403" t="str">
            <v>2PLY</v>
          </cell>
        </row>
        <row r="404">
          <cell r="A404">
            <v>25768</v>
          </cell>
          <cell r="B404" t="str">
            <v>NS-CCS05(BERU)</v>
          </cell>
          <cell r="C404" t="str">
            <v>제품</v>
          </cell>
          <cell r="D404" t="str">
            <v>윈도우 제품군</v>
          </cell>
          <cell r="E404" t="str">
            <v>염료</v>
          </cell>
          <cell r="F404" t="str">
            <v>1PLY</v>
          </cell>
        </row>
        <row r="405">
          <cell r="A405">
            <v>25769</v>
          </cell>
          <cell r="B405" t="str">
            <v>SCF-NS-CCS10(BERU)</v>
          </cell>
          <cell r="C405" t="str">
            <v>제품</v>
          </cell>
          <cell r="D405" t="str">
            <v>윈도우 제품군</v>
          </cell>
          <cell r="E405" t="str">
            <v>염료</v>
          </cell>
          <cell r="F405" t="str">
            <v>1PLY</v>
          </cell>
        </row>
        <row r="406">
          <cell r="A406">
            <v>25770</v>
          </cell>
          <cell r="B406" t="str">
            <v>NS-CCS15(BERU)</v>
          </cell>
          <cell r="C406" t="str">
            <v>제품</v>
          </cell>
          <cell r="D406" t="str">
            <v>윈도우 제품군</v>
          </cell>
          <cell r="E406" t="str">
            <v>염료</v>
          </cell>
          <cell r="F406" t="str">
            <v>1PLY</v>
          </cell>
        </row>
        <row r="407">
          <cell r="A407">
            <v>25772</v>
          </cell>
          <cell r="B407" t="str">
            <v>SCF-ND-BK20(APEX SAMPLE)</v>
          </cell>
          <cell r="C407" t="str">
            <v>제품</v>
          </cell>
          <cell r="D407" t="str">
            <v>윈도우 제품군</v>
          </cell>
          <cell r="E407" t="str">
            <v>염료</v>
          </cell>
          <cell r="F407" t="str">
            <v>2PLY</v>
          </cell>
        </row>
        <row r="408">
          <cell r="A408">
            <v>25802</v>
          </cell>
          <cell r="B408" t="str">
            <v>SCF-DM-K18R(FOSHAN向0.3)</v>
          </cell>
          <cell r="C408" t="str">
            <v>제품</v>
          </cell>
          <cell r="D408" t="str">
            <v>윈도우 제품군</v>
          </cell>
          <cell r="E408" t="str">
            <v>염료</v>
          </cell>
          <cell r="F408" t="str">
            <v>2PLY</v>
          </cell>
        </row>
        <row r="409">
          <cell r="A409">
            <v>25803</v>
          </cell>
          <cell r="B409" t="str">
            <v>SCF-DM-B15D(FOSHAN向0.3)</v>
          </cell>
          <cell r="C409" t="str">
            <v>제품</v>
          </cell>
          <cell r="D409" t="str">
            <v>윈도우 제품군</v>
          </cell>
          <cell r="E409" t="str">
            <v>염료</v>
          </cell>
          <cell r="F409" t="str">
            <v>2PLY</v>
          </cell>
        </row>
        <row r="410">
          <cell r="A410">
            <v>25808</v>
          </cell>
          <cell r="B410" t="str">
            <v>SCF-DM-B09D(FOSHAN向0.3)</v>
          </cell>
          <cell r="C410" t="str">
            <v>제품</v>
          </cell>
          <cell r="D410" t="str">
            <v>윈도우 제품군</v>
          </cell>
          <cell r="E410" t="str">
            <v>염료</v>
          </cell>
          <cell r="F410" t="str">
            <v>2PLY</v>
          </cell>
        </row>
        <row r="411">
          <cell r="A411">
            <v>25809</v>
          </cell>
          <cell r="B411" t="str">
            <v>SCF-DM-20D(FOSHAN向0.25)</v>
          </cell>
          <cell r="C411" t="str">
            <v>제품</v>
          </cell>
          <cell r="D411" t="str">
            <v>윈도우 제품군</v>
          </cell>
          <cell r="E411" t="str">
            <v>염료</v>
          </cell>
          <cell r="F411" t="str">
            <v>2PLY</v>
          </cell>
        </row>
        <row r="412">
          <cell r="A412">
            <v>25810</v>
          </cell>
          <cell r="B412" t="str">
            <v>SCF-DM-BK40D(FOSHAN向0.3)</v>
          </cell>
          <cell r="C412" t="str">
            <v>제품</v>
          </cell>
          <cell r="D412" t="str">
            <v>윈도우 제품군</v>
          </cell>
          <cell r="E412" t="str">
            <v>염료</v>
          </cell>
          <cell r="F412" t="str">
            <v>2PLY</v>
          </cell>
        </row>
        <row r="413">
          <cell r="A413">
            <v>25811</v>
          </cell>
          <cell r="B413" t="str">
            <v>SCF-DM-G30D(FOSHAN向0.3)</v>
          </cell>
          <cell r="C413" t="str">
            <v>제품</v>
          </cell>
          <cell r="D413" t="str">
            <v>윈도우 제품군</v>
          </cell>
          <cell r="E413" t="str">
            <v>염료</v>
          </cell>
          <cell r="F413" t="str">
            <v>2PLY</v>
          </cell>
        </row>
        <row r="414">
          <cell r="A414">
            <v>25812</v>
          </cell>
          <cell r="B414" t="str">
            <v>SCF-DM-GN35F(FOSHAN向0.3)</v>
          </cell>
          <cell r="C414" t="str">
            <v>제품</v>
          </cell>
          <cell r="D414" t="str">
            <v>윈도우 제품군</v>
          </cell>
          <cell r="E414" t="str">
            <v>염료</v>
          </cell>
          <cell r="F414" t="str">
            <v>2PLY</v>
          </cell>
        </row>
        <row r="415">
          <cell r="A415">
            <v>25813</v>
          </cell>
          <cell r="B415" t="str">
            <v>SCF-DM-GN15D(FOSHAN向0.3)</v>
          </cell>
          <cell r="C415" t="str">
            <v>제품</v>
          </cell>
          <cell r="D415" t="str">
            <v>윈도우 제품군</v>
          </cell>
          <cell r="E415" t="str">
            <v>염료</v>
          </cell>
          <cell r="F415" t="str">
            <v>2PLY</v>
          </cell>
        </row>
        <row r="416">
          <cell r="A416">
            <v>25814</v>
          </cell>
          <cell r="B416" t="str">
            <v>SCF-ND-C-2(FOSHAN向)</v>
          </cell>
          <cell r="C416" t="str">
            <v>제품</v>
          </cell>
          <cell r="D416" t="str">
            <v>윈도우 제품군</v>
          </cell>
          <cell r="E416" t="str">
            <v>염료</v>
          </cell>
          <cell r="F416" t="str">
            <v>2PLY</v>
          </cell>
        </row>
        <row r="417">
          <cell r="A417">
            <v>25855</v>
          </cell>
          <cell r="B417" t="str">
            <v>SCF-DC-CCS49R(0.25)</v>
          </cell>
          <cell r="C417" t="str">
            <v>제품</v>
          </cell>
          <cell r="D417" t="str">
            <v>윈도우 제품군</v>
          </cell>
          <cell r="E417" t="str">
            <v>염료</v>
          </cell>
          <cell r="F417" t="str">
            <v>2PLY</v>
          </cell>
        </row>
        <row r="418">
          <cell r="A418">
            <v>25861</v>
          </cell>
          <cell r="B418" t="str">
            <v>SCF-NS-INS 00MU</v>
          </cell>
          <cell r="C418" t="str">
            <v>제품</v>
          </cell>
          <cell r="D418" t="str">
            <v>윈도우 제품군</v>
          </cell>
          <cell r="E418" t="str">
            <v>염료</v>
          </cell>
          <cell r="F418" t="str">
            <v>1PLY</v>
          </cell>
        </row>
        <row r="419">
          <cell r="A419">
            <v>25884</v>
          </cell>
          <cell r="B419" t="str">
            <v>SCF-NS-SMG10</v>
          </cell>
          <cell r="C419" t="str">
            <v>제품</v>
          </cell>
          <cell r="D419" t="str">
            <v>윈도우 제품군</v>
          </cell>
          <cell r="E419" t="str">
            <v>염료</v>
          </cell>
          <cell r="F419" t="str">
            <v>1PLY</v>
          </cell>
        </row>
        <row r="420">
          <cell r="A420">
            <v>25886</v>
          </cell>
          <cell r="B420" t="str">
            <v>SCF-DM-RG05(0.3)</v>
          </cell>
          <cell r="C420" t="str">
            <v>제품</v>
          </cell>
          <cell r="D420" t="str">
            <v>윈도우 제품군</v>
          </cell>
          <cell r="E420" t="str">
            <v>염료</v>
          </cell>
          <cell r="F420" t="str">
            <v>2PLY</v>
          </cell>
        </row>
        <row r="421">
          <cell r="A421">
            <v>25887</v>
          </cell>
          <cell r="B421" t="str">
            <v>SCF-DM-AN20(0.3)</v>
          </cell>
          <cell r="C421" t="str">
            <v>제품</v>
          </cell>
          <cell r="D421" t="str">
            <v>윈도우 제품군</v>
          </cell>
          <cell r="E421" t="str">
            <v>염료</v>
          </cell>
          <cell r="F421" t="str">
            <v>2PLY</v>
          </cell>
        </row>
        <row r="422">
          <cell r="A422">
            <v>25890</v>
          </cell>
          <cell r="B422" t="str">
            <v>COLEX-NS-WHITE 135 10MM WHITE LINES AND 4MM CLEAR SPACE(인쇄</v>
          </cell>
          <cell r="C422" t="str">
            <v>제품</v>
          </cell>
          <cell r="D422" t="str">
            <v>윈도우 제품군</v>
          </cell>
          <cell r="E422" t="str">
            <v>염료</v>
          </cell>
          <cell r="F422" t="str">
            <v>COLEX</v>
          </cell>
        </row>
        <row r="423">
          <cell r="A423">
            <v>25891</v>
          </cell>
          <cell r="B423" t="str">
            <v>SCF-DM-15RV(0.5)</v>
          </cell>
          <cell r="C423" t="str">
            <v>제품</v>
          </cell>
          <cell r="D423" t="str">
            <v>윈도우 제품군</v>
          </cell>
          <cell r="E423" t="str">
            <v>염료</v>
          </cell>
          <cell r="F423" t="str">
            <v>2PLY</v>
          </cell>
        </row>
        <row r="424">
          <cell r="A424">
            <v>25930</v>
          </cell>
          <cell r="B424" t="str">
            <v>SCF-NS-GREEN 66</v>
          </cell>
          <cell r="C424" t="str">
            <v>제품</v>
          </cell>
          <cell r="D424" t="str">
            <v>윈도우 제품군</v>
          </cell>
          <cell r="E424" t="str">
            <v>염료</v>
          </cell>
          <cell r="F424" t="str">
            <v>1PLY</v>
          </cell>
        </row>
        <row r="425">
          <cell r="A425">
            <v>25975</v>
          </cell>
          <cell r="B425" t="str">
            <v>SCF-ND-LBK30S(FOSHAN)</v>
          </cell>
          <cell r="C425" t="str">
            <v>제품</v>
          </cell>
          <cell r="D425" t="str">
            <v>윈도우 제품군</v>
          </cell>
          <cell r="E425" t="str">
            <v>염료</v>
          </cell>
          <cell r="F425" t="str">
            <v>2PLY</v>
          </cell>
        </row>
        <row r="426">
          <cell r="A426">
            <v>25976</v>
          </cell>
          <cell r="B426" t="str">
            <v>SCF-DM-BC30S(0.4)</v>
          </cell>
          <cell r="C426" t="str">
            <v>제품</v>
          </cell>
          <cell r="D426" t="str">
            <v>윈도우 제품군</v>
          </cell>
          <cell r="E426" t="str">
            <v>염료</v>
          </cell>
          <cell r="F426" t="str">
            <v>2PLY</v>
          </cell>
        </row>
        <row r="427">
          <cell r="A427">
            <v>25977</v>
          </cell>
          <cell r="B427" t="str">
            <v>SCF-DM-RGN10(0.8)</v>
          </cell>
          <cell r="C427" t="str">
            <v>제품</v>
          </cell>
          <cell r="D427" t="str">
            <v>윈도우 제품군</v>
          </cell>
          <cell r="E427" t="str">
            <v>염료</v>
          </cell>
          <cell r="F427" t="str">
            <v>2PLY</v>
          </cell>
        </row>
        <row r="428">
          <cell r="A428">
            <v>25978</v>
          </cell>
          <cell r="B428" t="str">
            <v>SCF-DM-LIMO BLACK(0.2)</v>
          </cell>
          <cell r="C428" t="str">
            <v>제품</v>
          </cell>
          <cell r="D428" t="str">
            <v>윈도우 제품군</v>
          </cell>
          <cell r="E428" t="str">
            <v>염료</v>
          </cell>
          <cell r="F428" t="str">
            <v>2PLY</v>
          </cell>
        </row>
        <row r="429">
          <cell r="A429">
            <v>26024</v>
          </cell>
          <cell r="B429" t="str">
            <v>SPDM-CCL35-SF4</v>
          </cell>
          <cell r="C429" t="str">
            <v>제품</v>
          </cell>
          <cell r="D429" t="str">
            <v>윈도우 제품군</v>
          </cell>
          <cell r="E429" t="str">
            <v>전략</v>
          </cell>
          <cell r="F429" t="str">
            <v>SP</v>
          </cell>
        </row>
        <row r="430">
          <cell r="A430">
            <v>26025</v>
          </cell>
          <cell r="B430" t="str">
            <v>SPDM-SLR35-SF4</v>
          </cell>
          <cell r="C430" t="str">
            <v>제품</v>
          </cell>
          <cell r="D430" t="str">
            <v>윈도우 제품군</v>
          </cell>
          <cell r="E430" t="str">
            <v>전략</v>
          </cell>
          <cell r="F430" t="str">
            <v>SP</v>
          </cell>
        </row>
        <row r="431">
          <cell r="A431">
            <v>26027</v>
          </cell>
          <cell r="B431" t="str">
            <v>PET FILM</v>
          </cell>
          <cell r="C431" t="str">
            <v>상품</v>
          </cell>
          <cell r="D431" t="str">
            <v>윈도우 제품군</v>
          </cell>
          <cell r="E431" t="str">
            <v>미분류</v>
          </cell>
          <cell r="F431" t="str">
            <v>미분류</v>
          </cell>
        </row>
        <row r="432">
          <cell r="A432">
            <v>26030</v>
          </cell>
          <cell r="B432" t="str">
            <v>SCF-NS-CCS02</v>
          </cell>
          <cell r="C432" t="str">
            <v>제품</v>
          </cell>
          <cell r="D432" t="str">
            <v>윈도우 제품군</v>
          </cell>
          <cell r="E432" t="str">
            <v>염료</v>
          </cell>
          <cell r="F432" t="str">
            <v>1PLY</v>
          </cell>
        </row>
        <row r="433">
          <cell r="A433">
            <v>26033</v>
          </cell>
          <cell r="B433" t="str">
            <v>SCF-DM-CHROME TOP 28(1.2)</v>
          </cell>
          <cell r="C433" t="str">
            <v>제품</v>
          </cell>
          <cell r="D433" t="str">
            <v>윈도우 제품군</v>
          </cell>
          <cell r="E433" t="str">
            <v>염료</v>
          </cell>
          <cell r="F433" t="str">
            <v>2PLY</v>
          </cell>
        </row>
        <row r="434">
          <cell r="A434">
            <v>26040</v>
          </cell>
          <cell r="B434" t="str">
            <v>SCF-NS-CMS52</v>
          </cell>
          <cell r="C434" t="str">
            <v>제품</v>
          </cell>
          <cell r="D434" t="str">
            <v>윈도우 제품군</v>
          </cell>
          <cell r="E434" t="str">
            <v>염료</v>
          </cell>
          <cell r="F434" t="str">
            <v>1PLY</v>
          </cell>
        </row>
        <row r="435">
          <cell r="A435">
            <v>26046</v>
          </cell>
          <cell r="B435" t="str">
            <v>SF-NS-4mil NON-SR</v>
          </cell>
          <cell r="C435" t="str">
            <v>제품</v>
          </cell>
          <cell r="D435" t="str">
            <v>윈도우 제품군</v>
          </cell>
          <cell r="E435" t="str">
            <v>전략</v>
          </cell>
          <cell r="F435" t="str">
            <v>SAFETY</v>
          </cell>
        </row>
        <row r="436">
          <cell r="A436">
            <v>26095</v>
          </cell>
          <cell r="B436" t="str">
            <v>SCF-DB-SOLAR BRONZE 20(0.3)</v>
          </cell>
          <cell r="C436" t="str">
            <v>제품</v>
          </cell>
          <cell r="D436" t="str">
            <v>윈도우 제품군</v>
          </cell>
          <cell r="E436" t="str">
            <v>염료</v>
          </cell>
          <cell r="F436" t="str">
            <v>2PLY</v>
          </cell>
        </row>
        <row r="437">
          <cell r="A437">
            <v>26098</v>
          </cell>
          <cell r="B437" t="str">
            <v>SCF-ND-K18N(FOSHAN K18)</v>
          </cell>
          <cell r="C437" t="str">
            <v>제품</v>
          </cell>
          <cell r="D437" t="str">
            <v>윈도우 제품군</v>
          </cell>
          <cell r="E437" t="str">
            <v>염료</v>
          </cell>
          <cell r="F437" t="str">
            <v>2PLY</v>
          </cell>
        </row>
        <row r="438">
          <cell r="A438">
            <v>26122</v>
          </cell>
          <cell r="B438" t="str">
            <v>유리창 부착용 PET</v>
          </cell>
          <cell r="C438" t="str">
            <v>제품</v>
          </cell>
          <cell r="D438" t="str">
            <v>윈도우 제품군</v>
          </cell>
          <cell r="E438" t="str">
            <v>염료</v>
          </cell>
          <cell r="F438" t="str">
            <v>1PLY</v>
          </cell>
        </row>
        <row r="439">
          <cell r="A439">
            <v>26135</v>
          </cell>
          <cell r="B439" t="str">
            <v>SCF-NS-BK70</v>
          </cell>
          <cell r="C439" t="str">
            <v>제품</v>
          </cell>
          <cell r="D439" t="str">
            <v>윈도우 제품군</v>
          </cell>
          <cell r="E439" t="str">
            <v>염료</v>
          </cell>
          <cell r="F439" t="str">
            <v>1PLY</v>
          </cell>
        </row>
        <row r="440">
          <cell r="A440">
            <v>26139</v>
          </cell>
          <cell r="B440" t="str">
            <v>SCF-NS-SGS20</v>
          </cell>
          <cell r="C440" t="str">
            <v>제품</v>
          </cell>
          <cell r="D440" t="str">
            <v>윈도우 제품군</v>
          </cell>
          <cell r="E440" t="str">
            <v>염료</v>
          </cell>
          <cell r="F440" t="str">
            <v>1PLY</v>
          </cell>
        </row>
        <row r="441">
          <cell r="A441">
            <v>26140</v>
          </cell>
          <cell r="B441" t="str">
            <v>SCF-DM-LR GLARL 7(0.4)</v>
          </cell>
          <cell r="C441" t="str">
            <v>제품</v>
          </cell>
          <cell r="D441" t="str">
            <v>윈도우 제품군</v>
          </cell>
          <cell r="E441" t="str">
            <v>염료</v>
          </cell>
          <cell r="F441" t="str">
            <v>2PLY</v>
          </cell>
        </row>
        <row r="442">
          <cell r="A442">
            <v>26142</v>
          </cell>
          <cell r="B442" t="str">
            <v>SCF-NS-G60</v>
          </cell>
          <cell r="C442" t="str">
            <v>제품</v>
          </cell>
          <cell r="D442" t="str">
            <v>윈도우 제품군</v>
          </cell>
          <cell r="E442" t="str">
            <v>염료</v>
          </cell>
          <cell r="F442" t="str">
            <v>1PLY</v>
          </cell>
        </row>
        <row r="443">
          <cell r="A443">
            <v>26143</v>
          </cell>
          <cell r="B443" t="str">
            <v>SCF-DC-RGN10CS(0.8)</v>
          </cell>
          <cell r="C443" t="str">
            <v>제품</v>
          </cell>
          <cell r="D443" t="str">
            <v>윈도우 제품군</v>
          </cell>
          <cell r="E443" t="str">
            <v>염료</v>
          </cell>
          <cell r="F443" t="str">
            <v>2PLY</v>
          </cell>
        </row>
        <row r="444">
          <cell r="A444">
            <v>26144</v>
          </cell>
          <cell r="B444" t="str">
            <v>SCF-ND-BK15D(FOSHAN)</v>
          </cell>
          <cell r="C444" t="str">
            <v>제품</v>
          </cell>
          <cell r="D444" t="str">
            <v>윈도우 제품군</v>
          </cell>
          <cell r="E444" t="str">
            <v>염료</v>
          </cell>
          <cell r="F444" t="str">
            <v>2PLY</v>
          </cell>
        </row>
        <row r="445">
          <cell r="A445">
            <v>26145</v>
          </cell>
          <cell r="B445" t="str">
            <v>SCF-DM-GN35(0.2)</v>
          </cell>
          <cell r="C445" t="str">
            <v>제품</v>
          </cell>
          <cell r="D445" t="str">
            <v>윈도우 제품군</v>
          </cell>
          <cell r="E445" t="str">
            <v>염료</v>
          </cell>
          <cell r="F445" t="str">
            <v>2PLY</v>
          </cell>
        </row>
        <row r="446">
          <cell r="A446">
            <v>26146</v>
          </cell>
          <cell r="B446" t="str">
            <v>SCF-DM-20D(FOSHAN向0.2)분말</v>
          </cell>
          <cell r="C446" t="str">
            <v>제품</v>
          </cell>
          <cell r="D446" t="str">
            <v>윈도우 제품군</v>
          </cell>
          <cell r="E446" t="str">
            <v>염료</v>
          </cell>
          <cell r="F446" t="str">
            <v>2PLY</v>
          </cell>
        </row>
        <row r="447">
          <cell r="A447">
            <v>26147</v>
          </cell>
          <cell r="B447" t="str">
            <v>SCF-DM-G30D(FOSHAN向0.2)분말</v>
          </cell>
          <cell r="C447" t="str">
            <v>제품</v>
          </cell>
          <cell r="D447" t="str">
            <v>윈도우 제품군</v>
          </cell>
          <cell r="E447" t="str">
            <v>염료</v>
          </cell>
          <cell r="F447" t="str">
            <v>2PLY</v>
          </cell>
        </row>
        <row r="448">
          <cell r="A448">
            <v>26148</v>
          </cell>
          <cell r="B448" t="str">
            <v>SCF-DM-BK40D(FOSHAN向0.2)분말</v>
          </cell>
          <cell r="C448" t="str">
            <v>제품</v>
          </cell>
          <cell r="D448" t="str">
            <v>윈도우 제품군</v>
          </cell>
          <cell r="E448" t="str">
            <v>염료</v>
          </cell>
          <cell r="F448" t="str">
            <v>2PLY</v>
          </cell>
        </row>
        <row r="449">
          <cell r="A449">
            <v>26149</v>
          </cell>
          <cell r="B449" t="str">
            <v>SCF-DM-GN15D(FOSHAN向0.2)분말</v>
          </cell>
          <cell r="C449" t="str">
            <v>제품</v>
          </cell>
          <cell r="D449" t="str">
            <v>윈도우 제품군</v>
          </cell>
          <cell r="E449" t="str">
            <v>염료</v>
          </cell>
          <cell r="F449" t="str">
            <v>2PLY</v>
          </cell>
        </row>
        <row r="450">
          <cell r="A450">
            <v>26172</v>
          </cell>
          <cell r="B450" t="str">
            <v>SCF-ND-CCS40</v>
          </cell>
          <cell r="C450" t="str">
            <v>제품</v>
          </cell>
          <cell r="D450" t="str">
            <v>윈도우 제품군</v>
          </cell>
          <cell r="E450" t="str">
            <v>염료</v>
          </cell>
          <cell r="F450" t="str">
            <v>2PLY</v>
          </cell>
        </row>
        <row r="451">
          <cell r="A451">
            <v>26179</v>
          </cell>
          <cell r="B451" t="str">
            <v>SCF-ND-ABS50</v>
          </cell>
          <cell r="C451" t="str">
            <v>제품</v>
          </cell>
          <cell r="D451" t="str">
            <v>윈도우 제품군</v>
          </cell>
          <cell r="E451" t="str">
            <v>염료</v>
          </cell>
          <cell r="F451" t="str">
            <v>2PLY</v>
          </cell>
        </row>
        <row r="452">
          <cell r="A452">
            <v>26193</v>
          </cell>
          <cell r="B452" t="str">
            <v>COLEX-NS-WHITE-MATT(50㎛ 1PLY)</v>
          </cell>
          <cell r="C452" t="str">
            <v>제품</v>
          </cell>
          <cell r="D452" t="str">
            <v>윈도우 제품군</v>
          </cell>
          <cell r="E452" t="str">
            <v>염료</v>
          </cell>
          <cell r="F452" t="str">
            <v>COLEX</v>
          </cell>
        </row>
        <row r="453">
          <cell r="A453">
            <v>26194</v>
          </cell>
          <cell r="B453" t="str">
            <v>SCF-DM-ICE BLUE</v>
          </cell>
          <cell r="C453" t="str">
            <v>제품</v>
          </cell>
          <cell r="D453" t="str">
            <v>윈도우 제품군</v>
          </cell>
          <cell r="E453" t="str">
            <v>염료</v>
          </cell>
          <cell r="F453" t="str">
            <v>2PLY</v>
          </cell>
        </row>
        <row r="454">
          <cell r="A454">
            <v>26208</v>
          </cell>
          <cell r="B454" t="str">
            <v>SCF-DM-SS40R</v>
          </cell>
          <cell r="C454" t="str">
            <v>제품</v>
          </cell>
          <cell r="D454" t="str">
            <v>윈도우 제품군</v>
          </cell>
          <cell r="E454" t="str">
            <v>염료</v>
          </cell>
          <cell r="F454" t="str">
            <v>2PLY</v>
          </cell>
        </row>
        <row r="455">
          <cell r="A455">
            <v>26223</v>
          </cell>
          <cell r="B455" t="str">
            <v>SF-NS-6MIL</v>
          </cell>
          <cell r="C455" t="str">
            <v>제품</v>
          </cell>
          <cell r="D455" t="str">
            <v>윈도우 제품군</v>
          </cell>
          <cell r="E455" t="str">
            <v>전략</v>
          </cell>
          <cell r="F455" t="str">
            <v>SAFETY</v>
          </cell>
        </row>
        <row r="456">
          <cell r="A456">
            <v>26282</v>
          </cell>
          <cell r="B456" t="str">
            <v>SCF-DM-SG22(0.2)</v>
          </cell>
          <cell r="C456" t="str">
            <v>제품</v>
          </cell>
          <cell r="D456" t="str">
            <v>윈도우 제품군</v>
          </cell>
          <cell r="E456" t="str">
            <v>염료</v>
          </cell>
          <cell r="F456" t="str">
            <v>2PLY</v>
          </cell>
        </row>
        <row r="457">
          <cell r="A457">
            <v>26283</v>
          </cell>
          <cell r="B457" t="str">
            <v>SCF-DM-SG38(0.2)</v>
          </cell>
          <cell r="C457" t="str">
            <v>제품</v>
          </cell>
          <cell r="D457" t="str">
            <v>윈도우 제품군</v>
          </cell>
          <cell r="E457" t="str">
            <v>염료</v>
          </cell>
          <cell r="F457" t="str">
            <v>2PLY</v>
          </cell>
        </row>
        <row r="458">
          <cell r="A458">
            <v>26299</v>
          </cell>
          <cell r="B458" t="str">
            <v>SCF-NS-CS05</v>
          </cell>
          <cell r="C458" t="str">
            <v>제품</v>
          </cell>
          <cell r="D458" t="str">
            <v>윈도우 제품군</v>
          </cell>
          <cell r="E458" t="str">
            <v>염료</v>
          </cell>
          <cell r="F458" t="str">
            <v>1PLY</v>
          </cell>
        </row>
        <row r="459">
          <cell r="A459">
            <v>26300</v>
          </cell>
          <cell r="B459" t="str">
            <v>SCF-NS-CS15</v>
          </cell>
          <cell r="C459" t="str">
            <v>제품</v>
          </cell>
          <cell r="D459" t="str">
            <v>윈도우 제품군</v>
          </cell>
          <cell r="E459" t="str">
            <v>염료</v>
          </cell>
          <cell r="F459" t="str">
            <v>1PLY</v>
          </cell>
        </row>
        <row r="460">
          <cell r="A460">
            <v>26301</v>
          </cell>
          <cell r="B460" t="str">
            <v>SCF-NS-CS28</v>
          </cell>
          <cell r="C460" t="str">
            <v>제품</v>
          </cell>
          <cell r="D460" t="str">
            <v>윈도우 제품군</v>
          </cell>
          <cell r="E460" t="str">
            <v>염료</v>
          </cell>
          <cell r="F460" t="str">
            <v>1PLY</v>
          </cell>
        </row>
        <row r="461">
          <cell r="A461">
            <v>26302</v>
          </cell>
          <cell r="B461" t="str">
            <v>SCF-DC-RL15(0.3)</v>
          </cell>
          <cell r="C461" t="str">
            <v>제품</v>
          </cell>
          <cell r="D461" t="str">
            <v>윈도우 제품군</v>
          </cell>
          <cell r="E461" t="str">
            <v>염료</v>
          </cell>
          <cell r="F461" t="str">
            <v>2PLY</v>
          </cell>
        </row>
        <row r="462">
          <cell r="A462">
            <v>26303</v>
          </cell>
          <cell r="B462" t="str">
            <v>SCF-DC-RO15(0.6)</v>
          </cell>
          <cell r="C462" t="str">
            <v>제품</v>
          </cell>
          <cell r="D462" t="str">
            <v>윈도우 제품군</v>
          </cell>
          <cell r="E462" t="str">
            <v>염료</v>
          </cell>
          <cell r="F462" t="str">
            <v>2PLY</v>
          </cell>
        </row>
        <row r="463">
          <cell r="A463">
            <v>26304</v>
          </cell>
          <cell r="B463" t="str">
            <v>SCF-NS-CG70</v>
          </cell>
          <cell r="C463" t="str">
            <v>제품</v>
          </cell>
          <cell r="D463" t="str">
            <v>윈도우 제품군</v>
          </cell>
          <cell r="E463" t="str">
            <v>염료</v>
          </cell>
          <cell r="F463" t="str">
            <v>1PLY</v>
          </cell>
        </row>
        <row r="464">
          <cell r="A464">
            <v>26309</v>
          </cell>
          <cell r="B464" t="str">
            <v>SCF-DM-HT60(FOSHAN 向)분말(0.2)</v>
          </cell>
          <cell r="C464" t="str">
            <v>제품</v>
          </cell>
          <cell r="D464" t="str">
            <v>윈도우 제품군</v>
          </cell>
          <cell r="E464" t="str">
            <v>염료</v>
          </cell>
          <cell r="F464" t="str">
            <v>2PLY</v>
          </cell>
        </row>
        <row r="465">
          <cell r="A465">
            <v>26316</v>
          </cell>
          <cell r="B465" t="str">
            <v>SCF-NS-SHGS20</v>
          </cell>
          <cell r="C465" t="str">
            <v>제품</v>
          </cell>
          <cell r="D465" t="str">
            <v>윈도우 제품군</v>
          </cell>
          <cell r="E465" t="str">
            <v>염료</v>
          </cell>
          <cell r="F465" t="str">
            <v>1PLY</v>
          </cell>
        </row>
        <row r="466">
          <cell r="A466">
            <v>26337</v>
          </cell>
          <cell r="B466" t="str">
            <v>SCF-CP-CCS35</v>
          </cell>
          <cell r="C466" t="str">
            <v>제품</v>
          </cell>
          <cell r="D466" t="str">
            <v>윈도우 제품군</v>
          </cell>
          <cell r="E466" t="str">
            <v>염료</v>
          </cell>
          <cell r="F466" t="str">
            <v>1PLY</v>
          </cell>
        </row>
        <row r="467">
          <cell r="A467">
            <v>26338</v>
          </cell>
          <cell r="B467" t="str">
            <v>SCF-CP-CCS20</v>
          </cell>
          <cell r="C467" t="str">
            <v>제품</v>
          </cell>
          <cell r="D467" t="str">
            <v>윈도우 제품군</v>
          </cell>
          <cell r="E467" t="str">
            <v>염료</v>
          </cell>
          <cell r="F467" t="str">
            <v>1PLY</v>
          </cell>
        </row>
        <row r="468">
          <cell r="A468">
            <v>26339</v>
          </cell>
          <cell r="B468" t="str">
            <v>SCF-CP-CCS05</v>
          </cell>
          <cell r="C468" t="str">
            <v>제품</v>
          </cell>
          <cell r="D468" t="str">
            <v>윈도우 제품군</v>
          </cell>
          <cell r="E468" t="str">
            <v>염료</v>
          </cell>
          <cell r="F468" t="str">
            <v>1PLY</v>
          </cell>
        </row>
        <row r="469">
          <cell r="A469">
            <v>26370</v>
          </cell>
          <cell r="B469" t="str">
            <v>SCF-DM-SPT50(0.3)</v>
          </cell>
          <cell r="C469" t="str">
            <v>제품</v>
          </cell>
          <cell r="D469" t="str">
            <v>윈도우 제품군</v>
          </cell>
          <cell r="E469" t="str">
            <v>염료</v>
          </cell>
          <cell r="F469" t="str">
            <v>2PLY</v>
          </cell>
        </row>
        <row r="470">
          <cell r="A470">
            <v>26371</v>
          </cell>
          <cell r="B470" t="str">
            <v>SCF-DM-SPT30(0.4)</v>
          </cell>
          <cell r="C470" t="str">
            <v>제품</v>
          </cell>
          <cell r="D470" t="str">
            <v>윈도우 제품군</v>
          </cell>
          <cell r="E470" t="str">
            <v>염료</v>
          </cell>
          <cell r="F470" t="str">
            <v>2PLY</v>
          </cell>
        </row>
        <row r="471">
          <cell r="A471">
            <v>26372</v>
          </cell>
          <cell r="B471" t="str">
            <v>SCF-DM-SPT25(0.4)</v>
          </cell>
          <cell r="C471" t="str">
            <v>제품</v>
          </cell>
          <cell r="D471" t="str">
            <v>윈도우 제품군</v>
          </cell>
          <cell r="E471" t="str">
            <v>염료</v>
          </cell>
          <cell r="F471" t="str">
            <v>2PLY</v>
          </cell>
        </row>
        <row r="472">
          <cell r="A472">
            <v>26377</v>
          </cell>
          <cell r="B472" t="str">
            <v>SCF-DC-15RV(0.5)</v>
          </cell>
          <cell r="C472" t="str">
            <v>제품</v>
          </cell>
          <cell r="D472" t="str">
            <v>윈도우 제품군</v>
          </cell>
          <cell r="E472" t="str">
            <v>염료</v>
          </cell>
          <cell r="F472" t="str">
            <v>2PLY</v>
          </cell>
        </row>
        <row r="473">
          <cell r="A473">
            <v>26403</v>
          </cell>
          <cell r="B473" t="str">
            <v>SF-NS-CLEAR(2Mil)</v>
          </cell>
          <cell r="C473" t="str">
            <v>제품</v>
          </cell>
          <cell r="D473" t="str">
            <v>윈도우 제품군</v>
          </cell>
          <cell r="E473" t="str">
            <v>전략</v>
          </cell>
          <cell r="F473" t="str">
            <v>SAFETY</v>
          </cell>
        </row>
        <row r="474">
          <cell r="A474">
            <v>26425</v>
          </cell>
          <cell r="B474" t="str">
            <v>SCF-DM-GOLD 13(0.6)</v>
          </cell>
          <cell r="C474" t="str">
            <v>제품</v>
          </cell>
          <cell r="D474" t="str">
            <v>윈도우 제품군</v>
          </cell>
          <cell r="E474" t="str">
            <v>염료</v>
          </cell>
          <cell r="F474" t="str">
            <v>2PLY</v>
          </cell>
        </row>
        <row r="475">
          <cell r="A475">
            <v>26452</v>
          </cell>
          <cell r="B475" t="str">
            <v>SCF-DM-RSS35(0.6)</v>
          </cell>
          <cell r="C475" t="str">
            <v>제품</v>
          </cell>
          <cell r="D475" t="str">
            <v>윈도우 제품군</v>
          </cell>
          <cell r="E475" t="str">
            <v>염료</v>
          </cell>
          <cell r="F475" t="str">
            <v>2PLY</v>
          </cell>
        </row>
        <row r="476">
          <cell r="A476">
            <v>26458</v>
          </cell>
          <cell r="B476" t="str">
            <v>SCF-NS-G52K</v>
          </cell>
          <cell r="C476" t="str">
            <v>제품</v>
          </cell>
          <cell r="D476" t="str">
            <v>윈도우 제품군</v>
          </cell>
          <cell r="E476" t="str">
            <v>염료</v>
          </cell>
          <cell r="F476" t="str">
            <v>1PLY</v>
          </cell>
        </row>
        <row r="477">
          <cell r="A477">
            <v>26497</v>
          </cell>
          <cell r="B477" t="str">
            <v>SCF-NS-DSM27(36㎛ 원단 사용)</v>
          </cell>
          <cell r="C477" t="str">
            <v>제품</v>
          </cell>
          <cell r="D477" t="str">
            <v>윈도우 제품군</v>
          </cell>
          <cell r="E477" t="str">
            <v>염료</v>
          </cell>
          <cell r="F477" t="str">
            <v>1PLY</v>
          </cell>
        </row>
        <row r="478">
          <cell r="A478">
            <v>26498</v>
          </cell>
          <cell r="B478" t="str">
            <v>SCF-NS-DSM14(36㎛원단 사용)</v>
          </cell>
          <cell r="C478" t="str">
            <v>제품</v>
          </cell>
          <cell r="D478" t="str">
            <v>윈도우 제품군</v>
          </cell>
          <cell r="E478" t="str">
            <v>염료</v>
          </cell>
          <cell r="F478" t="str">
            <v>1PLY</v>
          </cell>
        </row>
        <row r="479">
          <cell r="A479">
            <v>26499</v>
          </cell>
          <cell r="B479" t="str">
            <v>SCF-NS-UBK05(36㎛원단 사용)</v>
          </cell>
          <cell r="C479" t="str">
            <v>제품</v>
          </cell>
          <cell r="D479" t="str">
            <v>윈도우 제품군</v>
          </cell>
          <cell r="E479" t="str">
            <v>염료</v>
          </cell>
          <cell r="F479" t="str">
            <v>1PLY</v>
          </cell>
        </row>
        <row r="480">
          <cell r="A480">
            <v>26513</v>
          </cell>
          <cell r="B480" t="str">
            <v>SCF-CP-LBK17</v>
          </cell>
          <cell r="C480" t="str">
            <v>제품</v>
          </cell>
          <cell r="D480" t="str">
            <v>윈도우 제품군</v>
          </cell>
          <cell r="E480" t="str">
            <v>염료</v>
          </cell>
          <cell r="F480" t="str">
            <v>1PLY</v>
          </cell>
        </row>
        <row r="481">
          <cell r="A481">
            <v>26514</v>
          </cell>
          <cell r="B481" t="str">
            <v>SCF-CP-LBK30</v>
          </cell>
          <cell r="C481" t="str">
            <v>제품</v>
          </cell>
          <cell r="D481" t="str">
            <v>윈도우 제품군</v>
          </cell>
          <cell r="E481" t="str">
            <v>염료</v>
          </cell>
          <cell r="F481" t="str">
            <v>1PLY</v>
          </cell>
        </row>
        <row r="482">
          <cell r="A482">
            <v>26515</v>
          </cell>
          <cell r="B482" t="str">
            <v>SCF-DM-TR60</v>
          </cell>
          <cell r="C482" t="str">
            <v>제품</v>
          </cell>
          <cell r="D482" t="str">
            <v>윈도우 제품군</v>
          </cell>
          <cell r="E482" t="str">
            <v>염료</v>
          </cell>
          <cell r="F482" t="str">
            <v>2PLY</v>
          </cell>
        </row>
        <row r="483">
          <cell r="A483">
            <v>26516</v>
          </cell>
          <cell r="B483" t="str">
            <v>SCF-DM-TR80</v>
          </cell>
          <cell r="C483" t="str">
            <v>제품</v>
          </cell>
          <cell r="D483" t="str">
            <v>윈도우 제품군</v>
          </cell>
          <cell r="E483" t="str">
            <v>염료</v>
          </cell>
          <cell r="F483" t="str">
            <v>2PLY</v>
          </cell>
        </row>
        <row r="484">
          <cell r="A484">
            <v>26519</v>
          </cell>
          <cell r="B484" t="str">
            <v>NS-CHL35(CCS35 염료 점착 도포 8㎛)</v>
          </cell>
          <cell r="C484" t="str">
            <v>제품</v>
          </cell>
          <cell r="D484" t="str">
            <v>윈도우 제품군</v>
          </cell>
          <cell r="E484" t="str">
            <v>염료</v>
          </cell>
          <cell r="F484" t="str">
            <v>1PLY</v>
          </cell>
        </row>
        <row r="485">
          <cell r="A485">
            <v>26552</v>
          </cell>
          <cell r="B485" t="str">
            <v>SCF-NS-SHGS57(광고용)</v>
          </cell>
          <cell r="C485" t="str">
            <v>제품</v>
          </cell>
          <cell r="D485" t="str">
            <v>윈도우 제품군</v>
          </cell>
          <cell r="E485" t="str">
            <v>염료</v>
          </cell>
          <cell r="F485" t="str">
            <v>1PLY</v>
          </cell>
        </row>
        <row r="486">
          <cell r="A486">
            <v>26553</v>
          </cell>
          <cell r="B486" t="str">
            <v>SCF-NS-DBU20(광고용)</v>
          </cell>
          <cell r="C486" t="str">
            <v>제품</v>
          </cell>
          <cell r="D486" t="str">
            <v>윈도우 제품군</v>
          </cell>
          <cell r="E486" t="str">
            <v>염료</v>
          </cell>
          <cell r="F486" t="str">
            <v>1PLY</v>
          </cell>
        </row>
        <row r="487">
          <cell r="A487">
            <v>26554</v>
          </cell>
          <cell r="B487" t="str">
            <v>SCF-NS-MMM05S(광고용)</v>
          </cell>
          <cell r="C487" t="str">
            <v>제품</v>
          </cell>
          <cell r="D487" t="str">
            <v>윈도우 제품군</v>
          </cell>
          <cell r="E487" t="str">
            <v>염료</v>
          </cell>
          <cell r="F487" t="str">
            <v>1PLY</v>
          </cell>
        </row>
        <row r="488">
          <cell r="A488">
            <v>26555</v>
          </cell>
          <cell r="B488" t="str">
            <v>SCF-DB-BLUE GRADATION</v>
          </cell>
          <cell r="C488" t="str">
            <v>제품</v>
          </cell>
          <cell r="D488" t="str">
            <v>윈도우 제품군</v>
          </cell>
          <cell r="E488" t="str">
            <v>염료</v>
          </cell>
          <cell r="F488" t="str">
            <v>2PLY</v>
          </cell>
        </row>
        <row r="489">
          <cell r="A489">
            <v>26556</v>
          </cell>
          <cell r="B489" t="str">
            <v>SCF-DB-GREEN GRADATION</v>
          </cell>
          <cell r="C489" t="str">
            <v>제품</v>
          </cell>
          <cell r="D489" t="str">
            <v>윈도우 제품군</v>
          </cell>
          <cell r="E489" t="str">
            <v>염료</v>
          </cell>
          <cell r="F489" t="str">
            <v>2PLY</v>
          </cell>
        </row>
        <row r="490">
          <cell r="A490">
            <v>26571</v>
          </cell>
          <cell r="B490" t="str">
            <v>SF-NT-18MIL</v>
          </cell>
          <cell r="C490" t="str">
            <v>제품</v>
          </cell>
          <cell r="D490" t="str">
            <v>윈도우 제품군</v>
          </cell>
          <cell r="E490" t="str">
            <v>전략</v>
          </cell>
          <cell r="F490" t="str">
            <v>SAFETY</v>
          </cell>
        </row>
        <row r="491">
          <cell r="A491">
            <v>26572</v>
          </cell>
          <cell r="B491" t="str">
            <v>SF-NS-7MIL</v>
          </cell>
          <cell r="C491" t="str">
            <v>제품</v>
          </cell>
          <cell r="D491" t="str">
            <v>윈도우 제품군</v>
          </cell>
          <cell r="E491" t="str">
            <v>전략</v>
          </cell>
          <cell r="F491" t="str">
            <v>SAFETY</v>
          </cell>
        </row>
        <row r="492">
          <cell r="A492">
            <v>26574</v>
          </cell>
          <cell r="B492" t="str">
            <v>SCF-DM-G05D(0.3)w863</v>
          </cell>
          <cell r="C492" t="str">
            <v>제품</v>
          </cell>
          <cell r="D492" t="str">
            <v>윈도우 제품군</v>
          </cell>
          <cell r="E492" t="str">
            <v>염료</v>
          </cell>
          <cell r="F492" t="str">
            <v>2PLY</v>
          </cell>
        </row>
        <row r="493">
          <cell r="A493">
            <v>26575</v>
          </cell>
          <cell r="B493" t="str">
            <v>SCF-DM-G20D(0.3)w862</v>
          </cell>
          <cell r="C493" t="str">
            <v>제품</v>
          </cell>
          <cell r="D493" t="str">
            <v>윈도우 제품군</v>
          </cell>
          <cell r="E493" t="str">
            <v>염료</v>
          </cell>
          <cell r="F493" t="str">
            <v>2PLY</v>
          </cell>
        </row>
        <row r="494">
          <cell r="A494">
            <v>26576</v>
          </cell>
          <cell r="B494" t="str">
            <v>SCF-DM-G35D(0.3)w861</v>
          </cell>
          <cell r="C494" t="str">
            <v>제품</v>
          </cell>
          <cell r="D494" t="str">
            <v>윈도우 제품군</v>
          </cell>
          <cell r="E494" t="str">
            <v>염료</v>
          </cell>
          <cell r="F494" t="str">
            <v>2PLY</v>
          </cell>
        </row>
        <row r="495">
          <cell r="A495">
            <v>26588</v>
          </cell>
          <cell r="B495" t="str">
            <v>SCF-DM-15RG(0.6)</v>
          </cell>
          <cell r="C495" t="str">
            <v>제품</v>
          </cell>
          <cell r="D495" t="str">
            <v>윈도우 제품군</v>
          </cell>
          <cell r="E495" t="str">
            <v>염료</v>
          </cell>
          <cell r="F495" t="str">
            <v>2PLY</v>
          </cell>
        </row>
        <row r="496">
          <cell r="A496">
            <v>26617</v>
          </cell>
          <cell r="B496" t="str">
            <v>SCF-DM-LR GLARL 05(0.2)</v>
          </cell>
          <cell r="C496" t="str">
            <v>제품</v>
          </cell>
          <cell r="D496" t="str">
            <v>윈도우 제품군</v>
          </cell>
          <cell r="E496" t="str">
            <v>염료</v>
          </cell>
          <cell r="F496" t="str">
            <v>2PLY</v>
          </cell>
        </row>
        <row r="497">
          <cell r="A497">
            <v>26618</v>
          </cell>
          <cell r="B497" t="str">
            <v>SCF-DM-LR GLARL 10(0.2)</v>
          </cell>
          <cell r="C497" t="str">
            <v>제품</v>
          </cell>
          <cell r="D497" t="str">
            <v>윈도우 제품군</v>
          </cell>
          <cell r="E497" t="str">
            <v>염료</v>
          </cell>
          <cell r="F497" t="str">
            <v>2PLY</v>
          </cell>
        </row>
        <row r="498">
          <cell r="A498">
            <v>26619</v>
          </cell>
          <cell r="B498" t="str">
            <v>SCF-DM-LR GLARL 20(0.2)</v>
          </cell>
          <cell r="C498" t="str">
            <v>제품</v>
          </cell>
          <cell r="D498" t="str">
            <v>윈도우 제품군</v>
          </cell>
          <cell r="E498" t="str">
            <v>염료</v>
          </cell>
          <cell r="F498" t="str">
            <v>2PLY</v>
          </cell>
        </row>
        <row r="499">
          <cell r="A499">
            <v>26620</v>
          </cell>
          <cell r="B499" t="str">
            <v>SCF-DM-LR GLARL 35</v>
          </cell>
          <cell r="C499" t="str">
            <v>제품</v>
          </cell>
          <cell r="D499" t="str">
            <v>윈도우 제품군</v>
          </cell>
          <cell r="E499" t="str">
            <v>염료</v>
          </cell>
          <cell r="F499" t="str">
            <v>2PLY</v>
          </cell>
        </row>
        <row r="500">
          <cell r="A500">
            <v>26621</v>
          </cell>
          <cell r="B500" t="str">
            <v>SCF-NS-MMM05</v>
          </cell>
          <cell r="C500" t="str">
            <v>제품</v>
          </cell>
          <cell r="D500" t="str">
            <v>윈도우 제품군</v>
          </cell>
          <cell r="E500" t="str">
            <v>염료</v>
          </cell>
          <cell r="F500" t="str">
            <v>1PLY</v>
          </cell>
        </row>
        <row r="501">
          <cell r="A501">
            <v>26622</v>
          </cell>
          <cell r="B501" t="str">
            <v>SCF-NS-MMM10</v>
          </cell>
          <cell r="C501" t="str">
            <v>제품</v>
          </cell>
          <cell r="D501" t="str">
            <v>윈도우 제품군</v>
          </cell>
          <cell r="E501" t="str">
            <v>염료</v>
          </cell>
          <cell r="F501" t="str">
            <v>1PLY</v>
          </cell>
        </row>
        <row r="502">
          <cell r="A502">
            <v>26623</v>
          </cell>
          <cell r="B502" t="str">
            <v>SCF-NS-MMM15</v>
          </cell>
          <cell r="C502" t="str">
            <v>제품</v>
          </cell>
          <cell r="D502" t="str">
            <v>윈도우 제품군</v>
          </cell>
          <cell r="E502" t="str">
            <v>염료</v>
          </cell>
          <cell r="F502" t="str">
            <v>1PLY</v>
          </cell>
        </row>
        <row r="503">
          <cell r="A503">
            <v>26624</v>
          </cell>
          <cell r="B503" t="str">
            <v>SCF-NS-MMM20</v>
          </cell>
          <cell r="C503" t="str">
            <v>제품</v>
          </cell>
          <cell r="D503" t="str">
            <v>윈도우 제품군</v>
          </cell>
          <cell r="E503" t="str">
            <v>염료</v>
          </cell>
          <cell r="F503" t="str">
            <v>1PLY</v>
          </cell>
        </row>
        <row r="504">
          <cell r="A504">
            <v>26625</v>
          </cell>
          <cell r="B504" t="str">
            <v>SCF-NS-MMM35</v>
          </cell>
          <cell r="C504" t="str">
            <v>제품</v>
          </cell>
          <cell r="D504" t="str">
            <v>윈도우 제품군</v>
          </cell>
          <cell r="E504" t="str">
            <v>염료</v>
          </cell>
          <cell r="F504" t="str">
            <v>1PLY</v>
          </cell>
        </row>
        <row r="505">
          <cell r="A505">
            <v>26632</v>
          </cell>
          <cell r="B505" t="str">
            <v>SCF-DC-SL55-2(0.3)</v>
          </cell>
          <cell r="C505" t="str">
            <v>제품</v>
          </cell>
          <cell r="D505" t="str">
            <v>윈도우 제품군</v>
          </cell>
          <cell r="E505" t="str">
            <v>염료</v>
          </cell>
          <cell r="F505" t="str">
            <v>2PLY</v>
          </cell>
        </row>
        <row r="506">
          <cell r="A506">
            <v>26659</v>
          </cell>
          <cell r="B506" t="str">
            <v>SCF-NS-MMM30(광고용)</v>
          </cell>
          <cell r="C506" t="str">
            <v>제품</v>
          </cell>
          <cell r="D506" t="str">
            <v>윈도우 제품군</v>
          </cell>
          <cell r="E506" t="str">
            <v>염료</v>
          </cell>
          <cell r="F506" t="str">
            <v>1PLY</v>
          </cell>
        </row>
        <row r="507">
          <cell r="A507">
            <v>26660</v>
          </cell>
          <cell r="B507" t="str">
            <v>유리창 부착용 PET (50㎛ 영인)</v>
          </cell>
          <cell r="C507" t="str">
            <v>제품</v>
          </cell>
          <cell r="D507" t="str">
            <v>윈도우 제품군</v>
          </cell>
          <cell r="E507" t="str">
            <v>기타</v>
          </cell>
          <cell r="F507" t="str">
            <v>기타</v>
          </cell>
        </row>
        <row r="508">
          <cell r="A508">
            <v>26678</v>
          </cell>
          <cell r="B508" t="str">
            <v>SF-비산방지 SR(175㎛)</v>
          </cell>
          <cell r="C508" t="str">
            <v>제품</v>
          </cell>
          <cell r="D508" t="str">
            <v>윈도우 제품군</v>
          </cell>
          <cell r="E508" t="str">
            <v>전략</v>
          </cell>
          <cell r="F508" t="str">
            <v>SAFETY</v>
          </cell>
        </row>
        <row r="509">
          <cell r="A509">
            <v>26681</v>
          </cell>
          <cell r="B509" t="str">
            <v>SCF-DM-B15D(0.3)</v>
          </cell>
          <cell r="C509" t="str">
            <v>제품</v>
          </cell>
          <cell r="D509" t="str">
            <v>윈도우 제품군</v>
          </cell>
          <cell r="E509" t="str">
            <v>염료</v>
          </cell>
          <cell r="F509" t="str">
            <v>2PLY</v>
          </cell>
        </row>
        <row r="510">
          <cell r="A510">
            <v>26682</v>
          </cell>
          <cell r="B510" t="str">
            <v>SCF-NS-CS33</v>
          </cell>
          <cell r="C510" t="str">
            <v>제품</v>
          </cell>
          <cell r="D510" t="str">
            <v>윈도우 제품군</v>
          </cell>
          <cell r="E510" t="str">
            <v>염료</v>
          </cell>
          <cell r="F510" t="str">
            <v>1PLY</v>
          </cell>
        </row>
        <row r="511">
          <cell r="A511">
            <v>26690</v>
          </cell>
          <cell r="B511" t="str">
            <v>SCF-CP-CCS49</v>
          </cell>
          <cell r="C511" t="str">
            <v>제품</v>
          </cell>
          <cell r="D511" t="str">
            <v>윈도우 제품군</v>
          </cell>
          <cell r="E511" t="str">
            <v>염료</v>
          </cell>
          <cell r="F511" t="str">
            <v>1PLY</v>
          </cell>
        </row>
        <row r="512">
          <cell r="A512">
            <v>26691</v>
          </cell>
          <cell r="B512" t="str">
            <v>SCF-CP-SS03</v>
          </cell>
          <cell r="C512" t="str">
            <v>제품</v>
          </cell>
          <cell r="D512" t="str">
            <v>윈도우 제품군</v>
          </cell>
          <cell r="E512" t="str">
            <v>염료</v>
          </cell>
          <cell r="F512" t="str">
            <v>1PLY</v>
          </cell>
        </row>
        <row r="513">
          <cell r="A513">
            <v>26692</v>
          </cell>
          <cell r="B513" t="str">
            <v>SCF-DM-205 (0.3)</v>
          </cell>
          <cell r="C513" t="str">
            <v>제품</v>
          </cell>
          <cell r="D513" t="str">
            <v>윈도우 제품군</v>
          </cell>
          <cell r="E513" t="str">
            <v>염료</v>
          </cell>
          <cell r="F513" t="str">
            <v>2PLY</v>
          </cell>
        </row>
        <row r="514">
          <cell r="A514">
            <v>26696</v>
          </cell>
          <cell r="B514" t="str">
            <v>SFSL-DC-4MIL SL55(0.3)</v>
          </cell>
          <cell r="C514" t="str">
            <v>제품</v>
          </cell>
          <cell r="D514" t="str">
            <v>윈도우 제품군</v>
          </cell>
          <cell r="E514" t="str">
            <v>전략</v>
          </cell>
          <cell r="F514" t="str">
            <v>SAFETY</v>
          </cell>
        </row>
        <row r="515">
          <cell r="A515">
            <v>26708</v>
          </cell>
          <cell r="B515" t="str">
            <v>SP-DM-CCL05</v>
          </cell>
          <cell r="C515" t="str">
            <v>제품</v>
          </cell>
          <cell r="D515" t="str">
            <v>윈도우 제품군</v>
          </cell>
          <cell r="E515" t="str">
            <v>전략</v>
          </cell>
          <cell r="F515" t="str">
            <v>SP</v>
          </cell>
        </row>
        <row r="516">
          <cell r="A516">
            <v>26709</v>
          </cell>
          <cell r="B516" t="str">
            <v>SP-DM-CCL20</v>
          </cell>
          <cell r="C516" t="str">
            <v>제품</v>
          </cell>
          <cell r="D516" t="str">
            <v>윈도우 제품군</v>
          </cell>
          <cell r="E516" t="str">
            <v>전략</v>
          </cell>
          <cell r="F516" t="str">
            <v>SP</v>
          </cell>
        </row>
        <row r="517">
          <cell r="A517">
            <v>26710</v>
          </cell>
          <cell r="B517" t="str">
            <v>SCF-NS-DARK SMOKE50</v>
          </cell>
          <cell r="C517" t="str">
            <v>제품</v>
          </cell>
          <cell r="D517" t="str">
            <v>윈도우 제품군</v>
          </cell>
          <cell r="E517" t="str">
            <v>염료</v>
          </cell>
          <cell r="F517" t="str">
            <v>1PLY</v>
          </cell>
        </row>
        <row r="518">
          <cell r="A518">
            <v>26729</v>
          </cell>
          <cell r="B518" t="str">
            <v>SCF-DM-RNT35(0.3)</v>
          </cell>
          <cell r="C518" t="str">
            <v>제품</v>
          </cell>
          <cell r="D518" t="str">
            <v>윈도우 제품군</v>
          </cell>
          <cell r="E518" t="str">
            <v>염료</v>
          </cell>
          <cell r="F518" t="str">
            <v>2PLY</v>
          </cell>
        </row>
        <row r="519">
          <cell r="A519">
            <v>26730</v>
          </cell>
          <cell r="B519" t="str">
            <v>SP-ND-CCL35</v>
          </cell>
          <cell r="C519" t="str">
            <v>제품</v>
          </cell>
          <cell r="D519" t="str">
            <v>윈도우 제품군</v>
          </cell>
          <cell r="E519" t="str">
            <v>전략</v>
          </cell>
          <cell r="F519" t="str">
            <v>SP</v>
          </cell>
        </row>
        <row r="520">
          <cell r="A520">
            <v>26731</v>
          </cell>
          <cell r="B520" t="str">
            <v>SP-ND-CCL20</v>
          </cell>
          <cell r="C520" t="str">
            <v>제품</v>
          </cell>
          <cell r="D520" t="str">
            <v>윈도우 제품군</v>
          </cell>
          <cell r="E520" t="str">
            <v>전략</v>
          </cell>
          <cell r="F520" t="str">
            <v>SP</v>
          </cell>
        </row>
        <row r="521">
          <cell r="A521">
            <v>26732</v>
          </cell>
          <cell r="B521" t="str">
            <v>SP-ND-CCL05</v>
          </cell>
          <cell r="C521" t="str">
            <v>제품</v>
          </cell>
          <cell r="D521" t="str">
            <v>윈도우 제품군</v>
          </cell>
          <cell r="E521" t="str">
            <v>전략</v>
          </cell>
          <cell r="F521" t="str">
            <v>SP</v>
          </cell>
        </row>
        <row r="522">
          <cell r="A522">
            <v>26733</v>
          </cell>
          <cell r="B522" t="str">
            <v>SCF-DM-GN35(0.3)</v>
          </cell>
          <cell r="C522" t="str">
            <v>제품</v>
          </cell>
          <cell r="D522" t="str">
            <v>윈도우 제품군</v>
          </cell>
          <cell r="E522" t="str">
            <v>염료</v>
          </cell>
          <cell r="F522" t="str">
            <v>2PLY</v>
          </cell>
        </row>
        <row r="523">
          <cell r="A523">
            <v>26734</v>
          </cell>
          <cell r="B523" t="str">
            <v>SCF-DM-CL65(FOSHAN向0.2)분말</v>
          </cell>
          <cell r="C523" t="str">
            <v>제품</v>
          </cell>
          <cell r="D523" t="str">
            <v>윈도우 제품군</v>
          </cell>
          <cell r="E523" t="str">
            <v>염료</v>
          </cell>
          <cell r="F523" t="str">
            <v>2PLY</v>
          </cell>
        </row>
        <row r="524">
          <cell r="A524">
            <v>26735</v>
          </cell>
          <cell r="B524" t="str">
            <v>SCF-ND-BC77J(FOSHAN향)</v>
          </cell>
          <cell r="C524" t="str">
            <v>제품</v>
          </cell>
          <cell r="D524" t="str">
            <v>윈도우 제품군</v>
          </cell>
          <cell r="E524" t="str">
            <v>염료</v>
          </cell>
          <cell r="F524" t="str">
            <v>2PLY</v>
          </cell>
        </row>
        <row r="525">
          <cell r="A525">
            <v>26737</v>
          </cell>
          <cell r="B525" t="str">
            <v>SP-DC-PINK</v>
          </cell>
          <cell r="C525" t="str">
            <v>제품</v>
          </cell>
          <cell r="D525" t="str">
            <v>윈도우 제품군</v>
          </cell>
          <cell r="E525" t="str">
            <v>전략</v>
          </cell>
          <cell r="F525" t="str">
            <v>SP</v>
          </cell>
        </row>
        <row r="526">
          <cell r="A526">
            <v>26743</v>
          </cell>
          <cell r="B526" t="str">
            <v>SCF-DC-USB07(Foshan향0.8)</v>
          </cell>
          <cell r="C526" t="str">
            <v>제품</v>
          </cell>
          <cell r="D526" t="str">
            <v>윈도우 제품군</v>
          </cell>
          <cell r="E526" t="str">
            <v>염료</v>
          </cell>
          <cell r="F526" t="str">
            <v>2PLY</v>
          </cell>
        </row>
        <row r="527">
          <cell r="A527">
            <v>26766</v>
          </cell>
          <cell r="B527" t="str">
            <v>SCF-NS-EA60B</v>
          </cell>
          <cell r="C527" t="str">
            <v>제품</v>
          </cell>
          <cell r="D527" t="str">
            <v>윈도우 제품군</v>
          </cell>
          <cell r="E527" t="str">
            <v>염료</v>
          </cell>
          <cell r="F527" t="str">
            <v>1PLY</v>
          </cell>
        </row>
        <row r="528">
          <cell r="A528">
            <v>26767</v>
          </cell>
          <cell r="B528" t="str">
            <v>SCF-NS-BRN19</v>
          </cell>
          <cell r="C528" t="str">
            <v>제품</v>
          </cell>
          <cell r="D528" t="str">
            <v>윈도우 제품군</v>
          </cell>
          <cell r="E528" t="str">
            <v>염료</v>
          </cell>
          <cell r="F528" t="str">
            <v>1PLY</v>
          </cell>
        </row>
        <row r="529">
          <cell r="A529">
            <v>26774</v>
          </cell>
          <cell r="B529" t="str">
            <v>SCF-ND-CCS49(8㎛)</v>
          </cell>
          <cell r="C529" t="str">
            <v>제품</v>
          </cell>
          <cell r="D529" t="str">
            <v>윈도우 제품군</v>
          </cell>
          <cell r="E529" t="str">
            <v>염료</v>
          </cell>
          <cell r="F529" t="str">
            <v>2PLY</v>
          </cell>
        </row>
        <row r="530">
          <cell r="A530">
            <v>26775</v>
          </cell>
          <cell r="B530" t="str">
            <v>SCF-ND-CCS35(8㎛)</v>
          </cell>
          <cell r="C530" t="str">
            <v>제품</v>
          </cell>
          <cell r="D530" t="str">
            <v>윈도우 제품군</v>
          </cell>
          <cell r="E530" t="str">
            <v>염료</v>
          </cell>
          <cell r="F530" t="str">
            <v>2PLY</v>
          </cell>
        </row>
        <row r="531">
          <cell r="A531">
            <v>26776</v>
          </cell>
          <cell r="B531" t="str">
            <v>SCF-ND-CCS20(8㎛)</v>
          </cell>
          <cell r="C531" t="str">
            <v>제품</v>
          </cell>
          <cell r="D531" t="str">
            <v>윈도우 제품군</v>
          </cell>
          <cell r="E531" t="str">
            <v>염료</v>
          </cell>
          <cell r="F531" t="str">
            <v>2PLY</v>
          </cell>
        </row>
        <row r="532">
          <cell r="A532">
            <v>26777</v>
          </cell>
          <cell r="B532" t="str">
            <v>SCF-ND-CCS05(8㎛)</v>
          </cell>
          <cell r="C532" t="str">
            <v>제품</v>
          </cell>
          <cell r="D532" t="str">
            <v>윈도우 제품군</v>
          </cell>
          <cell r="E532" t="str">
            <v>염료</v>
          </cell>
          <cell r="F532" t="str">
            <v>2PLY</v>
          </cell>
        </row>
        <row r="533">
          <cell r="A533">
            <v>26787</v>
          </cell>
          <cell r="B533" t="str">
            <v>SCF-DM-LBK20-R1(0.4)</v>
          </cell>
          <cell r="C533" t="str">
            <v>제품</v>
          </cell>
          <cell r="D533" t="str">
            <v>윈도우 제품군</v>
          </cell>
          <cell r="E533" t="str">
            <v>염료</v>
          </cell>
          <cell r="F533" t="str">
            <v>2PLY</v>
          </cell>
        </row>
        <row r="534">
          <cell r="A534">
            <v>26788</v>
          </cell>
          <cell r="B534" t="str">
            <v>SCF-DM-LBK10-R1(0.6)</v>
          </cell>
          <cell r="C534" t="str">
            <v>제품</v>
          </cell>
          <cell r="D534" t="str">
            <v>윈도우 제품군</v>
          </cell>
          <cell r="E534" t="str">
            <v>염료</v>
          </cell>
          <cell r="F534" t="str">
            <v>2PLY</v>
          </cell>
        </row>
        <row r="535">
          <cell r="A535">
            <v>26789</v>
          </cell>
          <cell r="B535" t="str">
            <v>SCF-DM-SS40-R1(0.2)</v>
          </cell>
          <cell r="C535" t="str">
            <v>제품</v>
          </cell>
          <cell r="D535" t="str">
            <v>윈도우 제품군</v>
          </cell>
          <cell r="E535" t="str">
            <v>염료</v>
          </cell>
          <cell r="F535" t="str">
            <v>2PLY</v>
          </cell>
        </row>
        <row r="536">
          <cell r="A536">
            <v>26790</v>
          </cell>
          <cell r="B536" t="str">
            <v>SCF-DM-SS20-R1(0.4)</v>
          </cell>
          <cell r="C536" t="str">
            <v>제품</v>
          </cell>
          <cell r="D536" t="str">
            <v>윈도우 제품군</v>
          </cell>
          <cell r="E536" t="str">
            <v>염료</v>
          </cell>
          <cell r="F536" t="str">
            <v>2PLY</v>
          </cell>
        </row>
        <row r="537">
          <cell r="A537">
            <v>26791</v>
          </cell>
          <cell r="B537" t="str">
            <v>SCF-DM-SS10-R2(0.4)</v>
          </cell>
          <cell r="C537" t="str">
            <v>제품</v>
          </cell>
          <cell r="D537" t="str">
            <v>윈도우 제품군</v>
          </cell>
          <cell r="E537" t="str">
            <v>염료</v>
          </cell>
          <cell r="F537" t="str">
            <v>2PLY</v>
          </cell>
        </row>
        <row r="538">
          <cell r="A538">
            <v>26792</v>
          </cell>
          <cell r="B538" t="str">
            <v>SCF-NS-SMK05</v>
          </cell>
          <cell r="C538" t="str">
            <v>제품</v>
          </cell>
          <cell r="D538" t="str">
            <v>윈도우 제품군</v>
          </cell>
          <cell r="E538" t="str">
            <v>염료</v>
          </cell>
          <cell r="F538" t="str">
            <v>1PLY</v>
          </cell>
        </row>
        <row r="539">
          <cell r="A539">
            <v>26793</v>
          </cell>
          <cell r="B539" t="str">
            <v>SCF-NS-SMK15</v>
          </cell>
          <cell r="C539" t="str">
            <v>제품</v>
          </cell>
          <cell r="D539" t="str">
            <v>윈도우 제품군</v>
          </cell>
          <cell r="E539" t="str">
            <v>염료</v>
          </cell>
          <cell r="F539" t="str">
            <v>1PLY</v>
          </cell>
        </row>
        <row r="540">
          <cell r="A540">
            <v>26794</v>
          </cell>
          <cell r="B540" t="str">
            <v>상보텍 S.R</v>
          </cell>
          <cell r="C540" t="str">
            <v>제품</v>
          </cell>
          <cell r="D540" t="str">
            <v>윈도우 제품군</v>
          </cell>
          <cell r="E540" t="str">
            <v>염료</v>
          </cell>
          <cell r="F540" t="str">
            <v>1PLY</v>
          </cell>
        </row>
        <row r="541">
          <cell r="A541">
            <v>26803</v>
          </cell>
          <cell r="B541" t="str">
            <v>SCF-NS-CE60</v>
          </cell>
          <cell r="C541" t="str">
            <v>제품</v>
          </cell>
          <cell r="D541" t="str">
            <v>윈도우 제품군</v>
          </cell>
          <cell r="E541" t="str">
            <v>염료</v>
          </cell>
          <cell r="F541" t="str">
            <v>1PLY</v>
          </cell>
        </row>
        <row r="542">
          <cell r="A542">
            <v>26806</v>
          </cell>
          <cell r="B542" t="str">
            <v>SF-DC-4MIL SL58(0.25)</v>
          </cell>
          <cell r="C542" t="str">
            <v>제품</v>
          </cell>
          <cell r="D542" t="str">
            <v>윈도우 제품군</v>
          </cell>
          <cell r="E542" t="str">
            <v>전략</v>
          </cell>
          <cell r="F542" t="str">
            <v>SAFETY</v>
          </cell>
        </row>
        <row r="543">
          <cell r="A543">
            <v>26818</v>
          </cell>
          <cell r="B543" t="str">
            <v>SF-DM-2MIL NR 1(0.3)</v>
          </cell>
          <cell r="C543" t="str">
            <v>제품</v>
          </cell>
          <cell r="D543" t="str">
            <v>윈도우 제품군</v>
          </cell>
          <cell r="E543" t="str">
            <v>전략</v>
          </cell>
          <cell r="F543" t="str">
            <v>SAFETY</v>
          </cell>
        </row>
        <row r="544">
          <cell r="A544">
            <v>26819</v>
          </cell>
          <cell r="B544" t="str">
            <v>SCF-NS-MMM20(광고용)</v>
          </cell>
          <cell r="C544" t="str">
            <v>제품</v>
          </cell>
          <cell r="D544" t="str">
            <v>윈도우 제품군</v>
          </cell>
          <cell r="E544" t="str">
            <v>염료</v>
          </cell>
          <cell r="F544" t="str">
            <v>1PLY</v>
          </cell>
        </row>
        <row r="545">
          <cell r="A545">
            <v>26820</v>
          </cell>
          <cell r="B545" t="str">
            <v>SCF-DM-38D(FOSHAN향0.2)</v>
          </cell>
          <cell r="C545" t="str">
            <v>제품</v>
          </cell>
          <cell r="D545" t="str">
            <v>윈도우 제품군</v>
          </cell>
          <cell r="E545" t="str">
            <v>염료</v>
          </cell>
          <cell r="F545" t="str">
            <v>2PLY</v>
          </cell>
        </row>
        <row r="546">
          <cell r="A546">
            <v>26837</v>
          </cell>
          <cell r="B546" t="str">
            <v>ND-ICLD50(75/50)</v>
          </cell>
          <cell r="C546" t="str">
            <v>제품</v>
          </cell>
          <cell r="D546" t="str">
            <v>윈도우 제품군</v>
          </cell>
          <cell r="E546" t="str">
            <v>전략</v>
          </cell>
          <cell r="F546" t="str">
            <v>IR</v>
          </cell>
        </row>
        <row r="547">
          <cell r="A547">
            <v>26838</v>
          </cell>
          <cell r="B547" t="str">
            <v>ND-ICLB70 2MIL(Double IR)</v>
          </cell>
          <cell r="C547" t="str">
            <v>제품</v>
          </cell>
          <cell r="D547" t="str">
            <v>윈도우 제품군</v>
          </cell>
          <cell r="E547" t="str">
            <v>전략</v>
          </cell>
          <cell r="F547" t="str">
            <v>IR</v>
          </cell>
        </row>
        <row r="548">
          <cell r="A548">
            <v>26840</v>
          </cell>
          <cell r="B548" t="str">
            <v>ND-ICLD55</v>
          </cell>
          <cell r="C548" t="str">
            <v>제품</v>
          </cell>
          <cell r="D548" t="str">
            <v>윈도우 제품군</v>
          </cell>
          <cell r="E548" t="str">
            <v>전략</v>
          </cell>
          <cell r="F548" t="str">
            <v>IR</v>
          </cell>
        </row>
        <row r="549">
          <cell r="A549">
            <v>26845</v>
          </cell>
          <cell r="B549" t="str">
            <v>ND-ICLD50 2MIL(50+12)</v>
          </cell>
          <cell r="C549" t="str">
            <v>제품</v>
          </cell>
          <cell r="D549" t="str">
            <v>윈도우 제품군</v>
          </cell>
          <cell r="E549" t="str">
            <v>전략</v>
          </cell>
          <cell r="F549" t="str">
            <v>IR</v>
          </cell>
        </row>
        <row r="550">
          <cell r="A550">
            <v>26859</v>
          </cell>
          <cell r="B550" t="str">
            <v>COLEX-NS-MATT 131 REGIMENTAL(MATT)</v>
          </cell>
          <cell r="C550" t="str">
            <v>제품</v>
          </cell>
          <cell r="D550" t="str">
            <v>윈도우 제품군</v>
          </cell>
          <cell r="E550" t="str">
            <v>염료</v>
          </cell>
          <cell r="F550" t="str">
            <v>COLEX</v>
          </cell>
        </row>
        <row r="551">
          <cell r="A551">
            <v>26860</v>
          </cell>
          <cell r="B551" t="str">
            <v>COLEX-NS-WHITE 125 GOSSAMER (white)</v>
          </cell>
          <cell r="C551" t="str">
            <v>제품</v>
          </cell>
          <cell r="D551" t="str">
            <v>윈도우 제품군</v>
          </cell>
          <cell r="E551" t="str">
            <v>염료</v>
          </cell>
          <cell r="F551" t="str">
            <v>COLEX</v>
          </cell>
        </row>
        <row r="552">
          <cell r="A552">
            <v>26861</v>
          </cell>
          <cell r="B552" t="str">
            <v>COLEX-NS-WHITE 134 BOLD BLOCKS(white)</v>
          </cell>
          <cell r="C552" t="str">
            <v>제품</v>
          </cell>
          <cell r="D552" t="str">
            <v>윈도우 제품군</v>
          </cell>
          <cell r="E552" t="str">
            <v>염료</v>
          </cell>
          <cell r="F552" t="str">
            <v>COLEX</v>
          </cell>
        </row>
        <row r="553">
          <cell r="A553">
            <v>26870</v>
          </cell>
          <cell r="B553" t="str">
            <v>SPS-CCL20(B.F 32㎛)</v>
          </cell>
          <cell r="C553" t="str">
            <v>제품</v>
          </cell>
          <cell r="D553" t="str">
            <v>윈도우 제품군</v>
          </cell>
          <cell r="E553" t="str">
            <v>전략</v>
          </cell>
          <cell r="F553" t="str">
            <v>SP</v>
          </cell>
        </row>
        <row r="554">
          <cell r="A554">
            <v>26871</v>
          </cell>
          <cell r="B554" t="str">
            <v>SP-NS-CCL20(B.F 36㎛)</v>
          </cell>
          <cell r="C554" t="str">
            <v>제품</v>
          </cell>
          <cell r="D554" t="str">
            <v>윈도우 제품군</v>
          </cell>
          <cell r="E554" t="str">
            <v>전략</v>
          </cell>
          <cell r="F554" t="str">
            <v>SP</v>
          </cell>
        </row>
        <row r="555">
          <cell r="A555">
            <v>26872</v>
          </cell>
          <cell r="B555" t="str">
            <v>SPD-CCL20(19㎛+12㎛)</v>
          </cell>
          <cell r="C555" t="str">
            <v>제품</v>
          </cell>
          <cell r="D555" t="str">
            <v>윈도우 제품군</v>
          </cell>
          <cell r="E555" t="str">
            <v>전략</v>
          </cell>
          <cell r="F555" t="str">
            <v>SP</v>
          </cell>
        </row>
        <row r="556">
          <cell r="A556">
            <v>26873</v>
          </cell>
          <cell r="B556" t="str">
            <v>SCF-NS-CCS05(32㎛)</v>
          </cell>
          <cell r="C556" t="str">
            <v>제품</v>
          </cell>
          <cell r="D556" t="str">
            <v>윈도우 제품군</v>
          </cell>
          <cell r="E556" t="str">
            <v>염료</v>
          </cell>
          <cell r="F556" t="str">
            <v>1PLY</v>
          </cell>
        </row>
        <row r="557">
          <cell r="A557">
            <v>26900</v>
          </cell>
          <cell r="B557" t="str">
            <v>SCF-CP-LBK05R</v>
          </cell>
          <cell r="C557" t="str">
            <v>제품</v>
          </cell>
          <cell r="D557" t="str">
            <v>윈도우 제품군</v>
          </cell>
          <cell r="E557" t="str">
            <v>염료</v>
          </cell>
          <cell r="F557" t="str">
            <v>1PLY</v>
          </cell>
        </row>
        <row r="558">
          <cell r="A558">
            <v>26943</v>
          </cell>
          <cell r="B558" t="str">
            <v>SCF-NS-CCS16(광고용)</v>
          </cell>
          <cell r="C558" t="str">
            <v>제품</v>
          </cell>
          <cell r="D558" t="str">
            <v>윈도우 제품군</v>
          </cell>
          <cell r="E558" t="str">
            <v>염료</v>
          </cell>
          <cell r="F558" t="str">
            <v>1PLY</v>
          </cell>
        </row>
        <row r="559">
          <cell r="A559">
            <v>26952</v>
          </cell>
          <cell r="B559" t="str">
            <v>SCF-DM-RSS35(FOSHAN향0.6)</v>
          </cell>
          <cell r="C559" t="str">
            <v>제품</v>
          </cell>
          <cell r="D559" t="str">
            <v>윈도우 제품군</v>
          </cell>
          <cell r="E559" t="str">
            <v>염료</v>
          </cell>
          <cell r="F559" t="str">
            <v>2PLY</v>
          </cell>
        </row>
        <row r="560">
          <cell r="A560">
            <v>26953</v>
          </cell>
          <cell r="B560" t="str">
            <v>SCF-DM-G45(FOSHAN향0.3)</v>
          </cell>
          <cell r="C560" t="str">
            <v>제품</v>
          </cell>
          <cell r="D560" t="str">
            <v>윈도우 제품군</v>
          </cell>
          <cell r="E560" t="str">
            <v>염료</v>
          </cell>
          <cell r="F560" t="str">
            <v>2PLY</v>
          </cell>
        </row>
        <row r="561">
          <cell r="A561">
            <v>27024</v>
          </cell>
          <cell r="B561" t="str">
            <v>SCF-NS-SHGS32(광고용)</v>
          </cell>
          <cell r="C561" t="str">
            <v>제품</v>
          </cell>
          <cell r="D561" t="str">
            <v>윈도우 제품군</v>
          </cell>
          <cell r="E561" t="str">
            <v>염료</v>
          </cell>
          <cell r="F561" t="str">
            <v>1PLY</v>
          </cell>
        </row>
        <row r="562">
          <cell r="A562">
            <v>27025</v>
          </cell>
          <cell r="B562" t="str">
            <v>SCF-NS-SHGS39(광고용)</v>
          </cell>
          <cell r="C562" t="str">
            <v>제품</v>
          </cell>
          <cell r="D562" t="str">
            <v>윈도우 제품군</v>
          </cell>
          <cell r="E562" t="str">
            <v>염료</v>
          </cell>
          <cell r="F562" t="str">
            <v>1PLY</v>
          </cell>
        </row>
        <row r="563">
          <cell r="A563">
            <v>27026</v>
          </cell>
          <cell r="B563" t="str">
            <v>SCF-CP-LBK05</v>
          </cell>
          <cell r="C563" t="str">
            <v>제품</v>
          </cell>
          <cell r="D563" t="str">
            <v>윈도우 제품군</v>
          </cell>
          <cell r="E563" t="str">
            <v>염료</v>
          </cell>
          <cell r="F563" t="str">
            <v>1PLY</v>
          </cell>
        </row>
        <row r="564">
          <cell r="A564">
            <v>27027</v>
          </cell>
          <cell r="B564" t="str">
            <v>SCF-CP-LBK15</v>
          </cell>
          <cell r="C564" t="str">
            <v>제품</v>
          </cell>
          <cell r="D564" t="str">
            <v>윈도우 제품군</v>
          </cell>
          <cell r="E564" t="str">
            <v>염료</v>
          </cell>
          <cell r="F564" t="str">
            <v>1PLY</v>
          </cell>
        </row>
        <row r="565">
          <cell r="A565">
            <v>27028</v>
          </cell>
          <cell r="B565" t="str">
            <v>SCF-CP-CCS05</v>
          </cell>
          <cell r="C565" t="str">
            <v>제품</v>
          </cell>
          <cell r="D565" t="str">
            <v>윈도우 제품군</v>
          </cell>
          <cell r="E565" t="str">
            <v>염료</v>
          </cell>
          <cell r="F565" t="str">
            <v>1PLY</v>
          </cell>
        </row>
        <row r="566">
          <cell r="A566">
            <v>27029</v>
          </cell>
          <cell r="B566" t="str">
            <v>SCF-CP-CCS15</v>
          </cell>
          <cell r="C566" t="str">
            <v>제품</v>
          </cell>
          <cell r="D566" t="str">
            <v>윈도우 제품군</v>
          </cell>
          <cell r="E566" t="str">
            <v>염료</v>
          </cell>
          <cell r="F566" t="str">
            <v>1PLY</v>
          </cell>
        </row>
        <row r="567">
          <cell r="A567">
            <v>27031</v>
          </cell>
          <cell r="B567" t="str">
            <v>SCF-DC-GREEN 57(0.25)</v>
          </cell>
          <cell r="C567" t="str">
            <v>제품</v>
          </cell>
          <cell r="D567" t="str">
            <v>윈도우 제품군</v>
          </cell>
          <cell r="E567" t="str">
            <v>염료</v>
          </cell>
          <cell r="F567" t="str">
            <v>2PLY</v>
          </cell>
        </row>
        <row r="568">
          <cell r="A568">
            <v>27042</v>
          </cell>
          <cell r="B568" t="str">
            <v>SCF-NS-BC77J</v>
          </cell>
          <cell r="C568" t="str">
            <v>제품</v>
          </cell>
          <cell r="D568" t="str">
            <v>윈도우 제품군</v>
          </cell>
          <cell r="E568" t="str">
            <v>염료</v>
          </cell>
          <cell r="F568" t="str">
            <v>1PLY</v>
          </cell>
        </row>
        <row r="569">
          <cell r="A569">
            <v>27051</v>
          </cell>
          <cell r="B569" t="str">
            <v>SCF-NS-SMG20</v>
          </cell>
          <cell r="C569" t="str">
            <v>제품</v>
          </cell>
          <cell r="D569" t="str">
            <v>윈도우 제품군</v>
          </cell>
          <cell r="E569" t="str">
            <v>염료</v>
          </cell>
          <cell r="F569" t="str">
            <v>1PLY</v>
          </cell>
        </row>
        <row r="570">
          <cell r="A570">
            <v>27052</v>
          </cell>
          <cell r="B570" t="str">
            <v>SCF-DM-SMG05D(0.4)</v>
          </cell>
          <cell r="C570" t="str">
            <v>제품</v>
          </cell>
          <cell r="D570" t="str">
            <v>윈도우 제품군</v>
          </cell>
          <cell r="E570" t="str">
            <v>염료</v>
          </cell>
          <cell r="F570" t="str">
            <v>2PLY</v>
          </cell>
        </row>
        <row r="571">
          <cell r="A571">
            <v>27063</v>
          </cell>
          <cell r="B571" t="str">
            <v>SCF-NS-LBK05</v>
          </cell>
          <cell r="C571" t="str">
            <v>제품</v>
          </cell>
          <cell r="D571" t="str">
            <v>윈도우 제품군</v>
          </cell>
          <cell r="E571" t="str">
            <v>염료</v>
          </cell>
          <cell r="F571" t="str">
            <v>1PLY</v>
          </cell>
        </row>
        <row r="572">
          <cell r="A572">
            <v>27064</v>
          </cell>
          <cell r="B572" t="str">
            <v>SCF-NS-LBK20</v>
          </cell>
          <cell r="C572" t="str">
            <v>제품</v>
          </cell>
          <cell r="D572" t="str">
            <v>윈도우 제품군</v>
          </cell>
          <cell r="E572" t="str">
            <v>염료</v>
          </cell>
          <cell r="F572" t="str">
            <v>1PLY</v>
          </cell>
        </row>
        <row r="573">
          <cell r="A573">
            <v>27066</v>
          </cell>
          <cell r="B573" t="str">
            <v>SCF-NS-LBK35</v>
          </cell>
          <cell r="C573" t="str">
            <v>제품</v>
          </cell>
          <cell r="D573" t="str">
            <v>윈도우 제품군</v>
          </cell>
          <cell r="E573" t="str">
            <v>염료</v>
          </cell>
          <cell r="F573" t="str">
            <v>1PLY</v>
          </cell>
        </row>
        <row r="574">
          <cell r="A574">
            <v>27068</v>
          </cell>
          <cell r="B574" t="str">
            <v>SCF-CP-CLEAR</v>
          </cell>
          <cell r="C574" t="str">
            <v>제품</v>
          </cell>
          <cell r="D574" t="str">
            <v>윈도우 제품군</v>
          </cell>
          <cell r="E574" t="str">
            <v>염료</v>
          </cell>
          <cell r="F574" t="str">
            <v>1PLY</v>
          </cell>
        </row>
        <row r="575">
          <cell r="A575">
            <v>27072</v>
          </cell>
          <cell r="B575" t="str">
            <v>SFSL-ND-BK35+4MIL</v>
          </cell>
          <cell r="C575" t="str">
            <v>제품</v>
          </cell>
          <cell r="D575" t="str">
            <v>윈도우 제품군</v>
          </cell>
          <cell r="E575" t="str">
            <v>전략</v>
          </cell>
          <cell r="F575" t="str">
            <v>SAFETY</v>
          </cell>
        </row>
        <row r="576">
          <cell r="A576">
            <v>27075</v>
          </cell>
          <cell r="B576" t="str">
            <v>SCF-NS-WCA05</v>
          </cell>
          <cell r="C576" t="str">
            <v>제품</v>
          </cell>
          <cell r="D576" t="str">
            <v>윈도우 제품군</v>
          </cell>
          <cell r="E576" t="str">
            <v>염료</v>
          </cell>
          <cell r="F576" t="str">
            <v>1PLY</v>
          </cell>
        </row>
        <row r="577">
          <cell r="A577">
            <v>27076</v>
          </cell>
          <cell r="B577" t="str">
            <v>SCF-DM-WCL34(0.2)</v>
          </cell>
          <cell r="C577" t="str">
            <v>제품</v>
          </cell>
          <cell r="D577" t="str">
            <v>윈도우 제품군</v>
          </cell>
          <cell r="E577" t="str">
            <v>염료</v>
          </cell>
          <cell r="F577" t="str">
            <v>2PLY</v>
          </cell>
        </row>
        <row r="578">
          <cell r="A578">
            <v>27089</v>
          </cell>
          <cell r="B578" t="str">
            <v>SFSL-ND-CCS49R+4MIL</v>
          </cell>
          <cell r="C578" t="str">
            <v>제품</v>
          </cell>
          <cell r="D578" t="str">
            <v>윈도우 제품군</v>
          </cell>
          <cell r="E578" t="str">
            <v>전략</v>
          </cell>
          <cell r="F578" t="str">
            <v>SAFETY</v>
          </cell>
        </row>
        <row r="579">
          <cell r="A579">
            <v>27150</v>
          </cell>
          <cell r="B579" t="str">
            <v>IR-ICLD60(내면IR)</v>
          </cell>
          <cell r="C579" t="str">
            <v>제품</v>
          </cell>
          <cell r="D579" t="str">
            <v>윈도우 제품군</v>
          </cell>
          <cell r="E579" t="str">
            <v>전략</v>
          </cell>
          <cell r="F579" t="str">
            <v>IR</v>
          </cell>
        </row>
        <row r="580">
          <cell r="A580">
            <v>27151</v>
          </cell>
          <cell r="B580" t="str">
            <v>SCF-CP-BN15</v>
          </cell>
          <cell r="C580" t="str">
            <v>제품</v>
          </cell>
          <cell r="D580" t="str">
            <v>윈도우 제품군</v>
          </cell>
          <cell r="E580" t="str">
            <v>염료</v>
          </cell>
          <cell r="F580" t="str">
            <v>1PLY</v>
          </cell>
        </row>
        <row r="581">
          <cell r="A581">
            <v>27152</v>
          </cell>
          <cell r="B581" t="str">
            <v>SCF-CP-BN30</v>
          </cell>
          <cell r="C581" t="str">
            <v>제품</v>
          </cell>
          <cell r="D581" t="str">
            <v>윈도우 제품군</v>
          </cell>
          <cell r="E581" t="str">
            <v>염료</v>
          </cell>
          <cell r="F581" t="str">
            <v>1PLY</v>
          </cell>
        </row>
        <row r="582">
          <cell r="A582">
            <v>27153</v>
          </cell>
          <cell r="B582" t="str">
            <v>SCF-CP-BN50</v>
          </cell>
          <cell r="C582" t="str">
            <v>제품</v>
          </cell>
          <cell r="D582" t="str">
            <v>윈도우 제품군</v>
          </cell>
          <cell r="E582" t="str">
            <v>염료</v>
          </cell>
          <cell r="F582" t="str">
            <v>1PLY</v>
          </cell>
        </row>
        <row r="583">
          <cell r="A583">
            <v>27159</v>
          </cell>
          <cell r="B583" t="str">
            <v>4MIL-SS15</v>
          </cell>
          <cell r="C583" t="str">
            <v>제품</v>
          </cell>
          <cell r="D583" t="str">
            <v>윈도우 제품군</v>
          </cell>
          <cell r="E583" t="str">
            <v>전략</v>
          </cell>
          <cell r="F583" t="str">
            <v>SAFETY</v>
          </cell>
        </row>
        <row r="584">
          <cell r="A584">
            <v>27162</v>
          </cell>
          <cell r="B584" t="str">
            <v>WHITE MATT-SS03</v>
          </cell>
          <cell r="C584" t="str">
            <v>제품</v>
          </cell>
          <cell r="D584" t="str">
            <v>윈도우 제품군</v>
          </cell>
          <cell r="E584" t="str">
            <v>염료</v>
          </cell>
          <cell r="F584" t="str">
            <v>COLEX</v>
          </cell>
        </row>
        <row r="585">
          <cell r="A585">
            <v>27182</v>
          </cell>
          <cell r="B585" t="str">
            <v>SF-DC-4MIL CRS55(0.3)</v>
          </cell>
          <cell r="C585" t="str">
            <v>제품</v>
          </cell>
          <cell r="D585" t="str">
            <v>윈도우 제품군</v>
          </cell>
          <cell r="E585" t="str">
            <v>전략</v>
          </cell>
          <cell r="F585" t="str">
            <v>SAFETY</v>
          </cell>
        </row>
        <row r="586">
          <cell r="A586">
            <v>27217</v>
          </cell>
          <cell r="B586" t="str">
            <v>SCF-NS-SS58(분말)</v>
          </cell>
          <cell r="C586" t="str">
            <v>제품</v>
          </cell>
          <cell r="D586" t="str">
            <v>윈도우 제품군</v>
          </cell>
          <cell r="E586" t="str">
            <v>염료</v>
          </cell>
          <cell r="F586" t="str">
            <v>1PLY</v>
          </cell>
        </row>
        <row r="587">
          <cell r="A587">
            <v>27226</v>
          </cell>
          <cell r="B587" t="str">
            <v>SCF-CP-BS75</v>
          </cell>
          <cell r="C587" t="str">
            <v>제품</v>
          </cell>
          <cell r="D587" t="str">
            <v>윈도우 제품군</v>
          </cell>
          <cell r="E587" t="str">
            <v>염료</v>
          </cell>
          <cell r="F587" t="str">
            <v>1PLY</v>
          </cell>
        </row>
        <row r="588">
          <cell r="A588">
            <v>27266</v>
          </cell>
          <cell r="B588" t="str">
            <v>SCF-DM-WCL05(0.8)</v>
          </cell>
          <cell r="C588" t="str">
            <v>제품</v>
          </cell>
          <cell r="D588" t="str">
            <v>윈도우 제품군</v>
          </cell>
          <cell r="E588" t="str">
            <v>염료</v>
          </cell>
          <cell r="F588" t="str">
            <v>2PLY</v>
          </cell>
        </row>
        <row r="589">
          <cell r="A589">
            <v>27267</v>
          </cell>
          <cell r="B589" t="str">
            <v>SCF-DM-WCL19(0.2)</v>
          </cell>
          <cell r="C589" t="str">
            <v>제품</v>
          </cell>
          <cell r="D589" t="str">
            <v>윈도우 제품군</v>
          </cell>
          <cell r="E589" t="str">
            <v>염료</v>
          </cell>
          <cell r="F589" t="str">
            <v>2PLY</v>
          </cell>
        </row>
        <row r="590">
          <cell r="A590">
            <v>27268</v>
          </cell>
          <cell r="B590" t="str">
            <v>SCF-DM-WCL55(0.35)</v>
          </cell>
          <cell r="C590" t="str">
            <v>제품</v>
          </cell>
          <cell r="D590" t="str">
            <v>윈도우 제품군</v>
          </cell>
          <cell r="E590" t="str">
            <v>염료</v>
          </cell>
          <cell r="F590" t="str">
            <v>2PLY</v>
          </cell>
        </row>
        <row r="591">
          <cell r="A591">
            <v>27278</v>
          </cell>
          <cell r="B591" t="str">
            <v>IR-ND-ICLD70(양면IR)</v>
          </cell>
          <cell r="C591" t="str">
            <v>제품</v>
          </cell>
          <cell r="D591" t="str">
            <v>윈도우 제품군</v>
          </cell>
          <cell r="E591" t="str">
            <v>전략</v>
          </cell>
          <cell r="F591" t="str">
            <v>IR</v>
          </cell>
        </row>
        <row r="592">
          <cell r="A592">
            <v>27292</v>
          </cell>
          <cell r="B592" t="str">
            <v>SCF-NS-SOLAR CLEAR(4Mil)</v>
          </cell>
          <cell r="C592" t="str">
            <v>제품</v>
          </cell>
          <cell r="D592" t="str">
            <v>윈도우 제품군</v>
          </cell>
          <cell r="E592" t="str">
            <v>전략</v>
          </cell>
          <cell r="F592" t="str">
            <v>SAFETY</v>
          </cell>
        </row>
        <row r="593">
          <cell r="A593">
            <v>27316</v>
          </cell>
          <cell r="B593" t="str">
            <v>SCF-NS-GS06(광고용)</v>
          </cell>
          <cell r="C593" t="str">
            <v>제품</v>
          </cell>
          <cell r="D593" t="str">
            <v>윈도우 제품군</v>
          </cell>
          <cell r="E593" t="str">
            <v>염료</v>
          </cell>
          <cell r="F593" t="str">
            <v>1PLY</v>
          </cell>
        </row>
        <row r="594">
          <cell r="A594">
            <v>27317</v>
          </cell>
          <cell r="B594" t="str">
            <v>SCF-ND-ABS05</v>
          </cell>
          <cell r="C594" t="str">
            <v>제품</v>
          </cell>
          <cell r="D594" t="str">
            <v>윈도우 제품군</v>
          </cell>
          <cell r="E594" t="str">
            <v>염료</v>
          </cell>
          <cell r="F594" t="str">
            <v>2PLY</v>
          </cell>
        </row>
        <row r="595">
          <cell r="A595">
            <v>27318</v>
          </cell>
          <cell r="B595" t="str">
            <v>SCF-ND-ABS20</v>
          </cell>
          <cell r="C595" t="str">
            <v>제품</v>
          </cell>
          <cell r="D595" t="str">
            <v>윈도우 제품군</v>
          </cell>
          <cell r="E595" t="str">
            <v>염료</v>
          </cell>
          <cell r="F595" t="str">
            <v>2PLY</v>
          </cell>
        </row>
        <row r="596">
          <cell r="A596">
            <v>27319</v>
          </cell>
          <cell r="B596" t="str">
            <v>SCF-ND-ABS35</v>
          </cell>
          <cell r="C596" t="str">
            <v>제품</v>
          </cell>
          <cell r="D596" t="str">
            <v>윈도우 제품군</v>
          </cell>
          <cell r="E596" t="str">
            <v>염료</v>
          </cell>
          <cell r="F596" t="str">
            <v>2PLY</v>
          </cell>
        </row>
        <row r="597">
          <cell r="A597">
            <v>27320</v>
          </cell>
          <cell r="B597" t="str">
            <v>SCF-ND-AHP05</v>
          </cell>
          <cell r="C597" t="str">
            <v>제품</v>
          </cell>
          <cell r="D597" t="str">
            <v>윈도우 제품군</v>
          </cell>
          <cell r="E597" t="str">
            <v>염료</v>
          </cell>
          <cell r="F597" t="str">
            <v>2PLY</v>
          </cell>
        </row>
        <row r="598">
          <cell r="A598">
            <v>27321</v>
          </cell>
          <cell r="B598" t="str">
            <v>SCF-ND-AHP20</v>
          </cell>
          <cell r="C598" t="str">
            <v>제품</v>
          </cell>
          <cell r="D598" t="str">
            <v>윈도우 제품군</v>
          </cell>
          <cell r="E598" t="str">
            <v>염료</v>
          </cell>
          <cell r="F598" t="str">
            <v>2PLY</v>
          </cell>
        </row>
        <row r="599">
          <cell r="A599">
            <v>27322</v>
          </cell>
          <cell r="B599" t="str">
            <v>SCF-ND-AHP35</v>
          </cell>
          <cell r="C599" t="str">
            <v>제품</v>
          </cell>
          <cell r="D599" t="str">
            <v>윈도우 제품군</v>
          </cell>
          <cell r="E599" t="str">
            <v>염료</v>
          </cell>
          <cell r="F599" t="str">
            <v>2PLY</v>
          </cell>
        </row>
        <row r="600">
          <cell r="A600">
            <v>27333</v>
          </cell>
          <cell r="B600" t="str">
            <v>COLEX-NS-WHITE F 35M10(white)</v>
          </cell>
          <cell r="C600" t="str">
            <v>제품</v>
          </cell>
          <cell r="D600" t="str">
            <v>윈도우 제품군</v>
          </cell>
          <cell r="E600" t="str">
            <v>염료</v>
          </cell>
          <cell r="F600" t="str">
            <v>COLEX</v>
          </cell>
        </row>
        <row r="601">
          <cell r="A601">
            <v>27407</v>
          </cell>
          <cell r="B601" t="str">
            <v>SCF-DC-B30(0.4)</v>
          </cell>
          <cell r="C601" t="str">
            <v>제품</v>
          </cell>
          <cell r="D601" t="str">
            <v>윈도우 제품군</v>
          </cell>
          <cell r="E601" t="str">
            <v>염료</v>
          </cell>
          <cell r="F601" t="str">
            <v>2PLY</v>
          </cell>
        </row>
        <row r="602">
          <cell r="A602">
            <v>27419</v>
          </cell>
          <cell r="B602" t="str">
            <v>SCF-DM-BK15D(0.3)</v>
          </cell>
          <cell r="C602" t="str">
            <v>제품</v>
          </cell>
          <cell r="D602" t="str">
            <v>윈도우 제품군</v>
          </cell>
          <cell r="E602" t="str">
            <v>염료</v>
          </cell>
          <cell r="F602" t="str">
            <v>2PLY</v>
          </cell>
        </row>
        <row r="603">
          <cell r="A603">
            <v>27420</v>
          </cell>
          <cell r="B603" t="str">
            <v>SP-DM-CCL03</v>
          </cell>
          <cell r="C603" t="str">
            <v>제품</v>
          </cell>
          <cell r="D603" t="str">
            <v>윈도우 제품군</v>
          </cell>
          <cell r="E603" t="str">
            <v>전략</v>
          </cell>
          <cell r="F603" t="str">
            <v>SP</v>
          </cell>
        </row>
        <row r="604">
          <cell r="A604">
            <v>27421</v>
          </cell>
          <cell r="B604" t="str">
            <v>SP-DM-CCL17</v>
          </cell>
          <cell r="C604" t="str">
            <v>제품</v>
          </cell>
          <cell r="D604" t="str">
            <v>윈도우 제품군</v>
          </cell>
          <cell r="E604" t="str">
            <v>전략</v>
          </cell>
          <cell r="F604" t="str">
            <v>SP</v>
          </cell>
        </row>
        <row r="605">
          <cell r="A605">
            <v>27458</v>
          </cell>
          <cell r="B605" t="str">
            <v>SCF-DM-RSS10(1.0)</v>
          </cell>
          <cell r="C605" t="str">
            <v>제품</v>
          </cell>
          <cell r="D605" t="str">
            <v>윈도우 제품군</v>
          </cell>
          <cell r="E605" t="str">
            <v>염료</v>
          </cell>
          <cell r="F605" t="str">
            <v>2PLY</v>
          </cell>
        </row>
        <row r="606">
          <cell r="A606">
            <v>27459</v>
          </cell>
          <cell r="B606" t="str">
            <v>SCF-DM-SS10-R1(0.6)</v>
          </cell>
          <cell r="C606" t="str">
            <v>제품</v>
          </cell>
          <cell r="D606" t="str">
            <v>윈도우 제품군</v>
          </cell>
          <cell r="E606" t="str">
            <v>염료</v>
          </cell>
          <cell r="F606" t="str">
            <v>2PLY</v>
          </cell>
        </row>
        <row r="607">
          <cell r="A607">
            <v>27460</v>
          </cell>
          <cell r="B607" t="str">
            <v>SF-DC-4MIL SPC GN 54(0.25)</v>
          </cell>
          <cell r="C607" t="str">
            <v>제품</v>
          </cell>
          <cell r="D607" t="str">
            <v>윈도우 제품군</v>
          </cell>
          <cell r="E607" t="str">
            <v>전략</v>
          </cell>
          <cell r="F607" t="str">
            <v>SAFETY</v>
          </cell>
        </row>
        <row r="608">
          <cell r="A608">
            <v>27461</v>
          </cell>
          <cell r="B608" t="str">
            <v>SCF-DM-WCL25(0.35)</v>
          </cell>
          <cell r="C608" t="str">
            <v>제품</v>
          </cell>
          <cell r="D608" t="str">
            <v>윈도우 제품군</v>
          </cell>
          <cell r="E608" t="str">
            <v>염료</v>
          </cell>
          <cell r="F608" t="str">
            <v>2PLY</v>
          </cell>
        </row>
        <row r="609">
          <cell r="A609">
            <v>27462</v>
          </cell>
          <cell r="B609" t="str">
            <v>SCF-DM-WCL65(0.2)</v>
          </cell>
          <cell r="C609" t="str">
            <v>제품</v>
          </cell>
          <cell r="D609" t="str">
            <v>윈도우 제품군</v>
          </cell>
          <cell r="E609" t="str">
            <v>염료</v>
          </cell>
          <cell r="F609" t="str">
            <v>2PLY</v>
          </cell>
        </row>
        <row r="610">
          <cell r="A610">
            <v>27474</v>
          </cell>
          <cell r="B610" t="str">
            <v>SCF-DM-SL55(0.3)</v>
          </cell>
          <cell r="C610" t="str">
            <v>제품</v>
          </cell>
          <cell r="D610" t="str">
            <v>윈도우 제품군</v>
          </cell>
          <cell r="E610" t="str">
            <v>염료</v>
          </cell>
          <cell r="F610" t="str">
            <v>2PLY</v>
          </cell>
        </row>
        <row r="611">
          <cell r="A611">
            <v>27475</v>
          </cell>
          <cell r="B611" t="str">
            <v>SCF-NS-MMM30(광고용)</v>
          </cell>
          <cell r="C611" t="str">
            <v>제품</v>
          </cell>
          <cell r="D611" t="str">
            <v>윈도우 제품군</v>
          </cell>
          <cell r="E611" t="str">
            <v>염료</v>
          </cell>
          <cell r="F611" t="str">
            <v>1PLY</v>
          </cell>
        </row>
        <row r="612">
          <cell r="A612">
            <v>27476</v>
          </cell>
          <cell r="B612" t="str">
            <v>SCF-NS-LGN58S(광고용)</v>
          </cell>
          <cell r="C612" t="str">
            <v>제품</v>
          </cell>
          <cell r="D612" t="str">
            <v>윈도우 제품군</v>
          </cell>
          <cell r="E612" t="str">
            <v>염료</v>
          </cell>
          <cell r="F612" t="str">
            <v>1PLY</v>
          </cell>
        </row>
        <row r="613">
          <cell r="A613">
            <v>27482</v>
          </cell>
          <cell r="B613" t="str">
            <v>SCF-DM-HP24(0.3)</v>
          </cell>
          <cell r="C613" t="str">
            <v>제품</v>
          </cell>
          <cell r="D613" t="str">
            <v>윈도우 제품군</v>
          </cell>
          <cell r="E613" t="str">
            <v>염료</v>
          </cell>
          <cell r="F613" t="str">
            <v>2PLY</v>
          </cell>
        </row>
        <row r="614">
          <cell r="A614">
            <v>27524</v>
          </cell>
          <cell r="B614" t="str">
            <v>SCF-DM-WCL15 GTTI(0.4)</v>
          </cell>
          <cell r="C614" t="str">
            <v>제품</v>
          </cell>
          <cell r="D614" t="str">
            <v>윈도우 제품군</v>
          </cell>
          <cell r="E614" t="str">
            <v>염료</v>
          </cell>
          <cell r="F614" t="str">
            <v>2PLY</v>
          </cell>
        </row>
        <row r="615">
          <cell r="A615">
            <v>27555</v>
          </cell>
          <cell r="B615" t="str">
            <v>SCF-DM-WCL19 GTTI(0.2)</v>
          </cell>
          <cell r="C615" t="str">
            <v>제품</v>
          </cell>
          <cell r="D615" t="str">
            <v>윈도우 제품군</v>
          </cell>
          <cell r="E615" t="str">
            <v>염료</v>
          </cell>
          <cell r="F615" t="str">
            <v>2PLY</v>
          </cell>
        </row>
        <row r="616">
          <cell r="A616">
            <v>27580</v>
          </cell>
          <cell r="B616" t="str">
            <v>SCF-CP-CCS70</v>
          </cell>
          <cell r="C616" t="str">
            <v>제품</v>
          </cell>
          <cell r="D616" t="str">
            <v>윈도우 제품군</v>
          </cell>
          <cell r="E616" t="str">
            <v>염료</v>
          </cell>
          <cell r="F616" t="str">
            <v>1PLY</v>
          </cell>
        </row>
        <row r="617">
          <cell r="A617">
            <v>27613</v>
          </cell>
          <cell r="B617" t="str">
            <v>SCF-NS-MMM40(광고용)</v>
          </cell>
          <cell r="C617" t="str">
            <v>제품</v>
          </cell>
          <cell r="D617" t="str">
            <v>윈도우 제품군</v>
          </cell>
          <cell r="E617" t="str">
            <v>염료</v>
          </cell>
          <cell r="F617" t="str">
            <v>1PLY</v>
          </cell>
        </row>
        <row r="618">
          <cell r="A618">
            <v>27620</v>
          </cell>
          <cell r="B618" t="str">
            <v>SF-NT-12MIL PLUS(PSA25㎛)</v>
          </cell>
          <cell r="C618" t="str">
            <v>제품</v>
          </cell>
          <cell r="D618" t="str">
            <v>윈도우 제품군</v>
          </cell>
          <cell r="E618" t="str">
            <v>전략</v>
          </cell>
          <cell r="F618" t="str">
            <v>SAFETY</v>
          </cell>
        </row>
        <row r="619">
          <cell r="A619">
            <v>27621</v>
          </cell>
          <cell r="B619" t="str">
            <v>SF-NT-12MIL PLUS(4P)</v>
          </cell>
          <cell r="C619" t="str">
            <v>제품</v>
          </cell>
          <cell r="D619" t="str">
            <v>윈도우 제품군</v>
          </cell>
          <cell r="E619" t="str">
            <v>전략</v>
          </cell>
          <cell r="F619" t="str">
            <v>SAFETY</v>
          </cell>
        </row>
        <row r="620">
          <cell r="A620">
            <v>27624</v>
          </cell>
          <cell r="B620" t="str">
            <v>SCF-DC-RSS35(0.6)</v>
          </cell>
          <cell r="C620" t="str">
            <v>제품</v>
          </cell>
          <cell r="D620" t="str">
            <v>윈도우 제품군</v>
          </cell>
          <cell r="E620" t="str">
            <v>염료</v>
          </cell>
          <cell r="F620" t="str">
            <v>2PLY</v>
          </cell>
        </row>
        <row r="621">
          <cell r="A621">
            <v>27667</v>
          </cell>
          <cell r="B621" t="str">
            <v>SCF-DM-WCL19 GTTI(0.25)</v>
          </cell>
          <cell r="C621" t="str">
            <v>제품</v>
          </cell>
          <cell r="D621" t="str">
            <v>윈도우 제품군</v>
          </cell>
          <cell r="E621" t="str">
            <v>염료</v>
          </cell>
          <cell r="F621" t="str">
            <v>2PLY</v>
          </cell>
        </row>
        <row r="622">
          <cell r="A622">
            <v>27668</v>
          </cell>
          <cell r="B622" t="str">
            <v>SCF-ND-CS05</v>
          </cell>
          <cell r="C622" t="str">
            <v>제품</v>
          </cell>
          <cell r="D622" t="str">
            <v>윈도우 제품군</v>
          </cell>
          <cell r="E622" t="str">
            <v>염료</v>
          </cell>
          <cell r="F622" t="str">
            <v>2PLY</v>
          </cell>
        </row>
        <row r="623">
          <cell r="A623">
            <v>27669</v>
          </cell>
          <cell r="B623" t="str">
            <v>SCF-NS-CCS70</v>
          </cell>
          <cell r="C623" t="str">
            <v>제품</v>
          </cell>
          <cell r="D623" t="str">
            <v>윈도우 제품군</v>
          </cell>
          <cell r="E623" t="str">
            <v>염료</v>
          </cell>
          <cell r="F623" t="str">
            <v>1PLY</v>
          </cell>
        </row>
        <row r="624">
          <cell r="A624">
            <v>27702</v>
          </cell>
          <cell r="B624" t="str">
            <v>SCF-NS-KOBK15</v>
          </cell>
          <cell r="C624" t="str">
            <v>제품</v>
          </cell>
          <cell r="D624" t="str">
            <v>윈도우 제품군</v>
          </cell>
          <cell r="E624" t="str">
            <v>염료</v>
          </cell>
          <cell r="F624" t="str">
            <v>1PLY</v>
          </cell>
        </row>
        <row r="625">
          <cell r="A625">
            <v>27703</v>
          </cell>
          <cell r="B625" t="str">
            <v>SCF-NS-KOBK35</v>
          </cell>
          <cell r="C625" t="str">
            <v>제품</v>
          </cell>
          <cell r="D625" t="str">
            <v>윈도우 제품군</v>
          </cell>
          <cell r="E625" t="str">
            <v>염료</v>
          </cell>
          <cell r="F625" t="str">
            <v>1PLY</v>
          </cell>
        </row>
        <row r="626">
          <cell r="A626">
            <v>27704</v>
          </cell>
          <cell r="B626" t="str">
            <v>SCF-DC-KOBK05(0.2)</v>
          </cell>
          <cell r="C626" t="str">
            <v>제품</v>
          </cell>
          <cell r="D626" t="str">
            <v>윈도우 제품군</v>
          </cell>
          <cell r="E626" t="str">
            <v>염료</v>
          </cell>
          <cell r="F626" t="str">
            <v>2PLY</v>
          </cell>
        </row>
        <row r="627">
          <cell r="A627">
            <v>27705</v>
          </cell>
          <cell r="B627" t="str">
            <v>SCF-DC-KOBK35(0.2)</v>
          </cell>
          <cell r="C627" t="str">
            <v>제품</v>
          </cell>
          <cell r="D627" t="str">
            <v>윈도우 제품군</v>
          </cell>
          <cell r="E627" t="str">
            <v>염료</v>
          </cell>
          <cell r="F627" t="str">
            <v>2PLY</v>
          </cell>
        </row>
        <row r="628">
          <cell r="A628">
            <v>27707</v>
          </cell>
          <cell r="B628" t="str">
            <v>SCF-DC-RGN10CS(0.8)</v>
          </cell>
          <cell r="C628" t="str">
            <v>제품</v>
          </cell>
          <cell r="D628" t="str">
            <v>윈도우 제품군</v>
          </cell>
          <cell r="E628" t="str">
            <v>염료</v>
          </cell>
          <cell r="F628" t="str">
            <v>2PLY</v>
          </cell>
        </row>
        <row r="629">
          <cell r="A629">
            <v>27736</v>
          </cell>
          <cell r="B629" t="str">
            <v>SCF-NS-CCS25</v>
          </cell>
          <cell r="C629" t="str">
            <v>제품</v>
          </cell>
          <cell r="D629" t="str">
            <v>윈도우 제품군</v>
          </cell>
          <cell r="E629" t="str">
            <v>염료</v>
          </cell>
          <cell r="F629" t="str">
            <v>1PLY</v>
          </cell>
        </row>
        <row r="630">
          <cell r="A630">
            <v>27746</v>
          </cell>
          <cell r="B630" t="str">
            <v>MTF 수축 PET</v>
          </cell>
          <cell r="C630" t="str">
            <v>제품</v>
          </cell>
          <cell r="D630" t="str">
            <v>윈도우 제품군</v>
          </cell>
          <cell r="E630" t="str">
            <v>기타</v>
          </cell>
          <cell r="F630" t="str">
            <v>기타</v>
          </cell>
        </row>
        <row r="631">
          <cell r="A631">
            <v>27749</v>
          </cell>
          <cell r="B631" t="str">
            <v>IR-ICLD87(내면IR)</v>
          </cell>
          <cell r="C631" t="str">
            <v>제품</v>
          </cell>
          <cell r="D631" t="str">
            <v>윈도우 제품군</v>
          </cell>
          <cell r="E631" t="str">
            <v>전략</v>
          </cell>
          <cell r="F631" t="str">
            <v>IR</v>
          </cell>
        </row>
        <row r="632">
          <cell r="A632">
            <v>27757</v>
          </cell>
          <cell r="B632" t="str">
            <v>SFSL-ND-BK05+4MIL</v>
          </cell>
          <cell r="C632" t="str">
            <v>제품</v>
          </cell>
          <cell r="D632" t="str">
            <v>윈도우 제품군</v>
          </cell>
          <cell r="E632" t="str">
            <v>전략</v>
          </cell>
          <cell r="F632" t="str">
            <v>SAFETY</v>
          </cell>
        </row>
        <row r="633">
          <cell r="A633">
            <v>27758</v>
          </cell>
          <cell r="B633" t="str">
            <v>SFSL-ND-BK20+4MIL</v>
          </cell>
          <cell r="C633" t="str">
            <v>제품</v>
          </cell>
          <cell r="D633" t="str">
            <v>윈도우 제품군</v>
          </cell>
          <cell r="E633" t="str">
            <v>전략</v>
          </cell>
          <cell r="F633" t="str">
            <v>SAFETY</v>
          </cell>
        </row>
        <row r="634">
          <cell r="A634">
            <v>27759</v>
          </cell>
          <cell r="B634" t="str">
            <v>SFSL-ND-BK35+4MIL</v>
          </cell>
          <cell r="C634" t="str">
            <v>제품</v>
          </cell>
          <cell r="D634" t="str">
            <v>윈도우 제품군</v>
          </cell>
          <cell r="E634" t="str">
            <v>전략</v>
          </cell>
          <cell r="F634" t="str">
            <v>SAFETY</v>
          </cell>
        </row>
        <row r="635">
          <cell r="A635">
            <v>27760</v>
          </cell>
          <cell r="B635" t="str">
            <v>SFSL-ND-BK50+4MIL</v>
          </cell>
          <cell r="C635" t="str">
            <v>제품</v>
          </cell>
          <cell r="D635" t="str">
            <v>윈도우 제품군</v>
          </cell>
          <cell r="E635" t="str">
            <v>전략</v>
          </cell>
          <cell r="F635" t="str">
            <v>SAFETY</v>
          </cell>
        </row>
        <row r="636">
          <cell r="A636">
            <v>27762</v>
          </cell>
          <cell r="B636" t="str">
            <v>COLEX-NS-WHITE F635M317(matt)</v>
          </cell>
          <cell r="C636" t="str">
            <v>제품</v>
          </cell>
          <cell r="D636" t="str">
            <v>윈도우 제품군</v>
          </cell>
          <cell r="E636" t="str">
            <v>염료</v>
          </cell>
          <cell r="F636" t="str">
            <v>COLEX</v>
          </cell>
        </row>
        <row r="637">
          <cell r="A637">
            <v>27763</v>
          </cell>
          <cell r="B637" t="str">
            <v>SCF-DC-KOBK15(0.2)</v>
          </cell>
          <cell r="C637" t="str">
            <v>제품</v>
          </cell>
          <cell r="D637" t="str">
            <v>윈도우 제품군</v>
          </cell>
          <cell r="E637" t="str">
            <v>염료</v>
          </cell>
          <cell r="F637" t="str">
            <v>2PLY</v>
          </cell>
        </row>
        <row r="638">
          <cell r="A638">
            <v>27764</v>
          </cell>
          <cell r="B638" t="str">
            <v>SCF-NS-DBU35(광고용)</v>
          </cell>
          <cell r="C638" t="str">
            <v>제품</v>
          </cell>
          <cell r="D638" t="str">
            <v>윈도우 제품군</v>
          </cell>
          <cell r="E638" t="str">
            <v>염료</v>
          </cell>
          <cell r="F638" t="str">
            <v>1PLY</v>
          </cell>
        </row>
        <row r="639">
          <cell r="A639">
            <v>27778</v>
          </cell>
          <cell r="B639" t="str">
            <v>SCF-DM-SS05S(1.3)</v>
          </cell>
          <cell r="C639" t="str">
            <v>제품</v>
          </cell>
          <cell r="D639" t="str">
            <v>윈도우 제품군</v>
          </cell>
          <cell r="E639" t="str">
            <v>염료</v>
          </cell>
          <cell r="F639" t="str">
            <v>2PLY</v>
          </cell>
        </row>
        <row r="640">
          <cell r="A640">
            <v>27786</v>
          </cell>
          <cell r="B640" t="str">
            <v>COLEX-NS-WHITE 35X35(white)</v>
          </cell>
          <cell r="C640" t="str">
            <v>제품</v>
          </cell>
          <cell r="D640" t="str">
            <v>윈도우 제품군</v>
          </cell>
          <cell r="E640" t="str">
            <v>염료</v>
          </cell>
          <cell r="F640" t="str">
            <v>COLEX</v>
          </cell>
        </row>
        <row r="641">
          <cell r="A641">
            <v>27818</v>
          </cell>
          <cell r="B641" t="str">
            <v>SCF-NS-DBU20(광고용)</v>
          </cell>
          <cell r="C641" t="str">
            <v>제품</v>
          </cell>
          <cell r="D641" t="str">
            <v>윈도우 제품군</v>
          </cell>
          <cell r="E641" t="str">
            <v>염료</v>
          </cell>
          <cell r="F641" t="str">
            <v>1PLY</v>
          </cell>
        </row>
        <row r="642">
          <cell r="A642">
            <v>27870</v>
          </cell>
          <cell r="B642" t="str">
            <v>SCF-NS-LGN58</v>
          </cell>
          <cell r="C642" t="str">
            <v>제품</v>
          </cell>
          <cell r="D642" t="str">
            <v>윈도우 제품군</v>
          </cell>
          <cell r="E642" t="str">
            <v>염료</v>
          </cell>
          <cell r="F642" t="str">
            <v>1PLY</v>
          </cell>
        </row>
        <row r="643">
          <cell r="A643">
            <v>27907</v>
          </cell>
          <cell r="B643" t="str">
            <v>MTF 수축 PET(2PLY/590MM)</v>
          </cell>
          <cell r="C643" t="str">
            <v>제품</v>
          </cell>
          <cell r="D643" t="str">
            <v>윈도우 제품군</v>
          </cell>
          <cell r="E643" t="str">
            <v>기타</v>
          </cell>
          <cell r="F643" t="str">
            <v>기타</v>
          </cell>
        </row>
        <row r="644">
          <cell r="A644">
            <v>27908</v>
          </cell>
          <cell r="B644" t="str">
            <v>MTF 수축 PET(2PLY/840MM)</v>
          </cell>
          <cell r="C644" t="str">
            <v>제품</v>
          </cell>
          <cell r="D644" t="str">
            <v>윈도우 제품군</v>
          </cell>
          <cell r="E644" t="str">
            <v>기타</v>
          </cell>
          <cell r="F644" t="str">
            <v>기타</v>
          </cell>
        </row>
        <row r="645">
          <cell r="A645">
            <v>27910</v>
          </cell>
          <cell r="B645" t="str">
            <v>SCF-ND-GGS33</v>
          </cell>
          <cell r="C645" t="str">
            <v>제품</v>
          </cell>
          <cell r="D645" t="str">
            <v>윈도우 제품군</v>
          </cell>
          <cell r="E645" t="str">
            <v>염료</v>
          </cell>
          <cell r="F645" t="str">
            <v>2PLY</v>
          </cell>
        </row>
        <row r="646">
          <cell r="A646">
            <v>27911</v>
          </cell>
          <cell r="B646" t="str">
            <v>SCF-ND-GGS13</v>
          </cell>
          <cell r="C646" t="str">
            <v>제품</v>
          </cell>
          <cell r="D646" t="str">
            <v>윈도우 제품군</v>
          </cell>
          <cell r="E646" t="str">
            <v>염료</v>
          </cell>
          <cell r="F646" t="str">
            <v>2PLY</v>
          </cell>
        </row>
        <row r="647">
          <cell r="A647">
            <v>27929</v>
          </cell>
          <cell r="B647" t="str">
            <v>SCF-DM-WCL19 GTTI(0.3)</v>
          </cell>
          <cell r="C647" t="str">
            <v>제품</v>
          </cell>
          <cell r="D647" t="str">
            <v>윈도우 제품군</v>
          </cell>
          <cell r="E647" t="str">
            <v>염료</v>
          </cell>
          <cell r="F647" t="str">
            <v>2PLY</v>
          </cell>
        </row>
        <row r="648">
          <cell r="A648">
            <v>27940</v>
          </cell>
          <cell r="B648" t="str">
            <v>SP-ND-CCL16</v>
          </cell>
          <cell r="C648" t="str">
            <v>제품</v>
          </cell>
          <cell r="D648" t="str">
            <v>윈도우 제품군</v>
          </cell>
          <cell r="E648" t="str">
            <v>전략</v>
          </cell>
          <cell r="F648" t="str">
            <v>SP</v>
          </cell>
        </row>
        <row r="649">
          <cell r="A649">
            <v>27952</v>
          </cell>
          <cell r="B649" t="str">
            <v>SCF-NS-CCS88</v>
          </cell>
          <cell r="C649" t="str">
            <v>제품</v>
          </cell>
          <cell r="D649" t="str">
            <v>윈도우 제품군</v>
          </cell>
          <cell r="E649" t="str">
            <v>염료</v>
          </cell>
          <cell r="F649" t="str">
            <v>1PLY</v>
          </cell>
        </row>
        <row r="650">
          <cell r="A650">
            <v>27953</v>
          </cell>
          <cell r="B650" t="str">
            <v>SP-DM-CCL02(sputtering)</v>
          </cell>
          <cell r="C650" t="str">
            <v>제품</v>
          </cell>
          <cell r="D650" t="str">
            <v>윈도우 제품군</v>
          </cell>
          <cell r="E650" t="str">
            <v>전략</v>
          </cell>
          <cell r="F650" t="str">
            <v>SP</v>
          </cell>
        </row>
        <row r="651">
          <cell r="A651">
            <v>27954</v>
          </cell>
          <cell r="B651" t="str">
            <v>SCF-DM-RSS25(sputtering)</v>
          </cell>
          <cell r="C651" t="str">
            <v>제품</v>
          </cell>
          <cell r="D651" t="str">
            <v>윈도우 제품군</v>
          </cell>
          <cell r="E651" t="str">
            <v>염료</v>
          </cell>
          <cell r="F651" t="str">
            <v>2PLY</v>
          </cell>
        </row>
        <row r="652">
          <cell r="A652">
            <v>27961</v>
          </cell>
          <cell r="B652" t="str">
            <v>SCF-CP-BN05</v>
          </cell>
          <cell r="C652" t="str">
            <v>제품</v>
          </cell>
          <cell r="D652" t="str">
            <v>윈도우 제품군</v>
          </cell>
          <cell r="E652" t="str">
            <v>염료</v>
          </cell>
          <cell r="F652" t="str">
            <v>1PLY</v>
          </cell>
        </row>
        <row r="653">
          <cell r="A653">
            <v>27963</v>
          </cell>
          <cell r="B653" t="str">
            <v>SFSL-ND-CCS05+4MIL</v>
          </cell>
          <cell r="C653" t="str">
            <v>제품</v>
          </cell>
          <cell r="D653" t="str">
            <v>윈도우 제품군</v>
          </cell>
          <cell r="E653" t="str">
            <v>전략</v>
          </cell>
          <cell r="F653" t="str">
            <v>SAFETY</v>
          </cell>
        </row>
        <row r="654">
          <cell r="A654">
            <v>27964</v>
          </cell>
          <cell r="B654" t="str">
            <v>SFSL-ND-CCS20+4MIL</v>
          </cell>
          <cell r="C654" t="str">
            <v>제품</v>
          </cell>
          <cell r="D654" t="str">
            <v>윈도우 제품군</v>
          </cell>
          <cell r="E654" t="str">
            <v>전략</v>
          </cell>
          <cell r="F654" t="str">
            <v>SAFETY</v>
          </cell>
        </row>
        <row r="655">
          <cell r="A655">
            <v>27965</v>
          </cell>
          <cell r="B655" t="str">
            <v>SFSL-ND-CCS35+4MIL</v>
          </cell>
          <cell r="C655" t="str">
            <v>제품</v>
          </cell>
          <cell r="D655" t="str">
            <v>윈도우 제품군</v>
          </cell>
          <cell r="E655" t="str">
            <v>전략</v>
          </cell>
          <cell r="F655" t="str">
            <v>SAFETY</v>
          </cell>
        </row>
        <row r="656">
          <cell r="A656">
            <v>27966</v>
          </cell>
          <cell r="B656" t="str">
            <v>SFSL-ND-CCS50+4MIL</v>
          </cell>
          <cell r="C656" t="str">
            <v>제품</v>
          </cell>
          <cell r="D656" t="str">
            <v>윈도우 제품군</v>
          </cell>
          <cell r="E656" t="str">
            <v>전략</v>
          </cell>
          <cell r="F656" t="str">
            <v>SAFETY</v>
          </cell>
        </row>
        <row r="657">
          <cell r="A657">
            <v>28000</v>
          </cell>
          <cell r="B657" t="str">
            <v>SCF-DM-WCL25(0.4)</v>
          </cell>
          <cell r="C657" t="str">
            <v>제품</v>
          </cell>
          <cell r="D657" t="str">
            <v>윈도우 제품군</v>
          </cell>
          <cell r="E657" t="str">
            <v>염료</v>
          </cell>
          <cell r="F657" t="str">
            <v>2PLY</v>
          </cell>
        </row>
        <row r="658">
          <cell r="A658">
            <v>28001</v>
          </cell>
          <cell r="B658" t="str">
            <v>SCF-DM-WCL65(0.25)</v>
          </cell>
          <cell r="C658" t="str">
            <v>제품</v>
          </cell>
          <cell r="D658" t="str">
            <v>윈도우 제품군</v>
          </cell>
          <cell r="E658" t="str">
            <v>염료</v>
          </cell>
          <cell r="F658" t="str">
            <v>2PLY</v>
          </cell>
        </row>
        <row r="659">
          <cell r="A659">
            <v>28009</v>
          </cell>
          <cell r="B659" t="str">
            <v>SCF-DC-CL65(0.2)</v>
          </cell>
          <cell r="C659" t="str">
            <v>제품</v>
          </cell>
          <cell r="D659" t="str">
            <v>윈도우 제품군</v>
          </cell>
          <cell r="E659" t="str">
            <v>염료</v>
          </cell>
          <cell r="F659" t="str">
            <v>2PLY</v>
          </cell>
        </row>
        <row r="660">
          <cell r="A660">
            <v>28010</v>
          </cell>
          <cell r="B660" t="str">
            <v>SCF-DC-CCS49R(0.25)</v>
          </cell>
          <cell r="C660" t="str">
            <v>제품</v>
          </cell>
          <cell r="D660" t="str">
            <v>윈도우 제품군</v>
          </cell>
          <cell r="E660" t="str">
            <v>염료</v>
          </cell>
          <cell r="F660" t="str">
            <v>2PLY</v>
          </cell>
        </row>
        <row r="661">
          <cell r="A661">
            <v>28011</v>
          </cell>
          <cell r="B661" t="str">
            <v>SCF-DC-CCS20R(0.25)</v>
          </cell>
          <cell r="C661" t="str">
            <v>제품</v>
          </cell>
          <cell r="D661" t="str">
            <v>윈도우 제품군</v>
          </cell>
          <cell r="E661" t="str">
            <v>염료</v>
          </cell>
          <cell r="F661" t="str">
            <v>2PLY</v>
          </cell>
        </row>
        <row r="662">
          <cell r="A662">
            <v>28012</v>
          </cell>
          <cell r="B662" t="str">
            <v>SCF-NS-CCS75</v>
          </cell>
          <cell r="C662" t="str">
            <v>제품</v>
          </cell>
          <cell r="D662" t="str">
            <v>윈도우 제품군</v>
          </cell>
          <cell r="E662" t="str">
            <v>염료</v>
          </cell>
          <cell r="F662" t="str">
            <v>1PLY</v>
          </cell>
        </row>
        <row r="663">
          <cell r="A663">
            <v>28015</v>
          </cell>
          <cell r="B663" t="str">
            <v>SFSL-DC-CCS35R+4MIL(0.25)</v>
          </cell>
          <cell r="C663" t="str">
            <v>제품</v>
          </cell>
          <cell r="D663" t="str">
            <v>윈도우 제품군</v>
          </cell>
          <cell r="E663" t="str">
            <v>전략</v>
          </cell>
          <cell r="F663" t="str">
            <v>SAFETY</v>
          </cell>
        </row>
        <row r="664">
          <cell r="A664">
            <v>28016</v>
          </cell>
          <cell r="B664" t="str">
            <v>SFSL-DC-CCS49R+4MIL(0.25)</v>
          </cell>
          <cell r="C664" t="str">
            <v>제품</v>
          </cell>
          <cell r="D664" t="str">
            <v>윈도우 제품군</v>
          </cell>
          <cell r="E664" t="str">
            <v>전략</v>
          </cell>
          <cell r="F664" t="str">
            <v>SAFETY</v>
          </cell>
        </row>
        <row r="665">
          <cell r="A665">
            <v>28018</v>
          </cell>
          <cell r="B665" t="str">
            <v>SP-ND-CCL03</v>
          </cell>
          <cell r="C665" t="str">
            <v>제품</v>
          </cell>
          <cell r="D665" t="str">
            <v>윈도우 제품군</v>
          </cell>
          <cell r="E665" t="str">
            <v>전략</v>
          </cell>
          <cell r="F665" t="str">
            <v>SP</v>
          </cell>
        </row>
        <row r="666">
          <cell r="A666">
            <v>28023</v>
          </cell>
          <cell r="B666" t="str">
            <v>SP-DC-CCL13</v>
          </cell>
          <cell r="C666" t="str">
            <v>제품</v>
          </cell>
          <cell r="D666" t="str">
            <v>윈도우 제품군</v>
          </cell>
          <cell r="E666" t="str">
            <v>전략</v>
          </cell>
          <cell r="F666" t="str">
            <v>SP</v>
          </cell>
        </row>
        <row r="667">
          <cell r="A667">
            <v>28024</v>
          </cell>
          <cell r="B667" t="str">
            <v>SCF-DC-GOLD 13(0.6)</v>
          </cell>
          <cell r="C667" t="str">
            <v>제품</v>
          </cell>
          <cell r="D667" t="str">
            <v>윈도우 제품군</v>
          </cell>
          <cell r="E667" t="str">
            <v>염료</v>
          </cell>
          <cell r="F667" t="str">
            <v>2PLY</v>
          </cell>
        </row>
        <row r="668">
          <cell r="A668">
            <v>28040</v>
          </cell>
          <cell r="B668" t="str">
            <v>SCF-DM-RSS15(sputter0.8)</v>
          </cell>
          <cell r="C668" t="str">
            <v>제품</v>
          </cell>
          <cell r="D668" t="str">
            <v>윈도우 제품군</v>
          </cell>
          <cell r="E668" t="str">
            <v>염료</v>
          </cell>
          <cell r="F668" t="str">
            <v>2PLY</v>
          </cell>
        </row>
        <row r="669">
          <cell r="A669">
            <v>28055</v>
          </cell>
          <cell r="B669" t="str">
            <v>SCF-DM-WCL05(sputter0.8)</v>
          </cell>
          <cell r="C669" t="str">
            <v>제품</v>
          </cell>
          <cell r="D669" t="str">
            <v>윈도우 제품군</v>
          </cell>
          <cell r="E669" t="str">
            <v>염료</v>
          </cell>
          <cell r="F669" t="str">
            <v>2PLY</v>
          </cell>
        </row>
        <row r="670">
          <cell r="A670">
            <v>28064</v>
          </cell>
          <cell r="B670" t="str">
            <v>SCF-ND-ANTI 4PLY(11㎛)</v>
          </cell>
          <cell r="C670" t="str">
            <v>제품</v>
          </cell>
          <cell r="D670" t="str">
            <v>윈도우 제품군</v>
          </cell>
          <cell r="E670" t="str">
            <v>염료</v>
          </cell>
          <cell r="F670" t="str">
            <v>2PLY</v>
          </cell>
        </row>
        <row r="671">
          <cell r="A671">
            <v>28065</v>
          </cell>
          <cell r="B671" t="str">
            <v>SCF-NS-OLG 05</v>
          </cell>
          <cell r="C671" t="str">
            <v>제품</v>
          </cell>
          <cell r="D671" t="str">
            <v>윈도우 제품군</v>
          </cell>
          <cell r="E671" t="str">
            <v>염료</v>
          </cell>
          <cell r="F671" t="str">
            <v>1PLY</v>
          </cell>
        </row>
        <row r="672">
          <cell r="A672">
            <v>28066</v>
          </cell>
          <cell r="B672" t="str">
            <v>SCF-DM-SGR05(0.3)</v>
          </cell>
          <cell r="C672" t="str">
            <v>제품</v>
          </cell>
          <cell r="D672" t="str">
            <v>윈도우 제품군</v>
          </cell>
          <cell r="E672" t="str">
            <v>염료</v>
          </cell>
          <cell r="F672" t="str">
            <v>2PLY</v>
          </cell>
        </row>
        <row r="673">
          <cell r="A673">
            <v>28083</v>
          </cell>
          <cell r="B673" t="str">
            <v>무진FILM (상보사용)1공정</v>
          </cell>
          <cell r="C673" t="str">
            <v>제품</v>
          </cell>
          <cell r="D673" t="str">
            <v>윈도우 제품군</v>
          </cell>
          <cell r="E673" t="str">
            <v>염료</v>
          </cell>
          <cell r="F673" t="str">
            <v>1PLY</v>
          </cell>
        </row>
        <row r="674">
          <cell r="A674">
            <v>28096</v>
          </cell>
          <cell r="B674" t="str">
            <v>SCF-DM-KOBK35(0.2)</v>
          </cell>
          <cell r="C674" t="str">
            <v>제품</v>
          </cell>
          <cell r="D674" t="str">
            <v>윈도우 제품군</v>
          </cell>
          <cell r="E674" t="str">
            <v>염료</v>
          </cell>
          <cell r="F674" t="str">
            <v>2PLY</v>
          </cell>
        </row>
        <row r="675">
          <cell r="A675">
            <v>28097</v>
          </cell>
          <cell r="B675" t="str">
            <v>SCF-DC-KOCS13(CCS16)(0.2)</v>
          </cell>
          <cell r="C675" t="str">
            <v>제품</v>
          </cell>
          <cell r="D675" t="str">
            <v>윈도우 제품군</v>
          </cell>
          <cell r="E675" t="str">
            <v>염료</v>
          </cell>
          <cell r="F675" t="str">
            <v>2PLY</v>
          </cell>
        </row>
        <row r="676">
          <cell r="A676">
            <v>28108</v>
          </cell>
          <cell r="B676" t="str">
            <v>SFSL-ND-CCS49+4MIL</v>
          </cell>
          <cell r="C676" t="str">
            <v>제품</v>
          </cell>
          <cell r="D676" t="str">
            <v>윈도우 제품군</v>
          </cell>
          <cell r="E676" t="str">
            <v>전략</v>
          </cell>
          <cell r="F676" t="str">
            <v>SAFETY</v>
          </cell>
        </row>
        <row r="677">
          <cell r="A677">
            <v>28111</v>
          </cell>
          <cell r="B677" t="str">
            <v>SFSL-DC-CCS55+4MIL(0.25)</v>
          </cell>
          <cell r="C677" t="str">
            <v>제품</v>
          </cell>
          <cell r="D677" t="str">
            <v>윈도우 제품군</v>
          </cell>
          <cell r="E677" t="str">
            <v>전략</v>
          </cell>
          <cell r="F677" t="str">
            <v>SAFETY</v>
          </cell>
        </row>
        <row r="678">
          <cell r="A678">
            <v>28112</v>
          </cell>
          <cell r="B678" t="str">
            <v>IR-ND-ICLD 50-90</v>
          </cell>
          <cell r="C678" t="str">
            <v>제품</v>
          </cell>
          <cell r="D678" t="str">
            <v>윈도우 제품군</v>
          </cell>
          <cell r="E678" t="str">
            <v>전략</v>
          </cell>
          <cell r="F678" t="str">
            <v>IR</v>
          </cell>
        </row>
        <row r="679">
          <cell r="A679">
            <v>28123</v>
          </cell>
          <cell r="B679" t="str">
            <v>SCF-NS-SS05</v>
          </cell>
          <cell r="C679" t="str">
            <v>제품</v>
          </cell>
          <cell r="D679" t="str">
            <v>윈도우 제품군</v>
          </cell>
          <cell r="E679" t="str">
            <v>염료</v>
          </cell>
          <cell r="F679" t="str">
            <v>1PLY</v>
          </cell>
        </row>
        <row r="680">
          <cell r="A680">
            <v>28124</v>
          </cell>
          <cell r="B680" t="str">
            <v>SCF-ND-SS50</v>
          </cell>
          <cell r="C680" t="str">
            <v>제품</v>
          </cell>
          <cell r="D680" t="str">
            <v>윈도우 제품군</v>
          </cell>
          <cell r="E680" t="str">
            <v>염료</v>
          </cell>
          <cell r="F680" t="str">
            <v>2PLY</v>
          </cell>
        </row>
        <row r="681">
          <cell r="A681">
            <v>28125</v>
          </cell>
          <cell r="B681" t="str">
            <v>SCF-ND-SS35</v>
          </cell>
          <cell r="C681" t="str">
            <v>제품</v>
          </cell>
          <cell r="D681" t="str">
            <v>윈도우 제품군</v>
          </cell>
          <cell r="E681" t="str">
            <v>염료</v>
          </cell>
          <cell r="F681" t="str">
            <v>2PLY</v>
          </cell>
        </row>
        <row r="682">
          <cell r="A682">
            <v>28126</v>
          </cell>
          <cell r="B682" t="str">
            <v>SCF-ND-SS20</v>
          </cell>
          <cell r="C682" t="str">
            <v>제품</v>
          </cell>
          <cell r="D682" t="str">
            <v>윈도우 제품군</v>
          </cell>
          <cell r="E682" t="str">
            <v>염료</v>
          </cell>
          <cell r="F682" t="str">
            <v>2PLY</v>
          </cell>
        </row>
        <row r="683">
          <cell r="A683">
            <v>28127</v>
          </cell>
          <cell r="B683" t="str">
            <v>SCF-ND-SS05</v>
          </cell>
          <cell r="C683" t="str">
            <v>제품</v>
          </cell>
          <cell r="D683" t="str">
            <v>윈도우 제품군</v>
          </cell>
          <cell r="E683" t="str">
            <v>염료</v>
          </cell>
          <cell r="F683" t="str">
            <v>2PLY</v>
          </cell>
        </row>
        <row r="684">
          <cell r="A684">
            <v>28128</v>
          </cell>
          <cell r="B684" t="str">
            <v>SCF-DM-CCS49R(0.25)</v>
          </cell>
          <cell r="C684" t="str">
            <v>제품</v>
          </cell>
          <cell r="D684" t="str">
            <v>윈도우 제품군</v>
          </cell>
          <cell r="E684" t="str">
            <v>염료</v>
          </cell>
          <cell r="F684" t="str">
            <v>2PLY</v>
          </cell>
        </row>
        <row r="685">
          <cell r="A685">
            <v>28129</v>
          </cell>
          <cell r="B685" t="str">
            <v>SCF-DM-CCS35R(0.25)</v>
          </cell>
          <cell r="C685" t="str">
            <v>제품</v>
          </cell>
          <cell r="D685" t="str">
            <v>윈도우 제품군</v>
          </cell>
          <cell r="E685" t="str">
            <v>염료</v>
          </cell>
          <cell r="F685" t="str">
            <v>2PLY</v>
          </cell>
        </row>
        <row r="686">
          <cell r="A686">
            <v>28130</v>
          </cell>
          <cell r="B686" t="str">
            <v>SCF-DM-CCS20R(0.25)</v>
          </cell>
          <cell r="C686" t="str">
            <v>제품</v>
          </cell>
          <cell r="D686" t="str">
            <v>윈도우 제품군</v>
          </cell>
          <cell r="E686" t="str">
            <v>염료</v>
          </cell>
          <cell r="F686" t="str">
            <v>2PLY</v>
          </cell>
        </row>
        <row r="687">
          <cell r="A687">
            <v>28131</v>
          </cell>
          <cell r="B687" t="str">
            <v>SCF-DM-CCS15R(0.25)</v>
          </cell>
          <cell r="C687" t="str">
            <v>제품</v>
          </cell>
          <cell r="D687" t="str">
            <v>윈도우 제품군</v>
          </cell>
          <cell r="E687" t="str">
            <v>염료</v>
          </cell>
          <cell r="F687" t="str">
            <v>2PLY</v>
          </cell>
        </row>
        <row r="688">
          <cell r="A688">
            <v>28132</v>
          </cell>
          <cell r="B688" t="str">
            <v>SCF-DM-CCS05R(0.25)</v>
          </cell>
          <cell r="C688" t="str">
            <v>제품</v>
          </cell>
          <cell r="D688" t="str">
            <v>윈도우 제품군</v>
          </cell>
          <cell r="E688" t="str">
            <v>염료</v>
          </cell>
          <cell r="F688" t="str">
            <v>2PLY</v>
          </cell>
        </row>
        <row r="689">
          <cell r="A689">
            <v>28143</v>
          </cell>
          <cell r="B689" t="str">
            <v>IR-ND-IBLD 65-70</v>
          </cell>
          <cell r="C689" t="str">
            <v>제품</v>
          </cell>
          <cell r="D689" t="str">
            <v>윈도우 제품군</v>
          </cell>
          <cell r="E689" t="str">
            <v>전략</v>
          </cell>
          <cell r="F689" t="str">
            <v>IR</v>
          </cell>
        </row>
        <row r="690">
          <cell r="A690">
            <v>28188</v>
          </cell>
          <cell r="B690" t="str">
            <v>SCF-NS-NBK05(CS color)</v>
          </cell>
          <cell r="C690" t="str">
            <v>제품</v>
          </cell>
          <cell r="D690" t="str">
            <v>윈도우 제품군</v>
          </cell>
          <cell r="E690" t="str">
            <v>염료</v>
          </cell>
          <cell r="F690" t="str">
            <v>1PLY</v>
          </cell>
        </row>
        <row r="691">
          <cell r="A691">
            <v>28189</v>
          </cell>
          <cell r="B691" t="str">
            <v>SCF-NS-NBK20(CS color)</v>
          </cell>
          <cell r="C691" t="str">
            <v>제품</v>
          </cell>
          <cell r="D691" t="str">
            <v>윈도우 제품군</v>
          </cell>
          <cell r="E691" t="str">
            <v>염료</v>
          </cell>
          <cell r="F691" t="str">
            <v>1PLY</v>
          </cell>
        </row>
        <row r="692">
          <cell r="A692">
            <v>28190</v>
          </cell>
          <cell r="B692" t="str">
            <v>SCF-NS-NBK38(CS color)</v>
          </cell>
          <cell r="C692" t="str">
            <v>제품</v>
          </cell>
          <cell r="D692" t="str">
            <v>윈도우 제품군</v>
          </cell>
          <cell r="E692" t="str">
            <v>염료</v>
          </cell>
          <cell r="F692" t="str">
            <v>1PLY</v>
          </cell>
        </row>
        <row r="693">
          <cell r="A693">
            <v>28191</v>
          </cell>
          <cell r="B693" t="str">
            <v>SCF-NS-NBK50(CS color)</v>
          </cell>
          <cell r="C693" t="str">
            <v>제품</v>
          </cell>
          <cell r="D693" t="str">
            <v>윈도우 제품군</v>
          </cell>
          <cell r="E693" t="str">
            <v>염료</v>
          </cell>
          <cell r="F693" t="str">
            <v>1PLY</v>
          </cell>
        </row>
        <row r="694">
          <cell r="A694">
            <v>28192</v>
          </cell>
          <cell r="B694" t="str">
            <v>SCF-DM-GP08(OD 0.3)</v>
          </cell>
          <cell r="C694" t="str">
            <v>제품</v>
          </cell>
          <cell r="D694" t="str">
            <v>윈도우 제품군</v>
          </cell>
          <cell r="E694" t="str">
            <v>염료</v>
          </cell>
          <cell r="F694" t="str">
            <v>2PLY</v>
          </cell>
        </row>
        <row r="695">
          <cell r="A695">
            <v>28194</v>
          </cell>
          <cell r="B695" t="str">
            <v>SCF-DM-GP09(OD 0.3)</v>
          </cell>
          <cell r="C695" t="str">
            <v>제품</v>
          </cell>
          <cell r="D695" t="str">
            <v>윈도우 제품군</v>
          </cell>
          <cell r="E695" t="str">
            <v>염료</v>
          </cell>
          <cell r="F695" t="str">
            <v>2PLY</v>
          </cell>
        </row>
        <row r="696">
          <cell r="A696">
            <v>28195</v>
          </cell>
          <cell r="B696" t="str">
            <v>SFSL-ND-BK05+4MIL(SOLARFREE)</v>
          </cell>
          <cell r="C696" t="str">
            <v>제품</v>
          </cell>
          <cell r="D696" t="str">
            <v>윈도우 제품군</v>
          </cell>
          <cell r="E696" t="str">
            <v>전략</v>
          </cell>
          <cell r="F696" t="str">
            <v>SAFETY</v>
          </cell>
        </row>
        <row r="697">
          <cell r="A697">
            <v>28196</v>
          </cell>
          <cell r="B697" t="str">
            <v>SFSL-ND-BK20+4MIL(SOLARFREE)</v>
          </cell>
          <cell r="C697" t="str">
            <v>제품</v>
          </cell>
          <cell r="D697" t="str">
            <v>윈도우 제품군</v>
          </cell>
          <cell r="E697" t="str">
            <v>전략</v>
          </cell>
          <cell r="F697" t="str">
            <v>SAFETY</v>
          </cell>
        </row>
        <row r="698">
          <cell r="A698">
            <v>28198</v>
          </cell>
          <cell r="B698" t="str">
            <v>SCF-DM-GP28(OD 0.3)</v>
          </cell>
          <cell r="C698" t="str">
            <v>제품</v>
          </cell>
          <cell r="D698" t="str">
            <v>윈도우 제품군</v>
          </cell>
          <cell r="E698" t="str">
            <v>염료</v>
          </cell>
          <cell r="F698" t="str">
            <v>2PLY</v>
          </cell>
        </row>
        <row r="699">
          <cell r="A699">
            <v>28218</v>
          </cell>
          <cell r="B699" t="str">
            <v>IR-ND-IRD6570</v>
          </cell>
          <cell r="C699" t="str">
            <v>제품</v>
          </cell>
          <cell r="D699" t="str">
            <v>윈도우 제품군</v>
          </cell>
          <cell r="E699" t="str">
            <v>전략</v>
          </cell>
          <cell r="F699" t="str">
            <v>IR</v>
          </cell>
        </row>
        <row r="700">
          <cell r="A700">
            <v>28219</v>
          </cell>
          <cell r="B700" t="str">
            <v>IR-ND-IRD5090</v>
          </cell>
          <cell r="C700" t="str">
            <v>제품</v>
          </cell>
          <cell r="D700" t="str">
            <v>윈도우 제품군</v>
          </cell>
          <cell r="E700" t="str">
            <v>전략</v>
          </cell>
          <cell r="F700" t="str">
            <v>IR</v>
          </cell>
        </row>
        <row r="701">
          <cell r="A701">
            <v>28220</v>
          </cell>
          <cell r="B701" t="str">
            <v>무진FILM (상보자체)2공정</v>
          </cell>
          <cell r="C701" t="str">
            <v>제품</v>
          </cell>
          <cell r="D701" t="str">
            <v>윈도우 제품군</v>
          </cell>
          <cell r="E701" t="str">
            <v>염료</v>
          </cell>
          <cell r="F701" t="str">
            <v>1PLY</v>
          </cell>
        </row>
        <row r="702">
          <cell r="A702">
            <v>28221</v>
          </cell>
          <cell r="B702" t="str">
            <v>무진FILM (상보자체)3공정</v>
          </cell>
          <cell r="C702" t="str">
            <v>제품</v>
          </cell>
          <cell r="D702" t="str">
            <v>윈도우 제품군</v>
          </cell>
          <cell r="E702" t="str">
            <v>염료</v>
          </cell>
          <cell r="F702" t="str">
            <v>1PLY</v>
          </cell>
        </row>
        <row r="703">
          <cell r="A703">
            <v>28222</v>
          </cell>
          <cell r="B703" t="str">
            <v>무진FILM (상보자체사용)</v>
          </cell>
          <cell r="C703" t="str">
            <v>제품</v>
          </cell>
          <cell r="D703" t="str">
            <v>윈도우 제품군</v>
          </cell>
          <cell r="E703" t="str">
            <v>염료</v>
          </cell>
          <cell r="F703" t="str">
            <v>1PLY</v>
          </cell>
        </row>
        <row r="704">
          <cell r="A704">
            <v>28223</v>
          </cell>
          <cell r="B704" t="str">
            <v>SCF-ND-SGS15</v>
          </cell>
          <cell r="C704" t="str">
            <v>제품</v>
          </cell>
          <cell r="D704" t="str">
            <v>윈도우 제품군</v>
          </cell>
          <cell r="E704" t="str">
            <v>염료</v>
          </cell>
          <cell r="F704" t="str">
            <v>2PLY</v>
          </cell>
        </row>
        <row r="705">
          <cell r="A705">
            <v>28257</v>
          </cell>
          <cell r="B705" t="str">
            <v>IRSF-ND-8MIL+ICLD 65-70</v>
          </cell>
          <cell r="C705" t="str">
            <v>제품</v>
          </cell>
          <cell r="D705" t="str">
            <v>윈도우 제품군</v>
          </cell>
          <cell r="E705" t="str">
            <v>전략</v>
          </cell>
          <cell r="F705" t="str">
            <v>SAFETY</v>
          </cell>
        </row>
        <row r="706">
          <cell r="A706">
            <v>28258</v>
          </cell>
          <cell r="B706" t="str">
            <v>연결TYPE</v>
          </cell>
          <cell r="C706" t="str">
            <v>제품</v>
          </cell>
          <cell r="D706" t="str">
            <v>윈도우 제품군</v>
          </cell>
          <cell r="E706" t="str">
            <v>염료</v>
          </cell>
          <cell r="F706" t="str">
            <v>1PLY</v>
          </cell>
        </row>
        <row r="707">
          <cell r="A707">
            <v>28259</v>
          </cell>
          <cell r="B707" t="str">
            <v>SFSL-ND-BK50+4MIL</v>
          </cell>
          <cell r="C707" t="str">
            <v>제품</v>
          </cell>
          <cell r="D707" t="str">
            <v>윈도우 제품군</v>
          </cell>
          <cell r="E707" t="str">
            <v>전략</v>
          </cell>
          <cell r="F707" t="str">
            <v>SAFETY</v>
          </cell>
        </row>
        <row r="708">
          <cell r="A708">
            <v>28260</v>
          </cell>
          <cell r="B708" t="str">
            <v>SFSL-ND-BK35+4MIL(SOLARFREE)</v>
          </cell>
          <cell r="C708" t="str">
            <v>제품</v>
          </cell>
          <cell r="D708" t="str">
            <v>윈도우 제품군</v>
          </cell>
          <cell r="E708" t="str">
            <v>전략</v>
          </cell>
          <cell r="F708" t="str">
            <v>SAFETY</v>
          </cell>
        </row>
        <row r="709">
          <cell r="A709">
            <v>28261</v>
          </cell>
          <cell r="B709" t="str">
            <v>SCF-ND-NBK50(CS color)</v>
          </cell>
          <cell r="C709" t="str">
            <v>제품</v>
          </cell>
          <cell r="D709" t="str">
            <v>윈도우 제품군</v>
          </cell>
          <cell r="E709" t="str">
            <v>미분류</v>
          </cell>
          <cell r="F709" t="str">
            <v>미분류</v>
          </cell>
        </row>
        <row r="710">
          <cell r="A710">
            <v>28262</v>
          </cell>
          <cell r="B710" t="str">
            <v>SCF-ND-NBK35(CS color)</v>
          </cell>
          <cell r="C710" t="str">
            <v>제품</v>
          </cell>
          <cell r="D710" t="str">
            <v>윈도우 제품군</v>
          </cell>
          <cell r="E710" t="str">
            <v>염료</v>
          </cell>
          <cell r="F710" t="str">
            <v>2PLY</v>
          </cell>
        </row>
        <row r="711">
          <cell r="A711">
            <v>28263</v>
          </cell>
          <cell r="B711" t="str">
            <v>SCF-ND-NBK20(CS color)</v>
          </cell>
          <cell r="C711" t="str">
            <v>제품</v>
          </cell>
          <cell r="D711" t="str">
            <v>윈도우 제품군</v>
          </cell>
          <cell r="E711" t="str">
            <v>염료</v>
          </cell>
          <cell r="F711" t="str">
            <v>2PLY</v>
          </cell>
        </row>
        <row r="712">
          <cell r="A712">
            <v>28264</v>
          </cell>
          <cell r="B712" t="str">
            <v>SCF-ND-NBK05(CS color)</v>
          </cell>
          <cell r="C712" t="str">
            <v>제품</v>
          </cell>
          <cell r="D712" t="str">
            <v>윈도우 제품군</v>
          </cell>
          <cell r="E712" t="str">
            <v>염료</v>
          </cell>
          <cell r="F712" t="str">
            <v>2PLY</v>
          </cell>
        </row>
        <row r="713">
          <cell r="A713">
            <v>28265</v>
          </cell>
          <cell r="B713" t="str">
            <v>SCF-NS(NON SR)-NBK05(CS color)</v>
          </cell>
          <cell r="C713" t="str">
            <v>제품</v>
          </cell>
          <cell r="D713" t="str">
            <v>윈도우 제품군</v>
          </cell>
          <cell r="E713" t="str">
            <v>염료</v>
          </cell>
          <cell r="F713" t="str">
            <v>1PLY</v>
          </cell>
        </row>
        <row r="714">
          <cell r="A714">
            <v>28266</v>
          </cell>
          <cell r="B714" t="str">
            <v>SCF-NS(NON SR)-NBK20(CS color)</v>
          </cell>
          <cell r="C714" t="str">
            <v>제품</v>
          </cell>
          <cell r="D714" t="str">
            <v>윈도우 제품군</v>
          </cell>
          <cell r="E714" t="str">
            <v>염료</v>
          </cell>
          <cell r="F714" t="str">
            <v>1PLY</v>
          </cell>
        </row>
        <row r="715">
          <cell r="A715">
            <v>28268</v>
          </cell>
          <cell r="B715" t="str">
            <v>SCF-NS-SMK50</v>
          </cell>
          <cell r="C715" t="str">
            <v>제품</v>
          </cell>
          <cell r="D715" t="str">
            <v>윈도우 제품군</v>
          </cell>
          <cell r="E715" t="str">
            <v>염료</v>
          </cell>
          <cell r="F715" t="str">
            <v>1PLY</v>
          </cell>
        </row>
        <row r="716">
          <cell r="A716">
            <v>28269</v>
          </cell>
          <cell r="B716" t="str">
            <v>SCF-NS-GS60</v>
          </cell>
          <cell r="C716" t="str">
            <v>제품</v>
          </cell>
          <cell r="D716" t="str">
            <v>윈도우 제품군</v>
          </cell>
          <cell r="E716" t="str">
            <v>염료</v>
          </cell>
          <cell r="F716" t="str">
            <v>1PLY</v>
          </cell>
        </row>
        <row r="717">
          <cell r="A717">
            <v>28270</v>
          </cell>
          <cell r="B717" t="str">
            <v>SCF-NS-GS40</v>
          </cell>
          <cell r="C717" t="str">
            <v>제품</v>
          </cell>
          <cell r="D717" t="str">
            <v>윈도우 제품군</v>
          </cell>
          <cell r="E717" t="str">
            <v>염료</v>
          </cell>
          <cell r="F717" t="str">
            <v>1PLY</v>
          </cell>
        </row>
        <row r="718">
          <cell r="A718">
            <v>28284</v>
          </cell>
          <cell r="B718" t="str">
            <v>SCF-ND-NBK05(CS color)</v>
          </cell>
          <cell r="C718" t="str">
            <v>제품</v>
          </cell>
          <cell r="D718" t="str">
            <v>윈도우 제품군</v>
          </cell>
          <cell r="E718" t="str">
            <v>염료</v>
          </cell>
          <cell r="F718" t="str">
            <v>2PLY</v>
          </cell>
        </row>
        <row r="719">
          <cell r="A719">
            <v>28285</v>
          </cell>
          <cell r="B719" t="str">
            <v>SCF-ND-NBK20(CS color)</v>
          </cell>
          <cell r="C719" t="str">
            <v>제품</v>
          </cell>
          <cell r="D719" t="str">
            <v>윈도우 제품군</v>
          </cell>
          <cell r="E719" t="str">
            <v>염료</v>
          </cell>
          <cell r="F719" t="str">
            <v>2PLY</v>
          </cell>
        </row>
        <row r="720">
          <cell r="A720">
            <v>28286</v>
          </cell>
          <cell r="B720" t="str">
            <v>SCF-ND-NBK35(CS color)</v>
          </cell>
          <cell r="C720" t="str">
            <v>제품</v>
          </cell>
          <cell r="D720" t="str">
            <v>윈도우 제품군</v>
          </cell>
          <cell r="E720" t="str">
            <v>염료</v>
          </cell>
          <cell r="F720" t="str">
            <v>2PLY</v>
          </cell>
        </row>
        <row r="721">
          <cell r="A721">
            <v>28303</v>
          </cell>
          <cell r="B721" t="str">
            <v>SECURE DECO#1 (SECURE DECO #1/)</v>
          </cell>
          <cell r="C721" t="str">
            <v>제품</v>
          </cell>
          <cell r="D721" t="str">
            <v>윈도우 제품군</v>
          </cell>
          <cell r="E721" t="str">
            <v>염료</v>
          </cell>
          <cell r="F721" t="str">
            <v>COLEX</v>
          </cell>
        </row>
        <row r="722">
          <cell r="A722">
            <v>28304</v>
          </cell>
          <cell r="B722" t="str">
            <v>SCF-NS-NBK15(CS color)</v>
          </cell>
          <cell r="C722" t="str">
            <v>제품</v>
          </cell>
          <cell r="D722" t="str">
            <v>윈도우 제품군</v>
          </cell>
          <cell r="E722" t="str">
            <v>염료</v>
          </cell>
          <cell r="F722" t="str">
            <v>1PLY</v>
          </cell>
        </row>
        <row r="723">
          <cell r="A723">
            <v>28308</v>
          </cell>
          <cell r="B723" t="str">
            <v>SCF-ND-OLG 05</v>
          </cell>
          <cell r="C723" t="str">
            <v>제품</v>
          </cell>
          <cell r="D723" t="str">
            <v>윈도우 제품군</v>
          </cell>
          <cell r="E723" t="str">
            <v>염료</v>
          </cell>
          <cell r="F723" t="str">
            <v>2PLY</v>
          </cell>
        </row>
        <row r="724">
          <cell r="A724">
            <v>28309</v>
          </cell>
          <cell r="B724" t="str">
            <v>SFSL-ND-BK28+4MIL</v>
          </cell>
          <cell r="C724" t="str">
            <v>제품</v>
          </cell>
          <cell r="D724" t="str">
            <v>윈도우 제품군</v>
          </cell>
          <cell r="E724" t="str">
            <v>전략</v>
          </cell>
          <cell r="F724" t="str">
            <v>SAFETY</v>
          </cell>
        </row>
        <row r="725">
          <cell r="A725">
            <v>28310</v>
          </cell>
          <cell r="B725" t="str">
            <v>SFSL-ND-CG05+4MIL</v>
          </cell>
          <cell r="C725" t="str">
            <v>제품</v>
          </cell>
          <cell r="D725" t="str">
            <v>윈도우 제품군</v>
          </cell>
          <cell r="E725" t="str">
            <v>전략</v>
          </cell>
          <cell r="F725" t="str">
            <v>SAFETY</v>
          </cell>
        </row>
        <row r="726">
          <cell r="A726">
            <v>28311</v>
          </cell>
          <cell r="B726" t="str">
            <v>SCF-DM-GP09(OD 0.3)</v>
          </cell>
          <cell r="C726" t="str">
            <v>제품</v>
          </cell>
          <cell r="D726" t="str">
            <v>윈도우 제품군</v>
          </cell>
          <cell r="E726" t="str">
            <v>염료</v>
          </cell>
          <cell r="F726" t="str">
            <v>2PLY</v>
          </cell>
        </row>
        <row r="727">
          <cell r="A727">
            <v>28312</v>
          </cell>
          <cell r="B727" t="str">
            <v>SCF-DM-GP35(OD 0.3)</v>
          </cell>
          <cell r="C727" t="str">
            <v>제품</v>
          </cell>
          <cell r="D727" t="str">
            <v>윈도우 제품군</v>
          </cell>
          <cell r="E727" t="str">
            <v>염료</v>
          </cell>
          <cell r="F727" t="str">
            <v>2PLY</v>
          </cell>
        </row>
        <row r="728">
          <cell r="A728">
            <v>28313</v>
          </cell>
          <cell r="B728" t="str">
            <v>염료주름개선 TEST</v>
          </cell>
          <cell r="C728" t="str">
            <v>제품</v>
          </cell>
          <cell r="D728" t="str">
            <v>윈도우 제품군</v>
          </cell>
          <cell r="E728" t="str">
            <v>염료</v>
          </cell>
          <cell r="F728" t="str">
            <v>1PLY</v>
          </cell>
        </row>
        <row r="729">
          <cell r="A729">
            <v>28314</v>
          </cell>
          <cell r="B729" t="str">
            <v>IR-ND-ICLD 70-70</v>
          </cell>
          <cell r="C729" t="str">
            <v>제품</v>
          </cell>
          <cell r="D729" t="str">
            <v>윈도우 제품군</v>
          </cell>
          <cell r="E729" t="str">
            <v>전략</v>
          </cell>
          <cell r="F729" t="str">
            <v>IR</v>
          </cell>
        </row>
        <row r="730">
          <cell r="A730">
            <v>28336</v>
          </cell>
          <cell r="B730" t="str">
            <v>IR-ND-IRD7040</v>
          </cell>
          <cell r="C730" t="str">
            <v>제품</v>
          </cell>
          <cell r="D730" t="str">
            <v>윈도우 제품군</v>
          </cell>
          <cell r="E730" t="str">
            <v>전략</v>
          </cell>
          <cell r="F730" t="str">
            <v>IR</v>
          </cell>
        </row>
        <row r="731">
          <cell r="A731">
            <v>28339</v>
          </cell>
          <cell r="B731" t="str">
            <v>SP-ND-CCL10</v>
          </cell>
          <cell r="C731" t="str">
            <v>제품</v>
          </cell>
          <cell r="D731" t="str">
            <v>윈도우 제품군</v>
          </cell>
          <cell r="E731" t="str">
            <v>전략</v>
          </cell>
          <cell r="F731" t="str">
            <v>SP</v>
          </cell>
        </row>
        <row r="732">
          <cell r="A732">
            <v>28340</v>
          </cell>
          <cell r="B732" t="str">
            <v>SCF-NS-DYED BLACK 15</v>
          </cell>
          <cell r="C732" t="str">
            <v>제품</v>
          </cell>
          <cell r="D732" t="str">
            <v>윈도우 제품군</v>
          </cell>
          <cell r="E732" t="str">
            <v>염료</v>
          </cell>
          <cell r="F732" t="str">
            <v>1PLY</v>
          </cell>
        </row>
        <row r="733">
          <cell r="A733">
            <v>28402</v>
          </cell>
          <cell r="B733" t="str">
            <v>IR-ND-ICLD 70-40</v>
          </cell>
          <cell r="C733" t="str">
            <v>제품</v>
          </cell>
          <cell r="D733" t="str">
            <v>윈도우 제품군</v>
          </cell>
          <cell r="E733" t="str">
            <v>전략</v>
          </cell>
          <cell r="F733" t="str">
            <v>IR</v>
          </cell>
        </row>
        <row r="734">
          <cell r="A734">
            <v>28404</v>
          </cell>
          <cell r="B734" t="str">
            <v>SFSL-ND-BK42+4MIL(SOLARFREE)</v>
          </cell>
          <cell r="C734" t="str">
            <v>제품</v>
          </cell>
          <cell r="D734" t="str">
            <v>윈도우 제품군</v>
          </cell>
          <cell r="E734" t="str">
            <v>전략</v>
          </cell>
          <cell r="F734" t="str">
            <v>SAFETY</v>
          </cell>
        </row>
        <row r="735">
          <cell r="A735">
            <v>28445</v>
          </cell>
          <cell r="B735" t="str">
            <v>SFSL-DC-SUNCG50+7MIL(OD 0.2)</v>
          </cell>
          <cell r="C735" t="str">
            <v>제품</v>
          </cell>
          <cell r="D735" t="str">
            <v>윈도우 제품군</v>
          </cell>
          <cell r="E735" t="str">
            <v>전략</v>
          </cell>
          <cell r="F735" t="str">
            <v>SAFETY</v>
          </cell>
        </row>
        <row r="736">
          <cell r="A736">
            <v>28446</v>
          </cell>
          <cell r="B736" t="str">
            <v>SFSL-DC-SUNGRAY50+7MIL(OD 0.2)</v>
          </cell>
          <cell r="C736" t="str">
            <v>제품</v>
          </cell>
          <cell r="D736" t="str">
            <v>윈도우 제품군</v>
          </cell>
          <cell r="E736" t="str">
            <v>전략</v>
          </cell>
          <cell r="F736" t="str">
            <v>SAFETY</v>
          </cell>
        </row>
        <row r="737">
          <cell r="A737">
            <v>28447</v>
          </cell>
          <cell r="B737" t="str">
            <v>SCF-DC-SUNCG50(OD 0.2)</v>
          </cell>
          <cell r="C737" t="str">
            <v>제품</v>
          </cell>
          <cell r="D737" t="str">
            <v>윈도우 제품군</v>
          </cell>
          <cell r="E737" t="str">
            <v>염료</v>
          </cell>
          <cell r="F737" t="str">
            <v>2PLY</v>
          </cell>
        </row>
        <row r="738">
          <cell r="A738">
            <v>28448</v>
          </cell>
          <cell r="B738" t="str">
            <v>SCF-DC-SUNGRAY50(OD 0.2)</v>
          </cell>
          <cell r="C738" t="str">
            <v>제품</v>
          </cell>
          <cell r="D738" t="str">
            <v>윈도우 제품군</v>
          </cell>
          <cell r="E738" t="str">
            <v>염료</v>
          </cell>
          <cell r="F738" t="str">
            <v>2PLY</v>
          </cell>
        </row>
        <row r="739">
          <cell r="A739">
            <v>28449</v>
          </cell>
          <cell r="B739" t="str">
            <v>SF-NT-15MIL</v>
          </cell>
          <cell r="C739" t="str">
            <v>제품</v>
          </cell>
          <cell r="D739" t="str">
            <v>윈도우 제품군</v>
          </cell>
          <cell r="E739" t="str">
            <v>전략</v>
          </cell>
          <cell r="F739" t="str">
            <v>SAFETY</v>
          </cell>
        </row>
        <row r="740">
          <cell r="A740">
            <v>28466</v>
          </cell>
          <cell r="B740" t="str">
            <v>IR-ND-ICLD 60-60</v>
          </cell>
          <cell r="C740" t="str">
            <v>제품</v>
          </cell>
          <cell r="D740" t="str">
            <v>윈도우 제품군</v>
          </cell>
          <cell r="E740" t="str">
            <v>전략</v>
          </cell>
          <cell r="F740" t="str">
            <v>IR</v>
          </cell>
        </row>
        <row r="741">
          <cell r="A741">
            <v>28467</v>
          </cell>
          <cell r="B741" t="str">
            <v>IR-ND-ICLD 15-60</v>
          </cell>
          <cell r="C741" t="str">
            <v>제품</v>
          </cell>
          <cell r="D741" t="str">
            <v>윈도우 제품군</v>
          </cell>
          <cell r="E741" t="str">
            <v>전략</v>
          </cell>
          <cell r="F741" t="str">
            <v>IR</v>
          </cell>
        </row>
        <row r="742">
          <cell r="A742">
            <v>28473</v>
          </cell>
          <cell r="B742" t="str">
            <v>COLEX-NS-WHITE 44*44MM(WHITE)</v>
          </cell>
          <cell r="C742" t="str">
            <v>제품</v>
          </cell>
          <cell r="D742" t="str">
            <v>윈도우 제품군</v>
          </cell>
          <cell r="E742" t="str">
            <v>염료</v>
          </cell>
          <cell r="F742" t="str">
            <v>COLEX</v>
          </cell>
        </row>
        <row r="743">
          <cell r="A743">
            <v>28499</v>
          </cell>
          <cell r="B743" t="str">
            <v>IR-ND-IBLD(VLT70/IR40)</v>
          </cell>
          <cell r="C743" t="str">
            <v>제품</v>
          </cell>
          <cell r="D743" t="str">
            <v>윈도우 제품군</v>
          </cell>
          <cell r="E743" t="str">
            <v>전략</v>
          </cell>
          <cell r="F743" t="str">
            <v>IR</v>
          </cell>
        </row>
        <row r="744">
          <cell r="A744">
            <v>28539</v>
          </cell>
          <cell r="B744" t="str">
            <v>SCF-NS-NBK40(CS color)</v>
          </cell>
          <cell r="C744" t="str">
            <v>제품</v>
          </cell>
          <cell r="D744" t="str">
            <v>윈도우 제품군</v>
          </cell>
          <cell r="E744" t="str">
            <v>염료</v>
          </cell>
          <cell r="F744" t="str">
            <v>1PLY</v>
          </cell>
        </row>
        <row r="745">
          <cell r="A745">
            <v>28540</v>
          </cell>
          <cell r="B745" t="str">
            <v>SCF-NS-NBK60(CS color)</v>
          </cell>
          <cell r="C745" t="str">
            <v>제품</v>
          </cell>
          <cell r="D745" t="str">
            <v>윈도우 제품군</v>
          </cell>
          <cell r="E745" t="str">
            <v>염료</v>
          </cell>
          <cell r="F745" t="str">
            <v>1PLY</v>
          </cell>
        </row>
        <row r="746">
          <cell r="A746">
            <v>28551</v>
          </cell>
          <cell r="B746" t="str">
            <v>SCF-DM-G15D(0.3)</v>
          </cell>
          <cell r="C746" t="str">
            <v>제품</v>
          </cell>
          <cell r="D746" t="str">
            <v>윈도우 제품군</v>
          </cell>
          <cell r="E746" t="str">
            <v>염료</v>
          </cell>
          <cell r="F746" t="str">
            <v>2PLY</v>
          </cell>
        </row>
        <row r="747">
          <cell r="A747">
            <v>28555</v>
          </cell>
          <cell r="B747" t="str">
            <v>SFSL-ND-CCS15+4MIL</v>
          </cell>
          <cell r="C747" t="str">
            <v>제품</v>
          </cell>
          <cell r="D747" t="str">
            <v>윈도우 제품군</v>
          </cell>
          <cell r="E747" t="str">
            <v>전략</v>
          </cell>
          <cell r="F747" t="str">
            <v>SAFETY</v>
          </cell>
        </row>
        <row r="748">
          <cell r="A748">
            <v>28566</v>
          </cell>
          <cell r="B748" t="str">
            <v>SCF-DM-HP20MS(0.3)</v>
          </cell>
          <cell r="C748" t="str">
            <v>제품</v>
          </cell>
          <cell r="D748" t="str">
            <v>윈도우 제품군</v>
          </cell>
          <cell r="E748" t="str">
            <v>염료</v>
          </cell>
          <cell r="F748" t="str">
            <v>2PLY</v>
          </cell>
        </row>
        <row r="749">
          <cell r="A749">
            <v>28572</v>
          </cell>
          <cell r="B749" t="str">
            <v>COLEX-NS-WHITE MATT(XZ31 50㎛)</v>
          </cell>
          <cell r="C749" t="str">
            <v>제품</v>
          </cell>
          <cell r="D749" t="str">
            <v>윈도우 제품군</v>
          </cell>
          <cell r="E749" t="str">
            <v>염료</v>
          </cell>
          <cell r="F749" t="str">
            <v>COLEX</v>
          </cell>
        </row>
        <row r="750">
          <cell r="A750">
            <v>28636</v>
          </cell>
          <cell r="B750" t="str">
            <v>IR-ND-ICLD 50-90</v>
          </cell>
          <cell r="C750" t="str">
            <v>제품</v>
          </cell>
          <cell r="D750" t="str">
            <v>윈도우 제품군</v>
          </cell>
          <cell r="E750" t="str">
            <v>전략</v>
          </cell>
          <cell r="F750" t="str">
            <v>IR</v>
          </cell>
        </row>
        <row r="751">
          <cell r="A751">
            <v>28637</v>
          </cell>
          <cell r="B751" t="str">
            <v>SP-ND-CCL49</v>
          </cell>
          <cell r="C751" t="str">
            <v>제품</v>
          </cell>
          <cell r="D751" t="str">
            <v>윈도우 제품군</v>
          </cell>
          <cell r="E751" t="str">
            <v>전략</v>
          </cell>
          <cell r="F751" t="str">
            <v>SP</v>
          </cell>
        </row>
        <row r="752">
          <cell r="A752">
            <v>28654</v>
          </cell>
          <cell r="B752" t="str">
            <v>SCF-ND-CCS10</v>
          </cell>
          <cell r="C752" t="str">
            <v>제품</v>
          </cell>
          <cell r="D752" t="str">
            <v>윈도우 제품군</v>
          </cell>
          <cell r="E752" t="str">
            <v>염료</v>
          </cell>
          <cell r="F752" t="str">
            <v>2PLY</v>
          </cell>
        </row>
        <row r="753">
          <cell r="A753">
            <v>28655</v>
          </cell>
          <cell r="B753" t="str">
            <v>SCF-ND-CCS02</v>
          </cell>
          <cell r="C753" t="str">
            <v>제품</v>
          </cell>
          <cell r="D753" t="str">
            <v>윈도우 제품군</v>
          </cell>
          <cell r="E753" t="str">
            <v>염료</v>
          </cell>
          <cell r="F753" t="str">
            <v>2PLY</v>
          </cell>
        </row>
        <row r="754">
          <cell r="A754">
            <v>28656</v>
          </cell>
          <cell r="B754" t="str">
            <v>SFSL-ND-BK50+4MIL(SOLARFREE)</v>
          </cell>
          <cell r="C754" t="str">
            <v>제품</v>
          </cell>
          <cell r="D754" t="str">
            <v>윈도우 제품군</v>
          </cell>
          <cell r="E754" t="str">
            <v>전략</v>
          </cell>
          <cell r="F754" t="str">
            <v>SAFETY</v>
          </cell>
        </row>
        <row r="755">
          <cell r="A755">
            <v>28657</v>
          </cell>
          <cell r="B755" t="str">
            <v>SCF-ND-NBK05S(CS color)</v>
          </cell>
          <cell r="C755" t="str">
            <v>제품</v>
          </cell>
          <cell r="D755" t="str">
            <v>윈도우 제품군</v>
          </cell>
          <cell r="E755" t="str">
            <v>염료</v>
          </cell>
          <cell r="F755" t="str">
            <v>2PLY</v>
          </cell>
        </row>
        <row r="756">
          <cell r="A756">
            <v>28658</v>
          </cell>
          <cell r="B756" t="str">
            <v>SCF-ND-NBK20S(CS color)</v>
          </cell>
          <cell r="C756" t="str">
            <v>제품</v>
          </cell>
          <cell r="D756" t="str">
            <v>윈도우 제품군</v>
          </cell>
          <cell r="E756" t="str">
            <v>염료</v>
          </cell>
          <cell r="F756" t="str">
            <v>2PLY</v>
          </cell>
        </row>
        <row r="757">
          <cell r="A757">
            <v>28659</v>
          </cell>
          <cell r="B757" t="str">
            <v>SCF-ND-NBK35S(CS color)</v>
          </cell>
          <cell r="C757" t="str">
            <v>제품</v>
          </cell>
          <cell r="D757" t="str">
            <v>윈도우 제품군</v>
          </cell>
          <cell r="E757" t="str">
            <v>염료</v>
          </cell>
          <cell r="F757" t="str">
            <v>2PLY</v>
          </cell>
        </row>
        <row r="758">
          <cell r="A758">
            <v>28667</v>
          </cell>
          <cell r="B758" t="str">
            <v>IR-ND-IGLD 60-60</v>
          </cell>
          <cell r="C758" t="str">
            <v>제품</v>
          </cell>
          <cell r="D758" t="str">
            <v>윈도우 제품군</v>
          </cell>
          <cell r="E758" t="str">
            <v>전략</v>
          </cell>
          <cell r="F758" t="str">
            <v>IR</v>
          </cell>
        </row>
        <row r="759">
          <cell r="A759">
            <v>28668</v>
          </cell>
          <cell r="B759" t="str">
            <v>SCF-DB-OG21(0.2)</v>
          </cell>
          <cell r="C759" t="str">
            <v>제품</v>
          </cell>
          <cell r="D759" t="str">
            <v>윈도우 제품군</v>
          </cell>
          <cell r="E759" t="str">
            <v>염료</v>
          </cell>
          <cell r="F759" t="str">
            <v>2PLY</v>
          </cell>
        </row>
        <row r="760">
          <cell r="A760">
            <v>28676</v>
          </cell>
          <cell r="B760" t="str">
            <v>SCF-DB-SRC986(0.2)</v>
          </cell>
          <cell r="C760" t="str">
            <v>제품</v>
          </cell>
          <cell r="D760" t="str">
            <v>윈도우 제품군</v>
          </cell>
          <cell r="E760" t="str">
            <v>염료</v>
          </cell>
          <cell r="F760" t="str">
            <v>2PLY</v>
          </cell>
        </row>
        <row r="761">
          <cell r="A761">
            <v>28678</v>
          </cell>
          <cell r="B761" t="str">
            <v>SCF-DM-SRC948(0.2)</v>
          </cell>
          <cell r="C761" t="str">
            <v>제품</v>
          </cell>
          <cell r="D761" t="str">
            <v>윈도우 제품군</v>
          </cell>
          <cell r="E761" t="str">
            <v>염료</v>
          </cell>
          <cell r="F761" t="str">
            <v>2PLY</v>
          </cell>
        </row>
        <row r="762">
          <cell r="A762">
            <v>28679</v>
          </cell>
          <cell r="B762" t="str">
            <v>SCF-DB-RK006(0.3)</v>
          </cell>
          <cell r="C762" t="str">
            <v>제품</v>
          </cell>
          <cell r="D762" t="str">
            <v>윈도우 제품군</v>
          </cell>
          <cell r="E762" t="str">
            <v>염료</v>
          </cell>
          <cell r="F762" t="str">
            <v>2PLY</v>
          </cell>
        </row>
        <row r="763">
          <cell r="A763">
            <v>28680</v>
          </cell>
          <cell r="B763" t="str">
            <v>IRSF-ND-14MIL+IR5090</v>
          </cell>
          <cell r="C763" t="str">
            <v>제품</v>
          </cell>
          <cell r="D763" t="str">
            <v>윈도우 제품군</v>
          </cell>
          <cell r="E763" t="str">
            <v>전략</v>
          </cell>
          <cell r="F763" t="str">
            <v>SAFETY</v>
          </cell>
        </row>
        <row r="764">
          <cell r="A764">
            <v>28681</v>
          </cell>
          <cell r="B764" t="str">
            <v>SCF-ND-NIR 50-95</v>
          </cell>
          <cell r="C764" t="str">
            <v>제품</v>
          </cell>
          <cell r="D764" t="str">
            <v>윈도우 제품군</v>
          </cell>
          <cell r="E764" t="str">
            <v>전략</v>
          </cell>
          <cell r="F764" t="str">
            <v>IR</v>
          </cell>
        </row>
        <row r="765">
          <cell r="A765">
            <v>28695</v>
          </cell>
          <cell r="B765" t="str">
            <v>SCF-DC-RSM05(0.8)</v>
          </cell>
          <cell r="C765" t="str">
            <v>제품</v>
          </cell>
          <cell r="D765" t="str">
            <v>윈도우 제품군</v>
          </cell>
          <cell r="E765" t="str">
            <v>염료</v>
          </cell>
          <cell r="F765" t="str">
            <v>2PLY</v>
          </cell>
        </row>
        <row r="766">
          <cell r="A766">
            <v>28696</v>
          </cell>
          <cell r="B766" t="str">
            <v>SCF-DC-RGN15(0.8)</v>
          </cell>
          <cell r="C766" t="str">
            <v>제품</v>
          </cell>
          <cell r="D766" t="str">
            <v>윈도우 제품군</v>
          </cell>
          <cell r="E766" t="str">
            <v>염료</v>
          </cell>
          <cell r="F766" t="str">
            <v>2PLY</v>
          </cell>
        </row>
        <row r="767">
          <cell r="A767">
            <v>28697</v>
          </cell>
          <cell r="B767" t="str">
            <v>SCF-DC-RBR08(0.8)</v>
          </cell>
          <cell r="C767" t="str">
            <v>제품</v>
          </cell>
          <cell r="D767" t="str">
            <v>윈도우 제품군</v>
          </cell>
          <cell r="E767" t="str">
            <v>염료</v>
          </cell>
          <cell r="F767" t="str">
            <v>2PLY</v>
          </cell>
        </row>
        <row r="768">
          <cell r="A768">
            <v>28698</v>
          </cell>
          <cell r="B768" t="str">
            <v>SCF-DC-RBU15(0.8)</v>
          </cell>
          <cell r="C768" t="str">
            <v>제품</v>
          </cell>
          <cell r="D768" t="str">
            <v>윈도우 제품군</v>
          </cell>
          <cell r="E768" t="str">
            <v>염료</v>
          </cell>
          <cell r="F768" t="str">
            <v>2PLY</v>
          </cell>
        </row>
        <row r="769">
          <cell r="A769">
            <v>28699</v>
          </cell>
          <cell r="B769" t="str">
            <v>SCF-DC-RGO15(0.8)</v>
          </cell>
          <cell r="C769" t="str">
            <v>제품</v>
          </cell>
          <cell r="D769" t="str">
            <v>윈도우 제품군</v>
          </cell>
          <cell r="E769" t="str">
            <v>염료</v>
          </cell>
          <cell r="F769" t="str">
            <v>2PLY</v>
          </cell>
        </row>
        <row r="770">
          <cell r="A770">
            <v>28700</v>
          </cell>
          <cell r="B770" t="str">
            <v>SCF-DC-RSI15(0.8)</v>
          </cell>
          <cell r="C770" t="str">
            <v>제품</v>
          </cell>
          <cell r="D770" t="str">
            <v>윈도우 제품군</v>
          </cell>
          <cell r="E770" t="str">
            <v>염료</v>
          </cell>
          <cell r="F770" t="str">
            <v>2PLY</v>
          </cell>
        </row>
        <row r="771">
          <cell r="A771">
            <v>28722</v>
          </cell>
          <cell r="B771" t="str">
            <v>SCF-DM-SPUTTER BRONZE 20(Cu15%)</v>
          </cell>
          <cell r="C771" t="str">
            <v>제품</v>
          </cell>
          <cell r="D771" t="str">
            <v>윈도우 제품군</v>
          </cell>
          <cell r="E771" t="str">
            <v>염료</v>
          </cell>
          <cell r="F771" t="str">
            <v>2PLY</v>
          </cell>
        </row>
        <row r="772">
          <cell r="A772">
            <v>28723</v>
          </cell>
          <cell r="B772" t="str">
            <v>SCF-DM-SPUTTER BRONZE 40(Cu35%)</v>
          </cell>
          <cell r="C772" t="str">
            <v>제품</v>
          </cell>
          <cell r="D772" t="str">
            <v>윈도우 제품군</v>
          </cell>
          <cell r="E772" t="str">
            <v>염료</v>
          </cell>
          <cell r="F772" t="str">
            <v>2PLY</v>
          </cell>
        </row>
        <row r="773">
          <cell r="A773">
            <v>28724</v>
          </cell>
          <cell r="B773" t="str">
            <v>SCF-DM-SPUTTER BRONZE 55(Cu50%)</v>
          </cell>
          <cell r="C773" t="str">
            <v>제품</v>
          </cell>
          <cell r="D773" t="str">
            <v>윈도우 제품군</v>
          </cell>
          <cell r="E773" t="str">
            <v>염료</v>
          </cell>
          <cell r="F773" t="str">
            <v>2PLY</v>
          </cell>
        </row>
        <row r="774">
          <cell r="A774">
            <v>28725</v>
          </cell>
          <cell r="B774" t="str">
            <v>디플지관주름개선테잎</v>
          </cell>
          <cell r="C774" t="str">
            <v>제품</v>
          </cell>
          <cell r="D774" t="str">
            <v>윈도우 제품군</v>
          </cell>
          <cell r="E774" t="str">
            <v>염료</v>
          </cell>
          <cell r="F774" t="str">
            <v>1PLY</v>
          </cell>
        </row>
        <row r="775">
          <cell r="A775">
            <v>28729</v>
          </cell>
          <cell r="B775" t="str">
            <v>SCF-DM-SPUTTER NSN 60(NSN 60%)</v>
          </cell>
          <cell r="C775" t="str">
            <v>제품</v>
          </cell>
          <cell r="D775" t="str">
            <v>윈도우 제품군</v>
          </cell>
          <cell r="E775" t="str">
            <v>염료</v>
          </cell>
          <cell r="F775" t="str">
            <v>2PLY</v>
          </cell>
        </row>
        <row r="776">
          <cell r="A776">
            <v>28730</v>
          </cell>
          <cell r="B776" t="str">
            <v>SCF-DM-SPUTTER NSN 70(NSN 70%)</v>
          </cell>
          <cell r="C776" t="str">
            <v>제품</v>
          </cell>
          <cell r="D776" t="str">
            <v>윈도우 제품군</v>
          </cell>
          <cell r="E776" t="str">
            <v>염료</v>
          </cell>
          <cell r="F776" t="str">
            <v>2PLY</v>
          </cell>
        </row>
        <row r="777">
          <cell r="A777">
            <v>28731</v>
          </cell>
          <cell r="B777" t="str">
            <v>SCF-DM-SPUTTER NiCr 20(NiCr 15%)</v>
          </cell>
          <cell r="C777" t="str">
            <v>제품</v>
          </cell>
          <cell r="D777" t="str">
            <v>윈도우 제품군</v>
          </cell>
          <cell r="E777" t="str">
            <v>염료</v>
          </cell>
          <cell r="F777" t="str">
            <v>2PLY</v>
          </cell>
        </row>
        <row r="778">
          <cell r="A778">
            <v>28732</v>
          </cell>
          <cell r="B778" t="str">
            <v>SCF-DM-SPUTTER NiCr 35(NiCr 30%)</v>
          </cell>
          <cell r="C778" t="str">
            <v>제품</v>
          </cell>
          <cell r="D778" t="str">
            <v>윈도우 제품군</v>
          </cell>
          <cell r="E778" t="str">
            <v>염료</v>
          </cell>
          <cell r="F778" t="str">
            <v>2PLY</v>
          </cell>
        </row>
        <row r="779">
          <cell r="A779">
            <v>28733</v>
          </cell>
          <cell r="B779" t="str">
            <v>SCF-DM-SPUTTER NiCr 50(NiCr 45%)</v>
          </cell>
          <cell r="C779" t="str">
            <v>제품</v>
          </cell>
          <cell r="D779" t="str">
            <v>윈도우 제품군</v>
          </cell>
          <cell r="E779" t="str">
            <v>염료</v>
          </cell>
          <cell r="F779" t="str">
            <v>2PLY</v>
          </cell>
        </row>
        <row r="780">
          <cell r="A780">
            <v>28734</v>
          </cell>
          <cell r="B780" t="str">
            <v>SCF-DM-SPUTTER TiN 60(TiN 60%)</v>
          </cell>
          <cell r="C780" t="str">
            <v>제품</v>
          </cell>
          <cell r="D780" t="str">
            <v>윈도우 제품군</v>
          </cell>
          <cell r="E780" t="str">
            <v>염료</v>
          </cell>
          <cell r="F780" t="str">
            <v>2PLY</v>
          </cell>
        </row>
        <row r="781">
          <cell r="A781">
            <v>28735</v>
          </cell>
          <cell r="B781" t="str">
            <v>SCF-DM-SPUTTER TiN 70(TiN 70%)</v>
          </cell>
          <cell r="C781" t="str">
            <v>제품</v>
          </cell>
          <cell r="D781" t="str">
            <v>윈도우 제품군</v>
          </cell>
          <cell r="E781" t="str">
            <v>염료</v>
          </cell>
          <cell r="F781" t="str">
            <v>2PLY</v>
          </cell>
        </row>
        <row r="782">
          <cell r="A782">
            <v>28757</v>
          </cell>
          <cell r="B782" t="str">
            <v>IR-ND-IR6060 연구소 test 용</v>
          </cell>
          <cell r="C782" t="str">
            <v>제품</v>
          </cell>
          <cell r="D782" t="str">
            <v>윈도우 제품군</v>
          </cell>
          <cell r="E782" t="str">
            <v>전략</v>
          </cell>
          <cell r="F782" t="str">
            <v>IR</v>
          </cell>
        </row>
        <row r="783">
          <cell r="A783">
            <v>28765</v>
          </cell>
          <cell r="B783" t="str">
            <v>SCF-DM-SPUTTER RSS15(SPT 0.8)</v>
          </cell>
          <cell r="C783" t="str">
            <v>제품</v>
          </cell>
          <cell r="D783" t="str">
            <v>윈도우 제품군</v>
          </cell>
          <cell r="E783" t="str">
            <v>염료</v>
          </cell>
          <cell r="F783" t="str">
            <v>2PLY</v>
          </cell>
        </row>
        <row r="784">
          <cell r="A784">
            <v>28766</v>
          </cell>
          <cell r="B784" t="str">
            <v>SCF-NS-DYED BLACK 05(36㎛)</v>
          </cell>
          <cell r="C784" t="str">
            <v>제품</v>
          </cell>
          <cell r="D784" t="str">
            <v>윈도우 제품군</v>
          </cell>
          <cell r="E784" t="str">
            <v>염료</v>
          </cell>
          <cell r="F784" t="str">
            <v>1PLY</v>
          </cell>
        </row>
        <row r="785">
          <cell r="A785">
            <v>28767</v>
          </cell>
          <cell r="B785" t="str">
            <v>SCF-NS-DYED BLACK 35</v>
          </cell>
          <cell r="C785" t="str">
            <v>제품</v>
          </cell>
          <cell r="D785" t="str">
            <v>윈도우 제품군</v>
          </cell>
          <cell r="E785" t="str">
            <v>염료</v>
          </cell>
          <cell r="F785" t="str">
            <v>1PLY</v>
          </cell>
        </row>
        <row r="786">
          <cell r="A786">
            <v>28768</v>
          </cell>
          <cell r="B786" t="str">
            <v>SCF-NS-DYED BLACK 50</v>
          </cell>
          <cell r="C786" t="str">
            <v>제품</v>
          </cell>
          <cell r="D786" t="str">
            <v>윈도우 제품군</v>
          </cell>
          <cell r="E786" t="str">
            <v>염료</v>
          </cell>
          <cell r="F786" t="str">
            <v>1PLY</v>
          </cell>
        </row>
        <row r="787">
          <cell r="A787">
            <v>28769</v>
          </cell>
          <cell r="B787" t="str">
            <v>SFSL-ND-BK50+4MIL(SOLARFREE)</v>
          </cell>
          <cell r="C787" t="str">
            <v>제품</v>
          </cell>
          <cell r="D787" t="str">
            <v>윈도우 제품군</v>
          </cell>
          <cell r="E787" t="str">
            <v>전략</v>
          </cell>
          <cell r="F787" t="str">
            <v>SAFETY</v>
          </cell>
        </row>
        <row r="788">
          <cell r="A788">
            <v>28779</v>
          </cell>
          <cell r="B788" t="str">
            <v>SCF-DC-BLS10(0.8)</v>
          </cell>
          <cell r="C788" t="str">
            <v>제품</v>
          </cell>
          <cell r="D788" t="str">
            <v>윈도우 제품군</v>
          </cell>
          <cell r="E788" t="str">
            <v>염료</v>
          </cell>
          <cell r="F788" t="str">
            <v>2PLY</v>
          </cell>
        </row>
        <row r="789">
          <cell r="A789">
            <v>28780</v>
          </cell>
          <cell r="B789" t="str">
            <v>SCF-DC-GRS10(0.8)</v>
          </cell>
          <cell r="C789" t="str">
            <v>제품</v>
          </cell>
          <cell r="D789" t="str">
            <v>윈도우 제품군</v>
          </cell>
          <cell r="E789" t="str">
            <v>염료</v>
          </cell>
          <cell r="F789" t="str">
            <v>2PLY</v>
          </cell>
        </row>
        <row r="790">
          <cell r="A790">
            <v>28784</v>
          </cell>
          <cell r="B790" t="str">
            <v>SCF-DM-NR05(0.8)</v>
          </cell>
          <cell r="C790" t="str">
            <v>제품</v>
          </cell>
          <cell r="D790" t="str">
            <v>윈도우 제품군</v>
          </cell>
          <cell r="E790" t="str">
            <v>염료</v>
          </cell>
          <cell r="F790" t="str">
            <v>2PLY</v>
          </cell>
        </row>
        <row r="791">
          <cell r="A791">
            <v>28787</v>
          </cell>
          <cell r="B791" t="str">
            <v>IR-ND-IBLDF 65-75(연구소test)</v>
          </cell>
          <cell r="C791" t="str">
            <v>제품</v>
          </cell>
          <cell r="D791" t="str">
            <v>윈도우 제품군</v>
          </cell>
          <cell r="E791" t="str">
            <v>전략</v>
          </cell>
          <cell r="F791" t="str">
            <v>IR</v>
          </cell>
        </row>
        <row r="792">
          <cell r="A792">
            <v>28799</v>
          </cell>
          <cell r="B792" t="str">
            <v>SFSL-ND-NBK50+8MIL</v>
          </cell>
          <cell r="C792" t="str">
            <v>제품</v>
          </cell>
          <cell r="D792" t="str">
            <v>윈도우 제품군</v>
          </cell>
          <cell r="E792" t="str">
            <v>전략</v>
          </cell>
          <cell r="F792" t="str">
            <v>SAFETY</v>
          </cell>
        </row>
        <row r="793">
          <cell r="A793">
            <v>28803</v>
          </cell>
          <cell r="B793" t="str">
            <v>SCF-DM-ATN45S(0.3)</v>
          </cell>
          <cell r="C793" t="str">
            <v>제품</v>
          </cell>
          <cell r="D793" t="str">
            <v>윈도우 제품군</v>
          </cell>
          <cell r="E793" t="str">
            <v>염료</v>
          </cell>
          <cell r="F793" t="str">
            <v>2PLY</v>
          </cell>
        </row>
        <row r="794">
          <cell r="A794">
            <v>28806</v>
          </cell>
          <cell r="B794" t="str">
            <v>IR-ND-IBLDF 65-80</v>
          </cell>
          <cell r="C794" t="str">
            <v>제품</v>
          </cell>
          <cell r="D794" t="str">
            <v>윈도우 제품군</v>
          </cell>
          <cell r="E794" t="str">
            <v>전략</v>
          </cell>
          <cell r="F794" t="str">
            <v>IR</v>
          </cell>
        </row>
        <row r="795">
          <cell r="A795">
            <v>28807</v>
          </cell>
          <cell r="B795" t="str">
            <v>IR-ND-IBLDF 70-60</v>
          </cell>
          <cell r="C795" t="str">
            <v>제품</v>
          </cell>
          <cell r="D795" t="str">
            <v>윈도우 제품군</v>
          </cell>
          <cell r="E795" t="str">
            <v>전략</v>
          </cell>
          <cell r="F795" t="str">
            <v>IR</v>
          </cell>
        </row>
        <row r="796">
          <cell r="A796">
            <v>28828</v>
          </cell>
          <cell r="B796" t="str">
            <v>IR-ND-IBLDF 50-95</v>
          </cell>
          <cell r="C796" t="str">
            <v>제품</v>
          </cell>
          <cell r="D796" t="str">
            <v>윈도우 제품군</v>
          </cell>
          <cell r="E796" t="str">
            <v>전략</v>
          </cell>
          <cell r="F796" t="str">
            <v>IR</v>
          </cell>
        </row>
        <row r="797">
          <cell r="A797">
            <v>28842</v>
          </cell>
          <cell r="B797" t="str">
            <v>SP-ND-CCL10(Glue type)</v>
          </cell>
          <cell r="C797" t="str">
            <v>제품</v>
          </cell>
          <cell r="D797" t="str">
            <v>윈도우 제품군</v>
          </cell>
          <cell r="E797" t="str">
            <v>전략</v>
          </cell>
          <cell r="F797" t="str">
            <v>SP</v>
          </cell>
        </row>
        <row r="798">
          <cell r="A798">
            <v>28843</v>
          </cell>
          <cell r="B798" t="str">
            <v>SP-ND-CCL05(Glue type)</v>
          </cell>
          <cell r="C798" t="str">
            <v>제품</v>
          </cell>
          <cell r="D798" t="str">
            <v>윈도우 제품군</v>
          </cell>
          <cell r="E798" t="str">
            <v>전략</v>
          </cell>
          <cell r="F798" t="str">
            <v>SP</v>
          </cell>
        </row>
        <row r="799">
          <cell r="A799">
            <v>28844</v>
          </cell>
          <cell r="B799" t="str">
            <v>SP-ND-CCL16(Glue type)</v>
          </cell>
          <cell r="C799" t="str">
            <v>제품</v>
          </cell>
          <cell r="D799" t="str">
            <v>윈도우 제품군</v>
          </cell>
          <cell r="E799" t="str">
            <v>전략</v>
          </cell>
          <cell r="F799" t="str">
            <v>SP</v>
          </cell>
        </row>
        <row r="800">
          <cell r="A800">
            <v>28845</v>
          </cell>
          <cell r="B800" t="str">
            <v>SP-ND-CCL20(Glue type)</v>
          </cell>
          <cell r="C800" t="str">
            <v>제품</v>
          </cell>
          <cell r="D800" t="str">
            <v>윈도우 제품군</v>
          </cell>
          <cell r="E800" t="str">
            <v>전략</v>
          </cell>
          <cell r="F800" t="str">
            <v>SP</v>
          </cell>
        </row>
        <row r="801">
          <cell r="A801">
            <v>28846</v>
          </cell>
          <cell r="B801" t="str">
            <v>SP-ND-CCL35(Glue type)</v>
          </cell>
          <cell r="C801" t="str">
            <v>제품</v>
          </cell>
          <cell r="D801" t="str">
            <v>윈도우 제품군</v>
          </cell>
          <cell r="E801" t="str">
            <v>전략</v>
          </cell>
          <cell r="F801" t="str">
            <v>SP</v>
          </cell>
        </row>
        <row r="802">
          <cell r="A802">
            <v>28847</v>
          </cell>
          <cell r="B802" t="str">
            <v>SP-ND-CCL49(Glue type)</v>
          </cell>
          <cell r="C802" t="str">
            <v>제품</v>
          </cell>
          <cell r="D802" t="str">
            <v>윈도우 제품군</v>
          </cell>
          <cell r="E802" t="str">
            <v>전략</v>
          </cell>
          <cell r="F802" t="str">
            <v>SP</v>
          </cell>
        </row>
        <row r="803">
          <cell r="A803">
            <v>28857</v>
          </cell>
          <cell r="B803" t="str">
            <v>IR-ND-IBLDF 65-80(초고투명)</v>
          </cell>
          <cell r="C803" t="str">
            <v>제품</v>
          </cell>
          <cell r="D803" t="str">
            <v>윈도우 제품군</v>
          </cell>
          <cell r="E803" t="str">
            <v>전략</v>
          </cell>
          <cell r="F803" t="str">
            <v>IR</v>
          </cell>
        </row>
        <row r="804">
          <cell r="A804">
            <v>28858</v>
          </cell>
          <cell r="B804" t="str">
            <v>IR-ND-IBLDF 70-60(초고투명)</v>
          </cell>
          <cell r="C804" t="str">
            <v>제품</v>
          </cell>
          <cell r="D804" t="str">
            <v>윈도우 제품군</v>
          </cell>
          <cell r="E804" t="str">
            <v>전략</v>
          </cell>
          <cell r="F804" t="str">
            <v>IR</v>
          </cell>
        </row>
        <row r="805">
          <cell r="A805">
            <v>28859</v>
          </cell>
          <cell r="B805" t="str">
            <v>IR-ND-IBLDF 80-50(초고투명)</v>
          </cell>
          <cell r="C805" t="str">
            <v>제품</v>
          </cell>
          <cell r="D805" t="str">
            <v>윈도우 제품군</v>
          </cell>
          <cell r="E805" t="str">
            <v>전략</v>
          </cell>
          <cell r="F805" t="str">
            <v>IR</v>
          </cell>
        </row>
        <row r="806">
          <cell r="A806">
            <v>28861</v>
          </cell>
          <cell r="B806" t="str">
            <v>SF-NT-21MIL</v>
          </cell>
          <cell r="C806" t="str">
            <v>제품</v>
          </cell>
          <cell r="D806" t="str">
            <v>윈도우 제품군</v>
          </cell>
          <cell r="E806" t="str">
            <v>전략</v>
          </cell>
          <cell r="F806" t="str">
            <v>SAFETY</v>
          </cell>
        </row>
        <row r="807">
          <cell r="A807">
            <v>28873</v>
          </cell>
          <cell r="B807" t="str">
            <v>SCF-DM-AGY15(0.3)</v>
          </cell>
          <cell r="C807" t="str">
            <v>제품</v>
          </cell>
          <cell r="D807" t="str">
            <v>윈도우 제품군</v>
          </cell>
          <cell r="E807" t="str">
            <v>염료</v>
          </cell>
          <cell r="F807" t="str">
            <v>2PLY</v>
          </cell>
        </row>
        <row r="808">
          <cell r="A808">
            <v>28881</v>
          </cell>
          <cell r="B808" t="str">
            <v>IR-ND-IBLDF 50-95(초고투명)</v>
          </cell>
          <cell r="C808" t="str">
            <v>제품</v>
          </cell>
          <cell r="D808" t="str">
            <v>윈도우 제품군</v>
          </cell>
          <cell r="E808" t="str">
            <v>전략</v>
          </cell>
          <cell r="F808" t="str">
            <v>IR</v>
          </cell>
        </row>
        <row r="809">
          <cell r="A809">
            <v>28891</v>
          </cell>
          <cell r="B809" t="str">
            <v>SCF-DM-G30D(0.3)</v>
          </cell>
          <cell r="C809" t="str">
            <v>제품</v>
          </cell>
          <cell r="D809" t="str">
            <v>윈도우 제품군</v>
          </cell>
          <cell r="E809" t="str">
            <v>염료</v>
          </cell>
          <cell r="F809" t="str">
            <v>2PLY</v>
          </cell>
        </row>
        <row r="810">
          <cell r="A810">
            <v>28892</v>
          </cell>
          <cell r="B810" t="str">
            <v>SCF-DM-RSS13(초고투명sputter AL8%)</v>
          </cell>
          <cell r="C810" t="str">
            <v>제품</v>
          </cell>
          <cell r="D810" t="str">
            <v>윈도우 제품군</v>
          </cell>
          <cell r="E810" t="str">
            <v>염료</v>
          </cell>
          <cell r="F810" t="str">
            <v>2PLY</v>
          </cell>
        </row>
        <row r="811">
          <cell r="A811">
            <v>28893</v>
          </cell>
          <cell r="B811" t="str">
            <v>SCF-ND-NBK15(CS color)</v>
          </cell>
          <cell r="C811" t="str">
            <v>제품</v>
          </cell>
          <cell r="D811" t="str">
            <v>윈도우 제품군</v>
          </cell>
          <cell r="E811" t="str">
            <v>염료</v>
          </cell>
          <cell r="F811" t="str">
            <v>2PLY</v>
          </cell>
        </row>
        <row r="812">
          <cell r="A812">
            <v>28894</v>
          </cell>
          <cell r="B812" t="str">
            <v>SCF-ND-NBK03(CS color)</v>
          </cell>
          <cell r="C812" t="str">
            <v>제품</v>
          </cell>
          <cell r="D812" t="str">
            <v>윈도우 제품군</v>
          </cell>
          <cell r="E812" t="str">
            <v>염료</v>
          </cell>
          <cell r="F812" t="str">
            <v>2PLY</v>
          </cell>
        </row>
        <row r="813">
          <cell r="A813">
            <v>28895</v>
          </cell>
          <cell r="B813" t="str">
            <v>SCF-DM-GP03(OD 0.3)</v>
          </cell>
          <cell r="C813" t="str">
            <v>제품</v>
          </cell>
          <cell r="D813" t="str">
            <v>윈도우 제품군</v>
          </cell>
          <cell r="E813" t="str">
            <v>염료</v>
          </cell>
          <cell r="F813" t="str">
            <v>2PLY</v>
          </cell>
        </row>
        <row r="814">
          <cell r="A814">
            <v>28896</v>
          </cell>
          <cell r="B814" t="str">
            <v>SCF-DM-GP01(OD 0.3)</v>
          </cell>
          <cell r="C814" t="str">
            <v>제품</v>
          </cell>
          <cell r="D814" t="str">
            <v>윈도우 제품군</v>
          </cell>
          <cell r="E814" t="str">
            <v>염료</v>
          </cell>
          <cell r="F814" t="str">
            <v>2PLY</v>
          </cell>
        </row>
        <row r="815">
          <cell r="A815">
            <v>28910</v>
          </cell>
          <cell r="B815" t="str">
            <v>SFSL-ND-BK05+4MIL(SOLARFREE)</v>
          </cell>
          <cell r="C815" t="str">
            <v>제품</v>
          </cell>
          <cell r="D815" t="str">
            <v>윈도우 제품군</v>
          </cell>
          <cell r="E815" t="str">
            <v>전략</v>
          </cell>
          <cell r="F815" t="str">
            <v>SAFETY</v>
          </cell>
        </row>
        <row r="816">
          <cell r="A816">
            <v>28911</v>
          </cell>
          <cell r="B816" t="str">
            <v>SF-NS-7MIL</v>
          </cell>
          <cell r="C816" t="str">
            <v>제품</v>
          </cell>
          <cell r="D816" t="str">
            <v>윈도우 제품군</v>
          </cell>
          <cell r="E816" t="str">
            <v>전략</v>
          </cell>
          <cell r="F816" t="str">
            <v>SAFETY</v>
          </cell>
        </row>
        <row r="817">
          <cell r="A817">
            <v>28912</v>
          </cell>
          <cell r="B817" t="str">
            <v>SFSL-ND-NBK20+8MIL</v>
          </cell>
          <cell r="C817" t="str">
            <v>제품</v>
          </cell>
          <cell r="D817" t="str">
            <v>윈도우 제품군</v>
          </cell>
          <cell r="E817" t="str">
            <v>전략</v>
          </cell>
          <cell r="F817" t="str">
            <v>SAFETY</v>
          </cell>
        </row>
        <row r="818">
          <cell r="A818">
            <v>28913</v>
          </cell>
          <cell r="B818" t="str">
            <v>SFSL-ND-NBK05+8MIL</v>
          </cell>
          <cell r="C818" t="str">
            <v>제품</v>
          </cell>
          <cell r="D818" t="str">
            <v>윈도우 제품군</v>
          </cell>
          <cell r="E818" t="str">
            <v>전략</v>
          </cell>
          <cell r="F818" t="str">
            <v>SAFETY</v>
          </cell>
        </row>
        <row r="819">
          <cell r="A819">
            <v>28914</v>
          </cell>
          <cell r="B819" t="str">
            <v>SCF-NS-NBK03(CS color)</v>
          </cell>
          <cell r="C819" t="str">
            <v>제품</v>
          </cell>
          <cell r="D819" t="str">
            <v>윈도우 제품군</v>
          </cell>
          <cell r="E819" t="str">
            <v>염료</v>
          </cell>
          <cell r="F819" t="str">
            <v>1PLY</v>
          </cell>
        </row>
        <row r="820">
          <cell r="A820">
            <v>28915</v>
          </cell>
          <cell r="B820" t="str">
            <v>SCF-NS-GP35</v>
          </cell>
          <cell r="C820" t="str">
            <v>제품</v>
          </cell>
          <cell r="D820" t="str">
            <v>윈도우 제품군</v>
          </cell>
          <cell r="E820" t="str">
            <v>염료</v>
          </cell>
          <cell r="F820" t="str">
            <v>1PLY</v>
          </cell>
        </row>
        <row r="821">
          <cell r="A821">
            <v>28916</v>
          </cell>
          <cell r="B821" t="str">
            <v>SCF-NS-GP15</v>
          </cell>
          <cell r="C821" t="str">
            <v>제품</v>
          </cell>
          <cell r="D821" t="str">
            <v>윈도우 제품군</v>
          </cell>
          <cell r="E821" t="str">
            <v>염료</v>
          </cell>
          <cell r="F821" t="str">
            <v>1PLY</v>
          </cell>
        </row>
        <row r="822">
          <cell r="A822">
            <v>28922</v>
          </cell>
          <cell r="B822" t="str">
            <v>SF-ND-11MIL</v>
          </cell>
          <cell r="C822" t="str">
            <v>제품</v>
          </cell>
          <cell r="D822" t="str">
            <v>윈도우 제품군</v>
          </cell>
          <cell r="E822" t="str">
            <v>전략</v>
          </cell>
          <cell r="F822" t="str">
            <v>SAFETY</v>
          </cell>
        </row>
        <row r="823">
          <cell r="A823">
            <v>28928</v>
          </cell>
          <cell r="B823" t="str">
            <v>SCF-NS-CCS05(고온점착제사용)</v>
          </cell>
          <cell r="C823" t="str">
            <v>제품</v>
          </cell>
          <cell r="D823" t="str">
            <v>윈도우 제품군</v>
          </cell>
          <cell r="E823" t="str">
            <v>염료</v>
          </cell>
          <cell r="F823" t="str">
            <v>1PLY</v>
          </cell>
        </row>
        <row r="824">
          <cell r="A824">
            <v>28929</v>
          </cell>
          <cell r="B824" t="str">
            <v>비산점착 test(연구소)</v>
          </cell>
          <cell r="C824" t="str">
            <v>제품</v>
          </cell>
          <cell r="D824" t="str">
            <v>윈도우 제품군</v>
          </cell>
          <cell r="E824" t="str">
            <v>기타</v>
          </cell>
          <cell r="F824" t="str">
            <v>기타</v>
          </cell>
        </row>
        <row r="825">
          <cell r="A825">
            <v>28932</v>
          </cell>
          <cell r="B825" t="str">
            <v>SFSL-DM-4MIL+SPT SILVER 15% 초고투명</v>
          </cell>
          <cell r="C825" t="str">
            <v>제품</v>
          </cell>
          <cell r="D825" t="str">
            <v>윈도우 제품군</v>
          </cell>
          <cell r="E825" t="str">
            <v>전략</v>
          </cell>
          <cell r="F825" t="str">
            <v>SAFETY</v>
          </cell>
        </row>
        <row r="826">
          <cell r="A826">
            <v>28934</v>
          </cell>
          <cell r="B826" t="str">
            <v>SCF-DM-ATN50(0.3)</v>
          </cell>
          <cell r="C826" t="str">
            <v>제품</v>
          </cell>
          <cell r="D826" t="str">
            <v>윈도우 제품군</v>
          </cell>
          <cell r="E826" t="str">
            <v>염료</v>
          </cell>
          <cell r="F826" t="str">
            <v>2PLY</v>
          </cell>
        </row>
        <row r="827">
          <cell r="A827">
            <v>28951</v>
          </cell>
          <cell r="B827" t="str">
            <v>SP-DM-CCL35(Glue type 0.2)</v>
          </cell>
          <cell r="C827" t="str">
            <v>제품</v>
          </cell>
          <cell r="D827" t="str">
            <v>윈도우 제품군</v>
          </cell>
          <cell r="E827" t="str">
            <v>전략</v>
          </cell>
          <cell r="F827" t="str">
            <v>SP</v>
          </cell>
        </row>
        <row r="828">
          <cell r="A828">
            <v>28952</v>
          </cell>
          <cell r="B828" t="str">
            <v>SP-DM-CCL20(Glue type 0.2)</v>
          </cell>
          <cell r="C828" t="str">
            <v>제품</v>
          </cell>
          <cell r="D828" t="str">
            <v>윈도우 제품군</v>
          </cell>
          <cell r="E828" t="str">
            <v>전략</v>
          </cell>
          <cell r="F828" t="str">
            <v>SP</v>
          </cell>
        </row>
        <row r="829">
          <cell r="A829">
            <v>28954</v>
          </cell>
          <cell r="B829" t="str">
            <v>IRSF-ND-2MIL+IBLDF 50-95</v>
          </cell>
          <cell r="C829" t="str">
            <v>제품</v>
          </cell>
          <cell r="D829" t="str">
            <v>윈도우 제품군</v>
          </cell>
          <cell r="E829" t="str">
            <v>전략</v>
          </cell>
          <cell r="F829" t="str">
            <v>SAFETY</v>
          </cell>
        </row>
        <row r="830">
          <cell r="A830">
            <v>28955</v>
          </cell>
          <cell r="B830" t="str">
            <v>IRSF-ND-4MIL+IBLDF 50-95</v>
          </cell>
          <cell r="C830" t="str">
            <v>제품</v>
          </cell>
          <cell r="D830" t="str">
            <v>윈도우 제품군</v>
          </cell>
          <cell r="E830" t="str">
            <v>전략</v>
          </cell>
          <cell r="F830" t="str">
            <v>SAFETY</v>
          </cell>
        </row>
        <row r="831">
          <cell r="A831">
            <v>28956</v>
          </cell>
          <cell r="B831" t="str">
            <v>IRSF-ND-6MIL+IBLDF 50-95</v>
          </cell>
          <cell r="C831" t="str">
            <v>제품</v>
          </cell>
          <cell r="D831" t="str">
            <v>윈도우 제품군</v>
          </cell>
          <cell r="E831" t="str">
            <v>전략</v>
          </cell>
          <cell r="F831" t="str">
            <v>SAFETY</v>
          </cell>
        </row>
        <row r="832">
          <cell r="A832">
            <v>28959</v>
          </cell>
          <cell r="B832" t="str">
            <v>TEST PPF-NS-Paint Protection Film</v>
          </cell>
          <cell r="C832" t="str">
            <v>제품</v>
          </cell>
          <cell r="D832" t="str">
            <v>윈도우 제품군</v>
          </cell>
          <cell r="E832" t="str">
            <v>HIGH-END</v>
          </cell>
          <cell r="F832" t="str">
            <v>C-PPF</v>
          </cell>
        </row>
        <row r="833">
          <cell r="A833">
            <v>28963</v>
          </cell>
          <cell r="B833" t="str">
            <v>SCF-DC-G35D(0.3)w861</v>
          </cell>
          <cell r="C833" t="str">
            <v>제품</v>
          </cell>
          <cell r="D833" t="str">
            <v>윈도우 제품군</v>
          </cell>
          <cell r="E833" t="str">
            <v>염료</v>
          </cell>
          <cell r="F833" t="str">
            <v>2PLY</v>
          </cell>
        </row>
        <row r="834">
          <cell r="A834">
            <v>28966</v>
          </cell>
          <cell r="B834" t="str">
            <v>IRSF-ND-15MIL+IBLDF 50-95</v>
          </cell>
          <cell r="C834" t="str">
            <v>제품</v>
          </cell>
          <cell r="D834" t="str">
            <v>윈도우 제품군</v>
          </cell>
          <cell r="E834" t="str">
            <v>전략</v>
          </cell>
          <cell r="F834" t="str">
            <v>SAFETY</v>
          </cell>
        </row>
        <row r="835">
          <cell r="A835">
            <v>28967</v>
          </cell>
          <cell r="B835" t="str">
            <v>SCF-DM-RSS35(초고투명sputter AL30%)</v>
          </cell>
          <cell r="C835" t="str">
            <v>제품</v>
          </cell>
          <cell r="D835" t="str">
            <v>윈도우 제품군</v>
          </cell>
          <cell r="E835" t="str">
            <v>염료</v>
          </cell>
          <cell r="F835" t="str">
            <v>2PLY</v>
          </cell>
        </row>
        <row r="836">
          <cell r="A836">
            <v>28968</v>
          </cell>
          <cell r="B836" t="str">
            <v>SCF-DM-RSS50(초고투명sputter AL42%</v>
          </cell>
          <cell r="C836" t="str">
            <v>제품</v>
          </cell>
          <cell r="D836" t="str">
            <v>윈도우 제품군</v>
          </cell>
          <cell r="E836" t="str">
            <v>염료</v>
          </cell>
          <cell r="F836" t="str">
            <v>2PLY</v>
          </cell>
        </row>
        <row r="837">
          <cell r="A837">
            <v>28969</v>
          </cell>
          <cell r="B837" t="str">
            <v>TEST(경화제有)PSP-ND-CCL05(Glue type)</v>
          </cell>
          <cell r="C837" t="str">
            <v>제품</v>
          </cell>
          <cell r="D837" t="str">
            <v>윈도우 제품군</v>
          </cell>
          <cell r="E837" t="str">
            <v>전략</v>
          </cell>
          <cell r="F837" t="str">
            <v>SP</v>
          </cell>
        </row>
        <row r="838">
          <cell r="A838">
            <v>28970</v>
          </cell>
          <cell r="B838" t="str">
            <v>TEST(경화제無)PSP-ND-CCL05(Glue type)</v>
          </cell>
          <cell r="C838" t="str">
            <v>제품</v>
          </cell>
          <cell r="D838" t="str">
            <v>윈도우 제품군</v>
          </cell>
          <cell r="E838" t="str">
            <v>전략</v>
          </cell>
          <cell r="F838" t="str">
            <v>SP</v>
          </cell>
        </row>
        <row r="839">
          <cell r="A839">
            <v>29042</v>
          </cell>
          <cell r="B839" t="str">
            <v>SCF-DC-BC30(0.3)</v>
          </cell>
          <cell r="C839" t="str">
            <v>제품</v>
          </cell>
          <cell r="D839" t="str">
            <v>윈도우 제품군</v>
          </cell>
          <cell r="E839" t="str">
            <v>염료</v>
          </cell>
          <cell r="F839" t="str">
            <v>2PLY</v>
          </cell>
        </row>
        <row r="840">
          <cell r="A840">
            <v>29043</v>
          </cell>
          <cell r="B840" t="str">
            <v>SCF-DC-CCS35R(0.25)</v>
          </cell>
          <cell r="C840" t="str">
            <v>제품</v>
          </cell>
          <cell r="D840" t="str">
            <v>윈도우 제품군</v>
          </cell>
          <cell r="E840" t="str">
            <v>염료</v>
          </cell>
          <cell r="F840" t="str">
            <v>2PLY</v>
          </cell>
        </row>
        <row r="841">
          <cell r="A841">
            <v>29044</v>
          </cell>
          <cell r="B841" t="str">
            <v>SCF-DC-GREEN57(0.25)</v>
          </cell>
          <cell r="C841" t="str">
            <v>제품</v>
          </cell>
          <cell r="D841" t="str">
            <v>윈도우 제품군</v>
          </cell>
          <cell r="E841" t="str">
            <v>염료</v>
          </cell>
          <cell r="F841" t="str">
            <v>2PLY</v>
          </cell>
        </row>
        <row r="842">
          <cell r="A842">
            <v>29045</v>
          </cell>
          <cell r="B842" t="str">
            <v>SCF-DC-GOLD55(0.25)</v>
          </cell>
          <cell r="C842" t="str">
            <v>제품</v>
          </cell>
          <cell r="D842" t="str">
            <v>윈도우 제품군</v>
          </cell>
          <cell r="E842" t="str">
            <v>염료</v>
          </cell>
          <cell r="F842" t="str">
            <v>2PLY</v>
          </cell>
        </row>
        <row r="843">
          <cell r="A843">
            <v>29059</v>
          </cell>
          <cell r="B843" t="str">
            <v>SF-NS-2MIL(썬바이져용)</v>
          </cell>
          <cell r="C843" t="str">
            <v>제품</v>
          </cell>
          <cell r="D843" t="str">
            <v>윈도우 제품군</v>
          </cell>
          <cell r="E843" t="str">
            <v>전략</v>
          </cell>
          <cell r="F843" t="str">
            <v>SAFETY</v>
          </cell>
        </row>
        <row r="844">
          <cell r="A844">
            <v>29140</v>
          </cell>
          <cell r="B844" t="str">
            <v>IR-ND-DYED0595(TT16K 36㎛)</v>
          </cell>
          <cell r="C844" t="str">
            <v>제품</v>
          </cell>
          <cell r="D844" t="str">
            <v>윈도우 제품군</v>
          </cell>
          <cell r="E844" t="str">
            <v>전략</v>
          </cell>
          <cell r="F844" t="str">
            <v>IR</v>
          </cell>
        </row>
        <row r="845">
          <cell r="A845">
            <v>29141</v>
          </cell>
          <cell r="B845" t="str">
            <v>IR-ND-DYED1090(TT16K 23㎛)</v>
          </cell>
          <cell r="C845" t="str">
            <v>제품</v>
          </cell>
          <cell r="D845" t="str">
            <v>윈도우 제품군</v>
          </cell>
          <cell r="E845" t="str">
            <v>전략</v>
          </cell>
          <cell r="F845" t="str">
            <v>IR</v>
          </cell>
        </row>
        <row r="846">
          <cell r="A846">
            <v>29142</v>
          </cell>
          <cell r="B846" t="str">
            <v>IR-ND-DYED2085(TT35K(23㎛)</v>
          </cell>
          <cell r="C846" t="str">
            <v>제품</v>
          </cell>
          <cell r="D846" t="str">
            <v>윈도우 제품군</v>
          </cell>
          <cell r="E846" t="str">
            <v>전략</v>
          </cell>
          <cell r="F846" t="str">
            <v>IR</v>
          </cell>
        </row>
        <row r="847">
          <cell r="A847">
            <v>29143</v>
          </cell>
          <cell r="B847" t="str">
            <v>IR-ND-DYED3580(TT50K(23㎛)</v>
          </cell>
          <cell r="C847" t="str">
            <v>제품</v>
          </cell>
          <cell r="D847" t="str">
            <v>윈도우 제품군</v>
          </cell>
          <cell r="E847" t="str">
            <v>전략</v>
          </cell>
          <cell r="F847" t="str">
            <v>IR</v>
          </cell>
        </row>
        <row r="848">
          <cell r="A848">
            <v>29157</v>
          </cell>
          <cell r="B848" t="str">
            <v>IR-DM-IRSPT 4595(NSN 70%)</v>
          </cell>
          <cell r="C848" t="str">
            <v>제품</v>
          </cell>
          <cell r="D848" t="str">
            <v>윈도우 제품군</v>
          </cell>
          <cell r="E848" t="str">
            <v>전략</v>
          </cell>
          <cell r="F848" t="str">
            <v>IR</v>
          </cell>
        </row>
        <row r="849">
          <cell r="A849">
            <v>29173</v>
          </cell>
          <cell r="B849" t="str">
            <v>IRSC-ND-DYED+IR3085</v>
          </cell>
          <cell r="C849" t="str">
            <v>제품</v>
          </cell>
          <cell r="D849" t="str">
            <v>윈도우 제품군</v>
          </cell>
          <cell r="E849" t="str">
            <v>전략</v>
          </cell>
          <cell r="F849" t="str">
            <v>IR</v>
          </cell>
        </row>
        <row r="850">
          <cell r="A850">
            <v>29174</v>
          </cell>
          <cell r="B850" t="str">
            <v>IRSC-ND-DYED+IR0595</v>
          </cell>
          <cell r="C850" t="str">
            <v>제품</v>
          </cell>
          <cell r="D850" t="str">
            <v>윈도우 제품군</v>
          </cell>
          <cell r="E850" t="str">
            <v>전략</v>
          </cell>
          <cell r="F850" t="str">
            <v>IR</v>
          </cell>
        </row>
        <row r="851">
          <cell r="A851">
            <v>29175</v>
          </cell>
          <cell r="B851" t="str">
            <v>IRSC-ND-DYED+IR1090</v>
          </cell>
          <cell r="C851" t="str">
            <v>제품</v>
          </cell>
          <cell r="D851" t="str">
            <v>윈도우 제품군</v>
          </cell>
          <cell r="E851" t="str">
            <v>전략</v>
          </cell>
          <cell r="F851" t="str">
            <v>IR</v>
          </cell>
        </row>
        <row r="852">
          <cell r="A852">
            <v>29176</v>
          </cell>
          <cell r="B852" t="str">
            <v>IRSC-ND-DYED+IR2085</v>
          </cell>
          <cell r="C852" t="str">
            <v>제품</v>
          </cell>
          <cell r="D852" t="str">
            <v>윈도우 제품군</v>
          </cell>
          <cell r="E852" t="str">
            <v>전략</v>
          </cell>
          <cell r="F852" t="str">
            <v>IR</v>
          </cell>
        </row>
        <row r="853">
          <cell r="A853">
            <v>29177</v>
          </cell>
          <cell r="B853" t="str">
            <v>SCF-NS-DYED 05(도포8㎛)</v>
          </cell>
          <cell r="C853" t="str">
            <v>제품</v>
          </cell>
          <cell r="D853" t="str">
            <v>윈도우 제품군</v>
          </cell>
          <cell r="E853" t="str">
            <v>염료</v>
          </cell>
          <cell r="F853" t="str">
            <v>1PLY</v>
          </cell>
        </row>
        <row r="854">
          <cell r="A854">
            <v>29178</v>
          </cell>
          <cell r="B854" t="str">
            <v>SP-DM-CCL10(Glue type 0.2)</v>
          </cell>
          <cell r="C854" t="str">
            <v>제품</v>
          </cell>
          <cell r="D854" t="str">
            <v>윈도우 제품군</v>
          </cell>
          <cell r="E854" t="str">
            <v>전략</v>
          </cell>
          <cell r="F854" t="str">
            <v>SP</v>
          </cell>
        </row>
        <row r="855">
          <cell r="A855">
            <v>29179</v>
          </cell>
          <cell r="B855" t="str">
            <v>SP-DM-CCL05(Glue type 0.2)</v>
          </cell>
          <cell r="C855" t="str">
            <v>제품</v>
          </cell>
          <cell r="D855" t="str">
            <v>윈도우 제품군</v>
          </cell>
          <cell r="E855" t="str">
            <v>전략</v>
          </cell>
          <cell r="F855" t="str">
            <v>SP</v>
          </cell>
        </row>
        <row r="856">
          <cell r="A856">
            <v>29180</v>
          </cell>
          <cell r="B856" t="str">
            <v>SP-DM-CCL16(Glue type 0.2)</v>
          </cell>
          <cell r="C856" t="str">
            <v>제품</v>
          </cell>
          <cell r="D856" t="str">
            <v>윈도우 제품군</v>
          </cell>
          <cell r="E856" t="str">
            <v>전략</v>
          </cell>
          <cell r="F856" t="str">
            <v>SP</v>
          </cell>
        </row>
        <row r="857">
          <cell r="A857">
            <v>29182</v>
          </cell>
          <cell r="B857" t="str">
            <v>2PLY TEST(투명접,점착)</v>
          </cell>
          <cell r="C857" t="str">
            <v>제품</v>
          </cell>
          <cell r="D857" t="str">
            <v>윈도우 제품군</v>
          </cell>
          <cell r="E857" t="str">
            <v>염료</v>
          </cell>
          <cell r="F857" t="str">
            <v>2PLY</v>
          </cell>
        </row>
        <row r="858">
          <cell r="A858">
            <v>29194</v>
          </cell>
          <cell r="B858" t="str">
            <v>COLEX-NS-WHITE-MATT(23㎛ 1PLY)</v>
          </cell>
          <cell r="C858" t="str">
            <v>제품</v>
          </cell>
          <cell r="D858" t="str">
            <v>윈도우 제품군</v>
          </cell>
          <cell r="E858" t="str">
            <v>염료</v>
          </cell>
          <cell r="F858" t="str">
            <v>COLEX</v>
          </cell>
        </row>
        <row r="859">
          <cell r="A859">
            <v>29207</v>
          </cell>
          <cell r="B859" t="str">
            <v>SCF-NS-LGN33</v>
          </cell>
          <cell r="C859" t="str">
            <v>제품</v>
          </cell>
          <cell r="D859" t="str">
            <v>윈도우 제품군</v>
          </cell>
          <cell r="E859" t="str">
            <v>염료</v>
          </cell>
          <cell r="F859" t="str">
            <v>1PLY</v>
          </cell>
        </row>
        <row r="860">
          <cell r="A860">
            <v>29208</v>
          </cell>
          <cell r="B860" t="str">
            <v>1PLY test</v>
          </cell>
          <cell r="C860" t="str">
            <v>제품</v>
          </cell>
          <cell r="D860" t="str">
            <v>윈도우 제품군</v>
          </cell>
          <cell r="E860" t="str">
            <v>염료</v>
          </cell>
          <cell r="F860" t="str">
            <v>1PLY</v>
          </cell>
        </row>
        <row r="861">
          <cell r="A861">
            <v>29236</v>
          </cell>
          <cell r="B861" t="str">
            <v>SCF-ND-DYED BLACK 05(36㎛)</v>
          </cell>
          <cell r="C861" t="str">
            <v>제품</v>
          </cell>
          <cell r="D861" t="str">
            <v>윈도우 제품군</v>
          </cell>
          <cell r="E861" t="str">
            <v>염료</v>
          </cell>
          <cell r="F861" t="str">
            <v>2PLY</v>
          </cell>
        </row>
        <row r="862">
          <cell r="A862">
            <v>29237</v>
          </cell>
          <cell r="B862" t="str">
            <v>SCF-ND-DYED BLACK 15</v>
          </cell>
          <cell r="C862" t="str">
            <v>제품</v>
          </cell>
          <cell r="D862" t="str">
            <v>윈도우 제품군</v>
          </cell>
          <cell r="E862" t="str">
            <v>염료</v>
          </cell>
          <cell r="F862" t="str">
            <v>2PLY</v>
          </cell>
        </row>
        <row r="863">
          <cell r="A863">
            <v>29263</v>
          </cell>
          <cell r="B863" t="str">
            <v>SFSL-ND-ABS20+4MIL</v>
          </cell>
          <cell r="C863" t="str">
            <v>제품</v>
          </cell>
          <cell r="D863" t="str">
            <v>윈도우 제품군</v>
          </cell>
          <cell r="E863" t="str">
            <v>전략</v>
          </cell>
          <cell r="F863" t="str">
            <v>SAFETY</v>
          </cell>
        </row>
        <row r="864">
          <cell r="A864">
            <v>29264</v>
          </cell>
          <cell r="B864" t="str">
            <v>SFSL-ND-ABS20+7MIL</v>
          </cell>
          <cell r="C864" t="str">
            <v>제품</v>
          </cell>
          <cell r="D864" t="str">
            <v>윈도우 제품군</v>
          </cell>
          <cell r="E864" t="str">
            <v>전략</v>
          </cell>
          <cell r="F864" t="str">
            <v>SAFETY</v>
          </cell>
        </row>
        <row r="865">
          <cell r="A865">
            <v>29279</v>
          </cell>
          <cell r="B865" t="str">
            <v>SCF-NS-경인양행TEST</v>
          </cell>
          <cell r="C865" t="str">
            <v>제품</v>
          </cell>
          <cell r="D865" t="str">
            <v>윈도우 제품군</v>
          </cell>
          <cell r="E865" t="str">
            <v>염료</v>
          </cell>
          <cell r="F865" t="str">
            <v>1PLY</v>
          </cell>
        </row>
        <row r="866">
          <cell r="A866">
            <v>29321</v>
          </cell>
          <cell r="B866" t="str">
            <v>IR-ND-7090(ATO)</v>
          </cell>
          <cell r="C866" t="str">
            <v>제품</v>
          </cell>
          <cell r="D866" t="str">
            <v>윈도우 제품군</v>
          </cell>
          <cell r="E866" t="str">
            <v>전략</v>
          </cell>
          <cell r="F866" t="str">
            <v>IR</v>
          </cell>
        </row>
        <row r="867">
          <cell r="A867">
            <v>29322</v>
          </cell>
          <cell r="B867" t="str">
            <v>1PLY 분말TEST</v>
          </cell>
          <cell r="C867" t="str">
            <v>제품</v>
          </cell>
          <cell r="D867" t="str">
            <v>윈도우 제품군</v>
          </cell>
          <cell r="E867" t="str">
            <v>염료</v>
          </cell>
          <cell r="F867" t="str">
            <v>1PLY</v>
          </cell>
        </row>
        <row r="868">
          <cell r="A868">
            <v>29335</v>
          </cell>
          <cell r="B868" t="str">
            <v>SP-ND-CCL05s(Glue type)</v>
          </cell>
          <cell r="C868" t="str">
            <v>제품</v>
          </cell>
          <cell r="D868" t="str">
            <v>윈도우 제품군</v>
          </cell>
          <cell r="E868" t="str">
            <v>전략</v>
          </cell>
          <cell r="F868" t="str">
            <v>SP</v>
          </cell>
        </row>
        <row r="869">
          <cell r="A869">
            <v>29336</v>
          </cell>
          <cell r="B869" t="str">
            <v>SP-ND-CCL10s(Glue type)</v>
          </cell>
          <cell r="C869" t="str">
            <v>제품</v>
          </cell>
          <cell r="D869" t="str">
            <v>윈도우 제품군</v>
          </cell>
          <cell r="E869" t="str">
            <v>전략</v>
          </cell>
          <cell r="F869" t="str">
            <v>SP</v>
          </cell>
        </row>
        <row r="870">
          <cell r="A870">
            <v>29337</v>
          </cell>
          <cell r="B870" t="str">
            <v>SP-ND-CCL20s(Glue type)</v>
          </cell>
          <cell r="C870" t="str">
            <v>제품</v>
          </cell>
          <cell r="D870" t="str">
            <v>윈도우 제품군</v>
          </cell>
          <cell r="E870" t="str">
            <v>전략</v>
          </cell>
          <cell r="F870" t="str">
            <v>SP</v>
          </cell>
        </row>
        <row r="871">
          <cell r="A871">
            <v>29338</v>
          </cell>
          <cell r="B871" t="str">
            <v>SP-ND-CCL35s(Glue type)</v>
          </cell>
          <cell r="C871" t="str">
            <v>제품</v>
          </cell>
          <cell r="D871" t="str">
            <v>윈도우 제품군</v>
          </cell>
          <cell r="E871" t="str">
            <v>전략</v>
          </cell>
          <cell r="F871" t="str">
            <v>SP</v>
          </cell>
        </row>
        <row r="872">
          <cell r="A872">
            <v>29339</v>
          </cell>
          <cell r="B872" t="str">
            <v>SP-ND-CCL49s(Glue type)</v>
          </cell>
          <cell r="C872" t="str">
            <v>제품</v>
          </cell>
          <cell r="D872" t="str">
            <v>윈도우 제품군</v>
          </cell>
          <cell r="E872" t="str">
            <v>전략</v>
          </cell>
          <cell r="F872" t="str">
            <v>SP</v>
          </cell>
        </row>
        <row r="873">
          <cell r="A873">
            <v>29340</v>
          </cell>
          <cell r="B873" t="str">
            <v>SCF-DM-SL55(0.3)</v>
          </cell>
          <cell r="C873" t="str">
            <v>제품</v>
          </cell>
          <cell r="D873" t="str">
            <v>윈도우 제품군</v>
          </cell>
          <cell r="E873" t="str">
            <v>염료</v>
          </cell>
          <cell r="F873" t="str">
            <v>2PLY</v>
          </cell>
        </row>
        <row r="874">
          <cell r="A874">
            <v>29348</v>
          </cell>
          <cell r="B874" t="str">
            <v>SCF-DM-BC37(0.3)</v>
          </cell>
          <cell r="C874" t="str">
            <v>제품</v>
          </cell>
          <cell r="D874" t="str">
            <v>윈도우 제품군</v>
          </cell>
          <cell r="E874" t="str">
            <v>염료</v>
          </cell>
          <cell r="F874" t="str">
            <v>2PLY</v>
          </cell>
        </row>
        <row r="875">
          <cell r="A875">
            <v>29350</v>
          </cell>
          <cell r="B875" t="str">
            <v>SCF-DM-F(0.2)</v>
          </cell>
          <cell r="C875" t="str">
            <v>제품</v>
          </cell>
          <cell r="D875" t="str">
            <v>윈도우 제품군</v>
          </cell>
          <cell r="E875" t="str">
            <v>염료</v>
          </cell>
          <cell r="F875" t="str">
            <v>2PLY</v>
          </cell>
        </row>
        <row r="876">
          <cell r="A876">
            <v>29351</v>
          </cell>
          <cell r="B876" t="str">
            <v>SP-DM-CCL20(Glue type 0.2)</v>
          </cell>
          <cell r="C876" t="str">
            <v>제품</v>
          </cell>
          <cell r="D876" t="str">
            <v>윈도우 제품군</v>
          </cell>
          <cell r="E876" t="str">
            <v>전략</v>
          </cell>
          <cell r="F876" t="str">
            <v>SP</v>
          </cell>
        </row>
        <row r="877">
          <cell r="A877">
            <v>29352</v>
          </cell>
          <cell r="B877" t="str">
            <v>SP-DM-CCL35(Glue type 0.2)</v>
          </cell>
          <cell r="C877" t="str">
            <v>제품</v>
          </cell>
          <cell r="D877" t="str">
            <v>윈도우 제품군</v>
          </cell>
          <cell r="E877" t="str">
            <v>전략</v>
          </cell>
          <cell r="F877" t="str">
            <v>SP</v>
          </cell>
        </row>
        <row r="878">
          <cell r="A878">
            <v>29362</v>
          </cell>
          <cell r="B878" t="str">
            <v>SP-ND-CCL02s(Glue type)</v>
          </cell>
          <cell r="C878" t="str">
            <v>제품</v>
          </cell>
          <cell r="D878" t="str">
            <v>윈도우 제품군</v>
          </cell>
          <cell r="E878" t="str">
            <v>전략</v>
          </cell>
          <cell r="F878" t="str">
            <v>SP</v>
          </cell>
        </row>
        <row r="879">
          <cell r="A879">
            <v>29363</v>
          </cell>
          <cell r="B879" t="str">
            <v>SCF-NS-CCS05(SB17)</v>
          </cell>
          <cell r="C879" t="str">
            <v>제품</v>
          </cell>
          <cell r="D879" t="str">
            <v>윈도우 제품군</v>
          </cell>
          <cell r="E879" t="str">
            <v>염료</v>
          </cell>
          <cell r="F879" t="str">
            <v>1PLY</v>
          </cell>
        </row>
        <row r="880">
          <cell r="A880">
            <v>29364</v>
          </cell>
          <cell r="B880" t="str">
            <v>SCF-NS-CCS20(SB17)</v>
          </cell>
          <cell r="C880" t="str">
            <v>제품</v>
          </cell>
          <cell r="D880" t="str">
            <v>윈도우 제품군</v>
          </cell>
          <cell r="E880" t="str">
            <v>염료</v>
          </cell>
          <cell r="F880" t="str">
            <v>1PLY</v>
          </cell>
        </row>
        <row r="881">
          <cell r="A881">
            <v>29365</v>
          </cell>
          <cell r="B881" t="str">
            <v>SCF-NS-CCS35(SB17)</v>
          </cell>
          <cell r="C881" t="str">
            <v>제품</v>
          </cell>
          <cell r="D881" t="str">
            <v>윈도우 제품군</v>
          </cell>
          <cell r="E881" t="str">
            <v>염료</v>
          </cell>
          <cell r="F881" t="str">
            <v>1PLY</v>
          </cell>
        </row>
        <row r="882">
          <cell r="A882">
            <v>29366</v>
          </cell>
          <cell r="B882" t="str">
            <v>SCF-NS-CCS49(SB17)</v>
          </cell>
          <cell r="C882" t="str">
            <v>제품</v>
          </cell>
          <cell r="D882" t="str">
            <v>윈도우 제품군</v>
          </cell>
          <cell r="E882" t="str">
            <v>염료</v>
          </cell>
          <cell r="F882" t="str">
            <v>1PLY</v>
          </cell>
        </row>
        <row r="883">
          <cell r="A883">
            <v>29368</v>
          </cell>
          <cell r="B883" t="str">
            <v>SP-ND-CCL05s(Glue type)19+12</v>
          </cell>
          <cell r="C883" t="str">
            <v>제품</v>
          </cell>
          <cell r="D883" t="str">
            <v>윈도우 제품군</v>
          </cell>
          <cell r="E883" t="str">
            <v>전략</v>
          </cell>
          <cell r="F883" t="str">
            <v>SP</v>
          </cell>
        </row>
        <row r="884">
          <cell r="A884">
            <v>29369</v>
          </cell>
          <cell r="B884" t="str">
            <v>SP-ND-CCL16s(Glue type)19+12</v>
          </cell>
          <cell r="C884" t="str">
            <v>제품</v>
          </cell>
          <cell r="D884" t="str">
            <v>윈도우 제품군</v>
          </cell>
          <cell r="E884" t="str">
            <v>전략</v>
          </cell>
          <cell r="F884" t="str">
            <v>SP</v>
          </cell>
        </row>
        <row r="885">
          <cell r="A885">
            <v>29370</v>
          </cell>
          <cell r="B885" t="str">
            <v>SCF-DM-DYED BLACK 05</v>
          </cell>
          <cell r="C885" t="str">
            <v>제품</v>
          </cell>
          <cell r="D885" t="str">
            <v>윈도우 제품군</v>
          </cell>
          <cell r="E885" t="str">
            <v>염료</v>
          </cell>
          <cell r="F885" t="str">
            <v>2PLY</v>
          </cell>
        </row>
        <row r="886">
          <cell r="A886">
            <v>29371</v>
          </cell>
          <cell r="B886" t="str">
            <v>SCF-DM-DYED BLACK 15</v>
          </cell>
          <cell r="C886" t="str">
            <v>제품</v>
          </cell>
          <cell r="D886" t="str">
            <v>윈도우 제품군</v>
          </cell>
          <cell r="E886" t="str">
            <v>염료</v>
          </cell>
          <cell r="F886" t="str">
            <v>2PLY</v>
          </cell>
        </row>
        <row r="887">
          <cell r="A887">
            <v>29372</v>
          </cell>
          <cell r="B887" t="str">
            <v>SCF-DM-DYED BLACK 20</v>
          </cell>
          <cell r="C887" t="str">
            <v>제품</v>
          </cell>
          <cell r="D887" t="str">
            <v>윈도우 제품군</v>
          </cell>
          <cell r="E887" t="str">
            <v>염료</v>
          </cell>
          <cell r="F887" t="str">
            <v>2PLY</v>
          </cell>
        </row>
        <row r="888">
          <cell r="A888">
            <v>29373</v>
          </cell>
          <cell r="B888" t="str">
            <v>SCF-DC-B15D(0.3)</v>
          </cell>
          <cell r="C888" t="str">
            <v>제품</v>
          </cell>
          <cell r="D888" t="str">
            <v>윈도우 제품군</v>
          </cell>
          <cell r="E888" t="str">
            <v>염료</v>
          </cell>
          <cell r="F888" t="str">
            <v>2PLY</v>
          </cell>
        </row>
        <row r="889">
          <cell r="A889">
            <v>29381</v>
          </cell>
          <cell r="B889" t="str">
            <v>SCF-ND-BC77J</v>
          </cell>
          <cell r="C889" t="str">
            <v>제품</v>
          </cell>
          <cell r="D889" t="str">
            <v>윈도우 제품군</v>
          </cell>
          <cell r="E889" t="str">
            <v>염료</v>
          </cell>
          <cell r="F889" t="str">
            <v>2PLY</v>
          </cell>
        </row>
        <row r="890">
          <cell r="A890">
            <v>29382</v>
          </cell>
          <cell r="B890" t="str">
            <v>SCF-DC-HP05CS(0.3)</v>
          </cell>
          <cell r="C890" t="str">
            <v>제품</v>
          </cell>
          <cell r="D890" t="str">
            <v>윈도우 제품군</v>
          </cell>
          <cell r="E890" t="str">
            <v>염료</v>
          </cell>
          <cell r="F890" t="str">
            <v>2PLY</v>
          </cell>
        </row>
        <row r="891">
          <cell r="A891">
            <v>29383</v>
          </cell>
          <cell r="B891" t="str">
            <v>SCF-DC-G35D(0.3)w861</v>
          </cell>
          <cell r="C891" t="str">
            <v>제품</v>
          </cell>
          <cell r="D891" t="str">
            <v>윈도우 제품군</v>
          </cell>
          <cell r="E891" t="str">
            <v>염료</v>
          </cell>
          <cell r="F891" t="str">
            <v>2PLY</v>
          </cell>
        </row>
        <row r="892">
          <cell r="A892">
            <v>29384</v>
          </cell>
          <cell r="B892" t="str">
            <v>SCF-DM-HP03MS(0.3)</v>
          </cell>
          <cell r="C892" t="str">
            <v>제품</v>
          </cell>
          <cell r="D892" t="str">
            <v>윈도우 제품군</v>
          </cell>
          <cell r="E892" t="str">
            <v>염료</v>
          </cell>
          <cell r="F892" t="str">
            <v>2PLY</v>
          </cell>
        </row>
        <row r="893">
          <cell r="A893">
            <v>29385</v>
          </cell>
          <cell r="B893" t="str">
            <v>SCF-DM-SRG20(0.3)</v>
          </cell>
          <cell r="C893" t="str">
            <v>제품</v>
          </cell>
          <cell r="D893" t="str">
            <v>윈도우 제품군</v>
          </cell>
          <cell r="E893" t="str">
            <v>염료</v>
          </cell>
          <cell r="F893" t="str">
            <v>2PLY</v>
          </cell>
        </row>
        <row r="894">
          <cell r="A894">
            <v>29387</v>
          </cell>
          <cell r="B894" t="str">
            <v>SCF-DM-HP05MS(0.3)</v>
          </cell>
          <cell r="C894" t="str">
            <v>제품</v>
          </cell>
          <cell r="D894" t="str">
            <v>윈도우 제품군</v>
          </cell>
          <cell r="E894" t="str">
            <v>염료</v>
          </cell>
          <cell r="F894" t="str">
            <v>2PLY</v>
          </cell>
        </row>
        <row r="895">
          <cell r="A895">
            <v>29398</v>
          </cell>
          <cell r="B895" t="str">
            <v>SP-ND-CCL20s(Glue type)19+12</v>
          </cell>
          <cell r="C895" t="str">
            <v>제품</v>
          </cell>
          <cell r="D895" t="str">
            <v>윈도우 제품군</v>
          </cell>
          <cell r="E895" t="str">
            <v>전략</v>
          </cell>
          <cell r="F895" t="str">
            <v>SP</v>
          </cell>
        </row>
        <row r="896">
          <cell r="A896">
            <v>29399</v>
          </cell>
          <cell r="B896" t="str">
            <v>SCF-DC-G35(0.3)</v>
          </cell>
          <cell r="C896" t="str">
            <v>제품</v>
          </cell>
          <cell r="D896" t="str">
            <v>윈도우 제품군</v>
          </cell>
          <cell r="E896" t="str">
            <v>염료</v>
          </cell>
          <cell r="F896" t="str">
            <v>2PLY</v>
          </cell>
        </row>
        <row r="897">
          <cell r="A897">
            <v>29428</v>
          </cell>
          <cell r="B897" t="str">
            <v>SP-ND-CCL02s(Glue type)19+12</v>
          </cell>
          <cell r="C897" t="str">
            <v>제품</v>
          </cell>
          <cell r="D897" t="str">
            <v>윈도우 제품군</v>
          </cell>
          <cell r="E897" t="str">
            <v>전략</v>
          </cell>
          <cell r="F897" t="str">
            <v>SP</v>
          </cell>
        </row>
        <row r="898">
          <cell r="A898">
            <v>29441</v>
          </cell>
          <cell r="B898" t="str">
            <v>SCF-DM-BC30S(0.4)</v>
          </cell>
          <cell r="C898" t="str">
            <v>제품</v>
          </cell>
          <cell r="D898" t="str">
            <v>윈도우 제품군</v>
          </cell>
          <cell r="E898" t="str">
            <v>염료</v>
          </cell>
          <cell r="F898" t="str">
            <v>2PLY</v>
          </cell>
        </row>
        <row r="899">
          <cell r="A899">
            <v>29442</v>
          </cell>
          <cell r="B899" t="str">
            <v>SCF-DM-B15D(0.3)</v>
          </cell>
          <cell r="C899" t="str">
            <v>제품</v>
          </cell>
          <cell r="D899" t="str">
            <v>윈도우 제품군</v>
          </cell>
          <cell r="E899" t="str">
            <v>염료</v>
          </cell>
          <cell r="F899" t="str">
            <v>2PLY</v>
          </cell>
        </row>
        <row r="900">
          <cell r="A900">
            <v>29443</v>
          </cell>
          <cell r="B900" t="str">
            <v>SCF-DM-G35(0.3)</v>
          </cell>
          <cell r="C900" t="str">
            <v>제품</v>
          </cell>
          <cell r="D900" t="str">
            <v>윈도우 제품군</v>
          </cell>
          <cell r="E900" t="str">
            <v>염료</v>
          </cell>
          <cell r="F900" t="str">
            <v>2PLY</v>
          </cell>
        </row>
        <row r="901">
          <cell r="A901">
            <v>29444</v>
          </cell>
          <cell r="B901" t="str">
            <v>SFSL-ND-NBK20+4MIL</v>
          </cell>
          <cell r="C901" t="str">
            <v>제품</v>
          </cell>
          <cell r="D901" t="str">
            <v>윈도우 제품군</v>
          </cell>
          <cell r="E901" t="str">
            <v>전략</v>
          </cell>
          <cell r="F901" t="str">
            <v>SAFETY</v>
          </cell>
        </row>
        <row r="902">
          <cell r="A902">
            <v>29445</v>
          </cell>
          <cell r="B902" t="str">
            <v>SCF-DM-G30D(0.3)</v>
          </cell>
          <cell r="C902" t="str">
            <v>제품</v>
          </cell>
          <cell r="D902" t="str">
            <v>윈도우 제품군</v>
          </cell>
          <cell r="E902" t="str">
            <v>염료</v>
          </cell>
          <cell r="F902" t="str">
            <v>2PLY</v>
          </cell>
        </row>
        <row r="903">
          <cell r="A903">
            <v>29448</v>
          </cell>
          <cell r="B903" t="str">
            <v>SP-ND-CCL49s(Glue type)19+12</v>
          </cell>
          <cell r="C903" t="str">
            <v>제품</v>
          </cell>
          <cell r="D903" t="str">
            <v>윈도우 제품군</v>
          </cell>
          <cell r="E903" t="str">
            <v>전략</v>
          </cell>
          <cell r="F903" t="str">
            <v>SP</v>
          </cell>
        </row>
        <row r="904">
          <cell r="A904">
            <v>29449</v>
          </cell>
          <cell r="B904" t="str">
            <v>SP-ND-CCL35s(Glue type)19+12</v>
          </cell>
          <cell r="C904" t="str">
            <v>제품</v>
          </cell>
          <cell r="D904" t="str">
            <v>윈도우 제품군</v>
          </cell>
          <cell r="E904" t="str">
            <v>전략</v>
          </cell>
          <cell r="F904" t="str">
            <v>SP</v>
          </cell>
        </row>
        <row r="905">
          <cell r="A905">
            <v>29450</v>
          </cell>
          <cell r="B905" t="str">
            <v>SCF-NS-CCS49(인포컴텍)</v>
          </cell>
          <cell r="C905" t="str">
            <v>제품</v>
          </cell>
          <cell r="D905" t="str">
            <v>윈도우 제품군</v>
          </cell>
          <cell r="E905" t="str">
            <v>염료</v>
          </cell>
          <cell r="F905" t="str">
            <v>1PLY</v>
          </cell>
        </row>
        <row r="906">
          <cell r="A906">
            <v>29451</v>
          </cell>
          <cell r="B906" t="str">
            <v>SCF-NS-CCS35(인포컴텍)</v>
          </cell>
          <cell r="C906" t="str">
            <v>제품</v>
          </cell>
          <cell r="D906" t="str">
            <v>윈도우 제품군</v>
          </cell>
          <cell r="E906" t="str">
            <v>염료</v>
          </cell>
          <cell r="F906" t="str">
            <v>1PLY</v>
          </cell>
        </row>
        <row r="907">
          <cell r="A907">
            <v>29452</v>
          </cell>
          <cell r="B907" t="str">
            <v>SCF-NS-CCS10(인포컴텍)</v>
          </cell>
          <cell r="C907" t="str">
            <v>제품</v>
          </cell>
          <cell r="D907" t="str">
            <v>윈도우 제품군</v>
          </cell>
          <cell r="E907" t="str">
            <v>염료</v>
          </cell>
          <cell r="F907" t="str">
            <v>1PLY</v>
          </cell>
        </row>
        <row r="908">
          <cell r="A908">
            <v>29454</v>
          </cell>
          <cell r="B908" t="str">
            <v>SCF-DM-KAV 01(0.3)</v>
          </cell>
          <cell r="C908" t="str">
            <v>제품</v>
          </cell>
          <cell r="D908" t="str">
            <v>윈도우 제품군</v>
          </cell>
          <cell r="E908" t="str">
            <v>염료</v>
          </cell>
          <cell r="F908" t="str">
            <v>2PLY</v>
          </cell>
        </row>
        <row r="909">
          <cell r="A909">
            <v>29455</v>
          </cell>
          <cell r="B909" t="str">
            <v>SCF-DM-KAV 03(0.3)</v>
          </cell>
          <cell r="C909" t="str">
            <v>제품</v>
          </cell>
          <cell r="D909" t="str">
            <v>윈도우 제품군</v>
          </cell>
          <cell r="E909" t="str">
            <v>염료</v>
          </cell>
          <cell r="F909" t="str">
            <v>2PLY</v>
          </cell>
        </row>
        <row r="910">
          <cell r="A910">
            <v>29456</v>
          </cell>
          <cell r="B910" t="str">
            <v>SCF-DM-KAV 10(0.3)</v>
          </cell>
          <cell r="C910" t="str">
            <v>제품</v>
          </cell>
          <cell r="D910" t="str">
            <v>윈도우 제품군</v>
          </cell>
          <cell r="E910" t="str">
            <v>염료</v>
          </cell>
          <cell r="F910" t="str">
            <v>2PLY</v>
          </cell>
        </row>
        <row r="911">
          <cell r="A911">
            <v>29457</v>
          </cell>
          <cell r="B911" t="str">
            <v>SCF-DM-KAV 12(0.3)</v>
          </cell>
          <cell r="C911" t="str">
            <v>제품</v>
          </cell>
          <cell r="D911" t="str">
            <v>윈도우 제품군</v>
          </cell>
          <cell r="E911" t="str">
            <v>염료</v>
          </cell>
          <cell r="F911" t="str">
            <v>2PLY</v>
          </cell>
        </row>
        <row r="912">
          <cell r="A912">
            <v>29458</v>
          </cell>
          <cell r="B912" t="str">
            <v>SCF-DM-KAV 15(0.3)</v>
          </cell>
          <cell r="C912" t="str">
            <v>제품</v>
          </cell>
          <cell r="D912" t="str">
            <v>윈도우 제품군</v>
          </cell>
          <cell r="E912" t="str">
            <v>염료</v>
          </cell>
          <cell r="F912" t="str">
            <v>2PLY</v>
          </cell>
        </row>
        <row r="913">
          <cell r="A913">
            <v>29463</v>
          </cell>
          <cell r="B913" t="str">
            <v>TEST-SCF-DM-NSN70%</v>
          </cell>
          <cell r="C913" t="str">
            <v>제품</v>
          </cell>
          <cell r="D913" t="str">
            <v>윈도우 제품군</v>
          </cell>
          <cell r="E913" t="str">
            <v>전략</v>
          </cell>
          <cell r="F913" t="str">
            <v>IR</v>
          </cell>
        </row>
        <row r="914">
          <cell r="A914">
            <v>29464</v>
          </cell>
          <cell r="B914" t="str">
            <v>SP-DM-CCL02s(Glue type)19+12</v>
          </cell>
          <cell r="C914" t="str">
            <v>제품</v>
          </cell>
          <cell r="D914" t="str">
            <v>윈도우 제품군</v>
          </cell>
          <cell r="E914" t="str">
            <v>전략</v>
          </cell>
          <cell r="F914" t="str">
            <v>SP</v>
          </cell>
        </row>
        <row r="915">
          <cell r="A915">
            <v>29465</v>
          </cell>
          <cell r="B915" t="str">
            <v>SP-DM-CCL05s(Glue type)19+12</v>
          </cell>
          <cell r="C915" t="str">
            <v>제품</v>
          </cell>
          <cell r="D915" t="str">
            <v>윈도우 제품군</v>
          </cell>
          <cell r="E915" t="str">
            <v>전략</v>
          </cell>
          <cell r="F915" t="str">
            <v>SP</v>
          </cell>
        </row>
        <row r="916">
          <cell r="A916">
            <v>29466</v>
          </cell>
          <cell r="B916" t="str">
            <v>SP-DM-CCL10s(Glue type)19+12</v>
          </cell>
          <cell r="C916" t="str">
            <v>제품</v>
          </cell>
          <cell r="D916" t="str">
            <v>윈도우 제품군</v>
          </cell>
          <cell r="E916" t="str">
            <v>미분류</v>
          </cell>
          <cell r="F916" t="str">
            <v>미분류</v>
          </cell>
        </row>
        <row r="917">
          <cell r="A917">
            <v>29467</v>
          </cell>
          <cell r="B917" t="str">
            <v>SP-DM-CCL20s(Glue type)19+12</v>
          </cell>
          <cell r="C917" t="str">
            <v>제품</v>
          </cell>
          <cell r="D917" t="str">
            <v>윈도우 제품군</v>
          </cell>
          <cell r="E917" t="str">
            <v>미분류</v>
          </cell>
          <cell r="F917" t="str">
            <v>미분류</v>
          </cell>
        </row>
        <row r="918">
          <cell r="A918">
            <v>29468</v>
          </cell>
          <cell r="B918" t="str">
            <v>SP-DM-CCL35s(Glue type)19+12</v>
          </cell>
          <cell r="C918" t="str">
            <v>제품</v>
          </cell>
          <cell r="D918" t="str">
            <v>윈도우 제품군</v>
          </cell>
          <cell r="E918" t="str">
            <v>미분류</v>
          </cell>
          <cell r="F918" t="str">
            <v>미분류</v>
          </cell>
        </row>
        <row r="919">
          <cell r="A919">
            <v>29469</v>
          </cell>
          <cell r="B919" t="str">
            <v>SP-DM-CCL49s(Glue type)19+12</v>
          </cell>
          <cell r="C919" t="str">
            <v>제품</v>
          </cell>
          <cell r="D919" t="str">
            <v>윈도우 제품군</v>
          </cell>
          <cell r="E919" t="str">
            <v>미분류</v>
          </cell>
          <cell r="F919" t="str">
            <v>미분류</v>
          </cell>
        </row>
        <row r="920">
          <cell r="A920">
            <v>29470</v>
          </cell>
          <cell r="B920" t="str">
            <v>SP-DM-CCL16s(Glue type)19+12</v>
          </cell>
          <cell r="C920" t="str">
            <v>제품</v>
          </cell>
          <cell r="D920" t="str">
            <v>윈도우 제품군</v>
          </cell>
          <cell r="E920" t="str">
            <v>전략</v>
          </cell>
          <cell r="F920" t="str">
            <v>SP</v>
          </cell>
        </row>
        <row r="921">
          <cell r="A921">
            <v>29471</v>
          </cell>
          <cell r="B921" t="str">
            <v>TEST-SCF-DYED(시야왜곡개선)</v>
          </cell>
          <cell r="C921" t="str">
            <v>제품</v>
          </cell>
          <cell r="D921" t="str">
            <v>윈도우 제품군</v>
          </cell>
          <cell r="E921" t="str">
            <v>염료</v>
          </cell>
          <cell r="F921" t="str">
            <v>1PLY</v>
          </cell>
        </row>
        <row r="922">
          <cell r="A922">
            <v>29477</v>
          </cell>
          <cell r="B922" t="str">
            <v>TEST-IR-SPT1595(ATO)</v>
          </cell>
          <cell r="C922" t="str">
            <v>제품</v>
          </cell>
          <cell r="D922" t="str">
            <v>윈도우 제품군</v>
          </cell>
          <cell r="E922" t="str">
            <v>전략</v>
          </cell>
          <cell r="F922" t="str">
            <v>IR</v>
          </cell>
        </row>
        <row r="923">
          <cell r="A923">
            <v>29478</v>
          </cell>
          <cell r="B923" t="str">
            <v>TEST-IR-SPT1595(NIR)</v>
          </cell>
          <cell r="C923" t="str">
            <v>제품</v>
          </cell>
          <cell r="D923" t="str">
            <v>윈도우 제품군</v>
          </cell>
          <cell r="E923" t="str">
            <v>전략</v>
          </cell>
          <cell r="F923" t="str">
            <v>IR</v>
          </cell>
        </row>
        <row r="924">
          <cell r="A924">
            <v>29479</v>
          </cell>
          <cell r="B924" t="str">
            <v>TEST-IR-SPT3595(ATO)</v>
          </cell>
          <cell r="C924" t="str">
            <v>제품</v>
          </cell>
          <cell r="D924" t="str">
            <v>윈도우 제품군</v>
          </cell>
          <cell r="E924" t="str">
            <v>전략</v>
          </cell>
          <cell r="F924" t="str">
            <v>IR</v>
          </cell>
        </row>
        <row r="925">
          <cell r="A925">
            <v>29480</v>
          </cell>
          <cell r="B925" t="str">
            <v>TEST-IR-SPT3595(NIR)</v>
          </cell>
          <cell r="C925" t="str">
            <v>제품</v>
          </cell>
          <cell r="D925" t="str">
            <v>윈도우 제품군</v>
          </cell>
          <cell r="E925" t="str">
            <v>전략</v>
          </cell>
          <cell r="F925" t="str">
            <v>IR</v>
          </cell>
        </row>
        <row r="926">
          <cell r="A926">
            <v>29512</v>
          </cell>
          <cell r="B926" t="str">
            <v>SF-NS-10MIL</v>
          </cell>
          <cell r="C926" t="str">
            <v>제품</v>
          </cell>
          <cell r="D926" t="str">
            <v>윈도우 제품군</v>
          </cell>
          <cell r="E926" t="str">
            <v>전략</v>
          </cell>
          <cell r="F926" t="str">
            <v>SAFETY</v>
          </cell>
        </row>
        <row r="927">
          <cell r="A927">
            <v>29517</v>
          </cell>
          <cell r="B927" t="str">
            <v>TEST-SPD-(밀키개선)</v>
          </cell>
          <cell r="C927" t="str">
            <v>제품</v>
          </cell>
          <cell r="D927" t="str">
            <v>윈도우 제품군</v>
          </cell>
          <cell r="E927" t="str">
            <v>전략</v>
          </cell>
          <cell r="F927" t="str">
            <v>SP</v>
          </cell>
        </row>
        <row r="928">
          <cell r="A928">
            <v>29523</v>
          </cell>
          <cell r="B928" t="str">
            <v>TEST(DYED+NIR 1840)</v>
          </cell>
          <cell r="C928" t="str">
            <v>제품</v>
          </cell>
          <cell r="D928" t="str">
            <v>윈도우 제품군</v>
          </cell>
          <cell r="E928" t="str">
            <v>전략</v>
          </cell>
          <cell r="F928" t="str">
            <v>IR</v>
          </cell>
        </row>
        <row r="929">
          <cell r="A929">
            <v>29527</v>
          </cell>
          <cell r="B929" t="str">
            <v>SCF-DM-B05D(0.3)</v>
          </cell>
          <cell r="C929" t="str">
            <v>제품</v>
          </cell>
          <cell r="D929" t="str">
            <v>윈도우 제품군</v>
          </cell>
          <cell r="E929" t="str">
            <v>염료</v>
          </cell>
          <cell r="F929" t="str">
            <v>2PLY</v>
          </cell>
        </row>
        <row r="930">
          <cell r="A930">
            <v>29529</v>
          </cell>
          <cell r="B930" t="str">
            <v>SCF-NS-DYED BLACK 15(5㎛)맥스원</v>
          </cell>
          <cell r="C930" t="str">
            <v>제품</v>
          </cell>
          <cell r="D930" t="str">
            <v>윈도우 제품군</v>
          </cell>
          <cell r="E930" t="str">
            <v>염료</v>
          </cell>
          <cell r="F930" t="str">
            <v>1PLY</v>
          </cell>
        </row>
        <row r="931">
          <cell r="A931">
            <v>29532</v>
          </cell>
          <cell r="B931" t="str">
            <v>IR-ND-DYED 5040 NIR(0.15)</v>
          </cell>
          <cell r="C931" t="str">
            <v>제품</v>
          </cell>
          <cell r="D931" t="str">
            <v>윈도우 제품군</v>
          </cell>
          <cell r="E931" t="str">
            <v>전략</v>
          </cell>
          <cell r="F931" t="str">
            <v>IR</v>
          </cell>
        </row>
        <row r="932">
          <cell r="A932">
            <v>29533</v>
          </cell>
          <cell r="B932" t="str">
            <v>IR-ND-DYED 3540 NIR(0.15)</v>
          </cell>
          <cell r="C932" t="str">
            <v>제품</v>
          </cell>
          <cell r="D932" t="str">
            <v>윈도우 제품군</v>
          </cell>
          <cell r="E932" t="str">
            <v>전략</v>
          </cell>
          <cell r="F932" t="str">
            <v>IR</v>
          </cell>
        </row>
        <row r="933">
          <cell r="A933">
            <v>29534</v>
          </cell>
          <cell r="B933" t="str">
            <v>IR-ND-DYED 1540 NIR(0.15)</v>
          </cell>
          <cell r="C933" t="str">
            <v>제품</v>
          </cell>
          <cell r="D933" t="str">
            <v>윈도우 제품군</v>
          </cell>
          <cell r="E933" t="str">
            <v>전략</v>
          </cell>
          <cell r="F933" t="str">
            <v>IR</v>
          </cell>
        </row>
        <row r="934">
          <cell r="A934">
            <v>29535</v>
          </cell>
          <cell r="B934" t="str">
            <v>IR-ND-DYED 0540 NIR(0.15)</v>
          </cell>
          <cell r="C934" t="str">
            <v>제품</v>
          </cell>
          <cell r="D934" t="str">
            <v>윈도우 제품군</v>
          </cell>
          <cell r="E934" t="str">
            <v>전략</v>
          </cell>
          <cell r="F934" t="str">
            <v>IR</v>
          </cell>
        </row>
        <row r="935">
          <cell r="A935">
            <v>29536</v>
          </cell>
          <cell r="B935" t="str">
            <v>IR-ND-DYED 1040 NIR(0.15)</v>
          </cell>
          <cell r="C935" t="str">
            <v>제품</v>
          </cell>
          <cell r="D935" t="str">
            <v>윈도우 제품군</v>
          </cell>
          <cell r="E935" t="str">
            <v>전략</v>
          </cell>
          <cell r="F935" t="str">
            <v>IR</v>
          </cell>
        </row>
        <row r="936">
          <cell r="A936">
            <v>29537</v>
          </cell>
          <cell r="B936" t="str">
            <v>SCF-ND-DYED BLACK 20</v>
          </cell>
          <cell r="C936" t="str">
            <v>제품</v>
          </cell>
          <cell r="D936" t="str">
            <v>윈도우 제품군</v>
          </cell>
          <cell r="E936" t="str">
            <v>염료</v>
          </cell>
          <cell r="F936" t="str">
            <v>2PLY</v>
          </cell>
        </row>
        <row r="937">
          <cell r="A937">
            <v>29538</v>
          </cell>
          <cell r="B937" t="str">
            <v>SCF-ND-DYED BLACK 35</v>
          </cell>
          <cell r="C937" t="str">
            <v>제품</v>
          </cell>
          <cell r="D937" t="str">
            <v>윈도우 제품군</v>
          </cell>
          <cell r="E937" t="str">
            <v>염료</v>
          </cell>
          <cell r="F937" t="str">
            <v>2PLY</v>
          </cell>
        </row>
        <row r="938">
          <cell r="A938">
            <v>29539</v>
          </cell>
          <cell r="B938" t="str">
            <v>SCF-ND-DYED BLACK 50</v>
          </cell>
          <cell r="C938" t="str">
            <v>제품</v>
          </cell>
          <cell r="D938" t="str">
            <v>윈도우 제품군</v>
          </cell>
          <cell r="E938" t="str">
            <v>염료</v>
          </cell>
          <cell r="F938" t="str">
            <v>2PLY</v>
          </cell>
        </row>
        <row r="939">
          <cell r="A939">
            <v>29554</v>
          </cell>
          <cell r="B939" t="str">
            <v>IR-SPT7090(SLR80%)</v>
          </cell>
          <cell r="C939" t="str">
            <v>제품</v>
          </cell>
          <cell r="D939" t="str">
            <v>윈도우 제품군</v>
          </cell>
          <cell r="E939" t="str">
            <v>전략</v>
          </cell>
          <cell r="F939" t="str">
            <v>IR</v>
          </cell>
        </row>
        <row r="940">
          <cell r="A940">
            <v>29564</v>
          </cell>
          <cell r="B940" t="str">
            <v>SCF-DC-SILVERBLUE17(0.6)</v>
          </cell>
          <cell r="C940" t="str">
            <v>제품</v>
          </cell>
          <cell r="D940" t="str">
            <v>윈도우 제품군</v>
          </cell>
          <cell r="E940" t="str">
            <v>염료</v>
          </cell>
          <cell r="F940" t="str">
            <v>2PLY</v>
          </cell>
        </row>
        <row r="941">
          <cell r="A941">
            <v>29565</v>
          </cell>
          <cell r="B941" t="str">
            <v>SCF-DM-GRAY 05 RP(0.3)</v>
          </cell>
          <cell r="C941" t="str">
            <v>제품</v>
          </cell>
          <cell r="D941" t="str">
            <v>윈도우 제품군</v>
          </cell>
          <cell r="E941" t="str">
            <v>염료</v>
          </cell>
          <cell r="F941" t="str">
            <v>2PLY</v>
          </cell>
        </row>
        <row r="942">
          <cell r="A942">
            <v>29566</v>
          </cell>
          <cell r="B942" t="str">
            <v>SCF-DM-GRAY 20 RP(0.3)</v>
          </cell>
          <cell r="C942" t="str">
            <v>제품</v>
          </cell>
          <cell r="D942" t="str">
            <v>윈도우 제품군</v>
          </cell>
          <cell r="E942" t="str">
            <v>염료</v>
          </cell>
          <cell r="F942" t="str">
            <v>2PLY</v>
          </cell>
        </row>
        <row r="943">
          <cell r="A943">
            <v>29567</v>
          </cell>
          <cell r="B943" t="str">
            <v>SCF-DM-GRAY 35 RP(0.3)</v>
          </cell>
          <cell r="C943" t="str">
            <v>제품</v>
          </cell>
          <cell r="D943" t="str">
            <v>윈도우 제품군</v>
          </cell>
          <cell r="E943" t="str">
            <v>염료</v>
          </cell>
          <cell r="F943" t="str">
            <v>2PLY</v>
          </cell>
        </row>
        <row r="944">
          <cell r="A944">
            <v>29568</v>
          </cell>
          <cell r="B944" t="str">
            <v>SCF-DC-SILVER BRONZE 5(0.6)</v>
          </cell>
          <cell r="C944" t="str">
            <v>제품</v>
          </cell>
          <cell r="D944" t="str">
            <v>윈도우 제품군</v>
          </cell>
          <cell r="E944" t="str">
            <v>염료</v>
          </cell>
          <cell r="F944" t="str">
            <v>2PLY</v>
          </cell>
        </row>
        <row r="945">
          <cell r="A945">
            <v>29581</v>
          </cell>
          <cell r="B945" t="str">
            <v>SCF-DM-AGY05(0.25)</v>
          </cell>
          <cell r="C945" t="str">
            <v>제품</v>
          </cell>
          <cell r="D945" t="str">
            <v>윈도우 제품군</v>
          </cell>
          <cell r="E945" t="str">
            <v>염료</v>
          </cell>
          <cell r="F945" t="str">
            <v>2PLY</v>
          </cell>
        </row>
        <row r="946">
          <cell r="A946">
            <v>29582</v>
          </cell>
          <cell r="B946" t="str">
            <v>SCF-DM-AGY20(0.25)</v>
          </cell>
          <cell r="C946" t="str">
            <v>제품</v>
          </cell>
          <cell r="D946" t="str">
            <v>윈도우 제품군</v>
          </cell>
          <cell r="E946" t="str">
            <v>염료</v>
          </cell>
          <cell r="F946" t="str">
            <v>2PLY</v>
          </cell>
        </row>
        <row r="947">
          <cell r="A947">
            <v>29583</v>
          </cell>
          <cell r="B947" t="str">
            <v>SCF-DM-AGR05(0.25)</v>
          </cell>
          <cell r="C947" t="str">
            <v>제품</v>
          </cell>
          <cell r="D947" t="str">
            <v>윈도우 제품군</v>
          </cell>
          <cell r="E947" t="str">
            <v>염료</v>
          </cell>
          <cell r="F947" t="str">
            <v>2PLY</v>
          </cell>
        </row>
        <row r="948">
          <cell r="A948">
            <v>29584</v>
          </cell>
          <cell r="B948" t="str">
            <v>SCF-DM-AGR20(0.25)</v>
          </cell>
          <cell r="C948" t="str">
            <v>제품</v>
          </cell>
          <cell r="D948" t="str">
            <v>윈도우 제품군</v>
          </cell>
          <cell r="E948" t="str">
            <v>염료</v>
          </cell>
          <cell r="F948" t="str">
            <v>2PLY</v>
          </cell>
        </row>
        <row r="949">
          <cell r="A949">
            <v>29590</v>
          </cell>
          <cell r="B949" t="str">
            <v>SP(Z)-ND-ZCH0550</v>
          </cell>
          <cell r="C949" t="str">
            <v>제품</v>
          </cell>
          <cell r="D949" t="str">
            <v>윈도우 제품군</v>
          </cell>
          <cell r="E949" t="str">
            <v>전략</v>
          </cell>
          <cell r="F949" t="str">
            <v>SP</v>
          </cell>
        </row>
        <row r="950">
          <cell r="A950">
            <v>29591</v>
          </cell>
          <cell r="B950" t="str">
            <v>SP(Z)-ND-ZCH20 charcole</v>
          </cell>
          <cell r="C950" t="str">
            <v>제품</v>
          </cell>
          <cell r="D950" t="str">
            <v>윈도우 제품군</v>
          </cell>
          <cell r="E950" t="str">
            <v>전략</v>
          </cell>
          <cell r="F950" t="str">
            <v>SP</v>
          </cell>
        </row>
        <row r="951">
          <cell r="A951">
            <v>29592</v>
          </cell>
          <cell r="B951" t="str">
            <v>SP(Z)-ND-ZBK20 Black</v>
          </cell>
          <cell r="C951" t="str">
            <v>제품</v>
          </cell>
          <cell r="D951" t="str">
            <v>윈도우 제품군</v>
          </cell>
          <cell r="E951" t="str">
            <v>전략</v>
          </cell>
          <cell r="F951" t="str">
            <v>SP</v>
          </cell>
        </row>
        <row r="952">
          <cell r="A952">
            <v>29593</v>
          </cell>
          <cell r="B952" t="str">
            <v>SP(Z)-DM-ZCH20 charcole(0.2)</v>
          </cell>
          <cell r="C952" t="str">
            <v>제품</v>
          </cell>
          <cell r="D952" t="str">
            <v>윈도우 제품군</v>
          </cell>
          <cell r="E952" t="str">
            <v>전략</v>
          </cell>
          <cell r="F952" t="str">
            <v>SP</v>
          </cell>
        </row>
        <row r="953">
          <cell r="A953">
            <v>29595</v>
          </cell>
          <cell r="B953" t="str">
            <v>IR-ND-3595(ATO)</v>
          </cell>
          <cell r="C953" t="str">
            <v>제품</v>
          </cell>
          <cell r="D953" t="str">
            <v>윈도우 제품군</v>
          </cell>
          <cell r="E953" t="str">
            <v>전략</v>
          </cell>
          <cell r="F953" t="str">
            <v>IR</v>
          </cell>
        </row>
        <row r="954">
          <cell r="A954">
            <v>29596</v>
          </cell>
          <cell r="B954" t="str">
            <v>IR-ND-1595(ATO)</v>
          </cell>
          <cell r="C954" t="str">
            <v>제품</v>
          </cell>
          <cell r="D954" t="str">
            <v>윈도우 제품군</v>
          </cell>
          <cell r="E954" t="str">
            <v>전략</v>
          </cell>
          <cell r="F954" t="str">
            <v>IR</v>
          </cell>
        </row>
        <row r="955">
          <cell r="A955">
            <v>29598</v>
          </cell>
          <cell r="B955" t="str">
            <v>SP(Z)-DM-ZCH35 charcole(0.2)</v>
          </cell>
          <cell r="C955" t="str">
            <v>제품</v>
          </cell>
          <cell r="D955" t="str">
            <v>윈도우 제품군</v>
          </cell>
          <cell r="E955" t="str">
            <v>전략</v>
          </cell>
          <cell r="F955" t="str">
            <v>SP</v>
          </cell>
        </row>
        <row r="956">
          <cell r="A956">
            <v>29601</v>
          </cell>
          <cell r="B956" t="str">
            <v>SCF-NS-DYED BLACK 50(5㎛)맥스원</v>
          </cell>
          <cell r="C956" t="str">
            <v>제품</v>
          </cell>
          <cell r="D956" t="str">
            <v>윈도우 제품군</v>
          </cell>
          <cell r="E956" t="str">
            <v>염료</v>
          </cell>
          <cell r="F956" t="str">
            <v>1PLY</v>
          </cell>
        </row>
        <row r="957">
          <cell r="A957">
            <v>29602</v>
          </cell>
          <cell r="B957" t="str">
            <v>SCF-ND-DYED BLACK 15(5㎛)맥스원</v>
          </cell>
          <cell r="C957" t="str">
            <v>제품</v>
          </cell>
          <cell r="D957" t="str">
            <v>윈도우 제품군</v>
          </cell>
          <cell r="E957" t="str">
            <v>염료</v>
          </cell>
          <cell r="F957" t="str">
            <v>2PLY</v>
          </cell>
        </row>
        <row r="958">
          <cell r="A958">
            <v>29603</v>
          </cell>
          <cell r="B958" t="str">
            <v>(TEST)제귀반사필름</v>
          </cell>
          <cell r="C958" t="str">
            <v>제품</v>
          </cell>
          <cell r="D958" t="str">
            <v>윈도우 제품군</v>
          </cell>
          <cell r="E958" t="str">
            <v>염료</v>
          </cell>
          <cell r="F958" t="str">
            <v>1PLY</v>
          </cell>
        </row>
        <row r="959">
          <cell r="A959">
            <v>29604</v>
          </cell>
          <cell r="B959" t="str">
            <v>SP(Z)-ND-ZCH10 charcole</v>
          </cell>
          <cell r="C959" t="str">
            <v>제품</v>
          </cell>
          <cell r="D959" t="str">
            <v>윈도우 제품군</v>
          </cell>
          <cell r="E959" t="str">
            <v>전략</v>
          </cell>
          <cell r="F959" t="str">
            <v>SP</v>
          </cell>
        </row>
        <row r="960">
          <cell r="A960">
            <v>29605</v>
          </cell>
          <cell r="B960" t="str">
            <v>SP(Z)-ND-ZCH30 charcole</v>
          </cell>
          <cell r="C960" t="str">
            <v>제품</v>
          </cell>
          <cell r="D960" t="str">
            <v>윈도우 제품군</v>
          </cell>
          <cell r="E960" t="str">
            <v>전략</v>
          </cell>
          <cell r="F960" t="str">
            <v>SP</v>
          </cell>
        </row>
        <row r="961">
          <cell r="A961">
            <v>29606</v>
          </cell>
          <cell r="B961" t="str">
            <v>SP(Z)-ND-ZBK05 Black</v>
          </cell>
          <cell r="C961" t="str">
            <v>제품</v>
          </cell>
          <cell r="D961" t="str">
            <v>윈도우 제품군</v>
          </cell>
          <cell r="E961" t="str">
            <v>전략</v>
          </cell>
          <cell r="F961" t="str">
            <v>SP</v>
          </cell>
        </row>
        <row r="962">
          <cell r="A962">
            <v>29607</v>
          </cell>
          <cell r="B962" t="str">
            <v>SP(Z)-ND-ZBK10 Black</v>
          </cell>
          <cell r="C962" t="str">
            <v>제품</v>
          </cell>
          <cell r="D962" t="str">
            <v>윈도우 제품군</v>
          </cell>
          <cell r="E962" t="str">
            <v>전략</v>
          </cell>
          <cell r="F962" t="str">
            <v>SP</v>
          </cell>
        </row>
        <row r="963">
          <cell r="A963">
            <v>29608</v>
          </cell>
          <cell r="B963" t="str">
            <v>SP(Z)-ND-ZBK30 Black</v>
          </cell>
          <cell r="C963" t="str">
            <v>제품</v>
          </cell>
          <cell r="D963" t="str">
            <v>윈도우 제품군</v>
          </cell>
          <cell r="E963" t="str">
            <v>전략</v>
          </cell>
          <cell r="F963" t="str">
            <v>SP</v>
          </cell>
        </row>
        <row r="964">
          <cell r="A964">
            <v>29609</v>
          </cell>
          <cell r="B964" t="str">
            <v>SCF-DM-DYED 1145(0.2)</v>
          </cell>
          <cell r="C964" t="str">
            <v>제품</v>
          </cell>
          <cell r="D964" t="str">
            <v>윈도우 제품군</v>
          </cell>
          <cell r="E964" t="str">
            <v>염료</v>
          </cell>
          <cell r="F964" t="str">
            <v>2PLY</v>
          </cell>
        </row>
        <row r="965">
          <cell r="A965">
            <v>29612</v>
          </cell>
          <cell r="B965" t="str">
            <v>SCF-DC-BC37(0.3)</v>
          </cell>
          <cell r="C965" t="str">
            <v>제품</v>
          </cell>
          <cell r="D965" t="str">
            <v>윈도우 제품군</v>
          </cell>
          <cell r="E965" t="str">
            <v>염료</v>
          </cell>
          <cell r="F965" t="str">
            <v>2PLY</v>
          </cell>
        </row>
        <row r="966">
          <cell r="A966">
            <v>29614</v>
          </cell>
          <cell r="B966" t="str">
            <v>SCF-NS-CCS49Z(도포6㎛)</v>
          </cell>
          <cell r="C966" t="str">
            <v>제품</v>
          </cell>
          <cell r="D966" t="str">
            <v>윈도우 제품군</v>
          </cell>
          <cell r="E966" t="str">
            <v>염료</v>
          </cell>
          <cell r="F966" t="str">
            <v>1PLY</v>
          </cell>
        </row>
        <row r="967">
          <cell r="A967">
            <v>29616</v>
          </cell>
          <cell r="B967" t="str">
            <v>IRSF-ND-IR5095+4mil</v>
          </cell>
          <cell r="C967" t="str">
            <v>제품</v>
          </cell>
          <cell r="D967" t="str">
            <v>윈도우 제품군</v>
          </cell>
          <cell r="E967" t="str">
            <v>전략</v>
          </cell>
          <cell r="F967" t="str">
            <v>SAFETY</v>
          </cell>
        </row>
        <row r="968">
          <cell r="A968">
            <v>29617</v>
          </cell>
          <cell r="B968" t="str">
            <v>IRSF-ND-IR5095+8mil</v>
          </cell>
          <cell r="C968" t="str">
            <v>제품</v>
          </cell>
          <cell r="D968" t="str">
            <v>윈도우 제품군</v>
          </cell>
          <cell r="E968" t="str">
            <v>전략</v>
          </cell>
          <cell r="F968" t="str">
            <v>SAFETY</v>
          </cell>
        </row>
        <row r="969">
          <cell r="A969">
            <v>29618</v>
          </cell>
          <cell r="B969" t="str">
            <v>IRSF-ND-IR7060+4mil</v>
          </cell>
          <cell r="C969" t="str">
            <v>제품</v>
          </cell>
          <cell r="D969" t="str">
            <v>윈도우 제품군</v>
          </cell>
          <cell r="E969" t="str">
            <v>전략</v>
          </cell>
          <cell r="F969" t="str">
            <v>SAFETY</v>
          </cell>
        </row>
        <row r="970">
          <cell r="A970">
            <v>29619</v>
          </cell>
          <cell r="B970" t="str">
            <v>IRSF-ND-IR7060+8mil</v>
          </cell>
          <cell r="C970" t="str">
            <v>제품</v>
          </cell>
          <cell r="D970" t="str">
            <v>윈도우 제품군</v>
          </cell>
          <cell r="E970" t="str">
            <v>전략</v>
          </cell>
          <cell r="F970" t="str">
            <v>SAFETY</v>
          </cell>
        </row>
        <row r="971">
          <cell r="A971">
            <v>29632</v>
          </cell>
          <cell r="B971" t="str">
            <v>SCF-NS-NBK35(W1358)</v>
          </cell>
          <cell r="C971" t="str">
            <v>제품</v>
          </cell>
          <cell r="D971" t="str">
            <v>윈도우 제품군</v>
          </cell>
          <cell r="E971" t="str">
            <v>염료</v>
          </cell>
          <cell r="F971" t="str">
            <v>1PLY</v>
          </cell>
        </row>
        <row r="972">
          <cell r="A972">
            <v>29637</v>
          </cell>
          <cell r="B972" t="str">
            <v>SCF-ND-NBK35(W1358)</v>
          </cell>
          <cell r="C972" t="str">
            <v>제품</v>
          </cell>
          <cell r="D972" t="str">
            <v>윈도우 제품군</v>
          </cell>
          <cell r="E972" t="str">
            <v>염료</v>
          </cell>
          <cell r="F972" t="str">
            <v>2PLY</v>
          </cell>
        </row>
        <row r="973">
          <cell r="A973">
            <v>29638</v>
          </cell>
          <cell r="B973" t="str">
            <v>SFSL-ND-NBK35+4MIL(W1358)</v>
          </cell>
          <cell r="C973" t="str">
            <v>제품</v>
          </cell>
          <cell r="D973" t="str">
            <v>윈도우 제품군</v>
          </cell>
          <cell r="E973" t="str">
            <v>전략</v>
          </cell>
          <cell r="F973" t="str">
            <v>SAFETY</v>
          </cell>
        </row>
        <row r="974">
          <cell r="A974">
            <v>29639</v>
          </cell>
          <cell r="B974" t="str">
            <v>무진FILM (상보자체)4공정</v>
          </cell>
          <cell r="C974" t="str">
            <v>제품</v>
          </cell>
          <cell r="D974" t="str">
            <v>윈도우 제품군</v>
          </cell>
          <cell r="E974" t="str">
            <v>염료</v>
          </cell>
          <cell r="F974" t="str">
            <v>1PLY</v>
          </cell>
        </row>
        <row r="975">
          <cell r="A975">
            <v>29642</v>
          </cell>
          <cell r="B975" t="str">
            <v>SF-NT-18MIL(접착17㎛)</v>
          </cell>
          <cell r="C975" t="str">
            <v>제품</v>
          </cell>
          <cell r="D975" t="str">
            <v>윈도우 제품군</v>
          </cell>
          <cell r="E975" t="str">
            <v>전략</v>
          </cell>
          <cell r="F975" t="str">
            <v>SAFETY</v>
          </cell>
        </row>
        <row r="976">
          <cell r="A976">
            <v>29645</v>
          </cell>
          <cell r="B976" t="str">
            <v>SP(Z)-ND-JSB1566</v>
          </cell>
          <cell r="C976" t="str">
            <v>제품</v>
          </cell>
          <cell r="D976" t="str">
            <v>윈도우 제품군</v>
          </cell>
          <cell r="E976" t="str">
            <v>전략</v>
          </cell>
          <cell r="F976" t="str">
            <v>SP</v>
          </cell>
        </row>
        <row r="977">
          <cell r="A977">
            <v>29646</v>
          </cell>
          <cell r="B977" t="str">
            <v>SP(Z)-ND-JSB3348</v>
          </cell>
          <cell r="C977" t="str">
            <v>제품</v>
          </cell>
          <cell r="D977" t="str">
            <v>윈도우 제품군</v>
          </cell>
          <cell r="E977" t="str">
            <v>전략</v>
          </cell>
          <cell r="F977" t="str">
            <v>SP</v>
          </cell>
        </row>
        <row r="978">
          <cell r="A978">
            <v>29647</v>
          </cell>
          <cell r="B978" t="str">
            <v>SP(Z)-ND-JSB3740</v>
          </cell>
          <cell r="C978" t="str">
            <v>제품</v>
          </cell>
          <cell r="D978" t="str">
            <v>윈도우 제품군</v>
          </cell>
          <cell r="E978" t="str">
            <v>전략</v>
          </cell>
          <cell r="F978" t="str">
            <v>SP</v>
          </cell>
        </row>
        <row r="979">
          <cell r="A979">
            <v>29648</v>
          </cell>
          <cell r="B979" t="str">
            <v>SP(Z)-ND-ZCH1650</v>
          </cell>
          <cell r="C979" t="str">
            <v>제품</v>
          </cell>
          <cell r="D979" t="str">
            <v>윈도우 제품군</v>
          </cell>
          <cell r="E979" t="str">
            <v>전략</v>
          </cell>
          <cell r="F979" t="str">
            <v>SP</v>
          </cell>
        </row>
        <row r="980">
          <cell r="A980">
            <v>29649</v>
          </cell>
          <cell r="B980" t="str">
            <v>SP(Z)-ND-ZCH3550</v>
          </cell>
          <cell r="C980" t="str">
            <v>제품</v>
          </cell>
          <cell r="D980" t="str">
            <v>윈도우 제품군</v>
          </cell>
          <cell r="E980" t="str">
            <v>전략</v>
          </cell>
          <cell r="F980" t="str">
            <v>SP</v>
          </cell>
        </row>
        <row r="981">
          <cell r="A981">
            <v>29650</v>
          </cell>
          <cell r="B981" t="str">
            <v>SP(Z)-ND-ZCH5050</v>
          </cell>
          <cell r="C981" t="str">
            <v>제품</v>
          </cell>
          <cell r="D981" t="str">
            <v>윈도우 제품군</v>
          </cell>
          <cell r="E981" t="str">
            <v>전략</v>
          </cell>
          <cell r="F981" t="str">
            <v>SP</v>
          </cell>
        </row>
        <row r="982">
          <cell r="A982">
            <v>29651</v>
          </cell>
          <cell r="B982" t="str">
            <v>SP(Z)-ND-ZBK1650</v>
          </cell>
          <cell r="C982" t="str">
            <v>제품</v>
          </cell>
          <cell r="D982" t="str">
            <v>윈도우 제품군</v>
          </cell>
          <cell r="E982" t="str">
            <v>전략</v>
          </cell>
          <cell r="F982" t="str">
            <v>SP</v>
          </cell>
        </row>
        <row r="983">
          <cell r="A983">
            <v>29652</v>
          </cell>
          <cell r="B983" t="str">
            <v>SP(Z)-ND-ZBK3550</v>
          </cell>
          <cell r="C983" t="str">
            <v>제품</v>
          </cell>
          <cell r="D983" t="str">
            <v>윈도우 제품군</v>
          </cell>
          <cell r="E983" t="str">
            <v>전략</v>
          </cell>
          <cell r="F983" t="str">
            <v>SP</v>
          </cell>
        </row>
        <row r="984">
          <cell r="A984">
            <v>29653</v>
          </cell>
          <cell r="B984" t="str">
            <v>SP(Z)-ND-ZBK5050</v>
          </cell>
          <cell r="C984" t="str">
            <v>제품</v>
          </cell>
          <cell r="D984" t="str">
            <v>윈도우 제품군</v>
          </cell>
          <cell r="E984" t="str">
            <v>전략</v>
          </cell>
          <cell r="F984" t="str">
            <v>SP</v>
          </cell>
        </row>
        <row r="985">
          <cell r="A985">
            <v>29657</v>
          </cell>
          <cell r="B985" t="str">
            <v>SFSL-ND-BK15+7MIL</v>
          </cell>
          <cell r="C985" t="str">
            <v>제품</v>
          </cell>
          <cell r="D985" t="str">
            <v>윈도우 제품군</v>
          </cell>
          <cell r="E985" t="str">
            <v>전략</v>
          </cell>
          <cell r="F985" t="str">
            <v>SAFETY</v>
          </cell>
        </row>
        <row r="986">
          <cell r="A986">
            <v>29664</v>
          </cell>
          <cell r="B986" t="str">
            <v>SCF-DM-CCS05(0.4) W1524</v>
          </cell>
          <cell r="C986" t="str">
            <v>제품</v>
          </cell>
          <cell r="D986" t="str">
            <v>윈도우 제품군</v>
          </cell>
          <cell r="E986" t="str">
            <v>염료</v>
          </cell>
          <cell r="F986" t="str">
            <v>2PLY</v>
          </cell>
        </row>
        <row r="987">
          <cell r="A987">
            <v>29668</v>
          </cell>
          <cell r="B987" t="str">
            <v>SCF-ND-BLUE 57</v>
          </cell>
          <cell r="C987" t="str">
            <v>제품</v>
          </cell>
          <cell r="D987" t="str">
            <v>윈도우 제품군</v>
          </cell>
          <cell r="E987" t="str">
            <v>염료</v>
          </cell>
          <cell r="F987" t="str">
            <v>2PLY</v>
          </cell>
        </row>
        <row r="988">
          <cell r="A988">
            <v>29669</v>
          </cell>
          <cell r="B988" t="str">
            <v>SCF-ND-BLUE 30</v>
          </cell>
          <cell r="C988" t="str">
            <v>제품</v>
          </cell>
          <cell r="D988" t="str">
            <v>윈도우 제품군</v>
          </cell>
          <cell r="E988" t="str">
            <v>염료</v>
          </cell>
          <cell r="F988" t="str">
            <v>2PLY</v>
          </cell>
        </row>
        <row r="989">
          <cell r="A989">
            <v>29690</v>
          </cell>
          <cell r="B989" t="str">
            <v>SCF-ND-BC77J</v>
          </cell>
          <cell r="C989" t="str">
            <v>제품</v>
          </cell>
          <cell r="D989" t="str">
            <v>윈도우 제품군</v>
          </cell>
          <cell r="E989" t="str">
            <v>염료</v>
          </cell>
          <cell r="F989" t="str">
            <v>2PLY</v>
          </cell>
        </row>
        <row r="990">
          <cell r="A990">
            <v>29691</v>
          </cell>
          <cell r="B990" t="str">
            <v>SCF-DM-F(0.2)</v>
          </cell>
          <cell r="C990" t="str">
            <v>제품</v>
          </cell>
          <cell r="D990" t="str">
            <v>윈도우 제품군</v>
          </cell>
          <cell r="E990" t="str">
            <v>염료</v>
          </cell>
          <cell r="F990" t="str">
            <v>2PLY</v>
          </cell>
        </row>
        <row r="991">
          <cell r="A991">
            <v>29696</v>
          </cell>
          <cell r="B991" t="str">
            <v>SCF-DC-HP02(0.3)</v>
          </cell>
          <cell r="C991" t="str">
            <v>제품</v>
          </cell>
          <cell r="D991" t="str">
            <v>윈도우 제품군</v>
          </cell>
          <cell r="E991" t="str">
            <v>염료</v>
          </cell>
          <cell r="F991" t="str">
            <v>2PLY</v>
          </cell>
        </row>
        <row r="992">
          <cell r="A992">
            <v>29697</v>
          </cell>
          <cell r="B992" t="str">
            <v>SCF-DC-B02D(0.3)</v>
          </cell>
          <cell r="C992" t="str">
            <v>제품</v>
          </cell>
          <cell r="D992" t="str">
            <v>윈도우 제품군</v>
          </cell>
          <cell r="E992" t="str">
            <v>염료</v>
          </cell>
          <cell r="F992" t="str">
            <v>2PLY</v>
          </cell>
        </row>
        <row r="993">
          <cell r="A993">
            <v>29703</v>
          </cell>
          <cell r="B993" t="str">
            <v>SCF-NS-DYED BLACK 5(5㎛)맥스원</v>
          </cell>
          <cell r="C993" t="str">
            <v>제품</v>
          </cell>
          <cell r="D993" t="str">
            <v>윈도우 제품군</v>
          </cell>
          <cell r="E993" t="str">
            <v>염료</v>
          </cell>
          <cell r="F993" t="str">
            <v>1PLY</v>
          </cell>
        </row>
        <row r="994">
          <cell r="A994">
            <v>29709</v>
          </cell>
          <cell r="B994" t="str">
            <v>SCF-NS-SS03(분말)</v>
          </cell>
          <cell r="C994" t="str">
            <v>제품</v>
          </cell>
          <cell r="D994" t="str">
            <v>윈도우 제품군</v>
          </cell>
          <cell r="E994" t="str">
            <v>염료</v>
          </cell>
          <cell r="F994" t="str">
            <v>1PLY</v>
          </cell>
        </row>
        <row r="995">
          <cell r="A995">
            <v>29728</v>
          </cell>
          <cell r="B995" t="str">
            <v>IR-ND-IRBK1595(ATO)PTNSA</v>
          </cell>
          <cell r="C995" t="str">
            <v>제품</v>
          </cell>
          <cell r="D995" t="str">
            <v>윈도우 제품군</v>
          </cell>
          <cell r="E995" t="str">
            <v>미분류</v>
          </cell>
          <cell r="F995" t="str">
            <v>미분류</v>
          </cell>
        </row>
        <row r="996">
          <cell r="A996">
            <v>29729</v>
          </cell>
          <cell r="B996" t="str">
            <v>IR-ND-IRBK3595(ATO)PTNSA</v>
          </cell>
          <cell r="C996" t="str">
            <v>제품</v>
          </cell>
          <cell r="D996" t="str">
            <v>윈도우 제품군</v>
          </cell>
          <cell r="E996" t="str">
            <v>미분류</v>
          </cell>
          <cell r="F996" t="str">
            <v>미분류</v>
          </cell>
        </row>
        <row r="997">
          <cell r="A997">
            <v>29730</v>
          </cell>
          <cell r="B997" t="str">
            <v>IR-ND-IRBK0595(ATO)PTNSA</v>
          </cell>
          <cell r="C997" t="str">
            <v>제품</v>
          </cell>
          <cell r="D997" t="str">
            <v>윈도우 제품군</v>
          </cell>
          <cell r="E997" t="str">
            <v>미분류</v>
          </cell>
          <cell r="F997" t="str">
            <v>미분류</v>
          </cell>
        </row>
        <row r="998">
          <cell r="A998">
            <v>29731</v>
          </cell>
          <cell r="B998" t="str">
            <v>TEST-IRSF-ND-IR5585+4mil</v>
          </cell>
          <cell r="C998" t="str">
            <v>제품</v>
          </cell>
          <cell r="D998" t="str">
            <v>윈도우 제품군</v>
          </cell>
          <cell r="E998" t="str">
            <v>전략</v>
          </cell>
          <cell r="F998" t="str">
            <v>SAFETY</v>
          </cell>
        </row>
        <row r="999">
          <cell r="A999">
            <v>29733</v>
          </cell>
          <cell r="B999" t="str">
            <v>SCF-NS-SS19(분말)</v>
          </cell>
          <cell r="C999" t="str">
            <v>제품</v>
          </cell>
          <cell r="D999" t="str">
            <v>윈도우 제품군</v>
          </cell>
          <cell r="E999" t="str">
            <v>염료</v>
          </cell>
          <cell r="F999" t="str">
            <v>1PLY</v>
          </cell>
        </row>
        <row r="1000">
          <cell r="A1000">
            <v>29736</v>
          </cell>
          <cell r="B1000" t="str">
            <v>SP(New)-ND-CCH30</v>
          </cell>
          <cell r="C1000" t="str">
            <v>제품</v>
          </cell>
          <cell r="D1000" t="str">
            <v>윈도우 제품군</v>
          </cell>
          <cell r="E1000" t="str">
            <v>전략</v>
          </cell>
          <cell r="F1000" t="str">
            <v>SP</v>
          </cell>
        </row>
        <row r="1001">
          <cell r="A1001">
            <v>29737</v>
          </cell>
          <cell r="B1001" t="str">
            <v>SP(New)-NS-CCH30</v>
          </cell>
          <cell r="C1001" t="str">
            <v>제품</v>
          </cell>
          <cell r="D1001" t="str">
            <v>윈도우 제품군</v>
          </cell>
          <cell r="E1001" t="str">
            <v>전략</v>
          </cell>
          <cell r="F1001" t="str">
            <v>SP</v>
          </cell>
        </row>
        <row r="1002">
          <cell r="A1002">
            <v>29742</v>
          </cell>
          <cell r="B1002" t="str">
            <v>IR-ND-IRBK7040(ATO) 초고투명</v>
          </cell>
          <cell r="C1002" t="str">
            <v>제품</v>
          </cell>
          <cell r="D1002" t="str">
            <v>윈도우 제품군</v>
          </cell>
          <cell r="E1002" t="str">
            <v>전략</v>
          </cell>
          <cell r="F1002" t="str">
            <v>IR</v>
          </cell>
        </row>
        <row r="1003">
          <cell r="A1003">
            <v>29743</v>
          </cell>
          <cell r="B1003" t="str">
            <v>IR-ND-IRBK7020(ATO) 초고투명</v>
          </cell>
          <cell r="C1003" t="str">
            <v>제품</v>
          </cell>
          <cell r="D1003" t="str">
            <v>윈도우 제품군</v>
          </cell>
          <cell r="E1003" t="str">
            <v>전략</v>
          </cell>
          <cell r="F1003" t="str">
            <v>IR</v>
          </cell>
        </row>
        <row r="1004">
          <cell r="A1004">
            <v>29744</v>
          </cell>
          <cell r="B1004" t="str">
            <v>SCF-DM-HP33(0.3)</v>
          </cell>
          <cell r="C1004" t="str">
            <v>제품</v>
          </cell>
          <cell r="D1004" t="str">
            <v>윈도우 제품군</v>
          </cell>
          <cell r="E1004" t="str">
            <v>염료</v>
          </cell>
          <cell r="F1004" t="str">
            <v>2PLY</v>
          </cell>
        </row>
        <row r="1005">
          <cell r="A1005">
            <v>29746</v>
          </cell>
          <cell r="B1005" t="str">
            <v>IR 투명점착 합지용</v>
          </cell>
          <cell r="C1005" t="str">
            <v>제품</v>
          </cell>
          <cell r="D1005" t="str">
            <v>윈도우 제품군</v>
          </cell>
          <cell r="E1005" t="str">
            <v>전략</v>
          </cell>
          <cell r="F1005" t="str">
            <v>IR</v>
          </cell>
        </row>
        <row r="1006">
          <cell r="A1006">
            <v>29747</v>
          </cell>
          <cell r="B1006" t="str">
            <v>IR-ND-IRBK5095(ATO) 초고투명</v>
          </cell>
          <cell r="C1006" t="str">
            <v>제품</v>
          </cell>
          <cell r="D1006" t="str">
            <v>윈도우 제품군</v>
          </cell>
          <cell r="E1006" t="str">
            <v>전략</v>
          </cell>
          <cell r="F1006" t="str">
            <v>IR</v>
          </cell>
        </row>
        <row r="1007">
          <cell r="A1007">
            <v>29748</v>
          </cell>
          <cell r="B1007" t="str">
            <v>IR-ND-IRBK7060(ATO) 초고투명</v>
          </cell>
          <cell r="C1007" t="str">
            <v>제품</v>
          </cell>
          <cell r="D1007" t="str">
            <v>윈도우 제품군</v>
          </cell>
          <cell r="E1007" t="str">
            <v>전략</v>
          </cell>
          <cell r="F1007" t="str">
            <v>IR</v>
          </cell>
        </row>
        <row r="1008">
          <cell r="A1008">
            <v>29749</v>
          </cell>
          <cell r="B1008" t="str">
            <v>IR-ND-IRBK6580(ATO) 초고투명</v>
          </cell>
          <cell r="C1008" t="str">
            <v>제품</v>
          </cell>
          <cell r="D1008" t="str">
            <v>윈도우 제품군</v>
          </cell>
          <cell r="E1008" t="str">
            <v>전략</v>
          </cell>
          <cell r="F1008" t="str">
            <v>IR</v>
          </cell>
        </row>
        <row r="1009">
          <cell r="A1009">
            <v>29752</v>
          </cell>
          <cell r="B1009" t="str">
            <v>SCF-DM-KAV 20(0.3)</v>
          </cell>
          <cell r="C1009" t="str">
            <v>제품</v>
          </cell>
          <cell r="D1009" t="str">
            <v>윈도우 제품군</v>
          </cell>
          <cell r="E1009" t="str">
            <v>염료</v>
          </cell>
          <cell r="F1009" t="str">
            <v>2PLY</v>
          </cell>
        </row>
        <row r="1010">
          <cell r="A1010">
            <v>29753</v>
          </cell>
          <cell r="B1010" t="str">
            <v>SCF-DM-KAV 35(0.3)</v>
          </cell>
          <cell r="C1010" t="str">
            <v>제품</v>
          </cell>
          <cell r="D1010" t="str">
            <v>윈도우 제품군</v>
          </cell>
          <cell r="E1010" t="str">
            <v>염료</v>
          </cell>
          <cell r="F1010" t="str">
            <v>2PLY</v>
          </cell>
        </row>
        <row r="1011">
          <cell r="A1011">
            <v>29754</v>
          </cell>
          <cell r="B1011" t="str">
            <v>SCF-NS-BS10</v>
          </cell>
          <cell r="C1011" t="str">
            <v>제품</v>
          </cell>
          <cell r="D1011" t="str">
            <v>윈도우 제품군</v>
          </cell>
          <cell r="E1011" t="str">
            <v>염료</v>
          </cell>
          <cell r="F1011" t="str">
            <v>1PLY</v>
          </cell>
        </row>
        <row r="1012">
          <cell r="A1012">
            <v>29758</v>
          </cell>
          <cell r="B1012" t="str">
            <v>SCF-NS-BS75</v>
          </cell>
          <cell r="C1012" t="str">
            <v>제품</v>
          </cell>
          <cell r="D1012" t="str">
            <v>윈도우 제품군</v>
          </cell>
          <cell r="E1012" t="str">
            <v>염료</v>
          </cell>
          <cell r="F1012" t="str">
            <v>1PLY</v>
          </cell>
        </row>
        <row r="1013">
          <cell r="A1013">
            <v>29761</v>
          </cell>
          <cell r="B1013" t="str">
            <v>SCF-DM-BS02(0.3)</v>
          </cell>
          <cell r="C1013" t="str">
            <v>제품</v>
          </cell>
          <cell r="D1013" t="str">
            <v>윈도우 제품군</v>
          </cell>
          <cell r="E1013" t="str">
            <v>염료</v>
          </cell>
          <cell r="F1013" t="str">
            <v>2PLY</v>
          </cell>
        </row>
        <row r="1014">
          <cell r="A1014">
            <v>29762</v>
          </cell>
          <cell r="B1014" t="str">
            <v>SCF-DM-BS05(0.3)</v>
          </cell>
          <cell r="C1014" t="str">
            <v>제품</v>
          </cell>
          <cell r="D1014" t="str">
            <v>윈도우 제품군</v>
          </cell>
          <cell r="E1014" t="str">
            <v>염료</v>
          </cell>
          <cell r="F1014" t="str">
            <v>2PLY</v>
          </cell>
        </row>
        <row r="1015">
          <cell r="A1015">
            <v>29763</v>
          </cell>
          <cell r="B1015" t="str">
            <v>SCF-DM-BS10(0.3)</v>
          </cell>
          <cell r="C1015" t="str">
            <v>제품</v>
          </cell>
          <cell r="D1015" t="str">
            <v>윈도우 제품군</v>
          </cell>
          <cell r="E1015" t="str">
            <v>염료</v>
          </cell>
          <cell r="F1015" t="str">
            <v>2PLY</v>
          </cell>
        </row>
        <row r="1016">
          <cell r="A1016">
            <v>29764</v>
          </cell>
          <cell r="B1016" t="str">
            <v>SCF-DM-BS20(0.3)</v>
          </cell>
          <cell r="C1016" t="str">
            <v>제품</v>
          </cell>
          <cell r="D1016" t="str">
            <v>윈도우 제품군</v>
          </cell>
          <cell r="E1016" t="str">
            <v>염료</v>
          </cell>
          <cell r="F1016" t="str">
            <v>2PLY</v>
          </cell>
        </row>
        <row r="1017">
          <cell r="A1017">
            <v>29765</v>
          </cell>
          <cell r="B1017" t="str">
            <v>SCF-DM-BS75(0.15)</v>
          </cell>
          <cell r="C1017" t="str">
            <v>제품</v>
          </cell>
          <cell r="D1017" t="str">
            <v>윈도우 제품군</v>
          </cell>
          <cell r="E1017" t="str">
            <v>염료</v>
          </cell>
          <cell r="F1017" t="str">
            <v>2PLY</v>
          </cell>
        </row>
        <row r="1018">
          <cell r="A1018">
            <v>29770</v>
          </cell>
          <cell r="B1018" t="str">
            <v>SCF-ND-NBK20(T0206)</v>
          </cell>
          <cell r="C1018" t="str">
            <v>제품</v>
          </cell>
          <cell r="D1018" t="str">
            <v>윈도우 제품군</v>
          </cell>
          <cell r="E1018" t="str">
            <v>염료</v>
          </cell>
          <cell r="F1018" t="str">
            <v>2PLY</v>
          </cell>
        </row>
        <row r="1019">
          <cell r="A1019">
            <v>29771</v>
          </cell>
          <cell r="B1019" t="str">
            <v>SCF-ND-NBK50(T0207)</v>
          </cell>
          <cell r="C1019" t="str">
            <v>제품</v>
          </cell>
          <cell r="D1019" t="str">
            <v>윈도우 제품군</v>
          </cell>
          <cell r="E1019" t="str">
            <v>염료</v>
          </cell>
          <cell r="F1019" t="str">
            <v>2PLY</v>
          </cell>
        </row>
        <row r="1020">
          <cell r="A1020">
            <v>29772</v>
          </cell>
          <cell r="B1020" t="str">
            <v>IR-ND-1095(ATO)</v>
          </cell>
          <cell r="C1020" t="str">
            <v>제품</v>
          </cell>
          <cell r="D1020" t="str">
            <v>윈도우 제품군</v>
          </cell>
          <cell r="E1020" t="str">
            <v>전략</v>
          </cell>
          <cell r="F1020" t="str">
            <v>IR</v>
          </cell>
        </row>
        <row r="1021">
          <cell r="A1021">
            <v>29773</v>
          </cell>
          <cell r="B1021" t="str">
            <v>IR-ND-2095(ATO)</v>
          </cell>
          <cell r="C1021" t="str">
            <v>제품</v>
          </cell>
          <cell r="D1021" t="str">
            <v>윈도우 제품군</v>
          </cell>
          <cell r="E1021" t="str">
            <v>전략</v>
          </cell>
          <cell r="F1021" t="str">
            <v>IR</v>
          </cell>
        </row>
        <row r="1022">
          <cell r="A1022">
            <v>29774</v>
          </cell>
          <cell r="B1022" t="str">
            <v>SCF-DC-SILVERBLUE17(0.6)NON SR</v>
          </cell>
          <cell r="C1022" t="str">
            <v>제품</v>
          </cell>
          <cell r="D1022" t="str">
            <v>윈도우 제품군</v>
          </cell>
          <cell r="E1022" t="str">
            <v>염료</v>
          </cell>
          <cell r="F1022" t="str">
            <v>2PLY</v>
          </cell>
        </row>
        <row r="1023">
          <cell r="A1023">
            <v>29784</v>
          </cell>
          <cell r="B1023" t="str">
            <v>SFSL-ND-CCS20+8MIL</v>
          </cell>
          <cell r="C1023" t="str">
            <v>제품</v>
          </cell>
          <cell r="D1023" t="str">
            <v>윈도우 제품군</v>
          </cell>
          <cell r="E1023" t="str">
            <v>전략</v>
          </cell>
          <cell r="F1023" t="str">
            <v>SAFETY</v>
          </cell>
        </row>
        <row r="1024">
          <cell r="A1024">
            <v>29785</v>
          </cell>
          <cell r="B1024" t="str">
            <v>SFSL-ND-CCS05+8MIL</v>
          </cell>
          <cell r="C1024" t="str">
            <v>제품</v>
          </cell>
          <cell r="D1024" t="str">
            <v>윈도우 제품군</v>
          </cell>
          <cell r="E1024" t="str">
            <v>전략</v>
          </cell>
          <cell r="F1024" t="str">
            <v>SAFETY</v>
          </cell>
        </row>
        <row r="1025">
          <cell r="A1025">
            <v>29786</v>
          </cell>
          <cell r="B1025" t="str">
            <v>SFSL-ND-CCS35+8MIL</v>
          </cell>
          <cell r="C1025" t="str">
            <v>제품</v>
          </cell>
          <cell r="D1025" t="str">
            <v>윈도우 제품군</v>
          </cell>
          <cell r="E1025" t="str">
            <v>전략</v>
          </cell>
          <cell r="F1025" t="str">
            <v>SAFETY</v>
          </cell>
        </row>
        <row r="1026">
          <cell r="A1026">
            <v>29787</v>
          </cell>
          <cell r="B1026" t="str">
            <v>SFSL-ND-CCS50+8MIL</v>
          </cell>
          <cell r="C1026" t="str">
            <v>제품</v>
          </cell>
          <cell r="D1026" t="str">
            <v>윈도우 제품군</v>
          </cell>
          <cell r="E1026" t="str">
            <v>전략</v>
          </cell>
          <cell r="F1026" t="str">
            <v>SAFETY</v>
          </cell>
        </row>
        <row r="1027">
          <cell r="A1027">
            <v>29788</v>
          </cell>
          <cell r="B1027" t="str">
            <v>SCF-NS-DARK BROWN 35</v>
          </cell>
          <cell r="C1027" t="str">
            <v>제품</v>
          </cell>
          <cell r="D1027" t="str">
            <v>윈도우 제품군</v>
          </cell>
          <cell r="E1027" t="str">
            <v>염료</v>
          </cell>
          <cell r="F1027" t="str">
            <v>1PLY</v>
          </cell>
        </row>
        <row r="1028">
          <cell r="A1028">
            <v>29789</v>
          </cell>
          <cell r="B1028" t="str">
            <v>SCF-NS-BROWN 35</v>
          </cell>
          <cell r="C1028" t="str">
            <v>제품</v>
          </cell>
          <cell r="D1028" t="str">
            <v>윈도우 제품군</v>
          </cell>
          <cell r="E1028" t="str">
            <v>염료</v>
          </cell>
          <cell r="F1028" t="str">
            <v>1PLY</v>
          </cell>
        </row>
        <row r="1029">
          <cell r="A1029">
            <v>29800</v>
          </cell>
          <cell r="B1029" t="str">
            <v>IR-ND-0595(ATO)</v>
          </cell>
          <cell r="C1029" t="str">
            <v>제품</v>
          </cell>
          <cell r="D1029" t="str">
            <v>윈도우 제품군</v>
          </cell>
          <cell r="E1029" t="str">
            <v>전략</v>
          </cell>
          <cell r="F1029" t="str">
            <v>IR</v>
          </cell>
        </row>
        <row r="1030">
          <cell r="A1030">
            <v>29804</v>
          </cell>
          <cell r="B1030" t="str">
            <v>SP(NEW)-DM-BK35(A)(0.25)</v>
          </cell>
          <cell r="C1030" t="str">
            <v>제품</v>
          </cell>
          <cell r="D1030" t="str">
            <v>윈도우 제품군</v>
          </cell>
          <cell r="E1030" t="str">
            <v>전략</v>
          </cell>
          <cell r="F1030" t="str">
            <v>SP</v>
          </cell>
        </row>
        <row r="1031">
          <cell r="A1031">
            <v>29805</v>
          </cell>
          <cell r="B1031" t="str">
            <v>SP(NEW)-DM-BK20(B)(0.25)</v>
          </cell>
          <cell r="C1031" t="str">
            <v>제품</v>
          </cell>
          <cell r="D1031" t="str">
            <v>윈도우 제품군</v>
          </cell>
          <cell r="E1031" t="str">
            <v>전략</v>
          </cell>
          <cell r="F1031" t="str">
            <v>SP</v>
          </cell>
        </row>
        <row r="1032">
          <cell r="A1032">
            <v>29806</v>
          </cell>
          <cell r="B1032" t="str">
            <v>SP(NEW)-DM-BK30(B)(0.25)</v>
          </cell>
          <cell r="C1032" t="str">
            <v>제품</v>
          </cell>
          <cell r="D1032" t="str">
            <v>윈도우 제품군</v>
          </cell>
          <cell r="E1032" t="str">
            <v>전략</v>
          </cell>
          <cell r="F1032" t="str">
            <v>SP</v>
          </cell>
        </row>
        <row r="1033">
          <cell r="A1033">
            <v>29807</v>
          </cell>
          <cell r="B1033" t="str">
            <v>SP(NEW)-DM-BK35(C)(0.2)</v>
          </cell>
          <cell r="C1033" t="str">
            <v>제품</v>
          </cell>
          <cell r="D1033" t="str">
            <v>윈도우 제품군</v>
          </cell>
          <cell r="E1033" t="str">
            <v>전략</v>
          </cell>
          <cell r="F1033" t="str">
            <v>SP</v>
          </cell>
        </row>
        <row r="1034">
          <cell r="A1034">
            <v>29808</v>
          </cell>
          <cell r="B1034" t="str">
            <v>SP(A)-ND-ASP10</v>
          </cell>
          <cell r="C1034" t="str">
            <v>제품</v>
          </cell>
          <cell r="D1034" t="str">
            <v>윈도우 제품군</v>
          </cell>
          <cell r="E1034" t="str">
            <v>전략</v>
          </cell>
          <cell r="F1034" t="str">
            <v>SP</v>
          </cell>
        </row>
        <row r="1035">
          <cell r="A1035">
            <v>29809</v>
          </cell>
          <cell r="B1035" t="str">
            <v>SP(A)-NS-ASP10</v>
          </cell>
          <cell r="C1035" t="str">
            <v>제품</v>
          </cell>
          <cell r="D1035" t="str">
            <v>윈도우 제품군</v>
          </cell>
          <cell r="E1035" t="str">
            <v>전략</v>
          </cell>
          <cell r="F1035" t="str">
            <v>SP</v>
          </cell>
        </row>
        <row r="1036">
          <cell r="A1036">
            <v>29814</v>
          </cell>
          <cell r="B1036" t="str">
            <v>SP(New)-NS-CCH3540</v>
          </cell>
          <cell r="C1036" t="str">
            <v>제품</v>
          </cell>
          <cell r="D1036" t="str">
            <v>윈도우 제품군</v>
          </cell>
          <cell r="E1036" t="str">
            <v>전략</v>
          </cell>
          <cell r="F1036" t="str">
            <v>SP</v>
          </cell>
        </row>
        <row r="1037">
          <cell r="A1037">
            <v>29816</v>
          </cell>
          <cell r="B1037" t="str">
            <v>SP(NEW)-DC-BK35(A)(0.25)</v>
          </cell>
          <cell r="C1037" t="str">
            <v>제품</v>
          </cell>
          <cell r="D1037" t="str">
            <v>윈도우 제품군</v>
          </cell>
          <cell r="E1037" t="str">
            <v>전략</v>
          </cell>
          <cell r="F1037" t="str">
            <v>SP</v>
          </cell>
        </row>
        <row r="1038">
          <cell r="A1038">
            <v>29817</v>
          </cell>
          <cell r="B1038" t="str">
            <v>SP(NEW)-DC-BK20(B)(0.25)</v>
          </cell>
          <cell r="C1038" t="str">
            <v>제품</v>
          </cell>
          <cell r="D1038" t="str">
            <v>윈도우 제품군</v>
          </cell>
          <cell r="E1038" t="str">
            <v>전략</v>
          </cell>
          <cell r="F1038" t="str">
            <v>SP</v>
          </cell>
        </row>
        <row r="1039">
          <cell r="A1039">
            <v>29818</v>
          </cell>
          <cell r="B1039" t="str">
            <v>SP(NEW)-DC-BK30(B)(0.25)</v>
          </cell>
          <cell r="C1039" t="str">
            <v>제품</v>
          </cell>
          <cell r="D1039" t="str">
            <v>윈도우 제품군</v>
          </cell>
          <cell r="E1039" t="str">
            <v>전략</v>
          </cell>
          <cell r="F1039" t="str">
            <v>SP</v>
          </cell>
        </row>
        <row r="1040">
          <cell r="A1040">
            <v>29819</v>
          </cell>
          <cell r="B1040" t="str">
            <v>SP(NEW)-DC-BK35(C)(0.2)</v>
          </cell>
          <cell r="C1040" t="str">
            <v>제품</v>
          </cell>
          <cell r="D1040" t="str">
            <v>윈도우 제품군</v>
          </cell>
          <cell r="E1040" t="str">
            <v>전략</v>
          </cell>
          <cell r="F1040" t="str">
            <v>SP</v>
          </cell>
        </row>
        <row r="1041">
          <cell r="A1041">
            <v>29820</v>
          </cell>
          <cell r="B1041" t="str">
            <v>SP(NEW)-DC-CH20(0.2)</v>
          </cell>
          <cell r="C1041" t="str">
            <v>제품</v>
          </cell>
          <cell r="D1041" t="str">
            <v>윈도우 제품군</v>
          </cell>
          <cell r="E1041" t="str">
            <v>전략</v>
          </cell>
          <cell r="F1041" t="str">
            <v>SP</v>
          </cell>
        </row>
        <row r="1042">
          <cell r="A1042">
            <v>29821</v>
          </cell>
          <cell r="B1042" t="str">
            <v>SP(NEW)-DC-CH35(0.2)</v>
          </cell>
          <cell r="C1042" t="str">
            <v>제품</v>
          </cell>
          <cell r="D1042" t="str">
            <v>윈도우 제품군</v>
          </cell>
          <cell r="E1042" t="str">
            <v>전략</v>
          </cell>
          <cell r="F1042" t="str">
            <v>SP</v>
          </cell>
        </row>
        <row r="1043">
          <cell r="A1043">
            <v>29822</v>
          </cell>
          <cell r="B1043" t="str">
            <v>SP(NEW)-DM-SSP10(Sputter AL35%)</v>
          </cell>
          <cell r="C1043" t="str">
            <v>제품</v>
          </cell>
          <cell r="D1043" t="str">
            <v>윈도우 제품군</v>
          </cell>
          <cell r="E1043" t="str">
            <v>전략</v>
          </cell>
          <cell r="F1043" t="str">
            <v>SP</v>
          </cell>
        </row>
        <row r="1044">
          <cell r="A1044">
            <v>29823</v>
          </cell>
          <cell r="B1044" t="str">
            <v>SP(NEW)-DM-SSP12(Sputter AL50%)</v>
          </cell>
          <cell r="C1044" t="str">
            <v>제품</v>
          </cell>
          <cell r="D1044" t="str">
            <v>윈도우 제품군</v>
          </cell>
          <cell r="E1044" t="str">
            <v>전략</v>
          </cell>
          <cell r="F1044" t="str">
            <v>SP</v>
          </cell>
        </row>
        <row r="1045">
          <cell r="A1045">
            <v>29824</v>
          </cell>
          <cell r="B1045" t="str">
            <v>SP(NEW)-DC-SSP35(Sputter AL50%)</v>
          </cell>
          <cell r="C1045" t="str">
            <v>제품</v>
          </cell>
          <cell r="D1045" t="str">
            <v>윈도우 제품군</v>
          </cell>
          <cell r="E1045" t="str">
            <v>전략</v>
          </cell>
          <cell r="F1045" t="str">
            <v>SP</v>
          </cell>
        </row>
        <row r="1046">
          <cell r="A1046">
            <v>29826</v>
          </cell>
          <cell r="B1046" t="str">
            <v>SCF-DM-SSS35 (고광택 Sputter AL30%)</v>
          </cell>
          <cell r="C1046" t="str">
            <v>제품</v>
          </cell>
          <cell r="D1046" t="str">
            <v>윈도우 제품군</v>
          </cell>
          <cell r="E1046" t="str">
            <v>염료</v>
          </cell>
          <cell r="F1046" t="str">
            <v>2PLY</v>
          </cell>
        </row>
        <row r="1047">
          <cell r="A1047">
            <v>29827</v>
          </cell>
          <cell r="B1047" t="str">
            <v>SCF-DM-SSS50 (고광택 Sputter AL42%)</v>
          </cell>
          <cell r="C1047" t="str">
            <v>제품</v>
          </cell>
          <cell r="D1047" t="str">
            <v>윈도우 제품군</v>
          </cell>
          <cell r="E1047" t="str">
            <v>염료</v>
          </cell>
          <cell r="F1047" t="str">
            <v>2PLY</v>
          </cell>
        </row>
        <row r="1048">
          <cell r="A1048">
            <v>29831</v>
          </cell>
          <cell r="B1048" t="str">
            <v>SP(A)-NS-ASP07</v>
          </cell>
          <cell r="C1048" t="str">
            <v>제품</v>
          </cell>
          <cell r="D1048" t="str">
            <v>윈도우 제품군</v>
          </cell>
          <cell r="E1048" t="str">
            <v>전략</v>
          </cell>
          <cell r="F1048" t="str">
            <v>SP</v>
          </cell>
        </row>
        <row r="1049">
          <cell r="A1049">
            <v>29832</v>
          </cell>
          <cell r="B1049" t="str">
            <v>SP(A)-NS-ASP17</v>
          </cell>
          <cell r="C1049" t="str">
            <v>제품</v>
          </cell>
          <cell r="D1049" t="str">
            <v>윈도우 제품군</v>
          </cell>
          <cell r="E1049" t="str">
            <v>전략</v>
          </cell>
          <cell r="F1049" t="str">
            <v>SP</v>
          </cell>
        </row>
        <row r="1050">
          <cell r="A1050">
            <v>29833</v>
          </cell>
          <cell r="B1050" t="str">
            <v>SP(A)-NS-ASP37</v>
          </cell>
          <cell r="C1050" t="str">
            <v>제품</v>
          </cell>
          <cell r="D1050" t="str">
            <v>윈도우 제품군</v>
          </cell>
          <cell r="E1050" t="str">
            <v>전략</v>
          </cell>
          <cell r="F1050" t="str">
            <v>SP</v>
          </cell>
        </row>
        <row r="1051">
          <cell r="A1051">
            <v>29834</v>
          </cell>
          <cell r="B1051" t="str">
            <v>SP(A)-NS-ASP47</v>
          </cell>
          <cell r="C1051" t="str">
            <v>제품</v>
          </cell>
          <cell r="D1051" t="str">
            <v>윈도우 제품군</v>
          </cell>
          <cell r="E1051" t="str">
            <v>전략</v>
          </cell>
          <cell r="F1051" t="str">
            <v>SP</v>
          </cell>
        </row>
        <row r="1052">
          <cell r="A1052">
            <v>29835</v>
          </cell>
          <cell r="B1052" t="str">
            <v>SP(A)-ND-ASP07</v>
          </cell>
          <cell r="C1052" t="str">
            <v>제품</v>
          </cell>
          <cell r="D1052" t="str">
            <v>윈도우 제품군</v>
          </cell>
          <cell r="E1052" t="str">
            <v>전략</v>
          </cell>
          <cell r="F1052" t="str">
            <v>SP</v>
          </cell>
        </row>
        <row r="1053">
          <cell r="A1053">
            <v>29836</v>
          </cell>
          <cell r="B1053" t="str">
            <v>SP(A)-ND-ASP17</v>
          </cell>
          <cell r="C1053" t="str">
            <v>제품</v>
          </cell>
          <cell r="D1053" t="str">
            <v>윈도우 제품군</v>
          </cell>
          <cell r="E1053" t="str">
            <v>전략</v>
          </cell>
          <cell r="F1053" t="str">
            <v>SP</v>
          </cell>
        </row>
        <row r="1054">
          <cell r="A1054">
            <v>29837</v>
          </cell>
          <cell r="B1054" t="str">
            <v>SP(A)-ND-ASP37</v>
          </cell>
          <cell r="C1054" t="str">
            <v>제품</v>
          </cell>
          <cell r="D1054" t="str">
            <v>윈도우 제품군</v>
          </cell>
          <cell r="E1054" t="str">
            <v>전략</v>
          </cell>
          <cell r="F1054" t="str">
            <v>SP</v>
          </cell>
        </row>
        <row r="1055">
          <cell r="A1055">
            <v>29838</v>
          </cell>
          <cell r="B1055" t="str">
            <v>SP(A)-ND-ASP47</v>
          </cell>
          <cell r="C1055" t="str">
            <v>제품</v>
          </cell>
          <cell r="D1055" t="str">
            <v>윈도우 제품군</v>
          </cell>
          <cell r="E1055" t="str">
            <v>전략</v>
          </cell>
          <cell r="F1055" t="str">
            <v>SP</v>
          </cell>
        </row>
        <row r="1056">
          <cell r="A1056">
            <v>29843</v>
          </cell>
          <cell r="B1056" t="str">
            <v>SCF-DC-GREEN35 (0.25)</v>
          </cell>
          <cell r="C1056" t="str">
            <v>제품</v>
          </cell>
          <cell r="D1056" t="str">
            <v>윈도우 제품군</v>
          </cell>
          <cell r="E1056" t="str">
            <v>염료</v>
          </cell>
          <cell r="F1056" t="str">
            <v>2PLY</v>
          </cell>
        </row>
        <row r="1057">
          <cell r="A1057">
            <v>29844</v>
          </cell>
          <cell r="B1057" t="str">
            <v>SCF-NS-LGN58</v>
          </cell>
          <cell r="C1057" t="str">
            <v>제품</v>
          </cell>
          <cell r="D1057" t="str">
            <v>윈도우 제품군</v>
          </cell>
          <cell r="E1057" t="str">
            <v>염료</v>
          </cell>
          <cell r="F1057" t="str">
            <v>1PLY</v>
          </cell>
        </row>
        <row r="1058">
          <cell r="A1058">
            <v>29845</v>
          </cell>
          <cell r="B1058" t="str">
            <v>SCF-NS-GREEN35</v>
          </cell>
          <cell r="C1058" t="str">
            <v>제품</v>
          </cell>
          <cell r="D1058" t="str">
            <v>윈도우 제품군</v>
          </cell>
          <cell r="E1058" t="str">
            <v>염료</v>
          </cell>
          <cell r="F1058" t="str">
            <v>1PLY</v>
          </cell>
        </row>
        <row r="1059">
          <cell r="A1059">
            <v>29846</v>
          </cell>
          <cell r="B1059" t="str">
            <v>SCF-DM-B 15D BLACK 2PLY REFLECTIVE</v>
          </cell>
          <cell r="C1059" t="str">
            <v>제품</v>
          </cell>
          <cell r="D1059" t="str">
            <v>윈도우 제품군</v>
          </cell>
          <cell r="E1059" t="str">
            <v>염료</v>
          </cell>
          <cell r="F1059" t="str">
            <v>2PLY</v>
          </cell>
        </row>
        <row r="1060">
          <cell r="A1060">
            <v>29847</v>
          </cell>
          <cell r="B1060" t="str">
            <v>SCF-DM-B05D(0.3)</v>
          </cell>
          <cell r="C1060" t="str">
            <v>제품</v>
          </cell>
          <cell r="D1060" t="str">
            <v>윈도우 제품군</v>
          </cell>
          <cell r="E1060" t="str">
            <v>염료</v>
          </cell>
          <cell r="F1060" t="str">
            <v>2PLY</v>
          </cell>
        </row>
        <row r="1061">
          <cell r="A1061">
            <v>29848</v>
          </cell>
          <cell r="B1061" t="str">
            <v>SCF-NS-NATURAL BLUE 35</v>
          </cell>
          <cell r="C1061" t="str">
            <v>제품</v>
          </cell>
          <cell r="D1061" t="str">
            <v>윈도우 제품군</v>
          </cell>
          <cell r="E1061" t="str">
            <v>염료</v>
          </cell>
          <cell r="F1061" t="str">
            <v>1PLY</v>
          </cell>
        </row>
        <row r="1062">
          <cell r="A1062">
            <v>29849</v>
          </cell>
          <cell r="B1062" t="str">
            <v>SCF-DM-BLACK/SILVER 15 (0.6)</v>
          </cell>
          <cell r="C1062" t="str">
            <v>제품</v>
          </cell>
          <cell r="D1062" t="str">
            <v>윈도우 제품군</v>
          </cell>
          <cell r="E1062" t="str">
            <v>염료</v>
          </cell>
          <cell r="F1062" t="str">
            <v>2PLY</v>
          </cell>
        </row>
        <row r="1063">
          <cell r="A1063">
            <v>29855</v>
          </cell>
          <cell r="B1063" t="str">
            <v>SP(New)-NS-CBK 05</v>
          </cell>
          <cell r="C1063" t="str">
            <v>제품</v>
          </cell>
          <cell r="D1063" t="str">
            <v>윈도우 제품군</v>
          </cell>
          <cell r="E1063" t="str">
            <v>전략</v>
          </cell>
          <cell r="F1063" t="str">
            <v>SP</v>
          </cell>
        </row>
        <row r="1064">
          <cell r="A1064">
            <v>29856</v>
          </cell>
          <cell r="B1064" t="str">
            <v>SP(New)-NS-CBK 10</v>
          </cell>
          <cell r="C1064" t="str">
            <v>제품</v>
          </cell>
          <cell r="D1064" t="str">
            <v>윈도우 제품군</v>
          </cell>
          <cell r="E1064" t="str">
            <v>전략</v>
          </cell>
          <cell r="F1064" t="str">
            <v>SP</v>
          </cell>
        </row>
        <row r="1065">
          <cell r="A1065">
            <v>29857</v>
          </cell>
          <cell r="B1065" t="str">
            <v>SP(New)-NS-CBK 15</v>
          </cell>
          <cell r="C1065" t="str">
            <v>제품</v>
          </cell>
          <cell r="D1065" t="str">
            <v>윈도우 제품군</v>
          </cell>
          <cell r="E1065" t="str">
            <v>전략</v>
          </cell>
          <cell r="F1065" t="str">
            <v>SP</v>
          </cell>
        </row>
        <row r="1066">
          <cell r="A1066">
            <v>29858</v>
          </cell>
          <cell r="B1066" t="str">
            <v>SP(New)-NS-CBK 35</v>
          </cell>
          <cell r="C1066" t="str">
            <v>제품</v>
          </cell>
          <cell r="D1066" t="str">
            <v>윈도우 제품군</v>
          </cell>
          <cell r="E1066" t="str">
            <v>전략</v>
          </cell>
          <cell r="F1066" t="str">
            <v>SP</v>
          </cell>
        </row>
        <row r="1067">
          <cell r="A1067">
            <v>29859</v>
          </cell>
          <cell r="B1067" t="str">
            <v>SP(New)-NS-CBK 50</v>
          </cell>
          <cell r="C1067" t="str">
            <v>제품</v>
          </cell>
          <cell r="D1067" t="str">
            <v>윈도우 제품군</v>
          </cell>
          <cell r="E1067" t="str">
            <v>전략</v>
          </cell>
          <cell r="F1067" t="str">
            <v>SP</v>
          </cell>
        </row>
        <row r="1068">
          <cell r="A1068">
            <v>29897</v>
          </cell>
          <cell r="B1068" t="str">
            <v>SCF-DM-SGN15 (Beijing Rijia向 0.2)</v>
          </cell>
          <cell r="C1068" t="str">
            <v>제품</v>
          </cell>
          <cell r="D1068" t="str">
            <v>윈도우 제품군</v>
          </cell>
          <cell r="E1068" t="str">
            <v>염료</v>
          </cell>
          <cell r="F1068" t="str">
            <v>2PLY</v>
          </cell>
        </row>
        <row r="1069">
          <cell r="A1069">
            <v>29898</v>
          </cell>
          <cell r="B1069" t="str">
            <v>Phantom(ASP)-ND-S7 0770</v>
          </cell>
          <cell r="C1069" t="str">
            <v>제품</v>
          </cell>
          <cell r="D1069" t="str">
            <v>윈도우 제품군</v>
          </cell>
          <cell r="E1069" t="str">
            <v>전략</v>
          </cell>
          <cell r="F1069" t="str">
            <v>SP</v>
          </cell>
        </row>
        <row r="1070">
          <cell r="A1070">
            <v>29899</v>
          </cell>
          <cell r="B1070" t="str">
            <v>Phantom(ASP)-ND-S7 1770</v>
          </cell>
          <cell r="C1070" t="str">
            <v>제품</v>
          </cell>
          <cell r="D1070" t="str">
            <v>윈도우 제품군</v>
          </cell>
          <cell r="E1070" t="str">
            <v>전략</v>
          </cell>
          <cell r="F1070" t="str">
            <v>SP</v>
          </cell>
        </row>
        <row r="1071">
          <cell r="A1071">
            <v>29900</v>
          </cell>
          <cell r="B1071" t="str">
            <v>Phantom(ASP)-ND-S7 3770</v>
          </cell>
          <cell r="C1071" t="str">
            <v>제품</v>
          </cell>
          <cell r="D1071" t="str">
            <v>윈도우 제품군</v>
          </cell>
          <cell r="E1071" t="str">
            <v>전략</v>
          </cell>
          <cell r="F1071" t="str">
            <v>SP</v>
          </cell>
        </row>
        <row r="1072">
          <cell r="A1072">
            <v>29901</v>
          </cell>
          <cell r="B1072" t="str">
            <v>Phantom(ASP)-ND-S7 4770</v>
          </cell>
          <cell r="C1072" t="str">
            <v>제품</v>
          </cell>
          <cell r="D1072" t="str">
            <v>윈도우 제품군</v>
          </cell>
          <cell r="E1072" t="str">
            <v>전략</v>
          </cell>
          <cell r="F1072" t="str">
            <v>SP</v>
          </cell>
        </row>
        <row r="1073">
          <cell r="A1073">
            <v>29902</v>
          </cell>
          <cell r="B1073" t="str">
            <v>Phantom(ASP)-ND-S5 1750</v>
          </cell>
          <cell r="C1073" t="str">
            <v>제품</v>
          </cell>
          <cell r="D1073" t="str">
            <v>윈도우 제품군</v>
          </cell>
          <cell r="E1073" t="str">
            <v>전략</v>
          </cell>
          <cell r="F1073" t="str">
            <v>SP</v>
          </cell>
        </row>
        <row r="1074">
          <cell r="A1074">
            <v>29903</v>
          </cell>
          <cell r="B1074" t="str">
            <v>Phantom(SP)-ND-CCH 37</v>
          </cell>
          <cell r="C1074" t="str">
            <v>제품</v>
          </cell>
          <cell r="D1074" t="str">
            <v>윈도우 제품군</v>
          </cell>
          <cell r="E1074" t="str">
            <v>전략</v>
          </cell>
          <cell r="F1074" t="str">
            <v>SP</v>
          </cell>
        </row>
        <row r="1075">
          <cell r="A1075">
            <v>29904</v>
          </cell>
          <cell r="B1075" t="str">
            <v>Phantom(ASP)-ND-S5 3750</v>
          </cell>
          <cell r="C1075" t="str">
            <v>제품</v>
          </cell>
          <cell r="D1075" t="str">
            <v>윈도우 제품군</v>
          </cell>
          <cell r="E1075" t="str">
            <v>전략</v>
          </cell>
          <cell r="F1075" t="str">
            <v>SP</v>
          </cell>
        </row>
        <row r="1076">
          <cell r="A1076">
            <v>29913</v>
          </cell>
          <cell r="B1076" t="str">
            <v>IR-ND-IBLDF 5095 (고효율_SLR80%)</v>
          </cell>
          <cell r="C1076" t="str">
            <v>제품</v>
          </cell>
          <cell r="D1076" t="str">
            <v>윈도우 제품군</v>
          </cell>
          <cell r="E1076" t="str">
            <v>전략</v>
          </cell>
          <cell r="F1076" t="str">
            <v>IR</v>
          </cell>
        </row>
        <row r="1077">
          <cell r="A1077">
            <v>29920</v>
          </cell>
          <cell r="B1077" t="str">
            <v>Phantom(ASP)-ND-S9 0790</v>
          </cell>
          <cell r="C1077" t="str">
            <v>제품</v>
          </cell>
          <cell r="D1077" t="str">
            <v>윈도우 제품군</v>
          </cell>
          <cell r="E1077" t="str">
            <v>전략</v>
          </cell>
          <cell r="F1077" t="str">
            <v>SP</v>
          </cell>
        </row>
        <row r="1078">
          <cell r="A1078">
            <v>29921</v>
          </cell>
          <cell r="B1078" t="str">
            <v>Phantom(ASP)-ND-S9 1790</v>
          </cell>
          <cell r="C1078" t="str">
            <v>제품</v>
          </cell>
          <cell r="D1078" t="str">
            <v>윈도우 제품군</v>
          </cell>
          <cell r="E1078" t="str">
            <v>전략</v>
          </cell>
          <cell r="F1078" t="str">
            <v>SP</v>
          </cell>
        </row>
        <row r="1079">
          <cell r="A1079">
            <v>29922</v>
          </cell>
          <cell r="B1079" t="str">
            <v>Phantom(ASP)-ND-S9 3790</v>
          </cell>
          <cell r="C1079" t="str">
            <v>제품</v>
          </cell>
          <cell r="D1079" t="str">
            <v>윈도우 제품군</v>
          </cell>
          <cell r="E1079" t="str">
            <v>전략</v>
          </cell>
          <cell r="F1079" t="str">
            <v>SP</v>
          </cell>
        </row>
        <row r="1080">
          <cell r="A1080">
            <v>29923</v>
          </cell>
          <cell r="B1080" t="str">
            <v>Phantom(ASP)-ND-S9 4790</v>
          </cell>
          <cell r="C1080" t="str">
            <v>제품</v>
          </cell>
          <cell r="D1080" t="str">
            <v>윈도우 제품군</v>
          </cell>
          <cell r="E1080" t="str">
            <v>전략</v>
          </cell>
          <cell r="F1080" t="str">
            <v>SP</v>
          </cell>
        </row>
        <row r="1081">
          <cell r="A1081">
            <v>29924</v>
          </cell>
          <cell r="B1081" t="str">
            <v>Phantom(ASP)-ND-S5 0750</v>
          </cell>
          <cell r="C1081" t="str">
            <v>제품</v>
          </cell>
          <cell r="D1081" t="str">
            <v>윈도우 제품군</v>
          </cell>
          <cell r="E1081" t="str">
            <v>전략</v>
          </cell>
          <cell r="F1081" t="str">
            <v>SP</v>
          </cell>
        </row>
        <row r="1082">
          <cell r="A1082">
            <v>29925</v>
          </cell>
          <cell r="B1082" t="str">
            <v>Phantom(ASP)-ND-S5 4750</v>
          </cell>
          <cell r="C1082" t="str">
            <v>제품</v>
          </cell>
          <cell r="D1082" t="str">
            <v>윈도우 제품군</v>
          </cell>
          <cell r="E1082" t="str">
            <v>전략</v>
          </cell>
          <cell r="F1082" t="str">
            <v>SP</v>
          </cell>
        </row>
        <row r="1083">
          <cell r="A1083">
            <v>29927</v>
          </cell>
          <cell r="B1083" t="str">
            <v>SP(Exterior)-ND-CH47</v>
          </cell>
          <cell r="C1083" t="str">
            <v>제품</v>
          </cell>
          <cell r="D1083" t="str">
            <v>윈도우 제품군</v>
          </cell>
          <cell r="E1083" t="str">
            <v>전략</v>
          </cell>
          <cell r="F1083" t="str">
            <v>SP</v>
          </cell>
        </row>
        <row r="1084">
          <cell r="A1084">
            <v>29928</v>
          </cell>
          <cell r="B1084" t="str">
            <v>SP(New)-ND-CS 05</v>
          </cell>
          <cell r="C1084" t="str">
            <v>제품</v>
          </cell>
          <cell r="D1084" t="str">
            <v>윈도우 제품군</v>
          </cell>
          <cell r="E1084" t="str">
            <v>전략</v>
          </cell>
          <cell r="F1084" t="str">
            <v>SP</v>
          </cell>
        </row>
        <row r="1085">
          <cell r="A1085">
            <v>29929</v>
          </cell>
          <cell r="B1085" t="str">
            <v>SP(New)-ND-CS 20</v>
          </cell>
          <cell r="C1085" t="str">
            <v>제품</v>
          </cell>
          <cell r="D1085" t="str">
            <v>윈도우 제품군</v>
          </cell>
          <cell r="E1085" t="str">
            <v>전략</v>
          </cell>
          <cell r="F1085" t="str">
            <v>SP</v>
          </cell>
        </row>
        <row r="1086">
          <cell r="A1086">
            <v>29930</v>
          </cell>
          <cell r="B1086" t="str">
            <v>SP(New)-ND-CS 35</v>
          </cell>
          <cell r="C1086" t="str">
            <v>제품</v>
          </cell>
          <cell r="D1086" t="str">
            <v>윈도우 제품군</v>
          </cell>
          <cell r="E1086" t="str">
            <v>전략</v>
          </cell>
          <cell r="F1086" t="str">
            <v>SP</v>
          </cell>
        </row>
        <row r="1087">
          <cell r="A1087">
            <v>29931</v>
          </cell>
          <cell r="B1087" t="str">
            <v>SCF-ND-SBK808</v>
          </cell>
          <cell r="C1087" t="str">
            <v>제품</v>
          </cell>
          <cell r="D1087" t="str">
            <v>윈도우 제품군</v>
          </cell>
          <cell r="E1087" t="str">
            <v>염료</v>
          </cell>
          <cell r="F1087" t="str">
            <v>2PLY</v>
          </cell>
        </row>
        <row r="1088">
          <cell r="A1088">
            <v>29932</v>
          </cell>
          <cell r="B1088" t="str">
            <v>SCF-ND-K 20</v>
          </cell>
          <cell r="C1088" t="str">
            <v>제품</v>
          </cell>
          <cell r="D1088" t="str">
            <v>윈도우 제품군</v>
          </cell>
          <cell r="E1088" t="str">
            <v>염료</v>
          </cell>
          <cell r="F1088" t="str">
            <v>2PLY</v>
          </cell>
        </row>
        <row r="1089">
          <cell r="A1089">
            <v>29938</v>
          </cell>
          <cell r="B1089" t="str">
            <v>SCF-DM-NA20 (0.25)</v>
          </cell>
          <cell r="C1089" t="str">
            <v>제품</v>
          </cell>
          <cell r="D1089" t="str">
            <v>윈도우 제품군</v>
          </cell>
          <cell r="E1089" t="str">
            <v>염료</v>
          </cell>
          <cell r="F1089" t="str">
            <v>2PLY</v>
          </cell>
        </row>
        <row r="1090">
          <cell r="A1090">
            <v>29939</v>
          </cell>
          <cell r="B1090" t="str">
            <v>SCF-DM-50D (0.25)</v>
          </cell>
          <cell r="C1090" t="str">
            <v>제품</v>
          </cell>
          <cell r="D1090" t="str">
            <v>윈도우 제품군</v>
          </cell>
          <cell r="E1090" t="str">
            <v>염료</v>
          </cell>
          <cell r="F1090" t="str">
            <v>2PLY</v>
          </cell>
        </row>
        <row r="1091">
          <cell r="A1091">
            <v>29940</v>
          </cell>
          <cell r="B1091" t="str">
            <v>IR-ND-IBLDF 6095 Trinity (3MIL)</v>
          </cell>
          <cell r="C1091" t="str">
            <v>제품</v>
          </cell>
          <cell r="D1091" t="str">
            <v>윈도우 제품군</v>
          </cell>
          <cell r="E1091" t="str">
            <v>전략</v>
          </cell>
          <cell r="F1091" t="str">
            <v>IR</v>
          </cell>
        </row>
        <row r="1092">
          <cell r="A1092">
            <v>29941</v>
          </cell>
          <cell r="B1092" t="str">
            <v>SCF-DM-BC30(0.3)</v>
          </cell>
          <cell r="C1092" t="str">
            <v>제품</v>
          </cell>
          <cell r="D1092" t="str">
            <v>윈도우 제품군</v>
          </cell>
          <cell r="E1092" t="str">
            <v>염료</v>
          </cell>
          <cell r="F1092" t="str">
            <v>2PLY</v>
          </cell>
        </row>
        <row r="1093">
          <cell r="A1093">
            <v>29942</v>
          </cell>
          <cell r="B1093" t="str">
            <v>SCF-DM-G35D(0.3)w861</v>
          </cell>
          <cell r="C1093" t="str">
            <v>제품</v>
          </cell>
          <cell r="D1093" t="str">
            <v>윈도우 제품군</v>
          </cell>
          <cell r="E1093" t="str">
            <v>염료</v>
          </cell>
          <cell r="F1093" t="str">
            <v>2PLY</v>
          </cell>
        </row>
        <row r="1094">
          <cell r="A1094">
            <v>29945</v>
          </cell>
          <cell r="B1094" t="str">
            <v>PLATINUM(AIR)-ND-IBLD7060</v>
          </cell>
          <cell r="C1094" t="str">
            <v>제품</v>
          </cell>
          <cell r="D1094" t="str">
            <v>윈도우 제품군</v>
          </cell>
          <cell r="E1094" t="str">
            <v>전략</v>
          </cell>
          <cell r="F1094" t="str">
            <v>IR</v>
          </cell>
        </row>
        <row r="1095">
          <cell r="A1095">
            <v>29952</v>
          </cell>
          <cell r="B1095" t="str">
            <v>TEST-stiffness 개선(점착제)</v>
          </cell>
          <cell r="C1095" t="str">
            <v>제품</v>
          </cell>
          <cell r="D1095" t="str">
            <v>윈도우 제품군</v>
          </cell>
          <cell r="E1095" t="str">
            <v>전략</v>
          </cell>
          <cell r="F1095" t="str">
            <v>SP</v>
          </cell>
        </row>
        <row r="1096">
          <cell r="A1096">
            <v>29953</v>
          </cell>
          <cell r="B1096" t="str">
            <v>TEST-stiffness 개선(접착제)</v>
          </cell>
          <cell r="C1096" t="str">
            <v>제품</v>
          </cell>
          <cell r="D1096" t="str">
            <v>윈도우 제품군</v>
          </cell>
          <cell r="E1096" t="str">
            <v>전략</v>
          </cell>
          <cell r="F1096" t="str">
            <v>SP</v>
          </cell>
        </row>
        <row r="1097">
          <cell r="A1097">
            <v>29974</v>
          </cell>
          <cell r="B1097" t="str">
            <v>SCF-DC-G20(0.3)</v>
          </cell>
          <cell r="C1097" t="str">
            <v>제품</v>
          </cell>
          <cell r="D1097" t="str">
            <v>윈도우 제품군</v>
          </cell>
          <cell r="E1097" t="str">
            <v>염료</v>
          </cell>
          <cell r="F1097" t="str">
            <v>2PLY</v>
          </cell>
        </row>
        <row r="1098">
          <cell r="A1098">
            <v>29975</v>
          </cell>
          <cell r="B1098" t="str">
            <v>SCF-DC-G05(0.3)</v>
          </cell>
          <cell r="C1098" t="str">
            <v>제품</v>
          </cell>
          <cell r="D1098" t="str">
            <v>윈도우 제품군</v>
          </cell>
          <cell r="E1098" t="str">
            <v>염료</v>
          </cell>
          <cell r="F1098" t="str">
            <v>2PLY</v>
          </cell>
        </row>
        <row r="1099">
          <cell r="A1099">
            <v>29980</v>
          </cell>
          <cell r="B1099" t="str">
            <v>IR-ND-TRUEBLUE 5099</v>
          </cell>
          <cell r="C1099" t="str">
            <v>제품</v>
          </cell>
          <cell r="D1099" t="str">
            <v>윈도우 제품군</v>
          </cell>
          <cell r="E1099" t="str">
            <v>전략</v>
          </cell>
          <cell r="F1099" t="str">
            <v>IR</v>
          </cell>
        </row>
        <row r="1100">
          <cell r="A1100">
            <v>29981</v>
          </cell>
          <cell r="B1100" t="str">
            <v>IR-ND-TRUEBLUE 3599</v>
          </cell>
          <cell r="C1100" t="str">
            <v>제품</v>
          </cell>
          <cell r="D1100" t="str">
            <v>윈도우 제품군</v>
          </cell>
          <cell r="E1100" t="str">
            <v>전략</v>
          </cell>
          <cell r="F1100" t="str">
            <v>IR</v>
          </cell>
        </row>
        <row r="1101">
          <cell r="A1101">
            <v>29995</v>
          </cell>
          <cell r="B1101" t="str">
            <v>Phantom(개선)-ND-S9 4790</v>
          </cell>
          <cell r="C1101" t="str">
            <v>제품</v>
          </cell>
          <cell r="D1101" t="str">
            <v>윈도우 제품군</v>
          </cell>
          <cell r="E1101" t="str">
            <v>전략</v>
          </cell>
          <cell r="F1101" t="str">
            <v>SP</v>
          </cell>
        </row>
        <row r="1102">
          <cell r="A1102">
            <v>29996</v>
          </cell>
          <cell r="B1102" t="str">
            <v>Phantom(개선)-ND-S9 3790</v>
          </cell>
          <cell r="C1102" t="str">
            <v>제품</v>
          </cell>
          <cell r="D1102" t="str">
            <v>윈도우 제품군</v>
          </cell>
          <cell r="E1102" t="str">
            <v>전략</v>
          </cell>
          <cell r="F1102" t="str">
            <v>SP</v>
          </cell>
        </row>
        <row r="1103">
          <cell r="A1103">
            <v>29997</v>
          </cell>
          <cell r="B1103" t="str">
            <v>Phantom(개선)-ND-S9 1790</v>
          </cell>
          <cell r="C1103" t="str">
            <v>제품</v>
          </cell>
          <cell r="D1103" t="str">
            <v>윈도우 제품군</v>
          </cell>
          <cell r="E1103" t="str">
            <v>전략</v>
          </cell>
          <cell r="F1103" t="str">
            <v>SP</v>
          </cell>
        </row>
        <row r="1104">
          <cell r="A1104">
            <v>29998</v>
          </cell>
          <cell r="B1104" t="str">
            <v>Phantom(개선)-ND-S9 0790</v>
          </cell>
          <cell r="C1104" t="str">
            <v>제품</v>
          </cell>
          <cell r="D1104" t="str">
            <v>윈도우 제품군</v>
          </cell>
          <cell r="E1104" t="str">
            <v>전략</v>
          </cell>
          <cell r="F1104" t="str">
            <v>SP</v>
          </cell>
        </row>
        <row r="1105">
          <cell r="A1105">
            <v>29999</v>
          </cell>
          <cell r="B1105" t="str">
            <v>Phantom(개선)-ND-S7 4770</v>
          </cell>
          <cell r="C1105" t="str">
            <v>제품</v>
          </cell>
          <cell r="D1105" t="str">
            <v>윈도우 제품군</v>
          </cell>
          <cell r="E1105" t="str">
            <v>전략</v>
          </cell>
          <cell r="F1105" t="str">
            <v>SP</v>
          </cell>
        </row>
        <row r="1106">
          <cell r="A1106">
            <v>30000</v>
          </cell>
          <cell r="B1106" t="str">
            <v>Phantom(개선)-ND-S7 3770</v>
          </cell>
          <cell r="C1106" t="str">
            <v>제품</v>
          </cell>
          <cell r="D1106" t="str">
            <v>윈도우 제품군</v>
          </cell>
          <cell r="E1106" t="str">
            <v>전략</v>
          </cell>
          <cell r="F1106" t="str">
            <v>SP</v>
          </cell>
        </row>
        <row r="1107">
          <cell r="A1107">
            <v>30001</v>
          </cell>
          <cell r="B1107" t="str">
            <v>Phantom(개선)-ND-S7 1770</v>
          </cell>
          <cell r="C1107" t="str">
            <v>제품</v>
          </cell>
          <cell r="D1107" t="str">
            <v>윈도우 제품군</v>
          </cell>
          <cell r="E1107" t="str">
            <v>전략</v>
          </cell>
          <cell r="F1107" t="str">
            <v>SP</v>
          </cell>
        </row>
        <row r="1108">
          <cell r="A1108">
            <v>30002</v>
          </cell>
          <cell r="B1108" t="str">
            <v>Phantom(개선)-ND-S7 0770</v>
          </cell>
          <cell r="C1108" t="str">
            <v>제품</v>
          </cell>
          <cell r="D1108" t="str">
            <v>윈도우 제품군</v>
          </cell>
          <cell r="E1108" t="str">
            <v>전략</v>
          </cell>
          <cell r="F1108" t="str">
            <v>SP</v>
          </cell>
        </row>
        <row r="1109">
          <cell r="A1109">
            <v>30003</v>
          </cell>
          <cell r="B1109" t="str">
            <v>Phantom(개선)-ND-S5 4750</v>
          </cell>
          <cell r="C1109" t="str">
            <v>제품</v>
          </cell>
          <cell r="D1109" t="str">
            <v>윈도우 제품군</v>
          </cell>
          <cell r="E1109" t="str">
            <v>전략</v>
          </cell>
          <cell r="F1109" t="str">
            <v>SP</v>
          </cell>
        </row>
        <row r="1110">
          <cell r="A1110">
            <v>30004</v>
          </cell>
          <cell r="B1110" t="str">
            <v>Phantom(개선)-ND-S5 3750</v>
          </cell>
          <cell r="C1110" t="str">
            <v>제품</v>
          </cell>
          <cell r="D1110" t="str">
            <v>윈도우 제품군</v>
          </cell>
          <cell r="E1110" t="str">
            <v>전략</v>
          </cell>
          <cell r="F1110" t="str">
            <v>SP</v>
          </cell>
        </row>
        <row r="1111">
          <cell r="A1111">
            <v>30005</v>
          </cell>
          <cell r="B1111" t="str">
            <v>Phantom(개선)-ND-S5 1750</v>
          </cell>
          <cell r="C1111" t="str">
            <v>제품</v>
          </cell>
          <cell r="D1111" t="str">
            <v>윈도우 제품군</v>
          </cell>
          <cell r="E1111" t="str">
            <v>전략</v>
          </cell>
          <cell r="F1111" t="str">
            <v>SP</v>
          </cell>
        </row>
        <row r="1112">
          <cell r="A1112">
            <v>30006</v>
          </cell>
          <cell r="B1112" t="str">
            <v>Phantom(개선)-ND-S5 0750</v>
          </cell>
          <cell r="C1112" t="str">
            <v>제품</v>
          </cell>
          <cell r="D1112" t="str">
            <v>윈도우 제품군</v>
          </cell>
          <cell r="E1112" t="str">
            <v>전략</v>
          </cell>
          <cell r="F1112" t="str">
            <v>SP</v>
          </cell>
        </row>
        <row r="1113">
          <cell r="A1113">
            <v>30020</v>
          </cell>
          <cell r="B1113" t="str">
            <v>SCF-DM-GN20(0.25)</v>
          </cell>
          <cell r="C1113" t="str">
            <v>제품</v>
          </cell>
          <cell r="D1113" t="str">
            <v>윈도우 제품군</v>
          </cell>
          <cell r="E1113" t="str">
            <v>염료</v>
          </cell>
          <cell r="F1113" t="str">
            <v>2PLY</v>
          </cell>
        </row>
        <row r="1114">
          <cell r="A1114">
            <v>30021</v>
          </cell>
          <cell r="B1114" t="str">
            <v>SCF-DM-SGN15(Qingdao向 0.3)</v>
          </cell>
          <cell r="C1114" t="str">
            <v>제품</v>
          </cell>
          <cell r="D1114" t="str">
            <v>윈도우 제품군</v>
          </cell>
          <cell r="E1114" t="str">
            <v>염료</v>
          </cell>
          <cell r="F1114" t="str">
            <v>2PLY</v>
          </cell>
        </row>
        <row r="1115">
          <cell r="A1115">
            <v>30022</v>
          </cell>
          <cell r="B1115" t="str">
            <v>SCF-DM-CUN16(0.3)</v>
          </cell>
          <cell r="C1115" t="str">
            <v>제품</v>
          </cell>
          <cell r="D1115" t="str">
            <v>윈도우 제품군</v>
          </cell>
          <cell r="E1115" t="str">
            <v>염료</v>
          </cell>
          <cell r="F1115" t="str">
            <v>2PLY</v>
          </cell>
        </row>
        <row r="1116">
          <cell r="A1116">
            <v>30026</v>
          </cell>
          <cell r="B1116" t="str">
            <v>Phantom(BLACK)-ND-S7 1770</v>
          </cell>
          <cell r="C1116" t="str">
            <v>제품</v>
          </cell>
          <cell r="D1116" t="str">
            <v>윈도우 제품군</v>
          </cell>
          <cell r="E1116" t="str">
            <v>전략</v>
          </cell>
          <cell r="F1116" t="str">
            <v>SP</v>
          </cell>
        </row>
        <row r="1117">
          <cell r="A1117">
            <v>30027</v>
          </cell>
          <cell r="B1117" t="str">
            <v>SPD(개선2)-ND-0770(Creative)</v>
          </cell>
          <cell r="C1117" t="str">
            <v>제품</v>
          </cell>
          <cell r="D1117" t="str">
            <v>윈도우 제품군</v>
          </cell>
          <cell r="E1117" t="str">
            <v>전략</v>
          </cell>
          <cell r="F1117" t="str">
            <v>SP</v>
          </cell>
        </row>
        <row r="1118">
          <cell r="A1118">
            <v>30029</v>
          </cell>
          <cell r="B1118" t="str">
            <v>PLATINUM(AIR)-ND-IBLD7090(NSN73)</v>
          </cell>
          <cell r="C1118" t="str">
            <v>제품</v>
          </cell>
          <cell r="D1118" t="str">
            <v>윈도우 제품군</v>
          </cell>
          <cell r="E1118" t="str">
            <v>전략</v>
          </cell>
          <cell r="F1118" t="str">
            <v>IR</v>
          </cell>
        </row>
        <row r="1119">
          <cell r="A1119">
            <v>30050</v>
          </cell>
          <cell r="B1119" t="str">
            <v>Phantom(ASP)-ND-S5 0350</v>
          </cell>
          <cell r="C1119" t="str">
            <v>제품</v>
          </cell>
          <cell r="D1119" t="str">
            <v>윈도우 제품군</v>
          </cell>
          <cell r="E1119" t="str">
            <v>전략</v>
          </cell>
          <cell r="F1119" t="str">
            <v>SP</v>
          </cell>
        </row>
        <row r="1120">
          <cell r="A1120">
            <v>30051</v>
          </cell>
          <cell r="B1120" t="str">
            <v>Phantom(ASP)-ND-S7 0370</v>
          </cell>
          <cell r="C1120" t="str">
            <v>제품</v>
          </cell>
          <cell r="D1120" t="str">
            <v>윈도우 제품군</v>
          </cell>
          <cell r="E1120" t="str">
            <v>전략</v>
          </cell>
          <cell r="F1120" t="str">
            <v>SP</v>
          </cell>
        </row>
        <row r="1121">
          <cell r="A1121">
            <v>30052</v>
          </cell>
          <cell r="B1121" t="str">
            <v>Phantom(ASP)-ND-S9 0390</v>
          </cell>
          <cell r="C1121" t="str">
            <v>제품</v>
          </cell>
          <cell r="D1121" t="str">
            <v>윈도우 제품군</v>
          </cell>
          <cell r="E1121" t="str">
            <v>전략</v>
          </cell>
          <cell r="F1121" t="str">
            <v>SP</v>
          </cell>
        </row>
        <row r="1122">
          <cell r="A1122">
            <v>30053</v>
          </cell>
          <cell r="B1122" t="str">
            <v>SP(New)-ND-BK25</v>
          </cell>
          <cell r="C1122" t="str">
            <v>제품</v>
          </cell>
          <cell r="D1122" t="str">
            <v>윈도우 제품군</v>
          </cell>
          <cell r="E1122" t="str">
            <v>전략</v>
          </cell>
          <cell r="F1122" t="str">
            <v>SP</v>
          </cell>
        </row>
        <row r="1123">
          <cell r="A1123">
            <v>30054</v>
          </cell>
          <cell r="B1123" t="str">
            <v>IR-ND-TRUEBLUE 3595</v>
          </cell>
          <cell r="C1123" t="str">
            <v>제품</v>
          </cell>
          <cell r="D1123" t="str">
            <v>윈도우 제품군</v>
          </cell>
          <cell r="E1123" t="str">
            <v>전략</v>
          </cell>
          <cell r="F1123" t="str">
            <v>IR</v>
          </cell>
        </row>
        <row r="1124">
          <cell r="A1124">
            <v>30055</v>
          </cell>
          <cell r="B1124" t="str">
            <v>SMART FILM</v>
          </cell>
          <cell r="C1124" t="str">
            <v>제품</v>
          </cell>
          <cell r="D1124" t="str">
            <v>윈도우 제품군</v>
          </cell>
          <cell r="E1124" t="str">
            <v>기타</v>
          </cell>
          <cell r="F1124" t="str">
            <v>기타</v>
          </cell>
        </row>
        <row r="1125">
          <cell r="A1125">
            <v>30056</v>
          </cell>
          <cell r="B1125" t="str">
            <v>PLATINUM(AIR)-ND-IBLD7090</v>
          </cell>
          <cell r="C1125" t="str">
            <v>제품</v>
          </cell>
          <cell r="D1125" t="str">
            <v>윈도우 제품군</v>
          </cell>
          <cell r="E1125" t="str">
            <v>전략</v>
          </cell>
          <cell r="F1125" t="str">
            <v>IR</v>
          </cell>
        </row>
        <row r="1126">
          <cell r="A1126">
            <v>30058</v>
          </cell>
          <cell r="B1126" t="str">
            <v>PLATINUM(AIR)-ND-IBLD6580</v>
          </cell>
          <cell r="C1126" t="str">
            <v>제품</v>
          </cell>
          <cell r="D1126" t="str">
            <v>윈도우 제품군</v>
          </cell>
          <cell r="E1126" t="str">
            <v>전략</v>
          </cell>
          <cell r="F1126" t="str">
            <v>IR</v>
          </cell>
        </row>
        <row r="1127">
          <cell r="A1127">
            <v>30059</v>
          </cell>
          <cell r="B1127" t="str">
            <v>PLATINUM(AIR)-ND-IBLD5095</v>
          </cell>
          <cell r="C1127" t="str">
            <v>제품</v>
          </cell>
          <cell r="D1127" t="str">
            <v>윈도우 제품군</v>
          </cell>
          <cell r="E1127" t="str">
            <v>전략</v>
          </cell>
          <cell r="F1127" t="str">
            <v>IR</v>
          </cell>
        </row>
        <row r="1128">
          <cell r="A1128">
            <v>30060</v>
          </cell>
          <cell r="B1128" t="str">
            <v>PLATINUM(AIR)-ND-IBLD3595</v>
          </cell>
          <cell r="C1128" t="str">
            <v>제품</v>
          </cell>
          <cell r="D1128" t="str">
            <v>윈도우 제품군</v>
          </cell>
          <cell r="E1128" t="str">
            <v>전략</v>
          </cell>
          <cell r="F1128" t="str">
            <v>IR</v>
          </cell>
        </row>
        <row r="1129">
          <cell r="A1129">
            <v>30061</v>
          </cell>
          <cell r="B1129" t="str">
            <v>PLATINUM(AIR)-ND-IBLD1595</v>
          </cell>
          <cell r="C1129" t="str">
            <v>제품</v>
          </cell>
          <cell r="D1129" t="str">
            <v>윈도우 제품군</v>
          </cell>
          <cell r="E1129" t="str">
            <v>전략</v>
          </cell>
          <cell r="F1129" t="str">
            <v>IR</v>
          </cell>
        </row>
        <row r="1130">
          <cell r="A1130">
            <v>30062</v>
          </cell>
          <cell r="B1130" t="str">
            <v>PLATINUM(AIR)-ND-IBLD4595(SLR80)</v>
          </cell>
          <cell r="C1130" t="str">
            <v>제품</v>
          </cell>
          <cell r="D1130" t="str">
            <v>윈도우 제품군</v>
          </cell>
          <cell r="E1130" t="str">
            <v>전략</v>
          </cell>
          <cell r="F1130" t="str">
            <v>IR</v>
          </cell>
        </row>
        <row r="1131">
          <cell r="A1131">
            <v>30063</v>
          </cell>
          <cell r="B1131" t="str">
            <v>SCF-NS-SS77(염료)</v>
          </cell>
          <cell r="C1131" t="str">
            <v>제품</v>
          </cell>
          <cell r="D1131" t="str">
            <v>윈도우 제품군</v>
          </cell>
          <cell r="E1131" t="str">
            <v>염료</v>
          </cell>
          <cell r="F1131" t="str">
            <v>1PLY</v>
          </cell>
        </row>
        <row r="1132">
          <cell r="A1132">
            <v>30071</v>
          </cell>
          <cell r="B1132" t="str">
            <v>SP(New)-ND-0880 Gray</v>
          </cell>
          <cell r="C1132" t="str">
            <v>제품</v>
          </cell>
          <cell r="D1132" t="str">
            <v>윈도우 제품군</v>
          </cell>
          <cell r="E1132" t="str">
            <v>전략</v>
          </cell>
          <cell r="F1132" t="str">
            <v>SP</v>
          </cell>
        </row>
        <row r="1133">
          <cell r="A1133">
            <v>30072</v>
          </cell>
          <cell r="B1133" t="str">
            <v>SP(New)-ND-1570 Gray</v>
          </cell>
          <cell r="C1133" t="str">
            <v>제품</v>
          </cell>
          <cell r="D1133" t="str">
            <v>윈도우 제품군</v>
          </cell>
          <cell r="E1133" t="str">
            <v>전략</v>
          </cell>
          <cell r="F1133" t="str">
            <v>SP</v>
          </cell>
        </row>
        <row r="1134">
          <cell r="A1134">
            <v>30073</v>
          </cell>
          <cell r="B1134" t="str">
            <v>SP(New)-ND-3570 Gray</v>
          </cell>
          <cell r="C1134" t="str">
            <v>제품</v>
          </cell>
          <cell r="D1134" t="str">
            <v>윈도우 제품군</v>
          </cell>
          <cell r="E1134" t="str">
            <v>전략</v>
          </cell>
          <cell r="F1134" t="str">
            <v>SP</v>
          </cell>
        </row>
        <row r="1135">
          <cell r="A1135">
            <v>30074</v>
          </cell>
          <cell r="B1135" t="str">
            <v>SP(New)-ND-4570 Gray</v>
          </cell>
          <cell r="C1135" t="str">
            <v>제품</v>
          </cell>
          <cell r="D1135" t="str">
            <v>윈도우 제품군</v>
          </cell>
          <cell r="E1135" t="str">
            <v>전략</v>
          </cell>
          <cell r="F1135" t="str">
            <v>SP</v>
          </cell>
        </row>
        <row r="1136">
          <cell r="A1136">
            <v>30075</v>
          </cell>
          <cell r="B1136" t="str">
            <v>SMART FILM</v>
          </cell>
          <cell r="C1136" t="str">
            <v>상품</v>
          </cell>
          <cell r="D1136" t="str">
            <v>윈도우 제품군</v>
          </cell>
          <cell r="E1136" t="str">
            <v>미분류</v>
          </cell>
          <cell r="F1136" t="str">
            <v>미분류</v>
          </cell>
        </row>
        <row r="1137">
          <cell r="A1137">
            <v>30077</v>
          </cell>
          <cell r="B1137" t="str">
            <v>IR-ND-TRUEBLUE 2095</v>
          </cell>
          <cell r="C1137" t="str">
            <v>제품</v>
          </cell>
          <cell r="D1137" t="str">
            <v>윈도우 제품군</v>
          </cell>
          <cell r="E1137" t="str">
            <v>전략</v>
          </cell>
          <cell r="F1137" t="str">
            <v>IR</v>
          </cell>
        </row>
        <row r="1138">
          <cell r="A1138">
            <v>30078</v>
          </cell>
          <cell r="B1138" t="str">
            <v>IR-ND-TRUEBLUE 1095</v>
          </cell>
          <cell r="C1138" t="str">
            <v>제품</v>
          </cell>
          <cell r="D1138" t="str">
            <v>윈도우 제품군</v>
          </cell>
          <cell r="E1138" t="str">
            <v>전략</v>
          </cell>
          <cell r="F1138" t="str">
            <v>IR</v>
          </cell>
        </row>
        <row r="1139">
          <cell r="A1139">
            <v>30086</v>
          </cell>
          <cell r="B1139" t="str">
            <v>IR-ND-TRUEBLUE 7570</v>
          </cell>
          <cell r="C1139" t="str">
            <v>제품</v>
          </cell>
          <cell r="D1139" t="str">
            <v>윈도우 제품군</v>
          </cell>
          <cell r="E1139" t="str">
            <v>전략</v>
          </cell>
          <cell r="F1139" t="str">
            <v>IR</v>
          </cell>
        </row>
        <row r="1140">
          <cell r="A1140">
            <v>30091</v>
          </cell>
          <cell r="B1140" t="str">
            <v>SCF-DM-LBK40(0.3)</v>
          </cell>
          <cell r="C1140" t="str">
            <v>제품</v>
          </cell>
          <cell r="D1140" t="str">
            <v>윈도우 제품군</v>
          </cell>
          <cell r="E1140" t="str">
            <v>염료</v>
          </cell>
          <cell r="F1140" t="str">
            <v>2PLY</v>
          </cell>
        </row>
        <row r="1141">
          <cell r="A1141">
            <v>30092</v>
          </cell>
          <cell r="B1141" t="str">
            <v>SCF-DM-LBK17(0.6)</v>
          </cell>
          <cell r="C1141" t="str">
            <v>제품</v>
          </cell>
          <cell r="D1141" t="str">
            <v>윈도우 제품군</v>
          </cell>
          <cell r="E1141" t="str">
            <v>염료</v>
          </cell>
          <cell r="F1141" t="str">
            <v>2PLY</v>
          </cell>
        </row>
        <row r="1142">
          <cell r="A1142">
            <v>30093</v>
          </cell>
          <cell r="B1142" t="str">
            <v>SCF-DM-LBK08(0.8)</v>
          </cell>
          <cell r="C1142" t="str">
            <v>제품</v>
          </cell>
          <cell r="D1142" t="str">
            <v>윈도우 제품군</v>
          </cell>
          <cell r="E1142" t="str">
            <v>염료</v>
          </cell>
          <cell r="F1142" t="str">
            <v>2PLY</v>
          </cell>
        </row>
        <row r="1143">
          <cell r="A1143">
            <v>30094</v>
          </cell>
          <cell r="B1143" t="str">
            <v>SCF-DM-SMK40(0.3)</v>
          </cell>
          <cell r="C1143" t="str">
            <v>제품</v>
          </cell>
          <cell r="D1143" t="str">
            <v>윈도우 제품군</v>
          </cell>
          <cell r="E1143" t="str">
            <v>염료</v>
          </cell>
          <cell r="F1143" t="str">
            <v>2PLY</v>
          </cell>
        </row>
        <row r="1144">
          <cell r="A1144">
            <v>30095</v>
          </cell>
          <cell r="B1144" t="str">
            <v>SCF-DM-SMK17(0.6)</v>
          </cell>
          <cell r="C1144" t="str">
            <v>제품</v>
          </cell>
          <cell r="D1144" t="str">
            <v>윈도우 제품군</v>
          </cell>
          <cell r="E1144" t="str">
            <v>염료</v>
          </cell>
          <cell r="F1144" t="str">
            <v>2PLY</v>
          </cell>
        </row>
        <row r="1145">
          <cell r="A1145">
            <v>30096</v>
          </cell>
          <cell r="B1145" t="str">
            <v>SCF-DM-SMK08(0.8)</v>
          </cell>
          <cell r="C1145" t="str">
            <v>제품</v>
          </cell>
          <cell r="D1145" t="str">
            <v>윈도우 제품군</v>
          </cell>
          <cell r="E1145" t="str">
            <v>염료</v>
          </cell>
          <cell r="F1145" t="str">
            <v>2PLY</v>
          </cell>
        </row>
        <row r="1146">
          <cell r="A1146">
            <v>30097</v>
          </cell>
          <cell r="B1146" t="str">
            <v>SCF-DM-BK40(0.3)</v>
          </cell>
          <cell r="C1146" t="str">
            <v>제품</v>
          </cell>
          <cell r="D1146" t="str">
            <v>윈도우 제품군</v>
          </cell>
          <cell r="E1146" t="str">
            <v>염료</v>
          </cell>
          <cell r="F1146" t="str">
            <v>2PLY</v>
          </cell>
        </row>
        <row r="1147">
          <cell r="A1147">
            <v>30098</v>
          </cell>
          <cell r="B1147" t="str">
            <v>SCF-DM-BK17(0.6)</v>
          </cell>
          <cell r="C1147" t="str">
            <v>제품</v>
          </cell>
          <cell r="D1147" t="str">
            <v>윈도우 제품군</v>
          </cell>
          <cell r="E1147" t="str">
            <v>염료</v>
          </cell>
          <cell r="F1147" t="str">
            <v>2PLY</v>
          </cell>
        </row>
        <row r="1148">
          <cell r="A1148">
            <v>30099</v>
          </cell>
          <cell r="B1148" t="str">
            <v>SCF-DM-BK08(0.8)</v>
          </cell>
          <cell r="C1148" t="str">
            <v>제품</v>
          </cell>
          <cell r="D1148" t="str">
            <v>윈도우 제품군</v>
          </cell>
          <cell r="E1148" t="str">
            <v>염료</v>
          </cell>
          <cell r="F1148" t="str">
            <v>2PLY</v>
          </cell>
        </row>
        <row r="1149">
          <cell r="A1149">
            <v>30105</v>
          </cell>
          <cell r="B1149" t="str">
            <v>IR-ND-TRUEBLUE 1599</v>
          </cell>
          <cell r="C1149" t="str">
            <v>제품</v>
          </cell>
          <cell r="D1149" t="str">
            <v>윈도우 제품군</v>
          </cell>
          <cell r="E1149" t="str">
            <v>전략</v>
          </cell>
          <cell r="F1149" t="str">
            <v>IR</v>
          </cell>
        </row>
        <row r="1150">
          <cell r="A1150">
            <v>30106</v>
          </cell>
          <cell r="B1150" t="str">
            <v>SCF-DC-SILVERBLUE17(0.4)</v>
          </cell>
          <cell r="C1150" t="str">
            <v>제품</v>
          </cell>
          <cell r="D1150" t="str">
            <v>윈도우 제품군</v>
          </cell>
          <cell r="E1150" t="str">
            <v>염료</v>
          </cell>
          <cell r="F1150" t="str">
            <v>2PLY</v>
          </cell>
        </row>
        <row r="1151">
          <cell r="A1151">
            <v>30115</v>
          </cell>
          <cell r="B1151" t="str">
            <v>SF-NT-2MIL(NON SR)</v>
          </cell>
          <cell r="C1151" t="str">
            <v>제품</v>
          </cell>
          <cell r="D1151" t="str">
            <v>윈도우 제품군</v>
          </cell>
          <cell r="E1151" t="str">
            <v>전략</v>
          </cell>
          <cell r="F1151" t="str">
            <v>SAFETY</v>
          </cell>
        </row>
        <row r="1152">
          <cell r="A1152">
            <v>30116</v>
          </cell>
          <cell r="B1152" t="str">
            <v>SCF-NS-SS19(염료+분말)</v>
          </cell>
          <cell r="C1152" t="str">
            <v>제품</v>
          </cell>
          <cell r="D1152" t="str">
            <v>윈도우 제품군</v>
          </cell>
          <cell r="E1152" t="str">
            <v>염료</v>
          </cell>
          <cell r="F1152" t="str">
            <v>1PLY</v>
          </cell>
        </row>
        <row r="1153">
          <cell r="A1153">
            <v>30117</v>
          </cell>
          <cell r="B1153" t="str">
            <v>SCF-DM-RSS50(0.3)</v>
          </cell>
          <cell r="C1153" t="str">
            <v>제품</v>
          </cell>
          <cell r="D1153" t="str">
            <v>윈도우 제품군</v>
          </cell>
          <cell r="E1153" t="str">
            <v>염료</v>
          </cell>
          <cell r="F1153" t="str">
            <v>2PLY</v>
          </cell>
        </row>
        <row r="1154">
          <cell r="A1154">
            <v>30118</v>
          </cell>
          <cell r="B1154" t="str">
            <v>SCF-DM-RSS60(0.2)</v>
          </cell>
          <cell r="C1154" t="str">
            <v>제품</v>
          </cell>
          <cell r="D1154" t="str">
            <v>윈도우 제품군</v>
          </cell>
          <cell r="E1154" t="str">
            <v>염료</v>
          </cell>
          <cell r="F1154" t="str">
            <v>2PLY</v>
          </cell>
        </row>
        <row r="1155">
          <cell r="A1155">
            <v>30121</v>
          </cell>
          <cell r="B1155" t="str">
            <v>Phantom(개선1)-ND-S9 4790</v>
          </cell>
          <cell r="C1155" t="str">
            <v>제품</v>
          </cell>
          <cell r="D1155" t="str">
            <v>윈도우 제품군</v>
          </cell>
          <cell r="E1155" t="str">
            <v>전략</v>
          </cell>
          <cell r="F1155" t="str">
            <v>SP</v>
          </cell>
        </row>
        <row r="1156">
          <cell r="A1156">
            <v>30122</v>
          </cell>
          <cell r="B1156" t="str">
            <v>Phantom(개선1)-ND-S9 3790</v>
          </cell>
          <cell r="C1156" t="str">
            <v>제품</v>
          </cell>
          <cell r="D1156" t="str">
            <v>윈도우 제품군</v>
          </cell>
          <cell r="E1156" t="str">
            <v>전략</v>
          </cell>
          <cell r="F1156" t="str">
            <v>SP</v>
          </cell>
        </row>
        <row r="1157">
          <cell r="A1157">
            <v>30123</v>
          </cell>
          <cell r="B1157" t="str">
            <v>Phantom(개선1)-ND-S9 1790</v>
          </cell>
          <cell r="C1157" t="str">
            <v>제품</v>
          </cell>
          <cell r="D1157" t="str">
            <v>윈도우 제품군</v>
          </cell>
          <cell r="E1157" t="str">
            <v>전략</v>
          </cell>
          <cell r="F1157" t="str">
            <v>SP</v>
          </cell>
        </row>
        <row r="1158">
          <cell r="A1158">
            <v>30124</v>
          </cell>
          <cell r="B1158" t="str">
            <v>Phantom(개선1)-ND-S9 0790</v>
          </cell>
          <cell r="C1158" t="str">
            <v>제품</v>
          </cell>
          <cell r="D1158" t="str">
            <v>윈도우 제품군</v>
          </cell>
          <cell r="E1158" t="str">
            <v>전략</v>
          </cell>
          <cell r="F1158" t="str">
            <v>SP</v>
          </cell>
        </row>
        <row r="1159">
          <cell r="A1159">
            <v>30125</v>
          </cell>
          <cell r="B1159" t="str">
            <v>Phantom(개선1)-ND-S7 4770</v>
          </cell>
          <cell r="C1159" t="str">
            <v>제품</v>
          </cell>
          <cell r="D1159" t="str">
            <v>윈도우 제품군</v>
          </cell>
          <cell r="E1159" t="str">
            <v>전략</v>
          </cell>
          <cell r="F1159" t="str">
            <v>SP</v>
          </cell>
        </row>
        <row r="1160">
          <cell r="A1160">
            <v>30126</v>
          </cell>
          <cell r="B1160" t="str">
            <v>Phantom(개선1)-ND-S7 3770</v>
          </cell>
          <cell r="C1160" t="str">
            <v>제품</v>
          </cell>
          <cell r="D1160" t="str">
            <v>윈도우 제품군</v>
          </cell>
          <cell r="E1160" t="str">
            <v>전략</v>
          </cell>
          <cell r="F1160" t="str">
            <v>SP</v>
          </cell>
        </row>
        <row r="1161">
          <cell r="A1161">
            <v>30127</v>
          </cell>
          <cell r="B1161" t="str">
            <v>Phantom(개선1)-ND-S7 1770</v>
          </cell>
          <cell r="C1161" t="str">
            <v>제품</v>
          </cell>
          <cell r="D1161" t="str">
            <v>윈도우 제품군</v>
          </cell>
          <cell r="E1161" t="str">
            <v>전략</v>
          </cell>
          <cell r="F1161" t="str">
            <v>SP</v>
          </cell>
        </row>
        <row r="1162">
          <cell r="A1162">
            <v>30128</v>
          </cell>
          <cell r="B1162" t="str">
            <v>Phantom(개선1)-ND-S7 0770</v>
          </cell>
          <cell r="C1162" t="str">
            <v>제품</v>
          </cell>
          <cell r="D1162" t="str">
            <v>윈도우 제품군</v>
          </cell>
          <cell r="E1162" t="str">
            <v>전략</v>
          </cell>
          <cell r="F1162" t="str">
            <v>SP</v>
          </cell>
        </row>
        <row r="1163">
          <cell r="A1163">
            <v>30129</v>
          </cell>
          <cell r="B1163" t="str">
            <v>IRSF-ND-IR5099+4mil</v>
          </cell>
          <cell r="C1163" t="str">
            <v>제품</v>
          </cell>
          <cell r="D1163" t="str">
            <v>윈도우 제품군</v>
          </cell>
          <cell r="E1163" t="str">
            <v>전략</v>
          </cell>
          <cell r="F1163" t="str">
            <v>SAFETY</v>
          </cell>
        </row>
        <row r="1164">
          <cell r="A1164">
            <v>30130</v>
          </cell>
          <cell r="B1164" t="str">
            <v>IRSF-ND-IR5099+2mil</v>
          </cell>
          <cell r="C1164" t="str">
            <v>제품</v>
          </cell>
          <cell r="D1164" t="str">
            <v>윈도우 제품군</v>
          </cell>
          <cell r="E1164" t="str">
            <v>전략</v>
          </cell>
          <cell r="F1164" t="str">
            <v>SAFETY</v>
          </cell>
        </row>
        <row r="1165">
          <cell r="A1165">
            <v>30137</v>
          </cell>
          <cell r="B1165" t="str">
            <v>양면테잎 TEST(개발2팀)</v>
          </cell>
          <cell r="C1165" t="str">
            <v>제품</v>
          </cell>
          <cell r="D1165" t="str">
            <v>윈도우 제품군</v>
          </cell>
          <cell r="E1165" t="str">
            <v>기타</v>
          </cell>
          <cell r="F1165" t="str">
            <v>기타</v>
          </cell>
        </row>
        <row r="1166">
          <cell r="A1166">
            <v>30138</v>
          </cell>
          <cell r="B1166" t="str">
            <v>SCF-DM-GN67(0.2)</v>
          </cell>
          <cell r="C1166" t="str">
            <v>제품</v>
          </cell>
          <cell r="D1166" t="str">
            <v>윈도우 제품군</v>
          </cell>
          <cell r="E1166" t="str">
            <v>염료</v>
          </cell>
          <cell r="F1166" t="str">
            <v>2PLY</v>
          </cell>
        </row>
        <row r="1167">
          <cell r="A1167">
            <v>30140</v>
          </cell>
          <cell r="B1167" t="str">
            <v>Phantom(ASP)-ND-S9 0790+4mil</v>
          </cell>
          <cell r="C1167" t="str">
            <v>제품</v>
          </cell>
          <cell r="D1167" t="str">
            <v>윈도우 제품군</v>
          </cell>
          <cell r="E1167" t="str">
            <v>전략</v>
          </cell>
          <cell r="F1167" t="str">
            <v>SP</v>
          </cell>
        </row>
        <row r="1168">
          <cell r="A1168">
            <v>30141</v>
          </cell>
          <cell r="B1168" t="str">
            <v>Phantom(ASP)-ND-S9 3790+4mil</v>
          </cell>
          <cell r="C1168" t="str">
            <v>제품</v>
          </cell>
          <cell r="D1168" t="str">
            <v>윈도우 제품군</v>
          </cell>
          <cell r="E1168" t="str">
            <v>전략</v>
          </cell>
          <cell r="F1168" t="str">
            <v>SP</v>
          </cell>
        </row>
        <row r="1169">
          <cell r="A1169">
            <v>30144</v>
          </cell>
          <cell r="B1169" t="str">
            <v>SCF-DC-BC30(0.3)</v>
          </cell>
          <cell r="C1169" t="str">
            <v>제품</v>
          </cell>
          <cell r="D1169" t="str">
            <v>윈도우 제품군</v>
          </cell>
          <cell r="E1169" t="str">
            <v>염료</v>
          </cell>
          <cell r="F1169" t="str">
            <v>2PLY</v>
          </cell>
        </row>
        <row r="1170">
          <cell r="A1170">
            <v>30147</v>
          </cell>
          <cell r="B1170" t="str">
            <v>SCF-NS-GRAY 05(SORARFREE)</v>
          </cell>
          <cell r="C1170" t="str">
            <v>제품</v>
          </cell>
          <cell r="D1170" t="str">
            <v>윈도우 제품군</v>
          </cell>
          <cell r="E1170" t="str">
            <v>염료</v>
          </cell>
          <cell r="F1170" t="str">
            <v>1PLY</v>
          </cell>
        </row>
        <row r="1171">
          <cell r="A1171">
            <v>30148</v>
          </cell>
          <cell r="B1171" t="str">
            <v>PLATINUM(개선1)-ND-IBLD7060</v>
          </cell>
          <cell r="C1171" t="str">
            <v>제품</v>
          </cell>
          <cell r="D1171" t="str">
            <v>윈도우 제품군</v>
          </cell>
          <cell r="E1171" t="str">
            <v>전략</v>
          </cell>
          <cell r="F1171" t="str">
            <v>IR</v>
          </cell>
        </row>
        <row r="1172">
          <cell r="A1172">
            <v>30149</v>
          </cell>
          <cell r="B1172" t="str">
            <v>Phantom(BLACK)-ND-S5 0750</v>
          </cell>
          <cell r="C1172" t="str">
            <v>제품</v>
          </cell>
          <cell r="D1172" t="str">
            <v>윈도우 제품군</v>
          </cell>
          <cell r="E1172" t="str">
            <v>전략</v>
          </cell>
          <cell r="F1172" t="str">
            <v>SP</v>
          </cell>
        </row>
        <row r="1173">
          <cell r="A1173">
            <v>30150</v>
          </cell>
          <cell r="B1173" t="str">
            <v>Phantom(BLACK)-ND-S5 2050</v>
          </cell>
          <cell r="C1173" t="str">
            <v>제품</v>
          </cell>
          <cell r="D1173" t="str">
            <v>윈도우 제품군</v>
          </cell>
          <cell r="E1173" t="str">
            <v>전략</v>
          </cell>
          <cell r="F1173" t="str">
            <v>SP</v>
          </cell>
        </row>
        <row r="1174">
          <cell r="A1174">
            <v>30151</v>
          </cell>
          <cell r="B1174" t="str">
            <v>Phantom(BLACK)-ND-S5 3550</v>
          </cell>
          <cell r="C1174" t="str">
            <v>제품</v>
          </cell>
          <cell r="D1174" t="str">
            <v>윈도우 제품군</v>
          </cell>
          <cell r="E1174" t="str">
            <v>전략</v>
          </cell>
          <cell r="F1174" t="str">
            <v>SP</v>
          </cell>
        </row>
        <row r="1175">
          <cell r="A1175">
            <v>30152</v>
          </cell>
          <cell r="B1175" t="str">
            <v>Phantom(BLACK)-ND-S5 4550</v>
          </cell>
          <cell r="C1175" t="str">
            <v>제품</v>
          </cell>
          <cell r="D1175" t="str">
            <v>윈도우 제품군</v>
          </cell>
          <cell r="E1175" t="str">
            <v>전략</v>
          </cell>
          <cell r="F1175" t="str">
            <v>SP</v>
          </cell>
        </row>
        <row r="1176">
          <cell r="A1176">
            <v>30165</v>
          </cell>
          <cell r="B1176" t="str">
            <v>SCF-DM-SHA70(Sputter SHA80%)</v>
          </cell>
          <cell r="C1176" t="str">
            <v>제품</v>
          </cell>
          <cell r="D1176" t="str">
            <v>윈도우 제품군</v>
          </cell>
          <cell r="E1176" t="str">
            <v>염료</v>
          </cell>
          <cell r="F1176" t="str">
            <v>2PLY</v>
          </cell>
        </row>
        <row r="1177">
          <cell r="A1177">
            <v>30166</v>
          </cell>
          <cell r="B1177" t="str">
            <v>SCF-DM-TOP GARD 08%(0.6)</v>
          </cell>
          <cell r="C1177" t="str">
            <v>제품</v>
          </cell>
          <cell r="D1177" t="str">
            <v>윈도우 제품군</v>
          </cell>
          <cell r="E1177" t="str">
            <v>염료</v>
          </cell>
          <cell r="F1177" t="str">
            <v>2PLY</v>
          </cell>
        </row>
        <row r="1178">
          <cell r="A1178">
            <v>30167</v>
          </cell>
          <cell r="B1178" t="str">
            <v>SCF-DM-TOP GARD 17%(0.4)</v>
          </cell>
          <cell r="C1178" t="str">
            <v>제품</v>
          </cell>
          <cell r="D1178" t="str">
            <v>윈도우 제품군</v>
          </cell>
          <cell r="E1178" t="str">
            <v>염료</v>
          </cell>
          <cell r="F1178" t="str">
            <v>2PLY</v>
          </cell>
        </row>
        <row r="1179">
          <cell r="A1179">
            <v>30168</v>
          </cell>
          <cell r="B1179" t="str">
            <v>SCF-DM-TOP GARD 40%(0.4)</v>
          </cell>
          <cell r="C1179" t="str">
            <v>제품</v>
          </cell>
          <cell r="D1179" t="str">
            <v>윈도우 제품군</v>
          </cell>
          <cell r="E1179" t="str">
            <v>염료</v>
          </cell>
          <cell r="F1179" t="str">
            <v>2PLY</v>
          </cell>
        </row>
        <row r="1180">
          <cell r="A1180">
            <v>30169</v>
          </cell>
          <cell r="B1180" t="str">
            <v>SCF-DM-BLUE TECH 08%(0.4)</v>
          </cell>
          <cell r="C1180" t="str">
            <v>제품</v>
          </cell>
          <cell r="D1180" t="str">
            <v>윈도우 제품군</v>
          </cell>
          <cell r="E1180" t="str">
            <v>염료</v>
          </cell>
          <cell r="F1180" t="str">
            <v>2PLY</v>
          </cell>
        </row>
        <row r="1181">
          <cell r="A1181">
            <v>30170</v>
          </cell>
          <cell r="B1181" t="str">
            <v>SCF-DM-BLUE TECH 17%(0.4)</v>
          </cell>
          <cell r="C1181" t="str">
            <v>제품</v>
          </cell>
          <cell r="D1181" t="str">
            <v>윈도우 제품군</v>
          </cell>
          <cell r="E1181" t="str">
            <v>염료</v>
          </cell>
          <cell r="F1181" t="str">
            <v>2PLY</v>
          </cell>
        </row>
        <row r="1182">
          <cell r="A1182">
            <v>30171</v>
          </cell>
          <cell r="B1182" t="str">
            <v>SCF-DM-BLUE TECH 40%(0.3)</v>
          </cell>
          <cell r="C1182" t="str">
            <v>제품</v>
          </cell>
          <cell r="D1182" t="str">
            <v>윈도우 제품군</v>
          </cell>
          <cell r="E1182" t="str">
            <v>염료</v>
          </cell>
          <cell r="F1182" t="str">
            <v>2PLY</v>
          </cell>
        </row>
        <row r="1183">
          <cell r="A1183">
            <v>30179</v>
          </cell>
          <cell r="B1183" t="str">
            <v>SCF-DM-GBL50(23㎛ 0.2)</v>
          </cell>
          <cell r="C1183" t="str">
            <v>제품</v>
          </cell>
          <cell r="D1183" t="str">
            <v>윈도우 제품군</v>
          </cell>
          <cell r="E1183" t="str">
            <v>염료</v>
          </cell>
          <cell r="F1183" t="str">
            <v>2PLY</v>
          </cell>
        </row>
        <row r="1184">
          <cell r="A1184">
            <v>30180</v>
          </cell>
          <cell r="B1184" t="str">
            <v>SCF-DM-NT25(23㎛ 0.3)</v>
          </cell>
          <cell r="C1184" t="str">
            <v>제품</v>
          </cell>
          <cell r="D1184" t="str">
            <v>윈도우 제품군</v>
          </cell>
          <cell r="E1184" t="str">
            <v>염료</v>
          </cell>
          <cell r="F1184" t="str">
            <v>2PLY</v>
          </cell>
        </row>
        <row r="1185">
          <cell r="A1185">
            <v>30181</v>
          </cell>
          <cell r="B1185" t="str">
            <v>SCF-ND-BK35(중국향)</v>
          </cell>
          <cell r="C1185" t="str">
            <v>제품</v>
          </cell>
          <cell r="D1185" t="str">
            <v>윈도우 제품군</v>
          </cell>
          <cell r="E1185" t="str">
            <v>염료</v>
          </cell>
          <cell r="F1185" t="str">
            <v>2PLY</v>
          </cell>
        </row>
        <row r="1186">
          <cell r="A1186">
            <v>30182</v>
          </cell>
          <cell r="B1186" t="str">
            <v>SCF-DM-RBK10(23㎛ 0.2)</v>
          </cell>
          <cell r="C1186" t="str">
            <v>제품</v>
          </cell>
          <cell r="D1186" t="str">
            <v>윈도우 제품군</v>
          </cell>
          <cell r="E1186" t="str">
            <v>염료</v>
          </cell>
          <cell r="F1186" t="str">
            <v>2PLY</v>
          </cell>
        </row>
        <row r="1187">
          <cell r="A1187">
            <v>30183</v>
          </cell>
          <cell r="B1187" t="str">
            <v>SCF-DM-61#E 25%(0.3)</v>
          </cell>
          <cell r="C1187" t="str">
            <v>제품</v>
          </cell>
          <cell r="D1187" t="str">
            <v>윈도우 제품군</v>
          </cell>
          <cell r="E1187" t="str">
            <v>염료</v>
          </cell>
          <cell r="F1187" t="str">
            <v>2PLY</v>
          </cell>
        </row>
        <row r="1188">
          <cell r="A1188">
            <v>30184</v>
          </cell>
          <cell r="B1188" t="str">
            <v>SCF-DM-CX01 70%(0.15)</v>
          </cell>
          <cell r="C1188" t="str">
            <v>제품</v>
          </cell>
          <cell r="D1188" t="str">
            <v>윈도우 제품군</v>
          </cell>
          <cell r="E1188" t="str">
            <v>염료</v>
          </cell>
          <cell r="F1188" t="str">
            <v>2PLY</v>
          </cell>
        </row>
        <row r="1189">
          <cell r="A1189">
            <v>30185</v>
          </cell>
          <cell r="B1189" t="str">
            <v>SCF-DM-SI 70%(0.15)</v>
          </cell>
          <cell r="C1189" t="str">
            <v>제품</v>
          </cell>
          <cell r="D1189" t="str">
            <v>윈도우 제품군</v>
          </cell>
          <cell r="E1189" t="str">
            <v>염료</v>
          </cell>
          <cell r="F1189" t="str">
            <v>2PLY</v>
          </cell>
        </row>
        <row r="1190">
          <cell r="A1190">
            <v>30186</v>
          </cell>
          <cell r="B1190" t="str">
            <v>SCF-DM-SI 60%(0.2)</v>
          </cell>
          <cell r="C1190" t="str">
            <v>제품</v>
          </cell>
          <cell r="D1190" t="str">
            <v>윈도우 제품군</v>
          </cell>
          <cell r="E1190" t="str">
            <v>염료</v>
          </cell>
          <cell r="F1190" t="str">
            <v>2PLY</v>
          </cell>
        </row>
        <row r="1191">
          <cell r="A1191">
            <v>30187</v>
          </cell>
          <cell r="B1191" t="str">
            <v>SCF-DM-SI 50%(0.3)</v>
          </cell>
          <cell r="C1191" t="str">
            <v>제품</v>
          </cell>
          <cell r="D1191" t="str">
            <v>윈도우 제품군</v>
          </cell>
          <cell r="E1191" t="str">
            <v>염료</v>
          </cell>
          <cell r="F1191" t="str">
            <v>2PLY</v>
          </cell>
        </row>
        <row r="1192">
          <cell r="A1192">
            <v>30193</v>
          </cell>
          <cell r="B1192" t="str">
            <v>SF-NS-HIGH 2mil(도포 30㎛)</v>
          </cell>
          <cell r="C1192" t="str">
            <v>제품</v>
          </cell>
          <cell r="D1192" t="str">
            <v>윈도우 제품군</v>
          </cell>
          <cell r="E1192" t="str">
            <v>전략</v>
          </cell>
          <cell r="F1192" t="str">
            <v>SAFETY</v>
          </cell>
        </row>
        <row r="1193">
          <cell r="A1193">
            <v>30194</v>
          </cell>
          <cell r="B1193" t="str">
            <v>SCF-DM-CX02 65%(0.15)</v>
          </cell>
          <cell r="C1193" t="str">
            <v>제품</v>
          </cell>
          <cell r="D1193" t="str">
            <v>윈도우 제품군</v>
          </cell>
          <cell r="E1193" t="str">
            <v>염료</v>
          </cell>
          <cell r="F1193" t="str">
            <v>2PLY</v>
          </cell>
        </row>
        <row r="1194">
          <cell r="A1194">
            <v>30195</v>
          </cell>
          <cell r="B1194" t="str">
            <v>SCF-DM-35D (0.3)</v>
          </cell>
          <cell r="C1194" t="str">
            <v>제품</v>
          </cell>
          <cell r="D1194" t="str">
            <v>윈도우 제품군</v>
          </cell>
          <cell r="E1194" t="str">
            <v>염료</v>
          </cell>
          <cell r="F1194" t="str">
            <v>2PLY</v>
          </cell>
        </row>
        <row r="1195">
          <cell r="A1195">
            <v>30196</v>
          </cell>
          <cell r="B1195" t="str">
            <v>SCF-DM-R SBL895 65%(0.15)</v>
          </cell>
          <cell r="C1195" t="str">
            <v>제품</v>
          </cell>
          <cell r="D1195" t="str">
            <v>윈도우 제품군</v>
          </cell>
          <cell r="E1195" t="str">
            <v>염료</v>
          </cell>
          <cell r="F1195" t="str">
            <v>2PLY</v>
          </cell>
        </row>
        <row r="1196">
          <cell r="A1196">
            <v>30202</v>
          </cell>
          <cell r="B1196" t="str">
            <v>SP(Exterior)-ND-CH17</v>
          </cell>
          <cell r="C1196" t="str">
            <v>제품</v>
          </cell>
          <cell r="D1196" t="str">
            <v>윈도우 제품군</v>
          </cell>
          <cell r="E1196" t="str">
            <v>전략</v>
          </cell>
          <cell r="F1196" t="str">
            <v>SP</v>
          </cell>
        </row>
        <row r="1197">
          <cell r="A1197">
            <v>30207</v>
          </cell>
          <cell r="B1197" t="str">
            <v>IR-ND-IGLD7060</v>
          </cell>
          <cell r="C1197" t="str">
            <v>제품</v>
          </cell>
          <cell r="D1197" t="str">
            <v>윈도우 제품군</v>
          </cell>
          <cell r="E1197" t="str">
            <v>전략</v>
          </cell>
          <cell r="F1197" t="str">
            <v>IR</v>
          </cell>
        </row>
        <row r="1198">
          <cell r="A1198">
            <v>30211</v>
          </cell>
          <cell r="B1198" t="str">
            <v>SCF-DM-WCL15(0.4)</v>
          </cell>
          <cell r="C1198" t="str">
            <v>제품</v>
          </cell>
          <cell r="D1198" t="str">
            <v>윈도우 제품군</v>
          </cell>
          <cell r="E1198" t="str">
            <v>염료</v>
          </cell>
          <cell r="F1198" t="str">
            <v>2PLY</v>
          </cell>
        </row>
        <row r="1199">
          <cell r="A1199">
            <v>30212</v>
          </cell>
          <cell r="B1199" t="str">
            <v>SCF-DM-WCL19(0.4)</v>
          </cell>
          <cell r="C1199" t="str">
            <v>제품</v>
          </cell>
          <cell r="D1199" t="str">
            <v>윈도우 제품군</v>
          </cell>
          <cell r="E1199" t="str">
            <v>염료</v>
          </cell>
          <cell r="F1199" t="str">
            <v>2PLY</v>
          </cell>
        </row>
        <row r="1200">
          <cell r="A1200">
            <v>30218</v>
          </cell>
          <cell r="B1200" t="str">
            <v>SCF-DM-WCL35(0.4)</v>
          </cell>
          <cell r="C1200" t="str">
            <v>제품</v>
          </cell>
          <cell r="D1200" t="str">
            <v>윈도우 제품군</v>
          </cell>
          <cell r="E1200" t="str">
            <v>염료</v>
          </cell>
          <cell r="F1200" t="str">
            <v>2PLY</v>
          </cell>
        </row>
        <row r="1201">
          <cell r="A1201">
            <v>30220</v>
          </cell>
          <cell r="B1201" t="str">
            <v>SCF-DM-USB07 BLACK(0.8)</v>
          </cell>
          <cell r="C1201" t="str">
            <v>제품</v>
          </cell>
          <cell r="D1201" t="str">
            <v>윈도우 제품군</v>
          </cell>
          <cell r="E1201" t="str">
            <v>염료</v>
          </cell>
          <cell r="F1201" t="str">
            <v>2PLY</v>
          </cell>
        </row>
        <row r="1202">
          <cell r="A1202">
            <v>30225</v>
          </cell>
          <cell r="B1202" t="str">
            <v>SCF-DC-G30(0.3)</v>
          </cell>
          <cell r="C1202" t="str">
            <v>제품</v>
          </cell>
          <cell r="D1202" t="str">
            <v>윈도우 제품군</v>
          </cell>
          <cell r="E1202" t="str">
            <v>염료</v>
          </cell>
          <cell r="F1202" t="str">
            <v>2PLY</v>
          </cell>
        </row>
        <row r="1203">
          <cell r="A1203">
            <v>30233</v>
          </cell>
          <cell r="B1203" t="str">
            <v>Phantom(개선2)-ND-S7 2070</v>
          </cell>
          <cell r="C1203" t="str">
            <v>제품</v>
          </cell>
          <cell r="D1203" t="str">
            <v>윈도우 제품군</v>
          </cell>
          <cell r="E1203" t="str">
            <v>전략</v>
          </cell>
          <cell r="F1203" t="str">
            <v>SP</v>
          </cell>
        </row>
        <row r="1204">
          <cell r="A1204">
            <v>30234</v>
          </cell>
          <cell r="B1204" t="str">
            <v>Phantom(개선2)-ND-S7 3470</v>
          </cell>
          <cell r="C1204" t="str">
            <v>제품</v>
          </cell>
          <cell r="D1204" t="str">
            <v>윈도우 제품군</v>
          </cell>
          <cell r="E1204" t="str">
            <v>전략</v>
          </cell>
          <cell r="F1204" t="str">
            <v>SP</v>
          </cell>
        </row>
        <row r="1205">
          <cell r="A1205">
            <v>30235</v>
          </cell>
          <cell r="B1205" t="str">
            <v>Phantom(개선2)-ND-S7 4470</v>
          </cell>
          <cell r="C1205" t="str">
            <v>제품</v>
          </cell>
          <cell r="D1205" t="str">
            <v>윈도우 제품군</v>
          </cell>
          <cell r="E1205" t="str">
            <v>전략</v>
          </cell>
          <cell r="F1205" t="str">
            <v>SP</v>
          </cell>
        </row>
        <row r="1206">
          <cell r="A1206">
            <v>30236</v>
          </cell>
          <cell r="B1206" t="str">
            <v>Phantom(개선)-ND-S5 1050</v>
          </cell>
          <cell r="C1206" t="str">
            <v>제품</v>
          </cell>
          <cell r="D1206" t="str">
            <v>윈도우 제품군</v>
          </cell>
          <cell r="E1206" t="str">
            <v>전략</v>
          </cell>
          <cell r="F1206" t="str">
            <v>SP</v>
          </cell>
        </row>
        <row r="1207">
          <cell r="A1207">
            <v>30237</v>
          </cell>
          <cell r="B1207" t="str">
            <v>Phantom(개선2)-ND-S7 0870</v>
          </cell>
          <cell r="C1207" t="str">
            <v>제품</v>
          </cell>
          <cell r="D1207" t="str">
            <v>윈도우 제품군</v>
          </cell>
          <cell r="E1207" t="str">
            <v>전략</v>
          </cell>
          <cell r="F1207" t="str">
            <v>SP</v>
          </cell>
        </row>
        <row r="1208">
          <cell r="A1208">
            <v>30238</v>
          </cell>
          <cell r="B1208" t="str">
            <v>Phantom(개선)-ND-S5 0550</v>
          </cell>
          <cell r="C1208" t="str">
            <v>제품</v>
          </cell>
          <cell r="D1208" t="str">
            <v>윈도우 제품군</v>
          </cell>
          <cell r="E1208" t="str">
            <v>전략</v>
          </cell>
          <cell r="F1208" t="str">
            <v>SP</v>
          </cell>
        </row>
        <row r="1209">
          <cell r="A1209">
            <v>30259</v>
          </cell>
          <cell r="B1209" t="str">
            <v>Phantom(개선2)-ND-S9 0690</v>
          </cell>
          <cell r="C1209" t="str">
            <v>제품</v>
          </cell>
          <cell r="D1209" t="str">
            <v>윈도우 제품군</v>
          </cell>
          <cell r="E1209" t="str">
            <v>전략</v>
          </cell>
          <cell r="F1209" t="str">
            <v>SP</v>
          </cell>
        </row>
        <row r="1210">
          <cell r="A1210">
            <v>30260</v>
          </cell>
          <cell r="B1210" t="str">
            <v>Phantom(개선2)-ND-S9 1990</v>
          </cell>
          <cell r="C1210" t="str">
            <v>제품</v>
          </cell>
          <cell r="D1210" t="str">
            <v>윈도우 제품군</v>
          </cell>
          <cell r="E1210" t="str">
            <v>전략</v>
          </cell>
          <cell r="F1210" t="str">
            <v>SP</v>
          </cell>
        </row>
        <row r="1211">
          <cell r="A1211">
            <v>30261</v>
          </cell>
          <cell r="B1211" t="str">
            <v>Phantom(개선2)-ND-S9 3290</v>
          </cell>
          <cell r="C1211" t="str">
            <v>제품</v>
          </cell>
          <cell r="D1211" t="str">
            <v>윈도우 제품군</v>
          </cell>
          <cell r="E1211" t="str">
            <v>전략</v>
          </cell>
          <cell r="F1211" t="str">
            <v>SP</v>
          </cell>
        </row>
        <row r="1212">
          <cell r="A1212">
            <v>30262</v>
          </cell>
          <cell r="B1212" t="str">
            <v>Phantom(개선2)-ND-S9 4290</v>
          </cell>
          <cell r="C1212" t="str">
            <v>제품</v>
          </cell>
          <cell r="D1212" t="str">
            <v>윈도우 제품군</v>
          </cell>
          <cell r="E1212" t="str">
            <v>전략</v>
          </cell>
          <cell r="F1212" t="str">
            <v>SP</v>
          </cell>
        </row>
        <row r="1213">
          <cell r="A1213">
            <v>30278</v>
          </cell>
          <cell r="B1213" t="str">
            <v>SCF-ND-OLG 15</v>
          </cell>
          <cell r="C1213" t="str">
            <v>제품</v>
          </cell>
          <cell r="D1213" t="str">
            <v>윈도우 제품군</v>
          </cell>
          <cell r="E1213" t="str">
            <v>염료</v>
          </cell>
          <cell r="F1213" t="str">
            <v>2PLY</v>
          </cell>
        </row>
        <row r="1214">
          <cell r="A1214">
            <v>30279</v>
          </cell>
          <cell r="B1214" t="str">
            <v>SCF-DC-B35D(0.3)</v>
          </cell>
          <cell r="C1214" t="str">
            <v>제품</v>
          </cell>
          <cell r="D1214" t="str">
            <v>윈도우 제품군</v>
          </cell>
          <cell r="E1214" t="str">
            <v>염료</v>
          </cell>
          <cell r="F1214" t="str">
            <v>2PLY</v>
          </cell>
        </row>
        <row r="1215">
          <cell r="A1215">
            <v>30280</v>
          </cell>
          <cell r="B1215" t="str">
            <v>PLATINUM(개선2)-ND-IBLD7060</v>
          </cell>
          <cell r="C1215" t="str">
            <v>제품</v>
          </cell>
          <cell r="D1215" t="str">
            <v>윈도우 제품군</v>
          </cell>
          <cell r="E1215" t="str">
            <v>전략</v>
          </cell>
          <cell r="F1215" t="str">
            <v>IR</v>
          </cell>
        </row>
        <row r="1216">
          <cell r="A1216">
            <v>30283</v>
          </cell>
          <cell r="B1216" t="str">
            <v>PPF-NS-NY PPF(Normal)</v>
          </cell>
          <cell r="C1216" t="str">
            <v>제품</v>
          </cell>
          <cell r="D1216" t="str">
            <v>윈도우 제품군</v>
          </cell>
          <cell r="E1216" t="str">
            <v>HIGH-END</v>
          </cell>
          <cell r="F1216" t="str">
            <v>C-PPF</v>
          </cell>
        </row>
        <row r="1217">
          <cell r="A1217">
            <v>30286</v>
          </cell>
          <cell r="B1217" t="str">
            <v>PLAYINUM(개선2)-ND-IBLD7090</v>
          </cell>
          <cell r="C1217" t="str">
            <v>제품</v>
          </cell>
          <cell r="D1217" t="str">
            <v>윈도우 제품군</v>
          </cell>
          <cell r="E1217" t="str">
            <v>전략</v>
          </cell>
          <cell r="F1217" t="str">
            <v>IR</v>
          </cell>
        </row>
        <row r="1218">
          <cell r="A1218">
            <v>30291</v>
          </cell>
          <cell r="B1218" t="str">
            <v>SFSL-ND-BK35+4MIL(SOLARFREE)</v>
          </cell>
          <cell r="C1218" t="str">
            <v>제품</v>
          </cell>
          <cell r="D1218" t="str">
            <v>윈도우 제품군</v>
          </cell>
          <cell r="E1218" t="str">
            <v>전략</v>
          </cell>
          <cell r="F1218" t="str">
            <v>SAFETY</v>
          </cell>
        </row>
        <row r="1219">
          <cell r="A1219">
            <v>30292</v>
          </cell>
          <cell r="B1219" t="str">
            <v>SPD(TB테크)-DM-S6 4550(0.15)</v>
          </cell>
          <cell r="C1219" t="str">
            <v>제품</v>
          </cell>
          <cell r="D1219" t="str">
            <v>윈도우 제품군</v>
          </cell>
          <cell r="E1219" t="str">
            <v>전략</v>
          </cell>
          <cell r="F1219" t="str">
            <v>SP</v>
          </cell>
        </row>
        <row r="1220">
          <cell r="A1220">
            <v>30293</v>
          </cell>
          <cell r="B1220" t="str">
            <v>SPD(TB테크)-DM-S6 3550(0.15)</v>
          </cell>
          <cell r="C1220" t="str">
            <v>제품</v>
          </cell>
          <cell r="D1220" t="str">
            <v>윈도우 제품군</v>
          </cell>
          <cell r="E1220" t="str">
            <v>전략</v>
          </cell>
          <cell r="F1220" t="str">
            <v>SP</v>
          </cell>
        </row>
        <row r="1221">
          <cell r="A1221">
            <v>30294</v>
          </cell>
          <cell r="B1221" t="str">
            <v>SPD(TB테크)-DM-S6 1550(0.15)</v>
          </cell>
          <cell r="C1221" t="str">
            <v>제품</v>
          </cell>
          <cell r="D1221" t="str">
            <v>윈도우 제품군</v>
          </cell>
          <cell r="E1221" t="str">
            <v>전략</v>
          </cell>
          <cell r="F1221" t="str">
            <v>SP</v>
          </cell>
        </row>
        <row r="1222">
          <cell r="A1222">
            <v>30295</v>
          </cell>
          <cell r="B1222" t="str">
            <v>SPD(TB테크)-DM-S6 0550(0.15)</v>
          </cell>
          <cell r="C1222" t="str">
            <v>제품</v>
          </cell>
          <cell r="D1222" t="str">
            <v>윈도우 제품군</v>
          </cell>
          <cell r="E1222" t="str">
            <v>전략</v>
          </cell>
          <cell r="F1222" t="str">
            <v>SP</v>
          </cell>
        </row>
        <row r="1223">
          <cell r="A1223">
            <v>30297</v>
          </cell>
          <cell r="B1223" t="str">
            <v>SCF-DM-BK15D(0.15)CHINA</v>
          </cell>
          <cell r="C1223" t="str">
            <v>제품</v>
          </cell>
          <cell r="D1223" t="str">
            <v>윈도우 제품군</v>
          </cell>
          <cell r="E1223" t="str">
            <v>염료</v>
          </cell>
          <cell r="F1223" t="str">
            <v>2PLY</v>
          </cell>
        </row>
        <row r="1224">
          <cell r="A1224">
            <v>30309</v>
          </cell>
          <cell r="B1224" t="str">
            <v>PPF-NS-일반형(황변)</v>
          </cell>
          <cell r="C1224" t="str">
            <v>제품</v>
          </cell>
          <cell r="D1224" t="str">
            <v>윈도우 제품군</v>
          </cell>
          <cell r="E1224" t="str">
            <v>미분류</v>
          </cell>
          <cell r="F1224" t="str">
            <v>미분류</v>
          </cell>
        </row>
        <row r="1225">
          <cell r="A1225">
            <v>30310</v>
          </cell>
          <cell r="B1225" t="str">
            <v>Phantom(CHARCOAL)-ND-4750</v>
          </cell>
          <cell r="C1225" t="str">
            <v>제품</v>
          </cell>
          <cell r="D1225" t="str">
            <v>윈도우 제품군</v>
          </cell>
          <cell r="E1225" t="str">
            <v>전략</v>
          </cell>
          <cell r="F1225" t="str">
            <v>SP</v>
          </cell>
        </row>
        <row r="1226">
          <cell r="A1226">
            <v>30311</v>
          </cell>
          <cell r="B1226" t="str">
            <v>Phantom(CHARCOAL)-ND-3750</v>
          </cell>
          <cell r="C1226" t="str">
            <v>제품</v>
          </cell>
          <cell r="D1226" t="str">
            <v>윈도우 제품군</v>
          </cell>
          <cell r="E1226" t="str">
            <v>전략</v>
          </cell>
          <cell r="F1226" t="str">
            <v>SP</v>
          </cell>
        </row>
        <row r="1227">
          <cell r="A1227">
            <v>30312</v>
          </cell>
          <cell r="B1227" t="str">
            <v>Phantom(CHARCOAL)-ND-1750</v>
          </cell>
          <cell r="C1227" t="str">
            <v>제품</v>
          </cell>
          <cell r="D1227" t="str">
            <v>윈도우 제품군</v>
          </cell>
          <cell r="E1227" t="str">
            <v>전략</v>
          </cell>
          <cell r="F1227" t="str">
            <v>SP</v>
          </cell>
        </row>
        <row r="1228">
          <cell r="A1228">
            <v>30313</v>
          </cell>
          <cell r="B1228" t="str">
            <v>Phantom(CHARCOAL)-ND-0750</v>
          </cell>
          <cell r="C1228" t="str">
            <v>제품</v>
          </cell>
          <cell r="D1228" t="str">
            <v>윈도우 제품군</v>
          </cell>
          <cell r="E1228" t="str">
            <v>전략</v>
          </cell>
          <cell r="F1228" t="str">
            <v>SP</v>
          </cell>
        </row>
        <row r="1229">
          <cell r="A1229">
            <v>30328</v>
          </cell>
          <cell r="B1229" t="str">
            <v>SCF-ND-RED(ALPENA)</v>
          </cell>
          <cell r="C1229" t="str">
            <v>제품</v>
          </cell>
          <cell r="D1229" t="str">
            <v>윈도우 제품군</v>
          </cell>
          <cell r="E1229" t="str">
            <v>염료</v>
          </cell>
          <cell r="F1229" t="str">
            <v>2PLY</v>
          </cell>
        </row>
        <row r="1230">
          <cell r="A1230">
            <v>30329</v>
          </cell>
          <cell r="B1230" t="str">
            <v>SCF-ND-YELLOW(ALPENA)</v>
          </cell>
          <cell r="C1230" t="str">
            <v>제품</v>
          </cell>
          <cell r="D1230" t="str">
            <v>윈도우 제품군</v>
          </cell>
          <cell r="E1230" t="str">
            <v>염료</v>
          </cell>
          <cell r="F1230" t="str">
            <v>2PLY</v>
          </cell>
        </row>
        <row r="1231">
          <cell r="A1231">
            <v>30334</v>
          </cell>
          <cell r="B1231" t="str">
            <v>SF-NT-15MIL</v>
          </cell>
          <cell r="C1231" t="str">
            <v>제품</v>
          </cell>
          <cell r="D1231" t="str">
            <v>윈도우 제품군</v>
          </cell>
          <cell r="E1231" t="str">
            <v>전략</v>
          </cell>
          <cell r="F1231" t="str">
            <v>SAFETY</v>
          </cell>
        </row>
        <row r="1232">
          <cell r="A1232">
            <v>30335</v>
          </cell>
          <cell r="B1232" t="str">
            <v>SF-NS-2MIL(한들Japen)</v>
          </cell>
          <cell r="C1232" t="str">
            <v>제품</v>
          </cell>
          <cell r="D1232" t="str">
            <v>윈도우 제품군</v>
          </cell>
          <cell r="E1232" t="str">
            <v>전략</v>
          </cell>
          <cell r="F1232" t="str">
            <v>SAFETY</v>
          </cell>
        </row>
        <row r="1233">
          <cell r="A1233">
            <v>30372</v>
          </cell>
          <cell r="B1233" t="str">
            <v>SF-NS-2MIL(NON SR)</v>
          </cell>
          <cell r="C1233" t="str">
            <v>제품</v>
          </cell>
          <cell r="D1233" t="str">
            <v>윈도우 제품군</v>
          </cell>
          <cell r="E1233" t="str">
            <v>전략</v>
          </cell>
          <cell r="F1233" t="str">
            <v>SAFETY</v>
          </cell>
        </row>
        <row r="1234">
          <cell r="A1234">
            <v>30373</v>
          </cell>
          <cell r="B1234" t="str">
            <v>SPD(S개선2)-ND-4770</v>
          </cell>
          <cell r="C1234" t="str">
            <v>제품</v>
          </cell>
          <cell r="D1234" t="str">
            <v>윈도우 제품군</v>
          </cell>
          <cell r="E1234" t="str">
            <v>전략</v>
          </cell>
          <cell r="F1234" t="str">
            <v>SP</v>
          </cell>
        </row>
        <row r="1235">
          <cell r="A1235">
            <v>30374</v>
          </cell>
          <cell r="B1235" t="str">
            <v>SPD(S개선2)-ND-3770</v>
          </cell>
          <cell r="C1235" t="str">
            <v>제품</v>
          </cell>
          <cell r="D1235" t="str">
            <v>윈도우 제품군</v>
          </cell>
          <cell r="E1235" t="str">
            <v>전략</v>
          </cell>
          <cell r="F1235" t="str">
            <v>SP</v>
          </cell>
        </row>
        <row r="1236">
          <cell r="A1236">
            <v>30375</v>
          </cell>
          <cell r="B1236" t="str">
            <v>SPD(S개선2)-ND-1570</v>
          </cell>
          <cell r="C1236" t="str">
            <v>제품</v>
          </cell>
          <cell r="D1236" t="str">
            <v>윈도우 제품군</v>
          </cell>
          <cell r="E1236" t="str">
            <v>전략</v>
          </cell>
          <cell r="F1236" t="str">
            <v>SP</v>
          </cell>
        </row>
        <row r="1237">
          <cell r="A1237">
            <v>30376</v>
          </cell>
          <cell r="B1237" t="str">
            <v>SPD(S개선2)-ND-0670</v>
          </cell>
          <cell r="C1237" t="str">
            <v>제품</v>
          </cell>
          <cell r="D1237" t="str">
            <v>윈도우 제품군</v>
          </cell>
          <cell r="E1237" t="str">
            <v>전략</v>
          </cell>
          <cell r="F1237" t="str">
            <v>SP</v>
          </cell>
        </row>
        <row r="1238">
          <cell r="A1238">
            <v>30379</v>
          </cell>
          <cell r="B1238" t="str">
            <v>SPD(N개선2)-DM-SPD 3560(0.15)</v>
          </cell>
          <cell r="C1238" t="str">
            <v>제품</v>
          </cell>
          <cell r="D1238" t="str">
            <v>윈도우 제품군</v>
          </cell>
          <cell r="E1238" t="str">
            <v>전략</v>
          </cell>
          <cell r="F1238" t="str">
            <v>SP</v>
          </cell>
        </row>
        <row r="1239">
          <cell r="A1239">
            <v>30380</v>
          </cell>
          <cell r="B1239" t="str">
            <v>SPD(N개선2)-DM-SPD 1560(0.15)</v>
          </cell>
          <cell r="C1239" t="str">
            <v>제품</v>
          </cell>
          <cell r="D1239" t="str">
            <v>윈도우 제품군</v>
          </cell>
          <cell r="E1239" t="str">
            <v>전략</v>
          </cell>
          <cell r="F1239" t="str">
            <v>SP</v>
          </cell>
        </row>
        <row r="1240">
          <cell r="A1240">
            <v>30388</v>
          </cell>
          <cell r="B1240" t="str">
            <v>IR-MT-DIVINE 30(PNC NSN60%)</v>
          </cell>
          <cell r="C1240" t="str">
            <v>제품</v>
          </cell>
          <cell r="D1240" t="str">
            <v>윈도우 제품군</v>
          </cell>
          <cell r="E1240" t="str">
            <v>전략</v>
          </cell>
          <cell r="F1240" t="str">
            <v>IR</v>
          </cell>
        </row>
        <row r="1241">
          <cell r="A1241">
            <v>30391</v>
          </cell>
          <cell r="B1241" t="str">
            <v>IR-MT-DIVINE 30(CN NSN60%)</v>
          </cell>
          <cell r="C1241" t="str">
            <v>제품</v>
          </cell>
          <cell r="D1241" t="str">
            <v>윈도우 제품군</v>
          </cell>
          <cell r="E1241" t="str">
            <v>전략</v>
          </cell>
          <cell r="F1241" t="str">
            <v>IR</v>
          </cell>
        </row>
        <row r="1242">
          <cell r="A1242">
            <v>30399</v>
          </cell>
          <cell r="B1242" t="str">
            <v>SP(New)-NS-CBK 06(IR 65)</v>
          </cell>
          <cell r="C1242" t="str">
            <v>제품</v>
          </cell>
          <cell r="D1242" t="str">
            <v>윈도우 제품군</v>
          </cell>
          <cell r="E1242" t="str">
            <v>전략</v>
          </cell>
          <cell r="F1242" t="str">
            <v>SP</v>
          </cell>
        </row>
        <row r="1243">
          <cell r="A1243">
            <v>30400</v>
          </cell>
          <cell r="B1243" t="str">
            <v>SP(New)-NS-CBK 10(IR 10)</v>
          </cell>
          <cell r="C1243" t="str">
            <v>제품</v>
          </cell>
          <cell r="D1243" t="str">
            <v>윈도우 제품군</v>
          </cell>
          <cell r="E1243" t="str">
            <v>전략</v>
          </cell>
          <cell r="F1243" t="str">
            <v>SP</v>
          </cell>
        </row>
        <row r="1244">
          <cell r="A1244">
            <v>30401</v>
          </cell>
          <cell r="B1244" t="str">
            <v>SP(New)-NS-CBK 15(IR 50)</v>
          </cell>
          <cell r="C1244" t="str">
            <v>제품</v>
          </cell>
          <cell r="D1244" t="str">
            <v>윈도우 제품군</v>
          </cell>
          <cell r="E1244" t="str">
            <v>전략</v>
          </cell>
          <cell r="F1244" t="str">
            <v>SP</v>
          </cell>
        </row>
        <row r="1245">
          <cell r="A1245">
            <v>30402</v>
          </cell>
          <cell r="B1245" t="str">
            <v>SP(New)-NS-CBK 35(IR 35)</v>
          </cell>
          <cell r="C1245" t="str">
            <v>제품</v>
          </cell>
          <cell r="D1245" t="str">
            <v>윈도우 제품군</v>
          </cell>
          <cell r="E1245" t="str">
            <v>전략</v>
          </cell>
          <cell r="F1245" t="str">
            <v>SP</v>
          </cell>
        </row>
        <row r="1246">
          <cell r="A1246">
            <v>30403</v>
          </cell>
          <cell r="B1246" t="str">
            <v>SP(New)-NS-CBK 45(IR 30)</v>
          </cell>
          <cell r="C1246" t="str">
            <v>제품</v>
          </cell>
          <cell r="D1246" t="str">
            <v>윈도우 제품군</v>
          </cell>
          <cell r="E1246" t="str">
            <v>전략</v>
          </cell>
          <cell r="F1246" t="str">
            <v>SP</v>
          </cell>
        </row>
        <row r="1247">
          <cell r="A1247">
            <v>30404</v>
          </cell>
          <cell r="B1247" t="str">
            <v>SP(New)-NS-CCH 33(IR 35)</v>
          </cell>
          <cell r="C1247" t="str">
            <v>제품</v>
          </cell>
          <cell r="D1247" t="str">
            <v>윈도우 제품군</v>
          </cell>
          <cell r="E1247" t="str">
            <v>전략</v>
          </cell>
          <cell r="F1247" t="str">
            <v>SP</v>
          </cell>
        </row>
        <row r="1248">
          <cell r="A1248">
            <v>30409</v>
          </cell>
          <cell r="B1248" t="str">
            <v>SCF-NS-LBK03</v>
          </cell>
          <cell r="C1248" t="str">
            <v>제품</v>
          </cell>
          <cell r="D1248" t="str">
            <v>윈도우 제품군</v>
          </cell>
          <cell r="E1248" t="str">
            <v>염료</v>
          </cell>
          <cell r="F1248" t="str">
            <v>1PLY</v>
          </cell>
        </row>
        <row r="1249">
          <cell r="A1249">
            <v>30410</v>
          </cell>
          <cell r="B1249" t="str">
            <v>SCF-NS-LBK15</v>
          </cell>
          <cell r="C1249" t="str">
            <v>제품</v>
          </cell>
          <cell r="D1249" t="str">
            <v>윈도우 제품군</v>
          </cell>
          <cell r="E1249" t="str">
            <v>염료</v>
          </cell>
          <cell r="F1249" t="str">
            <v>1PLY</v>
          </cell>
        </row>
        <row r="1250">
          <cell r="A1250">
            <v>30427</v>
          </cell>
          <cell r="B1250" t="str">
            <v>SCF-DM-SG35(0.2)</v>
          </cell>
          <cell r="C1250" t="str">
            <v>제품</v>
          </cell>
          <cell r="D1250" t="str">
            <v>윈도우 제품군</v>
          </cell>
          <cell r="E1250" t="str">
            <v>염료</v>
          </cell>
          <cell r="F1250" t="str">
            <v>2PLY</v>
          </cell>
        </row>
        <row r="1251">
          <cell r="A1251">
            <v>30428</v>
          </cell>
          <cell r="B1251" t="str">
            <v>SCF-DM-SG20(0.2)</v>
          </cell>
          <cell r="C1251" t="str">
            <v>제품</v>
          </cell>
          <cell r="D1251" t="str">
            <v>윈도우 제품군</v>
          </cell>
          <cell r="E1251" t="str">
            <v>염료</v>
          </cell>
          <cell r="F1251" t="str">
            <v>2PLY</v>
          </cell>
        </row>
        <row r="1252">
          <cell r="A1252">
            <v>30429</v>
          </cell>
          <cell r="B1252" t="str">
            <v>SCF-DM-SG10(0.2)</v>
          </cell>
          <cell r="C1252" t="str">
            <v>제품</v>
          </cell>
          <cell r="D1252" t="str">
            <v>윈도우 제품군</v>
          </cell>
          <cell r="E1252" t="str">
            <v>염료</v>
          </cell>
          <cell r="F1252" t="str">
            <v>2PLY</v>
          </cell>
        </row>
        <row r="1253">
          <cell r="A1253">
            <v>30453</v>
          </cell>
          <cell r="B1253" t="str">
            <v>SCF-NS-CCS35(36㎛)</v>
          </cell>
          <cell r="C1253" t="str">
            <v>제품</v>
          </cell>
          <cell r="D1253" t="str">
            <v>윈도우 제품군</v>
          </cell>
          <cell r="E1253" t="str">
            <v>염료</v>
          </cell>
          <cell r="F1253" t="str">
            <v>1PLY</v>
          </cell>
        </row>
        <row r="1254">
          <cell r="A1254">
            <v>30454</v>
          </cell>
          <cell r="B1254" t="str">
            <v>SCF-NS-SGS15(36㎛)</v>
          </cell>
          <cell r="C1254" t="str">
            <v>제품</v>
          </cell>
          <cell r="D1254" t="str">
            <v>윈도우 제품군</v>
          </cell>
          <cell r="E1254" t="str">
            <v>염료</v>
          </cell>
          <cell r="F1254" t="str">
            <v>1PLY</v>
          </cell>
        </row>
        <row r="1255">
          <cell r="A1255">
            <v>30455</v>
          </cell>
          <cell r="B1255" t="str">
            <v>SCF-NS-C 05(36㎛)</v>
          </cell>
          <cell r="C1255" t="str">
            <v>제품</v>
          </cell>
          <cell r="D1255" t="str">
            <v>윈도우 제품군</v>
          </cell>
          <cell r="E1255" t="str">
            <v>염료</v>
          </cell>
          <cell r="F1255" t="str">
            <v>1PLY</v>
          </cell>
        </row>
        <row r="1256">
          <cell r="A1256">
            <v>30458</v>
          </cell>
          <cell r="B1256" t="str">
            <v>Phantom(BLACK)-ND-S5 2550</v>
          </cell>
          <cell r="C1256" t="str">
            <v>제품</v>
          </cell>
          <cell r="D1256" t="str">
            <v>윈도우 제품군</v>
          </cell>
          <cell r="E1256" t="str">
            <v>전략</v>
          </cell>
          <cell r="F1256" t="str">
            <v>SP</v>
          </cell>
        </row>
        <row r="1257">
          <cell r="A1257">
            <v>30459</v>
          </cell>
          <cell r="B1257" t="str">
            <v>Phantom(BLACK)-ND-S5 5550</v>
          </cell>
          <cell r="C1257" t="str">
            <v>제품</v>
          </cell>
          <cell r="D1257" t="str">
            <v>윈도우 제품군</v>
          </cell>
          <cell r="E1257" t="str">
            <v>전략</v>
          </cell>
          <cell r="F1257" t="str">
            <v>SP</v>
          </cell>
        </row>
        <row r="1258">
          <cell r="A1258">
            <v>30460</v>
          </cell>
          <cell r="B1258" t="str">
            <v>Phantom(BLACK)-ND-S5 4050</v>
          </cell>
          <cell r="C1258" t="str">
            <v>제품</v>
          </cell>
          <cell r="D1258" t="str">
            <v>윈도우 제품군</v>
          </cell>
          <cell r="E1258" t="str">
            <v>전략</v>
          </cell>
          <cell r="F1258" t="str">
            <v>SP</v>
          </cell>
        </row>
        <row r="1259">
          <cell r="A1259">
            <v>30461</v>
          </cell>
          <cell r="B1259" t="str">
            <v>Phantom(개선2)-ND-S7 2470</v>
          </cell>
          <cell r="C1259" t="str">
            <v>제품</v>
          </cell>
          <cell r="D1259" t="str">
            <v>윈도우 제품군</v>
          </cell>
          <cell r="E1259" t="str">
            <v>전략</v>
          </cell>
          <cell r="F1259" t="str">
            <v>SP</v>
          </cell>
        </row>
        <row r="1260">
          <cell r="A1260">
            <v>30462</v>
          </cell>
          <cell r="B1260" t="str">
            <v>Phantom(개선2)-ND-S7 3970</v>
          </cell>
          <cell r="C1260" t="str">
            <v>제품</v>
          </cell>
          <cell r="D1260" t="str">
            <v>윈도우 제품군</v>
          </cell>
          <cell r="E1260" t="str">
            <v>전략</v>
          </cell>
          <cell r="F1260" t="str">
            <v>SP</v>
          </cell>
        </row>
        <row r="1261">
          <cell r="A1261">
            <v>30463</v>
          </cell>
          <cell r="B1261" t="str">
            <v>Phantom(개선2)-ND-S7 5370</v>
          </cell>
          <cell r="C1261" t="str">
            <v>제품</v>
          </cell>
          <cell r="D1261" t="str">
            <v>윈도우 제품군</v>
          </cell>
          <cell r="E1261" t="str">
            <v>전략</v>
          </cell>
          <cell r="F1261" t="str">
            <v>SP</v>
          </cell>
        </row>
        <row r="1262">
          <cell r="A1262">
            <v>30464</v>
          </cell>
          <cell r="B1262" t="str">
            <v>Phantom(개선2)-ND-S9 2290</v>
          </cell>
          <cell r="C1262" t="str">
            <v>제품</v>
          </cell>
          <cell r="D1262" t="str">
            <v>윈도우 제품군</v>
          </cell>
          <cell r="E1262" t="str">
            <v>전략</v>
          </cell>
          <cell r="F1262" t="str">
            <v>SP</v>
          </cell>
        </row>
        <row r="1263">
          <cell r="A1263">
            <v>30465</v>
          </cell>
          <cell r="B1263" t="str">
            <v>Phantom(개선2)-ND-S9 3790</v>
          </cell>
          <cell r="C1263" t="str">
            <v>제품</v>
          </cell>
          <cell r="D1263" t="str">
            <v>윈도우 제품군</v>
          </cell>
          <cell r="E1263" t="str">
            <v>전략</v>
          </cell>
          <cell r="F1263" t="str">
            <v>SP</v>
          </cell>
        </row>
        <row r="1264">
          <cell r="A1264">
            <v>30466</v>
          </cell>
          <cell r="B1264" t="str">
            <v>Phantom(개선2)-ND-S9 4990</v>
          </cell>
          <cell r="C1264" t="str">
            <v>제품</v>
          </cell>
          <cell r="D1264" t="str">
            <v>윈도우 제품군</v>
          </cell>
          <cell r="E1264" t="str">
            <v>전략</v>
          </cell>
          <cell r="F1264" t="str">
            <v>SP</v>
          </cell>
        </row>
        <row r="1265">
          <cell r="A1265">
            <v>30472</v>
          </cell>
          <cell r="B1265" t="str">
            <v>SPD(S개선2)-ND-Climax4595</v>
          </cell>
          <cell r="C1265" t="str">
            <v>제품</v>
          </cell>
          <cell r="D1265" t="str">
            <v>윈도우 제품군</v>
          </cell>
          <cell r="E1265" t="str">
            <v>전략</v>
          </cell>
          <cell r="F1265" t="str">
            <v>SP</v>
          </cell>
        </row>
        <row r="1266">
          <cell r="A1266">
            <v>30473</v>
          </cell>
          <cell r="B1266" t="str">
            <v>SPD(S개선2)-ND-Climax3795</v>
          </cell>
          <cell r="C1266" t="str">
            <v>제품</v>
          </cell>
          <cell r="D1266" t="str">
            <v>윈도우 제품군</v>
          </cell>
          <cell r="E1266" t="str">
            <v>전략</v>
          </cell>
          <cell r="F1266" t="str">
            <v>SP</v>
          </cell>
        </row>
        <row r="1267">
          <cell r="A1267">
            <v>30474</v>
          </cell>
          <cell r="B1267" t="str">
            <v>SPD(S개선2)-ND-Climax1595</v>
          </cell>
          <cell r="C1267" t="str">
            <v>제품</v>
          </cell>
          <cell r="D1267" t="str">
            <v>윈도우 제품군</v>
          </cell>
          <cell r="E1267" t="str">
            <v>전략</v>
          </cell>
          <cell r="F1267" t="str">
            <v>SP</v>
          </cell>
        </row>
        <row r="1268">
          <cell r="A1268">
            <v>30484</v>
          </cell>
          <cell r="B1268" t="str">
            <v>IR-ND-TRUEBLUE 7080</v>
          </cell>
          <cell r="C1268" t="str">
            <v>제품</v>
          </cell>
          <cell r="D1268" t="str">
            <v>윈도우 제품군</v>
          </cell>
          <cell r="E1268" t="str">
            <v>전략</v>
          </cell>
          <cell r="F1268" t="str">
            <v>IR</v>
          </cell>
        </row>
        <row r="1269">
          <cell r="A1269">
            <v>30523</v>
          </cell>
          <cell r="B1269" t="str">
            <v>PLATINUM(NIR)-ND-IBLD7090(SLR80)</v>
          </cell>
          <cell r="C1269" t="str">
            <v>제품</v>
          </cell>
          <cell r="D1269" t="str">
            <v>윈도우 제품군</v>
          </cell>
          <cell r="E1269" t="str">
            <v>전략</v>
          </cell>
          <cell r="F1269" t="str">
            <v>IR</v>
          </cell>
        </row>
        <row r="1270">
          <cell r="A1270">
            <v>30549</v>
          </cell>
          <cell r="B1270" t="str">
            <v>SCF-DM-CL10(0.3)</v>
          </cell>
          <cell r="C1270" t="str">
            <v>제품</v>
          </cell>
          <cell r="D1270" t="str">
            <v>윈도우 제품군</v>
          </cell>
          <cell r="E1270" t="str">
            <v>염료</v>
          </cell>
          <cell r="F1270" t="str">
            <v>2PLY</v>
          </cell>
        </row>
        <row r="1271">
          <cell r="A1271">
            <v>30551</v>
          </cell>
          <cell r="B1271" t="str">
            <v>PPF-NS-최고급형(무황변+Top코팅)</v>
          </cell>
          <cell r="C1271" t="str">
            <v>제품</v>
          </cell>
          <cell r="D1271" t="str">
            <v>윈도우 제품군</v>
          </cell>
          <cell r="E1271" t="str">
            <v>HIGH-END</v>
          </cell>
          <cell r="F1271" t="str">
            <v>C-PPF</v>
          </cell>
        </row>
        <row r="1272">
          <cell r="A1272">
            <v>30565</v>
          </cell>
          <cell r="B1272" t="str">
            <v>제품용 박스</v>
          </cell>
          <cell r="C1272" t="str">
            <v>상품</v>
          </cell>
          <cell r="D1272" t="str">
            <v>윈도우 제품군</v>
          </cell>
          <cell r="E1272" t="str">
            <v>포장자재</v>
          </cell>
          <cell r="F1272" t="str">
            <v>포장자재</v>
          </cell>
        </row>
        <row r="1273">
          <cell r="A1273">
            <v>30566</v>
          </cell>
          <cell r="B1273" t="str">
            <v>Smith(KOR)-ND-T1 0560</v>
          </cell>
          <cell r="C1273" t="str">
            <v>제품</v>
          </cell>
          <cell r="D1273" t="str">
            <v>윈도우 제품군</v>
          </cell>
          <cell r="E1273" t="str">
            <v>전략</v>
          </cell>
          <cell r="F1273" t="str">
            <v>SP</v>
          </cell>
        </row>
        <row r="1274">
          <cell r="A1274">
            <v>30567</v>
          </cell>
          <cell r="B1274" t="str">
            <v>Smith(KOR)-ND-T1 1560</v>
          </cell>
          <cell r="C1274" t="str">
            <v>제품</v>
          </cell>
          <cell r="D1274" t="str">
            <v>윈도우 제품군</v>
          </cell>
          <cell r="E1274" t="str">
            <v>전략</v>
          </cell>
          <cell r="F1274" t="str">
            <v>SP</v>
          </cell>
        </row>
        <row r="1275">
          <cell r="A1275">
            <v>30568</v>
          </cell>
          <cell r="B1275" t="str">
            <v>Smith(KOR)-ND-T1 3060</v>
          </cell>
          <cell r="C1275" t="str">
            <v>제품</v>
          </cell>
          <cell r="D1275" t="str">
            <v>윈도우 제품군</v>
          </cell>
          <cell r="E1275" t="str">
            <v>전략</v>
          </cell>
          <cell r="F1275" t="str">
            <v>SP</v>
          </cell>
        </row>
        <row r="1276">
          <cell r="A1276">
            <v>30569</v>
          </cell>
          <cell r="B1276" t="str">
            <v>Smith(KOR)-ND-T1 4060</v>
          </cell>
          <cell r="C1276" t="str">
            <v>제품</v>
          </cell>
          <cell r="D1276" t="str">
            <v>윈도우 제품군</v>
          </cell>
          <cell r="E1276" t="str">
            <v>전략</v>
          </cell>
          <cell r="F1276" t="str">
            <v>SP</v>
          </cell>
        </row>
        <row r="1277">
          <cell r="A1277">
            <v>30600</v>
          </cell>
          <cell r="B1277" t="str">
            <v>포장자재</v>
          </cell>
          <cell r="C1277" t="str">
            <v>상품</v>
          </cell>
          <cell r="D1277" t="str">
            <v>윈도우 제품군</v>
          </cell>
          <cell r="E1277" t="str">
            <v>포장자재</v>
          </cell>
          <cell r="F1277" t="str">
            <v>포장자재</v>
          </cell>
        </row>
        <row r="1278">
          <cell r="A1278">
            <v>30601</v>
          </cell>
          <cell r="B1278" t="str">
            <v>SCF-DM-G01D(0.3)</v>
          </cell>
          <cell r="C1278" t="str">
            <v>제품</v>
          </cell>
          <cell r="D1278" t="str">
            <v>윈도우 제품군</v>
          </cell>
          <cell r="E1278" t="str">
            <v>염료</v>
          </cell>
          <cell r="F1278" t="str">
            <v>2PLY</v>
          </cell>
        </row>
        <row r="1279">
          <cell r="A1279">
            <v>30602</v>
          </cell>
          <cell r="B1279" t="str">
            <v>SCF-DM-G10D(0.3)</v>
          </cell>
          <cell r="C1279" t="str">
            <v>제품</v>
          </cell>
          <cell r="D1279" t="str">
            <v>윈도우 제품군</v>
          </cell>
          <cell r="E1279" t="str">
            <v>염료</v>
          </cell>
          <cell r="F1279" t="str">
            <v>2PLY</v>
          </cell>
        </row>
        <row r="1280">
          <cell r="A1280">
            <v>30673</v>
          </cell>
          <cell r="B1280" t="str">
            <v>Phantom(BLACK)-ND-S5 1050</v>
          </cell>
          <cell r="C1280" t="str">
            <v>제품</v>
          </cell>
          <cell r="D1280" t="str">
            <v>윈도우 제품군</v>
          </cell>
          <cell r="E1280" t="str">
            <v>전략</v>
          </cell>
          <cell r="F1280" t="str">
            <v>SP</v>
          </cell>
        </row>
        <row r="1281">
          <cell r="A1281">
            <v>30682</v>
          </cell>
          <cell r="B1281" t="str">
            <v>IR-ND-TRUEBLUE 8099</v>
          </cell>
          <cell r="C1281" t="str">
            <v>제품</v>
          </cell>
          <cell r="D1281" t="str">
            <v>윈도우 제품군</v>
          </cell>
          <cell r="E1281" t="str">
            <v>전략</v>
          </cell>
          <cell r="F1281" t="str">
            <v>IR</v>
          </cell>
        </row>
        <row r="1282">
          <cell r="A1282">
            <v>30711</v>
          </cell>
          <cell r="B1282" t="str">
            <v>SCF-NS-G05BK</v>
          </cell>
          <cell r="C1282" t="str">
            <v>제품</v>
          </cell>
          <cell r="D1282" t="str">
            <v>윈도우 제품군</v>
          </cell>
          <cell r="E1282" t="str">
            <v>염료</v>
          </cell>
          <cell r="F1282" t="str">
            <v>1PLY</v>
          </cell>
        </row>
        <row r="1283">
          <cell r="A1283">
            <v>30712</v>
          </cell>
          <cell r="B1283" t="str">
            <v>SCF-NS-G15BK</v>
          </cell>
          <cell r="C1283" t="str">
            <v>제품</v>
          </cell>
          <cell r="D1283" t="str">
            <v>윈도우 제품군</v>
          </cell>
          <cell r="E1283" t="str">
            <v>염료</v>
          </cell>
          <cell r="F1283" t="str">
            <v>1PLY</v>
          </cell>
        </row>
        <row r="1284">
          <cell r="A1284">
            <v>30713</v>
          </cell>
          <cell r="B1284" t="str">
            <v>SCF-NS-G35BK</v>
          </cell>
          <cell r="C1284" t="str">
            <v>제품</v>
          </cell>
          <cell r="D1284" t="str">
            <v>윈도우 제품군</v>
          </cell>
          <cell r="E1284" t="str">
            <v>염료</v>
          </cell>
          <cell r="F1284" t="str">
            <v>1PLY</v>
          </cell>
        </row>
        <row r="1285">
          <cell r="A1285">
            <v>30714</v>
          </cell>
          <cell r="B1285" t="str">
            <v>SCF-NS-G05 OG</v>
          </cell>
          <cell r="C1285" t="str">
            <v>제품</v>
          </cell>
          <cell r="D1285" t="str">
            <v>윈도우 제품군</v>
          </cell>
          <cell r="E1285" t="str">
            <v>염료</v>
          </cell>
          <cell r="F1285" t="str">
            <v>1PLY</v>
          </cell>
        </row>
        <row r="1286">
          <cell r="A1286">
            <v>30715</v>
          </cell>
          <cell r="B1286" t="str">
            <v>SCF-NS-G20 OG</v>
          </cell>
          <cell r="C1286" t="str">
            <v>제품</v>
          </cell>
          <cell r="D1286" t="str">
            <v>윈도우 제품군</v>
          </cell>
          <cell r="E1286" t="str">
            <v>염료</v>
          </cell>
          <cell r="F1286" t="str">
            <v>1PLY</v>
          </cell>
        </row>
        <row r="1287">
          <cell r="A1287">
            <v>30717</v>
          </cell>
          <cell r="B1287" t="str">
            <v>스마트필름</v>
          </cell>
          <cell r="C1287" t="str">
            <v>상품</v>
          </cell>
          <cell r="D1287" t="str">
            <v>윈도우 제품군</v>
          </cell>
          <cell r="E1287" t="str">
            <v>미분류</v>
          </cell>
          <cell r="F1287" t="str">
            <v>미분류</v>
          </cell>
        </row>
        <row r="1288">
          <cell r="A1288">
            <v>30738</v>
          </cell>
          <cell r="B1288" t="str">
            <v>Smith(KOR)-ND-T1 5060</v>
          </cell>
          <cell r="C1288" t="str">
            <v>제품</v>
          </cell>
          <cell r="D1288" t="str">
            <v>윈도우 제품군</v>
          </cell>
          <cell r="E1288" t="str">
            <v>전략</v>
          </cell>
          <cell r="F1288" t="str">
            <v>SP</v>
          </cell>
        </row>
        <row r="1289">
          <cell r="A1289">
            <v>30739</v>
          </cell>
          <cell r="B1289" t="str">
            <v>Smith(KOR)-ND-T1 7060</v>
          </cell>
          <cell r="C1289" t="str">
            <v>제품</v>
          </cell>
          <cell r="D1289" t="str">
            <v>윈도우 제품군</v>
          </cell>
          <cell r="E1289" t="str">
            <v>전략</v>
          </cell>
          <cell r="F1289" t="str">
            <v>SP</v>
          </cell>
        </row>
        <row r="1290">
          <cell r="A1290">
            <v>30740</v>
          </cell>
          <cell r="B1290" t="str">
            <v>Smith(KOR)-ND-T2 0590</v>
          </cell>
          <cell r="C1290" t="str">
            <v>제품</v>
          </cell>
          <cell r="D1290" t="str">
            <v>윈도우 제품군</v>
          </cell>
          <cell r="E1290" t="str">
            <v>전략</v>
          </cell>
          <cell r="F1290" t="str">
            <v>SP</v>
          </cell>
        </row>
        <row r="1291">
          <cell r="A1291">
            <v>30741</v>
          </cell>
          <cell r="B1291" t="str">
            <v>Smith(KOR)-ND-T2 1590</v>
          </cell>
          <cell r="C1291" t="str">
            <v>제품</v>
          </cell>
          <cell r="D1291" t="str">
            <v>윈도우 제품군</v>
          </cell>
          <cell r="E1291" t="str">
            <v>전략</v>
          </cell>
          <cell r="F1291" t="str">
            <v>SP</v>
          </cell>
        </row>
        <row r="1292">
          <cell r="A1292">
            <v>30742</v>
          </cell>
          <cell r="B1292" t="str">
            <v>Smith(KOR)-ND-T2 3090</v>
          </cell>
          <cell r="C1292" t="str">
            <v>제품</v>
          </cell>
          <cell r="D1292" t="str">
            <v>윈도우 제품군</v>
          </cell>
          <cell r="E1292" t="str">
            <v>전략</v>
          </cell>
          <cell r="F1292" t="str">
            <v>SP</v>
          </cell>
        </row>
        <row r="1293">
          <cell r="A1293">
            <v>30743</v>
          </cell>
          <cell r="B1293" t="str">
            <v>Smith(KOR)-ND-T2 4090</v>
          </cell>
          <cell r="C1293" t="str">
            <v>제품</v>
          </cell>
          <cell r="D1293" t="str">
            <v>윈도우 제품군</v>
          </cell>
          <cell r="E1293" t="str">
            <v>전략</v>
          </cell>
          <cell r="F1293" t="str">
            <v>SP</v>
          </cell>
        </row>
        <row r="1294">
          <cell r="A1294">
            <v>30744</v>
          </cell>
          <cell r="B1294" t="str">
            <v>IR(개선2)-ND-BLDF 6095(3MIL)</v>
          </cell>
          <cell r="C1294" t="str">
            <v>제품</v>
          </cell>
          <cell r="D1294" t="str">
            <v>윈도우 제품군</v>
          </cell>
          <cell r="E1294" t="str">
            <v>전략</v>
          </cell>
          <cell r="F1294" t="str">
            <v>IR</v>
          </cell>
        </row>
        <row r="1295">
          <cell r="A1295">
            <v>30763</v>
          </cell>
          <cell r="B1295" t="str">
            <v>포장백</v>
          </cell>
          <cell r="C1295" t="str">
            <v>상품</v>
          </cell>
          <cell r="D1295" t="str">
            <v>윈도우 제품군</v>
          </cell>
          <cell r="E1295" t="str">
            <v>포장자재</v>
          </cell>
          <cell r="F1295" t="str">
            <v>포장자재</v>
          </cell>
        </row>
        <row r="1296">
          <cell r="A1296">
            <v>30764</v>
          </cell>
          <cell r="B1296" t="str">
            <v>IR-MT-DIVINE 15(PNC NSN60%)</v>
          </cell>
          <cell r="C1296" t="str">
            <v>제품</v>
          </cell>
          <cell r="D1296" t="str">
            <v>윈도우 제품군</v>
          </cell>
          <cell r="E1296" t="str">
            <v>전략</v>
          </cell>
          <cell r="F1296" t="str">
            <v>IR</v>
          </cell>
        </row>
        <row r="1297">
          <cell r="A1297">
            <v>30770</v>
          </cell>
          <cell r="B1297" t="str">
            <v>BAR CODE LABEL(EX.1106)</v>
          </cell>
          <cell r="C1297" t="str">
            <v>상품</v>
          </cell>
          <cell r="D1297" t="str">
            <v>윈도우 제품군</v>
          </cell>
          <cell r="E1297" t="str">
            <v>미분류</v>
          </cell>
          <cell r="F1297" t="str">
            <v>미분류</v>
          </cell>
        </row>
        <row r="1298">
          <cell r="A1298">
            <v>30772</v>
          </cell>
          <cell r="B1298" t="str">
            <v>SPD(S개선2)-ND-TB Brown1550</v>
          </cell>
          <cell r="C1298" t="str">
            <v>제품</v>
          </cell>
          <cell r="D1298" t="str">
            <v>윈도우 제품군</v>
          </cell>
          <cell r="E1298" t="str">
            <v>미분류</v>
          </cell>
          <cell r="F1298" t="str">
            <v>미분류</v>
          </cell>
        </row>
        <row r="1299">
          <cell r="A1299">
            <v>30773</v>
          </cell>
          <cell r="B1299" t="str">
            <v>SPD(S개선2)-ND-TB Brown3550</v>
          </cell>
          <cell r="C1299" t="str">
            <v>제품</v>
          </cell>
          <cell r="D1299" t="str">
            <v>윈도우 제품군</v>
          </cell>
          <cell r="E1299" t="str">
            <v>미분류</v>
          </cell>
          <cell r="F1299" t="str">
            <v>미분류</v>
          </cell>
        </row>
        <row r="1300">
          <cell r="A1300">
            <v>30774</v>
          </cell>
          <cell r="B1300" t="str">
            <v>SPD(S개선2)-ND-TB Gray4557</v>
          </cell>
          <cell r="C1300" t="str">
            <v>제품</v>
          </cell>
          <cell r="D1300" t="str">
            <v>윈도우 제품군</v>
          </cell>
          <cell r="E1300" t="str">
            <v>전략</v>
          </cell>
          <cell r="F1300" t="str">
            <v>SP</v>
          </cell>
        </row>
        <row r="1301">
          <cell r="A1301">
            <v>30775</v>
          </cell>
          <cell r="B1301" t="str">
            <v>SPD(S개선2)-ND-TB Gray3557</v>
          </cell>
          <cell r="C1301" t="str">
            <v>제품</v>
          </cell>
          <cell r="D1301" t="str">
            <v>윈도우 제품군</v>
          </cell>
          <cell r="E1301" t="str">
            <v>전략</v>
          </cell>
          <cell r="F1301" t="str">
            <v>SP</v>
          </cell>
        </row>
        <row r="1302">
          <cell r="A1302">
            <v>30776</v>
          </cell>
          <cell r="B1302" t="str">
            <v>SPD(S개선2)-ND-TB Gray1557</v>
          </cell>
          <cell r="C1302" t="str">
            <v>제품</v>
          </cell>
          <cell r="D1302" t="str">
            <v>윈도우 제품군</v>
          </cell>
          <cell r="E1302" t="str">
            <v>전략</v>
          </cell>
          <cell r="F1302" t="str">
            <v>SP</v>
          </cell>
        </row>
        <row r="1303">
          <cell r="A1303">
            <v>30777</v>
          </cell>
          <cell r="B1303" t="str">
            <v>SPD(S개선2)-ND-TB Gray0557</v>
          </cell>
          <cell r="C1303" t="str">
            <v>제품</v>
          </cell>
          <cell r="D1303" t="str">
            <v>윈도우 제품군</v>
          </cell>
          <cell r="E1303" t="str">
            <v>전략</v>
          </cell>
          <cell r="F1303" t="str">
            <v>SP</v>
          </cell>
        </row>
        <row r="1304">
          <cell r="A1304">
            <v>30819</v>
          </cell>
          <cell r="B1304" t="str">
            <v>PPF-NS-고급형(무황변)</v>
          </cell>
          <cell r="C1304" t="str">
            <v>제품</v>
          </cell>
          <cell r="D1304" t="str">
            <v>윈도우 제품군</v>
          </cell>
          <cell r="E1304" t="str">
            <v>HIGH-END</v>
          </cell>
          <cell r="F1304" t="str">
            <v>C-PPF</v>
          </cell>
        </row>
        <row r="1305">
          <cell r="A1305">
            <v>30824</v>
          </cell>
          <cell r="B1305" t="str">
            <v>SCF-NS-G35 OG</v>
          </cell>
          <cell r="C1305" t="str">
            <v>제품</v>
          </cell>
          <cell r="D1305" t="str">
            <v>윈도우 제품군</v>
          </cell>
          <cell r="E1305" t="str">
            <v>염료</v>
          </cell>
          <cell r="F1305" t="str">
            <v>1PLY</v>
          </cell>
        </row>
        <row r="1306">
          <cell r="A1306">
            <v>30827</v>
          </cell>
          <cell r="B1306" t="str">
            <v>IRSF-ND-IR5585+4mil</v>
          </cell>
          <cell r="C1306" t="str">
            <v>제품</v>
          </cell>
          <cell r="D1306" t="str">
            <v>윈도우 제품군</v>
          </cell>
          <cell r="E1306" t="str">
            <v>전략</v>
          </cell>
          <cell r="F1306" t="str">
            <v>SAFETY</v>
          </cell>
        </row>
        <row r="1307">
          <cell r="A1307">
            <v>30847</v>
          </cell>
          <cell r="B1307" t="str">
            <v>SP-ND-ZBK35</v>
          </cell>
          <cell r="C1307" t="str">
            <v>제품</v>
          </cell>
          <cell r="D1307" t="str">
            <v>윈도우 제품군</v>
          </cell>
          <cell r="E1307" t="str">
            <v>전략</v>
          </cell>
          <cell r="F1307" t="str">
            <v>SP</v>
          </cell>
        </row>
        <row r="1308">
          <cell r="A1308">
            <v>30861</v>
          </cell>
          <cell r="B1308" t="str">
            <v>Phantom(강점착)-ND-S9 2390</v>
          </cell>
          <cell r="C1308" t="str">
            <v>제품</v>
          </cell>
          <cell r="D1308" t="str">
            <v>윈도우 제품군</v>
          </cell>
          <cell r="E1308" t="str">
            <v>전략</v>
          </cell>
          <cell r="F1308" t="str">
            <v>SP</v>
          </cell>
        </row>
        <row r="1309">
          <cell r="A1309">
            <v>30862</v>
          </cell>
          <cell r="B1309" t="str">
            <v>Phantom(강점착)-ND-S5 3350</v>
          </cell>
          <cell r="C1309" t="str">
            <v>제품</v>
          </cell>
          <cell r="D1309" t="str">
            <v>윈도우 제품군</v>
          </cell>
          <cell r="E1309" t="str">
            <v>전략</v>
          </cell>
          <cell r="F1309" t="str">
            <v>SP</v>
          </cell>
        </row>
        <row r="1310">
          <cell r="A1310">
            <v>30863</v>
          </cell>
          <cell r="B1310" t="str">
            <v>SF-ND-9MIL</v>
          </cell>
          <cell r="C1310" t="str">
            <v>제품</v>
          </cell>
          <cell r="D1310" t="str">
            <v>윈도우 제품군</v>
          </cell>
          <cell r="E1310" t="str">
            <v>전략</v>
          </cell>
          <cell r="F1310" t="str">
            <v>SAFETY</v>
          </cell>
        </row>
        <row r="1311">
          <cell r="A1311">
            <v>30886</v>
          </cell>
          <cell r="B1311" t="str">
            <v>CENTUM(S)-ND-8099</v>
          </cell>
          <cell r="C1311" t="str">
            <v>제품</v>
          </cell>
          <cell r="D1311" t="str">
            <v>윈도우 제품군</v>
          </cell>
          <cell r="E1311" t="str">
            <v>전략</v>
          </cell>
          <cell r="F1311" t="str">
            <v>IR</v>
          </cell>
        </row>
        <row r="1312">
          <cell r="A1312">
            <v>30887</v>
          </cell>
          <cell r="B1312" t="str">
            <v>CENTUM(S)-ND-8090</v>
          </cell>
          <cell r="C1312" t="str">
            <v>제품</v>
          </cell>
          <cell r="D1312" t="str">
            <v>윈도우 제품군</v>
          </cell>
          <cell r="E1312" t="str">
            <v>전략</v>
          </cell>
          <cell r="F1312" t="str">
            <v>IR</v>
          </cell>
        </row>
        <row r="1313">
          <cell r="A1313">
            <v>30888</v>
          </cell>
          <cell r="B1313" t="str">
            <v>CENTUM(S)-ND-8080</v>
          </cell>
          <cell r="C1313" t="str">
            <v>제품</v>
          </cell>
          <cell r="D1313" t="str">
            <v>윈도우 제품군</v>
          </cell>
          <cell r="E1313" t="str">
            <v>전략</v>
          </cell>
          <cell r="F1313" t="str">
            <v>IR</v>
          </cell>
        </row>
        <row r="1314">
          <cell r="A1314">
            <v>30923</v>
          </cell>
          <cell r="B1314" t="str">
            <v>TEST-IR-DC-3공정</v>
          </cell>
          <cell r="C1314" t="str">
            <v>제품</v>
          </cell>
          <cell r="D1314" t="str">
            <v>윈도우 제품군</v>
          </cell>
          <cell r="E1314" t="str">
            <v>전략</v>
          </cell>
          <cell r="F1314" t="str">
            <v>IR</v>
          </cell>
        </row>
        <row r="1315">
          <cell r="A1315">
            <v>30924</v>
          </cell>
          <cell r="B1315" t="str">
            <v>TEST-IR-DM-3공정</v>
          </cell>
          <cell r="C1315" t="str">
            <v>제품</v>
          </cell>
          <cell r="D1315" t="str">
            <v>윈도우 제품군</v>
          </cell>
          <cell r="E1315" t="str">
            <v>미분류</v>
          </cell>
          <cell r="F1315" t="str">
            <v>미분류</v>
          </cell>
        </row>
        <row r="1316">
          <cell r="A1316">
            <v>30925</v>
          </cell>
          <cell r="B1316" t="str">
            <v>TEST-IR-ND-3공정</v>
          </cell>
          <cell r="C1316" t="str">
            <v>제품</v>
          </cell>
          <cell r="D1316" t="str">
            <v>윈도우 제품군</v>
          </cell>
          <cell r="E1316" t="str">
            <v>미분류</v>
          </cell>
          <cell r="F1316" t="str">
            <v>미분류</v>
          </cell>
        </row>
        <row r="1317">
          <cell r="A1317">
            <v>30967</v>
          </cell>
          <cell r="B1317" t="str">
            <v>SCF-ND-BK15D(FOSHAN)</v>
          </cell>
          <cell r="C1317" t="str">
            <v>제품</v>
          </cell>
          <cell r="D1317" t="str">
            <v>윈도우 제품군</v>
          </cell>
          <cell r="E1317" t="str">
            <v>염료</v>
          </cell>
          <cell r="F1317" t="str">
            <v>2PLY</v>
          </cell>
        </row>
        <row r="1318">
          <cell r="A1318">
            <v>30993</v>
          </cell>
          <cell r="B1318" t="str">
            <v>SCF-DM-CS30(0.3)</v>
          </cell>
          <cell r="C1318" t="str">
            <v>제품</v>
          </cell>
          <cell r="D1318" t="str">
            <v>윈도우 제품군</v>
          </cell>
          <cell r="E1318" t="str">
            <v>염료</v>
          </cell>
          <cell r="F1318" t="str">
            <v>2PLY</v>
          </cell>
        </row>
        <row r="1319">
          <cell r="A1319">
            <v>31011</v>
          </cell>
          <cell r="B1319" t="str">
            <v>COLEX-NS-Anti graffiti(4mil)</v>
          </cell>
          <cell r="C1319" t="str">
            <v>제품</v>
          </cell>
          <cell r="D1319" t="str">
            <v>윈도우 제품군</v>
          </cell>
          <cell r="E1319" t="str">
            <v>전략</v>
          </cell>
          <cell r="F1319" t="str">
            <v>SAFETY</v>
          </cell>
        </row>
        <row r="1320">
          <cell r="A1320">
            <v>31012</v>
          </cell>
          <cell r="B1320" t="str">
            <v>PPF-NS-최고급형(이형터널개선)</v>
          </cell>
          <cell r="C1320" t="str">
            <v>제품</v>
          </cell>
          <cell r="D1320" t="str">
            <v>윈도우 제품군</v>
          </cell>
          <cell r="E1320" t="str">
            <v>HIGH-END</v>
          </cell>
          <cell r="F1320" t="str">
            <v>C-PPF</v>
          </cell>
        </row>
        <row r="1321">
          <cell r="A1321">
            <v>31013</v>
          </cell>
          <cell r="B1321" t="str">
            <v>SCF-DM-DIY 50%(SPT AL50%)</v>
          </cell>
          <cell r="C1321" t="str">
            <v>제품</v>
          </cell>
          <cell r="D1321" t="str">
            <v>윈도우 제품군</v>
          </cell>
          <cell r="E1321" t="str">
            <v>염료</v>
          </cell>
          <cell r="F1321" t="str">
            <v>2PLY</v>
          </cell>
        </row>
        <row r="1322">
          <cell r="A1322">
            <v>31015</v>
          </cell>
          <cell r="B1322" t="str">
            <v>Phantom(KOR)-ND-S5 0750</v>
          </cell>
          <cell r="C1322" t="str">
            <v>제품</v>
          </cell>
          <cell r="D1322" t="str">
            <v>윈도우 제품군</v>
          </cell>
          <cell r="E1322" t="str">
            <v>전략</v>
          </cell>
          <cell r="F1322" t="str">
            <v>SP</v>
          </cell>
        </row>
        <row r="1323">
          <cell r="A1323">
            <v>31016</v>
          </cell>
          <cell r="B1323" t="str">
            <v>Phantom(KOR)-ND-S5 1750</v>
          </cell>
          <cell r="C1323" t="str">
            <v>제품</v>
          </cell>
          <cell r="D1323" t="str">
            <v>윈도우 제품군</v>
          </cell>
          <cell r="E1323" t="str">
            <v>전략</v>
          </cell>
          <cell r="F1323" t="str">
            <v>SP</v>
          </cell>
        </row>
        <row r="1324">
          <cell r="A1324">
            <v>31017</v>
          </cell>
          <cell r="B1324" t="str">
            <v>Phantom(KOR)-ND-S5 3350</v>
          </cell>
          <cell r="C1324" t="str">
            <v>제품</v>
          </cell>
          <cell r="D1324" t="str">
            <v>윈도우 제품군</v>
          </cell>
          <cell r="E1324" t="str">
            <v>전략</v>
          </cell>
          <cell r="F1324" t="str">
            <v>SP</v>
          </cell>
        </row>
        <row r="1325">
          <cell r="A1325">
            <v>31018</v>
          </cell>
          <cell r="B1325" t="str">
            <v>Phantom(KOR)-ND-S5 4250</v>
          </cell>
          <cell r="C1325" t="str">
            <v>제품</v>
          </cell>
          <cell r="D1325" t="str">
            <v>윈도우 제품군</v>
          </cell>
          <cell r="E1325" t="str">
            <v>전략</v>
          </cell>
          <cell r="F1325" t="str">
            <v>SP</v>
          </cell>
        </row>
        <row r="1326">
          <cell r="A1326">
            <v>31019</v>
          </cell>
          <cell r="B1326" t="str">
            <v>Phantom(KOR)-ND-S7 0770</v>
          </cell>
          <cell r="C1326" t="str">
            <v>제품</v>
          </cell>
          <cell r="D1326" t="str">
            <v>윈도우 제품군</v>
          </cell>
          <cell r="E1326" t="str">
            <v>전략</v>
          </cell>
          <cell r="F1326" t="str">
            <v>SP</v>
          </cell>
        </row>
        <row r="1327">
          <cell r="A1327">
            <v>31020</v>
          </cell>
          <cell r="B1327" t="str">
            <v>Phantom(KOR)-ND-S7 1770</v>
          </cell>
          <cell r="C1327" t="str">
            <v>제품</v>
          </cell>
          <cell r="D1327" t="str">
            <v>윈도우 제품군</v>
          </cell>
          <cell r="E1327" t="str">
            <v>전략</v>
          </cell>
          <cell r="F1327" t="str">
            <v>SP</v>
          </cell>
        </row>
        <row r="1328">
          <cell r="A1328">
            <v>31021</v>
          </cell>
          <cell r="B1328" t="str">
            <v>Phantom(KOR)-ND-S7 3370</v>
          </cell>
          <cell r="C1328" t="str">
            <v>제품</v>
          </cell>
          <cell r="D1328" t="str">
            <v>윈도우 제품군</v>
          </cell>
          <cell r="E1328" t="str">
            <v>전략</v>
          </cell>
          <cell r="F1328" t="str">
            <v>SP</v>
          </cell>
        </row>
        <row r="1329">
          <cell r="A1329">
            <v>31022</v>
          </cell>
          <cell r="B1329" t="str">
            <v>Phantom(KOR)-ND-S7 4270</v>
          </cell>
          <cell r="C1329" t="str">
            <v>제품</v>
          </cell>
          <cell r="D1329" t="str">
            <v>윈도우 제품군</v>
          </cell>
          <cell r="E1329" t="str">
            <v>전략</v>
          </cell>
          <cell r="F1329" t="str">
            <v>SP</v>
          </cell>
        </row>
        <row r="1330">
          <cell r="A1330">
            <v>31023</v>
          </cell>
          <cell r="B1330" t="str">
            <v>Phantom(KOR)-ND-S9 0790</v>
          </cell>
          <cell r="C1330" t="str">
            <v>제품</v>
          </cell>
          <cell r="D1330" t="str">
            <v>윈도우 제품군</v>
          </cell>
          <cell r="E1330" t="str">
            <v>전략</v>
          </cell>
          <cell r="F1330" t="str">
            <v>SP</v>
          </cell>
        </row>
        <row r="1331">
          <cell r="A1331">
            <v>31024</v>
          </cell>
          <cell r="B1331" t="str">
            <v>Phantom(KOR)-ND-S9 1790</v>
          </cell>
          <cell r="C1331" t="str">
            <v>제품</v>
          </cell>
          <cell r="D1331" t="str">
            <v>윈도우 제품군</v>
          </cell>
          <cell r="E1331" t="str">
            <v>전략</v>
          </cell>
          <cell r="F1331" t="str">
            <v>SP</v>
          </cell>
        </row>
        <row r="1332">
          <cell r="A1332">
            <v>31025</v>
          </cell>
          <cell r="B1332" t="str">
            <v>Phantom(KOR)-ND-S9 3390</v>
          </cell>
          <cell r="C1332" t="str">
            <v>제품</v>
          </cell>
          <cell r="D1332" t="str">
            <v>윈도우 제품군</v>
          </cell>
          <cell r="E1332" t="str">
            <v>전략</v>
          </cell>
          <cell r="F1332" t="str">
            <v>SP</v>
          </cell>
        </row>
        <row r="1333">
          <cell r="A1333">
            <v>31026</v>
          </cell>
          <cell r="B1333" t="str">
            <v>Phantom(KOR)-ND-S9 4290</v>
          </cell>
          <cell r="C1333" t="str">
            <v>제품</v>
          </cell>
          <cell r="D1333" t="str">
            <v>윈도우 제품군</v>
          </cell>
          <cell r="E1333" t="str">
            <v>전략</v>
          </cell>
          <cell r="F1333" t="str">
            <v>SP</v>
          </cell>
        </row>
        <row r="1334">
          <cell r="A1334">
            <v>31029</v>
          </cell>
          <cell r="B1334" t="str">
            <v>IR-ND-AT7060</v>
          </cell>
          <cell r="C1334" t="str">
            <v>제품</v>
          </cell>
          <cell r="D1334" t="str">
            <v>윈도우 제품군</v>
          </cell>
          <cell r="E1334" t="str">
            <v>전략</v>
          </cell>
          <cell r="F1334" t="str">
            <v>IR</v>
          </cell>
        </row>
        <row r="1335">
          <cell r="A1335">
            <v>31072</v>
          </cell>
          <cell r="B1335" t="str">
            <v>SF-NS-2MIL 30㎛(NON SR)</v>
          </cell>
          <cell r="C1335" t="str">
            <v>제품</v>
          </cell>
          <cell r="D1335" t="str">
            <v>윈도우 제품군</v>
          </cell>
          <cell r="E1335" t="str">
            <v>전략</v>
          </cell>
          <cell r="F1335" t="str">
            <v>SAFETY</v>
          </cell>
        </row>
        <row r="1336">
          <cell r="A1336">
            <v>31080</v>
          </cell>
          <cell r="B1336" t="str">
            <v>SCF-DB-SOLAR BRONZE 05(0.3)</v>
          </cell>
          <cell r="C1336" t="str">
            <v>제품</v>
          </cell>
          <cell r="D1336" t="str">
            <v>윈도우 제품군</v>
          </cell>
          <cell r="E1336" t="str">
            <v>염료</v>
          </cell>
          <cell r="F1336" t="str">
            <v>2PLY</v>
          </cell>
        </row>
        <row r="1337">
          <cell r="A1337">
            <v>31082</v>
          </cell>
          <cell r="B1337" t="str">
            <v>SCF-DC-RGN05CS(0.8)</v>
          </cell>
          <cell r="C1337" t="str">
            <v>제품</v>
          </cell>
          <cell r="D1337" t="str">
            <v>윈도우 제품군</v>
          </cell>
          <cell r="E1337" t="str">
            <v>염료</v>
          </cell>
          <cell r="F1337" t="str">
            <v>2PLY</v>
          </cell>
        </row>
        <row r="1338">
          <cell r="A1338">
            <v>31085</v>
          </cell>
          <cell r="B1338" t="str">
            <v>SCF-DM-05RG(0.6)</v>
          </cell>
          <cell r="C1338" t="str">
            <v>제품</v>
          </cell>
          <cell r="D1338" t="str">
            <v>윈도우 제품군</v>
          </cell>
          <cell r="E1338" t="str">
            <v>염료</v>
          </cell>
          <cell r="F1338" t="str">
            <v>2PLY</v>
          </cell>
        </row>
        <row r="1339">
          <cell r="A1339">
            <v>31092</v>
          </cell>
          <cell r="B1339" t="str">
            <v>IR-ND-TRUEBLUE 1595</v>
          </cell>
          <cell r="C1339" t="str">
            <v>제품</v>
          </cell>
          <cell r="D1339" t="str">
            <v>윈도우 제품군</v>
          </cell>
          <cell r="E1339" t="str">
            <v>전략</v>
          </cell>
          <cell r="F1339" t="str">
            <v>IR</v>
          </cell>
        </row>
        <row r="1340">
          <cell r="A1340">
            <v>31100</v>
          </cell>
          <cell r="B1340" t="str">
            <v>Tview-ND-Mono Carbon 05</v>
          </cell>
          <cell r="C1340" t="str">
            <v>제품</v>
          </cell>
          <cell r="D1340" t="str">
            <v>윈도우 제품군</v>
          </cell>
          <cell r="E1340" t="str">
            <v>전략</v>
          </cell>
          <cell r="F1340" t="str">
            <v>SP</v>
          </cell>
        </row>
        <row r="1341">
          <cell r="A1341">
            <v>31101</v>
          </cell>
          <cell r="B1341" t="str">
            <v>Tview-ND-Mono Carbon 15</v>
          </cell>
          <cell r="C1341" t="str">
            <v>제품</v>
          </cell>
          <cell r="D1341" t="str">
            <v>윈도우 제품군</v>
          </cell>
          <cell r="E1341" t="str">
            <v>전략</v>
          </cell>
          <cell r="F1341" t="str">
            <v>SP</v>
          </cell>
        </row>
        <row r="1342">
          <cell r="A1342">
            <v>31102</v>
          </cell>
          <cell r="B1342" t="str">
            <v>Tview-ND-Mono Carbon 35</v>
          </cell>
          <cell r="C1342" t="str">
            <v>제품</v>
          </cell>
          <cell r="D1342" t="str">
            <v>윈도우 제품군</v>
          </cell>
          <cell r="E1342" t="str">
            <v>전략</v>
          </cell>
          <cell r="F1342" t="str">
            <v>SP</v>
          </cell>
        </row>
        <row r="1343">
          <cell r="A1343">
            <v>31103</v>
          </cell>
          <cell r="B1343" t="str">
            <v>Tview-ND-Mono Carbon 45</v>
          </cell>
          <cell r="C1343" t="str">
            <v>제품</v>
          </cell>
          <cell r="D1343" t="str">
            <v>윈도우 제품군</v>
          </cell>
          <cell r="E1343" t="str">
            <v>전략</v>
          </cell>
          <cell r="F1343" t="str">
            <v>SP</v>
          </cell>
        </row>
        <row r="1344">
          <cell r="A1344">
            <v>31112</v>
          </cell>
          <cell r="B1344" t="str">
            <v>Phantom(개선2)-ND-S9 1090</v>
          </cell>
          <cell r="C1344" t="str">
            <v>제품</v>
          </cell>
          <cell r="D1344" t="str">
            <v>윈도우 제품군</v>
          </cell>
          <cell r="E1344" t="str">
            <v>전략</v>
          </cell>
          <cell r="F1344" t="str">
            <v>SP</v>
          </cell>
        </row>
        <row r="1345">
          <cell r="A1345">
            <v>31113</v>
          </cell>
          <cell r="B1345" t="str">
            <v>Phantom(개선2)-ND-S9 0390</v>
          </cell>
          <cell r="C1345" t="str">
            <v>제품</v>
          </cell>
          <cell r="D1345" t="str">
            <v>윈도우 제품군</v>
          </cell>
          <cell r="E1345" t="str">
            <v>전략</v>
          </cell>
          <cell r="F1345" t="str">
            <v>SP</v>
          </cell>
        </row>
        <row r="1346">
          <cell r="A1346">
            <v>31114</v>
          </cell>
          <cell r="B1346" t="str">
            <v>Phantom(개선2)-ND-S7 1070</v>
          </cell>
          <cell r="C1346" t="str">
            <v>제품</v>
          </cell>
          <cell r="D1346" t="str">
            <v>윈도우 제품군</v>
          </cell>
          <cell r="E1346" t="str">
            <v>전략</v>
          </cell>
          <cell r="F1346" t="str">
            <v>SP</v>
          </cell>
        </row>
        <row r="1347">
          <cell r="A1347">
            <v>31115</v>
          </cell>
          <cell r="B1347" t="str">
            <v>Phantom(개선2)-ND-S7 0370</v>
          </cell>
          <cell r="C1347" t="str">
            <v>제품</v>
          </cell>
          <cell r="D1347" t="str">
            <v>윈도우 제품군</v>
          </cell>
          <cell r="E1347" t="str">
            <v>전략</v>
          </cell>
          <cell r="F1347" t="str">
            <v>SP</v>
          </cell>
        </row>
        <row r="1348">
          <cell r="A1348">
            <v>31116</v>
          </cell>
          <cell r="B1348" t="str">
            <v>Phantom(CHARCOAL)-ND-S5 1050</v>
          </cell>
          <cell r="C1348" t="str">
            <v>제품</v>
          </cell>
          <cell r="D1348" t="str">
            <v>윈도우 제품군</v>
          </cell>
          <cell r="E1348" t="str">
            <v>전략</v>
          </cell>
          <cell r="F1348" t="str">
            <v>SP</v>
          </cell>
        </row>
        <row r="1349">
          <cell r="A1349">
            <v>31117</v>
          </cell>
          <cell r="B1349" t="str">
            <v>Phantom(CHARCOAL)-ND-S5 0350</v>
          </cell>
          <cell r="C1349" t="str">
            <v>제품</v>
          </cell>
          <cell r="D1349" t="str">
            <v>윈도우 제품군</v>
          </cell>
          <cell r="E1349" t="str">
            <v>전략</v>
          </cell>
          <cell r="F1349" t="str">
            <v>SP</v>
          </cell>
        </row>
        <row r="1350">
          <cell r="A1350">
            <v>31119</v>
          </cell>
          <cell r="B1350" t="str">
            <v>IR-MT-DIVINE 50(PNC NSN60%)</v>
          </cell>
          <cell r="C1350" t="str">
            <v>제품</v>
          </cell>
          <cell r="D1350" t="str">
            <v>윈도우 제품군</v>
          </cell>
          <cell r="E1350" t="str">
            <v>전략</v>
          </cell>
          <cell r="F1350" t="str">
            <v>IR</v>
          </cell>
        </row>
        <row r="1351">
          <cell r="A1351">
            <v>31123</v>
          </cell>
          <cell r="B1351" t="str">
            <v>IR-ND-TRUEBLUE 8565</v>
          </cell>
          <cell r="C1351" t="str">
            <v>제품</v>
          </cell>
          <cell r="D1351" t="str">
            <v>윈도우 제품군</v>
          </cell>
          <cell r="E1351" t="str">
            <v>전략</v>
          </cell>
          <cell r="F1351" t="str">
            <v>IR</v>
          </cell>
        </row>
        <row r="1352">
          <cell r="A1352">
            <v>31124</v>
          </cell>
          <cell r="B1352" t="str">
            <v>IR-ND-TRUEBLUE 4mil+8565</v>
          </cell>
          <cell r="C1352" t="str">
            <v>제품</v>
          </cell>
          <cell r="D1352" t="str">
            <v>윈도우 제품군</v>
          </cell>
          <cell r="E1352" t="str">
            <v>전략</v>
          </cell>
          <cell r="F1352" t="str">
            <v>SAFETY</v>
          </cell>
        </row>
        <row r="1353">
          <cell r="A1353">
            <v>31131</v>
          </cell>
          <cell r="B1353" t="str">
            <v>SF-ND-2MIL+CCS15</v>
          </cell>
          <cell r="C1353" t="str">
            <v>제품</v>
          </cell>
          <cell r="D1353" t="str">
            <v>윈도우 제품군</v>
          </cell>
          <cell r="E1353" t="str">
            <v>전략</v>
          </cell>
          <cell r="F1353" t="str">
            <v>SAFETY</v>
          </cell>
        </row>
        <row r="1354">
          <cell r="A1354">
            <v>31174</v>
          </cell>
          <cell r="B1354" t="str">
            <v>Smith(KOR)-ND-T0 0840</v>
          </cell>
          <cell r="C1354" t="str">
            <v>제품</v>
          </cell>
          <cell r="D1354" t="str">
            <v>윈도우 제품군</v>
          </cell>
          <cell r="E1354" t="str">
            <v>전략</v>
          </cell>
          <cell r="F1354" t="str">
            <v>SP</v>
          </cell>
        </row>
        <row r="1355">
          <cell r="A1355">
            <v>31175</v>
          </cell>
          <cell r="B1355" t="str">
            <v>Smith(KOR)-ND-T0 1840</v>
          </cell>
          <cell r="C1355" t="str">
            <v>제품</v>
          </cell>
          <cell r="D1355" t="str">
            <v>윈도우 제품군</v>
          </cell>
          <cell r="E1355" t="str">
            <v>전략</v>
          </cell>
          <cell r="F1355" t="str">
            <v>SP</v>
          </cell>
        </row>
        <row r="1356">
          <cell r="A1356">
            <v>31176</v>
          </cell>
          <cell r="B1356" t="str">
            <v>Smith(KOR)-ND-T0 3040</v>
          </cell>
          <cell r="C1356" t="str">
            <v>제품</v>
          </cell>
          <cell r="D1356" t="str">
            <v>윈도우 제품군</v>
          </cell>
          <cell r="E1356" t="str">
            <v>전략</v>
          </cell>
          <cell r="F1356" t="str">
            <v>SP</v>
          </cell>
        </row>
        <row r="1357">
          <cell r="A1357">
            <v>31177</v>
          </cell>
          <cell r="B1357" t="str">
            <v>Smith(KOR)-ND-T0 4540</v>
          </cell>
          <cell r="C1357" t="str">
            <v>제품</v>
          </cell>
          <cell r="D1357" t="str">
            <v>윈도우 제품군</v>
          </cell>
          <cell r="E1357" t="str">
            <v>전략</v>
          </cell>
          <cell r="F1357" t="str">
            <v>SP</v>
          </cell>
        </row>
        <row r="1358">
          <cell r="A1358">
            <v>31187</v>
          </cell>
          <cell r="B1358" t="str">
            <v>IR-ND-8060+4MIL</v>
          </cell>
          <cell r="C1358" t="str">
            <v>제품</v>
          </cell>
          <cell r="D1358" t="str">
            <v>윈도우 제품군</v>
          </cell>
          <cell r="E1358" t="str">
            <v>전략</v>
          </cell>
          <cell r="F1358" t="str">
            <v>SAFETY</v>
          </cell>
        </row>
        <row r="1359">
          <cell r="A1359">
            <v>31191</v>
          </cell>
          <cell r="B1359" t="str">
            <v>Squeeze</v>
          </cell>
          <cell r="C1359" t="str">
            <v>상품</v>
          </cell>
          <cell r="D1359" t="str">
            <v>윈도우 제품군</v>
          </cell>
          <cell r="E1359" t="str">
            <v>미분류</v>
          </cell>
          <cell r="F1359" t="str">
            <v>미분류</v>
          </cell>
        </row>
        <row r="1360">
          <cell r="A1360">
            <v>31200</v>
          </cell>
          <cell r="B1360" t="str">
            <v>Slip Solution</v>
          </cell>
          <cell r="C1360" t="str">
            <v>상품</v>
          </cell>
          <cell r="D1360" t="str">
            <v>윈도우 제품군</v>
          </cell>
          <cell r="E1360" t="str">
            <v>Tinting tool</v>
          </cell>
          <cell r="F1360" t="str">
            <v>Tinting tool</v>
          </cell>
        </row>
        <row r="1361">
          <cell r="A1361">
            <v>31205</v>
          </cell>
          <cell r="B1361" t="str">
            <v>SCF-DM-WP GREEN30(0.2)</v>
          </cell>
          <cell r="C1361" t="str">
            <v>제품</v>
          </cell>
          <cell r="D1361" t="str">
            <v>윈도우 제품군</v>
          </cell>
          <cell r="E1361" t="str">
            <v>염료</v>
          </cell>
          <cell r="F1361" t="str">
            <v>2PLY</v>
          </cell>
        </row>
        <row r="1362">
          <cell r="A1362">
            <v>31208</v>
          </cell>
          <cell r="B1362" t="str">
            <v>IR-MT-CS 3099(고광택 0.3)</v>
          </cell>
          <cell r="C1362" t="str">
            <v>제품</v>
          </cell>
          <cell r="D1362" t="str">
            <v>윈도우 제품군</v>
          </cell>
          <cell r="E1362" t="str">
            <v>전략</v>
          </cell>
          <cell r="F1362" t="str">
            <v>IR</v>
          </cell>
        </row>
        <row r="1363">
          <cell r="A1363">
            <v>31209</v>
          </cell>
          <cell r="B1363" t="str">
            <v>IR-MT-CS 1099(고광택 0.3)</v>
          </cell>
          <cell r="C1363" t="str">
            <v>제품</v>
          </cell>
          <cell r="D1363" t="str">
            <v>윈도우 제품군</v>
          </cell>
          <cell r="E1363" t="str">
            <v>전략</v>
          </cell>
          <cell r="F1363" t="str">
            <v>IR</v>
          </cell>
        </row>
        <row r="1364">
          <cell r="A1364">
            <v>31210</v>
          </cell>
          <cell r="B1364" t="str">
            <v>CT505</v>
          </cell>
          <cell r="C1364" t="str">
            <v>상품</v>
          </cell>
          <cell r="D1364" t="str">
            <v>윈도우 제품군</v>
          </cell>
          <cell r="E1364" t="str">
            <v>미분류</v>
          </cell>
          <cell r="F1364" t="str">
            <v>미분류</v>
          </cell>
        </row>
        <row r="1365">
          <cell r="A1365">
            <v>31211</v>
          </cell>
          <cell r="B1365" t="str">
            <v>SCF-DM-WP GREEN30(0.2)</v>
          </cell>
          <cell r="C1365" t="str">
            <v>제품</v>
          </cell>
          <cell r="D1365" t="str">
            <v>윈도우 제품군</v>
          </cell>
          <cell r="E1365" t="str">
            <v>염료</v>
          </cell>
          <cell r="F1365" t="str">
            <v>2PLY</v>
          </cell>
        </row>
        <row r="1366">
          <cell r="A1366">
            <v>31216</v>
          </cell>
          <cell r="B1366" t="str">
            <v>IR-ND-TRUEBLUE 3599(강점착)</v>
          </cell>
          <cell r="C1366" t="str">
            <v>제품</v>
          </cell>
          <cell r="D1366" t="str">
            <v>윈도우 제품군</v>
          </cell>
          <cell r="E1366" t="str">
            <v>전략</v>
          </cell>
          <cell r="F1366" t="str">
            <v>IR</v>
          </cell>
        </row>
        <row r="1367">
          <cell r="A1367">
            <v>31217</v>
          </cell>
          <cell r="B1367" t="str">
            <v>IR-ND-TRUEBLUE 5099(강점착)</v>
          </cell>
          <cell r="C1367" t="str">
            <v>제품</v>
          </cell>
          <cell r="D1367" t="str">
            <v>윈도우 제품군</v>
          </cell>
          <cell r="E1367" t="str">
            <v>전략</v>
          </cell>
          <cell r="F1367" t="str">
            <v>IR</v>
          </cell>
        </row>
        <row r="1368">
          <cell r="A1368">
            <v>31225</v>
          </cell>
          <cell r="B1368" t="str">
            <v>SF-NS-2MIL(일본향)</v>
          </cell>
          <cell r="C1368" t="str">
            <v>제품</v>
          </cell>
          <cell r="D1368" t="str">
            <v>윈도우 제품군</v>
          </cell>
          <cell r="E1368" t="str">
            <v>전략</v>
          </cell>
          <cell r="F1368" t="str">
            <v>SAFETY</v>
          </cell>
        </row>
        <row r="1369">
          <cell r="A1369">
            <v>31233</v>
          </cell>
          <cell r="B1369" t="str">
            <v>IR-NS-SE-F 8540</v>
          </cell>
          <cell r="C1369" t="str">
            <v>제품</v>
          </cell>
          <cell r="D1369" t="str">
            <v>윈도우 제품군</v>
          </cell>
          <cell r="E1369" t="str">
            <v>전략</v>
          </cell>
          <cell r="F1369" t="str">
            <v>IR</v>
          </cell>
        </row>
        <row r="1370">
          <cell r="A1370">
            <v>31242</v>
          </cell>
          <cell r="B1370" t="str">
            <v>POL합지</v>
          </cell>
          <cell r="C1370" t="str">
            <v>제품</v>
          </cell>
          <cell r="D1370" t="str">
            <v>윈도우 제품군</v>
          </cell>
          <cell r="E1370" t="str">
            <v>기타</v>
          </cell>
          <cell r="F1370" t="str">
            <v>기타</v>
          </cell>
        </row>
        <row r="1371">
          <cell r="A1371">
            <v>31243</v>
          </cell>
          <cell r="B1371" t="str">
            <v>IR-ND-TRUEBLUE 7090(강점착)</v>
          </cell>
          <cell r="C1371" t="str">
            <v>제품</v>
          </cell>
          <cell r="D1371" t="str">
            <v>윈도우 제품군</v>
          </cell>
          <cell r="E1371" t="str">
            <v>전략</v>
          </cell>
          <cell r="F1371" t="str">
            <v>IR</v>
          </cell>
        </row>
        <row r="1372">
          <cell r="A1372">
            <v>31244</v>
          </cell>
          <cell r="B1372" t="str">
            <v>PPF-NS-PPF이형지(WHITE)</v>
          </cell>
          <cell r="C1372" t="str">
            <v>제품</v>
          </cell>
          <cell r="D1372" t="str">
            <v>윈도우 제품군</v>
          </cell>
          <cell r="E1372" t="str">
            <v>HIGH-END</v>
          </cell>
          <cell r="F1372" t="str">
            <v>C-PPF</v>
          </cell>
        </row>
        <row r="1373">
          <cell r="A1373">
            <v>31245</v>
          </cell>
          <cell r="B1373" t="str">
            <v>PPF-NS-최고급형(ST)</v>
          </cell>
          <cell r="C1373" t="str">
            <v>제품</v>
          </cell>
          <cell r="D1373" t="str">
            <v>윈도우 제품군</v>
          </cell>
          <cell r="E1373" t="str">
            <v>HIGH-END</v>
          </cell>
          <cell r="F1373" t="str">
            <v>C-PPF</v>
          </cell>
        </row>
        <row r="1374">
          <cell r="A1374">
            <v>31246</v>
          </cell>
          <cell r="B1374" t="str">
            <v>EC COATING</v>
          </cell>
          <cell r="C1374" t="str">
            <v>제품</v>
          </cell>
          <cell r="D1374" t="str">
            <v>윈도우 제품군</v>
          </cell>
          <cell r="E1374" t="str">
            <v>기타</v>
          </cell>
          <cell r="F1374" t="str">
            <v>기타</v>
          </cell>
        </row>
        <row r="1375">
          <cell r="A1375">
            <v>31247</v>
          </cell>
          <cell r="B1375" t="str">
            <v>COLEX-ND-SILVER MATT BLUE(고광택0.8)</v>
          </cell>
          <cell r="C1375" t="str">
            <v>제품</v>
          </cell>
          <cell r="D1375" t="str">
            <v>윈도우 제품군</v>
          </cell>
          <cell r="E1375" t="str">
            <v>염료</v>
          </cell>
          <cell r="F1375" t="str">
            <v>COLEX</v>
          </cell>
        </row>
        <row r="1376">
          <cell r="A1376">
            <v>31251</v>
          </cell>
          <cell r="B1376" t="str">
            <v>SCF-DC-BRONZE 10(0.8)</v>
          </cell>
          <cell r="C1376" t="str">
            <v>제품</v>
          </cell>
          <cell r="D1376" t="str">
            <v>윈도우 제품군</v>
          </cell>
          <cell r="E1376" t="str">
            <v>염료</v>
          </cell>
          <cell r="F1376" t="str">
            <v>2PLY</v>
          </cell>
        </row>
        <row r="1377">
          <cell r="A1377">
            <v>31252</v>
          </cell>
          <cell r="B1377" t="str">
            <v>SCF-DC-BLUE 15(0.6)</v>
          </cell>
          <cell r="C1377" t="str">
            <v>제품</v>
          </cell>
          <cell r="D1377" t="str">
            <v>윈도우 제품군</v>
          </cell>
          <cell r="E1377" t="str">
            <v>염료</v>
          </cell>
          <cell r="F1377" t="str">
            <v>2PLY</v>
          </cell>
        </row>
        <row r="1378">
          <cell r="A1378">
            <v>31253</v>
          </cell>
          <cell r="B1378" t="str">
            <v>TEST-EXTERIOR EXT20 (0.8)</v>
          </cell>
          <cell r="C1378" t="str">
            <v>제품</v>
          </cell>
          <cell r="D1378" t="str">
            <v>윈도우 제품군</v>
          </cell>
          <cell r="E1378" t="str">
            <v>전략</v>
          </cell>
          <cell r="F1378" t="str">
            <v>SAFETY</v>
          </cell>
        </row>
        <row r="1379">
          <cell r="A1379">
            <v>31254</v>
          </cell>
          <cell r="B1379" t="str">
            <v>TEST-EXTERIOR EXT 4MIL</v>
          </cell>
          <cell r="C1379" t="str">
            <v>제품</v>
          </cell>
          <cell r="D1379" t="str">
            <v>윈도우 제품군</v>
          </cell>
          <cell r="E1379" t="str">
            <v>전략</v>
          </cell>
          <cell r="F1379" t="str">
            <v>SAFETY</v>
          </cell>
        </row>
        <row r="1380">
          <cell r="A1380">
            <v>31283</v>
          </cell>
          <cell r="B1380" t="str">
            <v>SCF-DC-SILVER BLUE 10 (0.8)</v>
          </cell>
          <cell r="C1380" t="str">
            <v>제품</v>
          </cell>
          <cell r="D1380" t="str">
            <v>윈도우 제품군</v>
          </cell>
          <cell r="E1380" t="str">
            <v>염료</v>
          </cell>
          <cell r="F1380" t="str">
            <v>2PLY</v>
          </cell>
        </row>
        <row r="1381">
          <cell r="A1381">
            <v>31284</v>
          </cell>
          <cell r="B1381" t="str">
            <v>SCF-DM-SILVER BLUE 05 (Non SR) (1.1)</v>
          </cell>
          <cell r="C1381" t="str">
            <v>제품</v>
          </cell>
          <cell r="D1381" t="str">
            <v>윈도우 제품군</v>
          </cell>
          <cell r="E1381" t="str">
            <v>염료</v>
          </cell>
          <cell r="F1381" t="str">
            <v>2PLY</v>
          </cell>
        </row>
        <row r="1382">
          <cell r="A1382">
            <v>31286</v>
          </cell>
          <cell r="B1382" t="str">
            <v>DECO FILM</v>
          </cell>
          <cell r="C1382" t="str">
            <v>상품</v>
          </cell>
          <cell r="D1382" t="str">
            <v>윈도우 제품군</v>
          </cell>
          <cell r="E1382" t="str">
            <v>FILM</v>
          </cell>
          <cell r="F1382" t="str">
            <v>FILM</v>
          </cell>
        </row>
        <row r="1383">
          <cell r="A1383">
            <v>31293</v>
          </cell>
          <cell r="B1383" t="str">
            <v>COLEX-NS-BLACKOUT</v>
          </cell>
          <cell r="C1383" t="str">
            <v>제품</v>
          </cell>
          <cell r="D1383" t="str">
            <v>윈도우 제품군</v>
          </cell>
          <cell r="E1383" t="str">
            <v>염료</v>
          </cell>
          <cell r="F1383" t="str">
            <v>COLEX</v>
          </cell>
        </row>
        <row r="1384">
          <cell r="A1384">
            <v>31294</v>
          </cell>
          <cell r="B1384" t="str">
            <v>COLEX-NS-WHITEOUT</v>
          </cell>
          <cell r="C1384" t="str">
            <v>제품</v>
          </cell>
          <cell r="D1384" t="str">
            <v>윈도우 제품군</v>
          </cell>
          <cell r="E1384" t="str">
            <v>염료</v>
          </cell>
          <cell r="F1384" t="str">
            <v>COLEX</v>
          </cell>
        </row>
        <row r="1385">
          <cell r="A1385">
            <v>31295</v>
          </cell>
          <cell r="B1385" t="str">
            <v>데코 포장재</v>
          </cell>
          <cell r="C1385" t="str">
            <v>상품</v>
          </cell>
          <cell r="D1385" t="str">
            <v>윈도우 제품군</v>
          </cell>
          <cell r="E1385" t="str">
            <v>포장자재</v>
          </cell>
          <cell r="F1385" t="str">
            <v>포장자재</v>
          </cell>
        </row>
        <row r="1386">
          <cell r="A1386">
            <v>31307</v>
          </cell>
          <cell r="B1386" t="str">
            <v>SW83G</v>
          </cell>
          <cell r="C1386" t="str">
            <v>상품</v>
          </cell>
          <cell r="D1386" t="str">
            <v>윈도우 제품군</v>
          </cell>
          <cell r="E1386" t="str">
            <v>미분류</v>
          </cell>
          <cell r="F1386" t="str">
            <v>미분류</v>
          </cell>
        </row>
        <row r="1387">
          <cell r="A1387">
            <v>31314</v>
          </cell>
          <cell r="B1387" t="str">
            <v>SPDM-CV 3090(고광택 0.3)</v>
          </cell>
          <cell r="C1387" t="str">
            <v>제품</v>
          </cell>
          <cell r="D1387" t="str">
            <v>윈도우 제품군</v>
          </cell>
          <cell r="E1387" t="str">
            <v>전략</v>
          </cell>
          <cell r="F1387" t="str">
            <v>SP</v>
          </cell>
        </row>
        <row r="1388">
          <cell r="A1388">
            <v>31323</v>
          </cell>
          <cell r="B1388" t="str">
            <v>SCF-NS-CSR(TEST)</v>
          </cell>
          <cell r="C1388" t="str">
            <v>제품</v>
          </cell>
          <cell r="D1388" t="str">
            <v>윈도우 제품군</v>
          </cell>
          <cell r="E1388" t="str">
            <v>전략</v>
          </cell>
          <cell r="F1388" t="str">
            <v>SP</v>
          </cell>
        </row>
        <row r="1389">
          <cell r="A1389">
            <v>31332</v>
          </cell>
          <cell r="B1389" t="str">
            <v>PPF(LINE TSET)</v>
          </cell>
          <cell r="C1389" t="str">
            <v>제품</v>
          </cell>
          <cell r="D1389" t="str">
            <v>윈도우 제품군</v>
          </cell>
          <cell r="E1389" t="str">
            <v>HIGH-END</v>
          </cell>
          <cell r="F1389" t="str">
            <v>C-PPF</v>
          </cell>
        </row>
        <row r="1390">
          <cell r="A1390">
            <v>31333</v>
          </cell>
          <cell r="B1390" t="str">
            <v>PPF-NS-최고급형(STA)</v>
          </cell>
          <cell r="C1390" t="str">
            <v>제품</v>
          </cell>
          <cell r="D1390" t="str">
            <v>윈도우 제품군</v>
          </cell>
          <cell r="E1390" t="str">
            <v>HIGH-END</v>
          </cell>
          <cell r="F1390" t="str">
            <v>C-PPF</v>
          </cell>
        </row>
        <row r="1391">
          <cell r="A1391">
            <v>31334</v>
          </cell>
          <cell r="B1391" t="str">
            <v>Chroma(KOR)-DM-CHROMA7 1075(NiCr40)</v>
          </cell>
          <cell r="C1391" t="str">
            <v>제품</v>
          </cell>
          <cell r="D1391" t="str">
            <v>윈도우 제품군</v>
          </cell>
          <cell r="E1391" t="str">
            <v>전략</v>
          </cell>
          <cell r="F1391" t="str">
            <v>SP</v>
          </cell>
        </row>
        <row r="1392">
          <cell r="A1392">
            <v>31335</v>
          </cell>
          <cell r="B1392" t="str">
            <v>Chroma(KOR)-DM-CHROMA7 3075(NiCr40)</v>
          </cell>
          <cell r="C1392" t="str">
            <v>제품</v>
          </cell>
          <cell r="D1392" t="str">
            <v>윈도우 제품군</v>
          </cell>
          <cell r="E1392" t="str">
            <v>전략</v>
          </cell>
          <cell r="F1392" t="str">
            <v>SP</v>
          </cell>
        </row>
        <row r="1393">
          <cell r="A1393">
            <v>31336</v>
          </cell>
          <cell r="B1393" t="str">
            <v>Chroma(KOR)-DM-CHROMA9 1095(NiCr40)</v>
          </cell>
          <cell r="C1393" t="str">
            <v>제품</v>
          </cell>
          <cell r="D1393" t="str">
            <v>윈도우 제품군</v>
          </cell>
          <cell r="E1393" t="str">
            <v>전략</v>
          </cell>
          <cell r="F1393" t="str">
            <v>SP</v>
          </cell>
        </row>
        <row r="1394">
          <cell r="A1394">
            <v>31337</v>
          </cell>
          <cell r="B1394" t="str">
            <v>Chroma(KOR)-DM-CHROMA9 3095(NiCr40)</v>
          </cell>
          <cell r="C1394" t="str">
            <v>제품</v>
          </cell>
          <cell r="D1394" t="str">
            <v>윈도우 제품군</v>
          </cell>
          <cell r="E1394" t="str">
            <v>전략</v>
          </cell>
          <cell r="F1394" t="str">
            <v>SP</v>
          </cell>
        </row>
        <row r="1395">
          <cell r="A1395">
            <v>31344</v>
          </cell>
          <cell r="B1395" t="str">
            <v>SCF-NS-G50BK</v>
          </cell>
          <cell r="C1395" t="str">
            <v>제품</v>
          </cell>
          <cell r="D1395" t="str">
            <v>윈도우 제품군</v>
          </cell>
          <cell r="E1395" t="str">
            <v>염료</v>
          </cell>
          <cell r="F1395" t="str">
            <v>1PLY</v>
          </cell>
        </row>
        <row r="1396">
          <cell r="A1396">
            <v>31345</v>
          </cell>
          <cell r="B1396" t="str">
            <v>SCF-NS-G50 OG</v>
          </cell>
          <cell r="C1396" t="str">
            <v>제품</v>
          </cell>
          <cell r="D1396" t="str">
            <v>윈도우 제품군</v>
          </cell>
          <cell r="E1396" t="str">
            <v>염료</v>
          </cell>
          <cell r="F1396" t="str">
            <v>1PLY</v>
          </cell>
        </row>
        <row r="1397">
          <cell r="A1397">
            <v>31346</v>
          </cell>
          <cell r="B1397" t="str">
            <v>SFSL-NT-G20+12MIL</v>
          </cell>
          <cell r="C1397" t="str">
            <v>제품</v>
          </cell>
          <cell r="D1397" t="str">
            <v>윈도우 제품군</v>
          </cell>
          <cell r="E1397" t="str">
            <v>전략</v>
          </cell>
          <cell r="F1397" t="str">
            <v>SAFETY</v>
          </cell>
        </row>
        <row r="1398">
          <cell r="A1398">
            <v>31361</v>
          </cell>
          <cell r="B1398" t="str">
            <v>Phantom(USA)-ND-S5 0550</v>
          </cell>
          <cell r="C1398" t="str">
            <v>제품</v>
          </cell>
          <cell r="D1398" t="str">
            <v>윈도우 제품군</v>
          </cell>
          <cell r="E1398" t="str">
            <v>전략</v>
          </cell>
          <cell r="F1398" t="str">
            <v>SP</v>
          </cell>
        </row>
        <row r="1399">
          <cell r="A1399">
            <v>31362</v>
          </cell>
          <cell r="B1399" t="str">
            <v>Phantom(USA)-ND-S7 0570</v>
          </cell>
          <cell r="C1399" t="str">
            <v>제품</v>
          </cell>
          <cell r="D1399" t="str">
            <v>윈도우 제품군</v>
          </cell>
          <cell r="E1399" t="str">
            <v>전략</v>
          </cell>
          <cell r="F1399" t="str">
            <v>SP</v>
          </cell>
        </row>
        <row r="1400">
          <cell r="A1400">
            <v>31363</v>
          </cell>
          <cell r="B1400" t="str">
            <v>Phantom(USA)-ND-S9 0590</v>
          </cell>
          <cell r="C1400" t="str">
            <v>제품</v>
          </cell>
          <cell r="D1400" t="str">
            <v>윈도우 제품군</v>
          </cell>
          <cell r="E1400" t="str">
            <v>전략</v>
          </cell>
          <cell r="F1400" t="str">
            <v>SP</v>
          </cell>
        </row>
        <row r="1401">
          <cell r="A1401">
            <v>31380</v>
          </cell>
          <cell r="B1401" t="str">
            <v>SP(USA)-ND-Mono Carbon 50</v>
          </cell>
          <cell r="C1401" t="str">
            <v>제품</v>
          </cell>
          <cell r="D1401" t="str">
            <v>윈도우 제품군</v>
          </cell>
          <cell r="E1401" t="str">
            <v>전략</v>
          </cell>
          <cell r="F1401" t="str">
            <v>SP</v>
          </cell>
        </row>
        <row r="1402">
          <cell r="A1402">
            <v>31381</v>
          </cell>
          <cell r="B1402" t="str">
            <v>SP(USA)-ND-Mono Carbon 35</v>
          </cell>
          <cell r="C1402" t="str">
            <v>제품</v>
          </cell>
          <cell r="D1402" t="str">
            <v>윈도우 제품군</v>
          </cell>
          <cell r="E1402" t="str">
            <v>전략</v>
          </cell>
          <cell r="F1402" t="str">
            <v>SP</v>
          </cell>
        </row>
        <row r="1403">
          <cell r="A1403">
            <v>31382</v>
          </cell>
          <cell r="B1403" t="str">
            <v>SP(USA)-ND-Mono Carbon 20</v>
          </cell>
          <cell r="C1403" t="str">
            <v>제품</v>
          </cell>
          <cell r="D1403" t="str">
            <v>윈도우 제품군</v>
          </cell>
          <cell r="E1403" t="str">
            <v>전략</v>
          </cell>
          <cell r="F1403" t="str">
            <v>SP</v>
          </cell>
        </row>
        <row r="1404">
          <cell r="A1404">
            <v>31383</v>
          </cell>
          <cell r="B1404" t="str">
            <v>SP(USA)-ND-Mono Carbon 05</v>
          </cell>
          <cell r="C1404" t="str">
            <v>제품</v>
          </cell>
          <cell r="D1404" t="str">
            <v>윈도우 제품군</v>
          </cell>
          <cell r="E1404" t="str">
            <v>전략</v>
          </cell>
          <cell r="F1404" t="str">
            <v>SP</v>
          </cell>
        </row>
        <row r="1405">
          <cell r="A1405">
            <v>31400</v>
          </cell>
          <cell r="B1405" t="str">
            <v>PPF-NS-최고급형(SS)</v>
          </cell>
          <cell r="C1405" t="str">
            <v>제품</v>
          </cell>
          <cell r="D1405" t="str">
            <v>윈도우 제품군</v>
          </cell>
          <cell r="E1405" t="str">
            <v>HIGH-END</v>
          </cell>
          <cell r="F1405" t="str">
            <v>C-PPF</v>
          </cell>
        </row>
        <row r="1406">
          <cell r="A1406">
            <v>31402</v>
          </cell>
          <cell r="B1406" t="str">
            <v>Phantom(CHARCOAL)-ND-1450</v>
          </cell>
          <cell r="C1406" t="str">
            <v>제품</v>
          </cell>
          <cell r="D1406" t="str">
            <v>윈도우 제품군</v>
          </cell>
          <cell r="E1406" t="str">
            <v>전략</v>
          </cell>
          <cell r="F1406" t="str">
            <v>SP</v>
          </cell>
        </row>
        <row r="1407">
          <cell r="A1407">
            <v>31411</v>
          </cell>
          <cell r="B1407" t="str">
            <v>TEST-SF-ND-11MIL PRF</v>
          </cell>
          <cell r="C1407" t="str">
            <v>제품</v>
          </cell>
          <cell r="D1407" t="str">
            <v>윈도우 제품군</v>
          </cell>
          <cell r="E1407" t="str">
            <v>전략</v>
          </cell>
          <cell r="F1407" t="str">
            <v>SAFETY</v>
          </cell>
        </row>
        <row r="1408">
          <cell r="A1408">
            <v>31414</v>
          </cell>
          <cell r="B1408" t="str">
            <v>TEST-Chroma(NiCr)-SPT</v>
          </cell>
          <cell r="C1408" t="str">
            <v>제품</v>
          </cell>
          <cell r="D1408" t="str">
            <v>윈도우 제품군</v>
          </cell>
          <cell r="E1408" t="str">
            <v>전략</v>
          </cell>
          <cell r="F1408" t="str">
            <v>SP</v>
          </cell>
        </row>
        <row r="1409">
          <cell r="A1409">
            <v>31419</v>
          </cell>
          <cell r="B1409" t="str">
            <v>IRSF-ND-BK2060 8MIL</v>
          </cell>
          <cell r="C1409" t="str">
            <v>제품</v>
          </cell>
          <cell r="D1409" t="str">
            <v>윈도우 제품군</v>
          </cell>
          <cell r="E1409" t="str">
            <v>전략</v>
          </cell>
          <cell r="F1409" t="str">
            <v>SAFETY</v>
          </cell>
        </row>
        <row r="1410">
          <cell r="A1410">
            <v>31420</v>
          </cell>
          <cell r="B1410" t="str">
            <v>IRSF-ND-BK5060 8MIL</v>
          </cell>
          <cell r="C1410" t="str">
            <v>제품</v>
          </cell>
          <cell r="D1410" t="str">
            <v>윈도우 제품군</v>
          </cell>
          <cell r="E1410" t="str">
            <v>전략</v>
          </cell>
          <cell r="F1410" t="str">
            <v>SAFETY</v>
          </cell>
        </row>
        <row r="1411">
          <cell r="A1411">
            <v>31432</v>
          </cell>
          <cell r="B1411" t="str">
            <v>Chroma(KOR)-SPT-CHROMA7 1075(RHN40%)</v>
          </cell>
          <cell r="C1411" t="str">
            <v>제품</v>
          </cell>
          <cell r="D1411" t="str">
            <v>윈도우 제품군</v>
          </cell>
          <cell r="E1411" t="str">
            <v>전략</v>
          </cell>
          <cell r="F1411" t="str">
            <v>SP</v>
          </cell>
        </row>
        <row r="1412">
          <cell r="A1412">
            <v>31433</v>
          </cell>
          <cell r="B1412" t="str">
            <v>Chroma(KOR)-SPT-CHROMA7 3075(NiCr40)</v>
          </cell>
          <cell r="C1412" t="str">
            <v>제품</v>
          </cell>
          <cell r="D1412" t="str">
            <v>윈도우 제품군</v>
          </cell>
          <cell r="E1412" t="str">
            <v>전략</v>
          </cell>
          <cell r="F1412" t="str">
            <v>SP</v>
          </cell>
        </row>
        <row r="1413">
          <cell r="A1413">
            <v>31434</v>
          </cell>
          <cell r="B1413" t="str">
            <v>Chroma(KOR)-SPT-CHROMA9 1095(RHN 40)</v>
          </cell>
          <cell r="C1413" t="str">
            <v>제품</v>
          </cell>
          <cell r="D1413" t="str">
            <v>윈도우 제품군</v>
          </cell>
          <cell r="E1413" t="str">
            <v>전략</v>
          </cell>
          <cell r="F1413" t="str">
            <v>SP</v>
          </cell>
        </row>
        <row r="1414">
          <cell r="A1414">
            <v>31435</v>
          </cell>
          <cell r="B1414" t="str">
            <v>Chroma(KOR)-SPT-CHROMA9 3095(RHN 40)</v>
          </cell>
          <cell r="C1414" t="str">
            <v>제품</v>
          </cell>
          <cell r="D1414" t="str">
            <v>윈도우 제품군</v>
          </cell>
          <cell r="E1414" t="str">
            <v>전략</v>
          </cell>
          <cell r="F1414" t="str">
            <v>SP</v>
          </cell>
        </row>
        <row r="1415">
          <cell r="A1415">
            <v>31448</v>
          </cell>
          <cell r="B1415" t="str">
            <v>Smith(KOR)-CM-T3 1580(NiCr31%)</v>
          </cell>
          <cell r="C1415" t="str">
            <v>제품</v>
          </cell>
          <cell r="D1415" t="str">
            <v>윈도우 제품군</v>
          </cell>
          <cell r="E1415" t="str">
            <v>전략</v>
          </cell>
          <cell r="F1415" t="str">
            <v>SP</v>
          </cell>
        </row>
        <row r="1416">
          <cell r="A1416">
            <v>31449</v>
          </cell>
          <cell r="B1416" t="str">
            <v>Smith(KOR)-CM-T3 3580(NiCr31%)</v>
          </cell>
          <cell r="C1416" t="str">
            <v>제품</v>
          </cell>
          <cell r="D1416" t="str">
            <v>윈도우 제품군</v>
          </cell>
          <cell r="E1416" t="str">
            <v>전략</v>
          </cell>
          <cell r="F1416" t="str">
            <v>SP</v>
          </cell>
        </row>
        <row r="1417">
          <cell r="A1417">
            <v>31450</v>
          </cell>
          <cell r="B1417" t="str">
            <v>SEF-NS-CUBIX</v>
          </cell>
          <cell r="C1417" t="str">
            <v>제품</v>
          </cell>
          <cell r="D1417" t="str">
            <v>윈도우 제품군</v>
          </cell>
          <cell r="E1417" t="str">
            <v>염료</v>
          </cell>
          <cell r="F1417" t="str">
            <v>COLEX</v>
          </cell>
        </row>
        <row r="1418">
          <cell r="A1418">
            <v>31452</v>
          </cell>
          <cell r="B1418" t="str">
            <v>SAMPLE-DST-PU FORM TYPE</v>
          </cell>
          <cell r="C1418" t="str">
            <v>제품</v>
          </cell>
          <cell r="D1418" t="str">
            <v>윈도우 제품군</v>
          </cell>
          <cell r="E1418" t="str">
            <v>기타</v>
          </cell>
          <cell r="F1418" t="str">
            <v>기타</v>
          </cell>
        </row>
        <row r="1419">
          <cell r="A1419">
            <v>31480</v>
          </cell>
          <cell r="B1419" t="str">
            <v>TEST-BK2060+4MIL</v>
          </cell>
          <cell r="C1419" t="str">
            <v>제품</v>
          </cell>
          <cell r="D1419" t="str">
            <v>윈도우 제품군</v>
          </cell>
          <cell r="E1419" t="str">
            <v>전략</v>
          </cell>
          <cell r="F1419" t="str">
            <v>SAFETY</v>
          </cell>
        </row>
        <row r="1420">
          <cell r="A1420">
            <v>31483</v>
          </cell>
          <cell r="B1420" t="str">
            <v>TEST-NS-액정보호 필름</v>
          </cell>
          <cell r="C1420" t="str">
            <v>제품</v>
          </cell>
          <cell r="D1420" t="str">
            <v>윈도우 제품군</v>
          </cell>
          <cell r="E1420" t="str">
            <v>기타</v>
          </cell>
          <cell r="F1420" t="str">
            <v>기타</v>
          </cell>
        </row>
        <row r="1421">
          <cell r="A1421">
            <v>31492</v>
          </cell>
          <cell r="B1421" t="str">
            <v>TEST-UV EPU 코팅</v>
          </cell>
          <cell r="C1421" t="str">
            <v>제품</v>
          </cell>
          <cell r="D1421" t="str">
            <v>윈도우 제품군</v>
          </cell>
          <cell r="E1421" t="str">
            <v>기타</v>
          </cell>
          <cell r="F1421" t="str">
            <v>기타</v>
          </cell>
        </row>
        <row r="1422">
          <cell r="A1422">
            <v>31493</v>
          </cell>
          <cell r="B1422" t="str">
            <v>SF-NS-2MIL(썬바이져용/AT706)</v>
          </cell>
          <cell r="C1422" t="str">
            <v>제품</v>
          </cell>
          <cell r="D1422" t="str">
            <v>윈도우 제품군</v>
          </cell>
          <cell r="E1422" t="str">
            <v>전략</v>
          </cell>
          <cell r="F1422" t="str">
            <v>SAFETY</v>
          </cell>
        </row>
        <row r="1423">
          <cell r="A1423">
            <v>31501</v>
          </cell>
          <cell r="B1423" t="str">
            <v>SF-ND-8MIL(PSA개선)</v>
          </cell>
          <cell r="C1423" t="str">
            <v>제품</v>
          </cell>
          <cell r="D1423" t="str">
            <v>윈도우 제품군</v>
          </cell>
          <cell r="E1423" t="str">
            <v>전략</v>
          </cell>
          <cell r="F1423" t="str">
            <v>SAFETY</v>
          </cell>
        </row>
        <row r="1424">
          <cell r="A1424">
            <v>31503</v>
          </cell>
          <cell r="B1424" t="str">
            <v>Phantom(AUS)-ND-S5 7750</v>
          </cell>
          <cell r="C1424" t="str">
            <v>제품</v>
          </cell>
          <cell r="D1424" t="str">
            <v>윈도우 제품군</v>
          </cell>
          <cell r="E1424" t="str">
            <v>전략</v>
          </cell>
          <cell r="F1424" t="str">
            <v>SP</v>
          </cell>
        </row>
        <row r="1425">
          <cell r="A1425">
            <v>31504</v>
          </cell>
          <cell r="B1425" t="str">
            <v>Phantom(AUS)-ND-S7 7770</v>
          </cell>
          <cell r="C1425" t="str">
            <v>제품</v>
          </cell>
          <cell r="D1425" t="str">
            <v>윈도우 제품군</v>
          </cell>
          <cell r="E1425" t="str">
            <v>전략</v>
          </cell>
          <cell r="F1425" t="str">
            <v>SP</v>
          </cell>
        </row>
        <row r="1426">
          <cell r="A1426">
            <v>31505</v>
          </cell>
          <cell r="B1426" t="str">
            <v>Phantom(AUS)-ND-S9 7790</v>
          </cell>
          <cell r="C1426" t="str">
            <v>제품</v>
          </cell>
          <cell r="D1426" t="str">
            <v>윈도우 제품군</v>
          </cell>
          <cell r="E1426" t="str">
            <v>전략</v>
          </cell>
          <cell r="F1426" t="str">
            <v>SP</v>
          </cell>
        </row>
        <row r="1427">
          <cell r="A1427">
            <v>31508</v>
          </cell>
          <cell r="B1427" t="str">
            <v>Mando(KOR)-ND-M6 0560</v>
          </cell>
          <cell r="C1427" t="str">
            <v>제품</v>
          </cell>
          <cell r="D1427" t="str">
            <v>윈도우 제품군</v>
          </cell>
          <cell r="E1427" t="str">
            <v>전략</v>
          </cell>
          <cell r="F1427" t="str">
            <v>SP</v>
          </cell>
        </row>
        <row r="1428">
          <cell r="A1428">
            <v>31509</v>
          </cell>
          <cell r="B1428" t="str">
            <v>Mando(KOR)-ND-M6 1560</v>
          </cell>
          <cell r="C1428" t="str">
            <v>제품</v>
          </cell>
          <cell r="D1428" t="str">
            <v>윈도우 제품군</v>
          </cell>
          <cell r="E1428" t="str">
            <v>전략</v>
          </cell>
          <cell r="F1428" t="str">
            <v>SP</v>
          </cell>
        </row>
        <row r="1429">
          <cell r="A1429">
            <v>31510</v>
          </cell>
          <cell r="B1429" t="str">
            <v>Mando(KOR)-ND-M6 3060</v>
          </cell>
          <cell r="C1429" t="str">
            <v>제품</v>
          </cell>
          <cell r="D1429" t="str">
            <v>윈도우 제품군</v>
          </cell>
          <cell r="E1429" t="str">
            <v>전략</v>
          </cell>
          <cell r="F1429" t="str">
            <v>SP</v>
          </cell>
        </row>
        <row r="1430">
          <cell r="A1430">
            <v>31511</v>
          </cell>
          <cell r="B1430" t="str">
            <v>Mando(KOR)-ND-M8 0580</v>
          </cell>
          <cell r="C1430" t="str">
            <v>제품</v>
          </cell>
          <cell r="D1430" t="str">
            <v>윈도우 제품군</v>
          </cell>
          <cell r="E1430" t="str">
            <v>전략</v>
          </cell>
          <cell r="F1430" t="str">
            <v>SP</v>
          </cell>
        </row>
        <row r="1431">
          <cell r="A1431">
            <v>31512</v>
          </cell>
          <cell r="B1431" t="str">
            <v>Mando(KOR)-ND-M8 1580</v>
          </cell>
          <cell r="C1431" t="str">
            <v>제품</v>
          </cell>
          <cell r="D1431" t="str">
            <v>윈도우 제품군</v>
          </cell>
          <cell r="E1431" t="str">
            <v>전략</v>
          </cell>
          <cell r="F1431" t="str">
            <v>SP</v>
          </cell>
        </row>
        <row r="1432">
          <cell r="A1432">
            <v>31513</v>
          </cell>
          <cell r="B1432" t="str">
            <v>Mando(KOR)-ND-M8 3080</v>
          </cell>
          <cell r="C1432" t="str">
            <v>제품</v>
          </cell>
          <cell r="D1432" t="str">
            <v>윈도우 제품군</v>
          </cell>
          <cell r="E1432" t="str">
            <v>전략</v>
          </cell>
          <cell r="F1432" t="str">
            <v>SP</v>
          </cell>
        </row>
        <row r="1433">
          <cell r="A1433">
            <v>31514</v>
          </cell>
          <cell r="B1433" t="str">
            <v>Mando(KOR)-DM-MR8 1080(RNH31%)</v>
          </cell>
          <cell r="C1433" t="str">
            <v>제품</v>
          </cell>
          <cell r="D1433" t="str">
            <v>윈도우 제품군</v>
          </cell>
          <cell r="E1433" t="str">
            <v>전략</v>
          </cell>
          <cell r="F1433" t="str">
            <v>SP</v>
          </cell>
        </row>
        <row r="1434">
          <cell r="A1434">
            <v>31515</v>
          </cell>
          <cell r="B1434" t="str">
            <v>Mando(KOR)-DC-MR8 3080(RNH31%)</v>
          </cell>
          <cell r="C1434" t="str">
            <v>제품</v>
          </cell>
          <cell r="D1434" t="str">
            <v>윈도우 제품군</v>
          </cell>
          <cell r="E1434" t="str">
            <v>전략</v>
          </cell>
          <cell r="F1434" t="str">
            <v>SP</v>
          </cell>
        </row>
        <row r="1435">
          <cell r="A1435">
            <v>31516</v>
          </cell>
          <cell r="B1435" t="str">
            <v>SPD-ND-TRUEBLUE 4570</v>
          </cell>
          <cell r="C1435" t="str">
            <v>제품</v>
          </cell>
          <cell r="D1435" t="str">
            <v>윈도우 제품군</v>
          </cell>
          <cell r="E1435" t="str">
            <v>전략</v>
          </cell>
          <cell r="F1435" t="str">
            <v>SP</v>
          </cell>
        </row>
        <row r="1436">
          <cell r="A1436">
            <v>31520</v>
          </cell>
          <cell r="B1436" t="str">
            <v>IRSF-ND-IR5560+4MIL</v>
          </cell>
          <cell r="C1436" t="str">
            <v>제품</v>
          </cell>
          <cell r="D1436" t="str">
            <v>윈도우 제품군</v>
          </cell>
          <cell r="E1436" t="str">
            <v>전략</v>
          </cell>
          <cell r="F1436" t="str">
            <v>SAFETY</v>
          </cell>
        </row>
        <row r="1437">
          <cell r="A1437">
            <v>31528</v>
          </cell>
          <cell r="B1437" t="str">
            <v>MPPF-NS-한들向</v>
          </cell>
          <cell r="C1437" t="str">
            <v>제품</v>
          </cell>
          <cell r="D1437" t="str">
            <v>윈도우 제품군</v>
          </cell>
          <cell r="E1437" t="str">
            <v>미분류</v>
          </cell>
          <cell r="F1437" t="str">
            <v>미분류</v>
          </cell>
        </row>
        <row r="1438">
          <cell r="A1438">
            <v>31533</v>
          </cell>
          <cell r="B1438" t="str">
            <v>SCF-DM-Graysilver 30 (0.5)</v>
          </cell>
          <cell r="C1438" t="str">
            <v>제품</v>
          </cell>
          <cell r="D1438" t="str">
            <v>윈도우 제품군</v>
          </cell>
          <cell r="E1438" t="str">
            <v>염료</v>
          </cell>
          <cell r="F1438" t="str">
            <v>2PLY</v>
          </cell>
        </row>
        <row r="1439">
          <cell r="A1439">
            <v>31534</v>
          </cell>
          <cell r="B1439" t="str">
            <v>PPF-NS-SGA</v>
          </cell>
          <cell r="C1439" t="str">
            <v>제품</v>
          </cell>
          <cell r="D1439" t="str">
            <v>윈도우 제품군</v>
          </cell>
          <cell r="E1439" t="str">
            <v>HIGH-END</v>
          </cell>
          <cell r="F1439" t="str">
            <v>C-PPF</v>
          </cell>
        </row>
        <row r="1440">
          <cell r="A1440">
            <v>31535</v>
          </cell>
          <cell r="B1440" t="str">
            <v>PPF-NS-SGM</v>
          </cell>
          <cell r="C1440" t="str">
            <v>제품</v>
          </cell>
          <cell r="D1440" t="str">
            <v>윈도우 제품군</v>
          </cell>
          <cell r="E1440" t="str">
            <v>HIGH-END</v>
          </cell>
          <cell r="F1440" t="str">
            <v>C-PPF</v>
          </cell>
        </row>
        <row r="1441">
          <cell r="A1441">
            <v>31539</v>
          </cell>
          <cell r="B1441" t="str">
            <v>SCF-NS-CCS05(SLP)</v>
          </cell>
          <cell r="C1441" t="str">
            <v>제품</v>
          </cell>
          <cell r="D1441" t="str">
            <v>윈도우 제품군</v>
          </cell>
          <cell r="E1441" t="str">
            <v>염료</v>
          </cell>
          <cell r="F1441" t="str">
            <v>1PLY</v>
          </cell>
        </row>
        <row r="1442">
          <cell r="A1442">
            <v>31540</v>
          </cell>
          <cell r="B1442" t="str">
            <v>SCF-NS-CCS20(SLP)</v>
          </cell>
          <cell r="C1442" t="str">
            <v>제품</v>
          </cell>
          <cell r="D1442" t="str">
            <v>윈도우 제품군</v>
          </cell>
          <cell r="E1442" t="str">
            <v>염료</v>
          </cell>
          <cell r="F1442" t="str">
            <v>1PLY</v>
          </cell>
        </row>
        <row r="1443">
          <cell r="A1443">
            <v>31541</v>
          </cell>
          <cell r="B1443" t="str">
            <v>SCF-NS-CCS35(SLP)</v>
          </cell>
          <cell r="C1443" t="str">
            <v>제품</v>
          </cell>
          <cell r="D1443" t="str">
            <v>윈도우 제품군</v>
          </cell>
          <cell r="E1443" t="str">
            <v>염료</v>
          </cell>
          <cell r="F1443" t="str">
            <v>1PLY</v>
          </cell>
        </row>
        <row r="1444">
          <cell r="A1444">
            <v>31542</v>
          </cell>
          <cell r="B1444" t="str">
            <v>SCF-NS-CCS49(SLP)</v>
          </cell>
          <cell r="C1444" t="str">
            <v>제품</v>
          </cell>
          <cell r="D1444" t="str">
            <v>윈도우 제품군</v>
          </cell>
          <cell r="E1444" t="str">
            <v>염료</v>
          </cell>
          <cell r="F1444" t="str">
            <v>1PLY</v>
          </cell>
        </row>
        <row r="1445">
          <cell r="A1445">
            <v>31543</v>
          </cell>
          <cell r="B1445" t="str">
            <v>Signature(KOR)-DM-S50R(NSN60)</v>
          </cell>
          <cell r="C1445" t="str">
            <v>제품</v>
          </cell>
          <cell r="D1445" t="str">
            <v>윈도우 제품군</v>
          </cell>
          <cell r="E1445" t="str">
            <v>전략</v>
          </cell>
          <cell r="F1445" t="str">
            <v>IR</v>
          </cell>
        </row>
        <row r="1446">
          <cell r="A1446">
            <v>31544</v>
          </cell>
          <cell r="B1446" t="str">
            <v>Signature(KOR)-DM-S30R(NSN60)</v>
          </cell>
          <cell r="C1446" t="str">
            <v>제품</v>
          </cell>
          <cell r="D1446" t="str">
            <v>윈도우 제품군</v>
          </cell>
          <cell r="E1446" t="str">
            <v>전략</v>
          </cell>
          <cell r="F1446" t="str">
            <v>IR</v>
          </cell>
        </row>
        <row r="1447">
          <cell r="A1447">
            <v>31545</v>
          </cell>
          <cell r="B1447" t="str">
            <v>Signature(KOR)-DM-S15R(NSN60)</v>
          </cell>
          <cell r="C1447" t="str">
            <v>제품</v>
          </cell>
          <cell r="D1447" t="str">
            <v>윈도우 제품군</v>
          </cell>
          <cell r="E1447" t="str">
            <v>전략</v>
          </cell>
          <cell r="F1447" t="str">
            <v>IR</v>
          </cell>
        </row>
        <row r="1448">
          <cell r="A1448">
            <v>31546</v>
          </cell>
          <cell r="B1448" t="str">
            <v>Signature(KOR)-ND-S70</v>
          </cell>
          <cell r="C1448" t="str">
            <v>제품</v>
          </cell>
          <cell r="D1448" t="str">
            <v>윈도우 제품군</v>
          </cell>
          <cell r="E1448" t="str">
            <v>전략</v>
          </cell>
          <cell r="F1448" t="str">
            <v>IR</v>
          </cell>
        </row>
        <row r="1449">
          <cell r="A1449">
            <v>31547</v>
          </cell>
          <cell r="B1449" t="str">
            <v>Signature(KOR)-ND-S50</v>
          </cell>
          <cell r="C1449" t="str">
            <v>제품</v>
          </cell>
          <cell r="D1449" t="str">
            <v>윈도우 제품군</v>
          </cell>
          <cell r="E1449" t="str">
            <v>전략</v>
          </cell>
          <cell r="F1449" t="str">
            <v>IR</v>
          </cell>
        </row>
        <row r="1450">
          <cell r="A1450">
            <v>31548</v>
          </cell>
          <cell r="B1450" t="str">
            <v>Signature(KOR)-ND-S35</v>
          </cell>
          <cell r="C1450" t="str">
            <v>제품</v>
          </cell>
          <cell r="D1450" t="str">
            <v>윈도우 제품군</v>
          </cell>
          <cell r="E1450" t="str">
            <v>전략</v>
          </cell>
          <cell r="F1450" t="str">
            <v>IR</v>
          </cell>
        </row>
        <row r="1451">
          <cell r="A1451">
            <v>31549</v>
          </cell>
          <cell r="B1451" t="str">
            <v>Divine(KOR)-DM-D50R(NSN70)</v>
          </cell>
          <cell r="C1451" t="str">
            <v>제품</v>
          </cell>
          <cell r="D1451" t="str">
            <v>윈도우 제품군</v>
          </cell>
          <cell r="E1451" t="str">
            <v>전략</v>
          </cell>
          <cell r="F1451" t="str">
            <v>IR</v>
          </cell>
        </row>
        <row r="1452">
          <cell r="A1452">
            <v>31550</v>
          </cell>
          <cell r="B1452" t="str">
            <v>Divine(KOR)-DM-D35R(NSN70)</v>
          </cell>
          <cell r="C1452" t="str">
            <v>제품</v>
          </cell>
          <cell r="D1452" t="str">
            <v>윈도우 제품군</v>
          </cell>
          <cell r="E1452" t="str">
            <v>전략</v>
          </cell>
          <cell r="F1452" t="str">
            <v>IR</v>
          </cell>
        </row>
        <row r="1453">
          <cell r="A1453">
            <v>31553</v>
          </cell>
          <cell r="B1453" t="str">
            <v>Divine(KOR)-DM-D25R(NSN70)</v>
          </cell>
          <cell r="C1453" t="str">
            <v>제품</v>
          </cell>
          <cell r="D1453" t="str">
            <v>윈도우 제품군</v>
          </cell>
          <cell r="E1453" t="str">
            <v>전략</v>
          </cell>
          <cell r="F1453" t="str">
            <v>IR</v>
          </cell>
        </row>
        <row r="1454">
          <cell r="A1454">
            <v>31554</v>
          </cell>
          <cell r="B1454" t="str">
            <v>Divine(KOR)-ND-D50</v>
          </cell>
          <cell r="C1454" t="str">
            <v>제품</v>
          </cell>
          <cell r="D1454" t="str">
            <v>윈도우 제품군</v>
          </cell>
          <cell r="E1454" t="str">
            <v>전략</v>
          </cell>
          <cell r="F1454" t="str">
            <v>IR</v>
          </cell>
        </row>
        <row r="1455">
          <cell r="A1455">
            <v>31555</v>
          </cell>
          <cell r="B1455" t="str">
            <v>Divine(KOR)-ND-D40</v>
          </cell>
          <cell r="C1455" t="str">
            <v>제품</v>
          </cell>
          <cell r="D1455" t="str">
            <v>윈도우 제품군</v>
          </cell>
          <cell r="E1455" t="str">
            <v>전략</v>
          </cell>
          <cell r="F1455" t="str">
            <v>IR</v>
          </cell>
        </row>
        <row r="1456">
          <cell r="A1456">
            <v>31556</v>
          </cell>
          <cell r="B1456" t="str">
            <v>Divine(KOR)-ND-D20</v>
          </cell>
          <cell r="C1456" t="str">
            <v>제품</v>
          </cell>
          <cell r="D1456" t="str">
            <v>윈도우 제품군</v>
          </cell>
          <cell r="E1456" t="str">
            <v>전략</v>
          </cell>
          <cell r="F1456" t="str">
            <v>IR</v>
          </cell>
        </row>
        <row r="1457">
          <cell r="A1457">
            <v>31557</v>
          </cell>
          <cell r="B1457" t="str">
            <v>Trueblue(KOR)-DM-T45R(NSN70)</v>
          </cell>
          <cell r="C1457" t="str">
            <v>제품</v>
          </cell>
          <cell r="D1457" t="str">
            <v>윈도우 제품군</v>
          </cell>
          <cell r="E1457" t="str">
            <v>전략</v>
          </cell>
          <cell r="F1457" t="str">
            <v>IR</v>
          </cell>
        </row>
        <row r="1458">
          <cell r="A1458">
            <v>31558</v>
          </cell>
          <cell r="B1458" t="str">
            <v>Trueblue(KOR)-DM-T30R(NSN70)</v>
          </cell>
          <cell r="C1458" t="str">
            <v>제품</v>
          </cell>
          <cell r="D1458" t="str">
            <v>윈도우 제품군</v>
          </cell>
          <cell r="E1458" t="str">
            <v>전략</v>
          </cell>
          <cell r="F1458" t="str">
            <v>IR</v>
          </cell>
        </row>
        <row r="1459">
          <cell r="A1459">
            <v>31559</v>
          </cell>
          <cell r="B1459" t="str">
            <v>Trueblue(KOR)-ND-T45</v>
          </cell>
          <cell r="C1459" t="str">
            <v>제품</v>
          </cell>
          <cell r="D1459" t="str">
            <v>윈도우 제품군</v>
          </cell>
          <cell r="E1459" t="str">
            <v>전략</v>
          </cell>
          <cell r="F1459" t="str">
            <v>IR</v>
          </cell>
        </row>
        <row r="1460">
          <cell r="A1460">
            <v>31560</v>
          </cell>
          <cell r="B1460" t="str">
            <v>Trueblue(KOR)-ND-T35</v>
          </cell>
          <cell r="C1460" t="str">
            <v>제품</v>
          </cell>
          <cell r="D1460" t="str">
            <v>윈도우 제품군</v>
          </cell>
          <cell r="E1460" t="str">
            <v>전략</v>
          </cell>
          <cell r="F1460" t="str">
            <v>IR</v>
          </cell>
        </row>
        <row r="1461">
          <cell r="A1461">
            <v>31561</v>
          </cell>
          <cell r="B1461" t="str">
            <v>Trueblue(KOR)-ND-T15</v>
          </cell>
          <cell r="C1461" t="str">
            <v>제품</v>
          </cell>
          <cell r="D1461" t="str">
            <v>윈도우 제품군</v>
          </cell>
          <cell r="E1461" t="str">
            <v>전략</v>
          </cell>
          <cell r="F1461" t="str">
            <v>IR</v>
          </cell>
        </row>
        <row r="1462">
          <cell r="A1462">
            <v>31562</v>
          </cell>
          <cell r="B1462" t="str">
            <v>Trueblue(KOR)-ND-T05</v>
          </cell>
          <cell r="C1462" t="str">
            <v>제품</v>
          </cell>
          <cell r="D1462" t="str">
            <v>윈도우 제품군</v>
          </cell>
          <cell r="E1462" t="str">
            <v>전략</v>
          </cell>
          <cell r="F1462" t="str">
            <v>IR</v>
          </cell>
        </row>
        <row r="1463">
          <cell r="A1463">
            <v>31563</v>
          </cell>
          <cell r="B1463" t="str">
            <v>PPF-NS-STA W</v>
          </cell>
          <cell r="C1463" t="str">
            <v>제품</v>
          </cell>
          <cell r="D1463" t="str">
            <v>윈도우 제품군</v>
          </cell>
          <cell r="E1463" t="str">
            <v>HIGH-END</v>
          </cell>
          <cell r="F1463" t="str">
            <v>C-PPF</v>
          </cell>
        </row>
        <row r="1464">
          <cell r="A1464">
            <v>31564</v>
          </cell>
          <cell r="B1464" t="str">
            <v>Mando(KOR)-ND-M9 1590</v>
          </cell>
          <cell r="C1464" t="str">
            <v>제품</v>
          </cell>
          <cell r="D1464" t="str">
            <v>윈도우 제품군</v>
          </cell>
          <cell r="E1464" t="str">
            <v>전략</v>
          </cell>
          <cell r="F1464" t="str">
            <v>SP</v>
          </cell>
        </row>
        <row r="1465">
          <cell r="A1465">
            <v>31565</v>
          </cell>
          <cell r="B1465" t="str">
            <v>Mando(KOR)-ND-M9 3090</v>
          </cell>
          <cell r="C1465" t="str">
            <v>제품</v>
          </cell>
          <cell r="D1465" t="str">
            <v>윈도우 제품군</v>
          </cell>
          <cell r="E1465" t="str">
            <v>전략</v>
          </cell>
          <cell r="F1465" t="str">
            <v>SP</v>
          </cell>
        </row>
        <row r="1466">
          <cell r="A1466">
            <v>31566</v>
          </cell>
          <cell r="B1466" t="str">
            <v>PPF-NS-PPF이형지(BLACK)</v>
          </cell>
          <cell r="C1466" t="str">
            <v>제품</v>
          </cell>
          <cell r="D1466" t="str">
            <v>윈도우 제품군</v>
          </cell>
          <cell r="E1466" t="str">
            <v>HIGH-END</v>
          </cell>
          <cell r="F1466" t="str">
            <v>C-PPF</v>
          </cell>
        </row>
        <row r="1467">
          <cell r="A1467">
            <v>31567</v>
          </cell>
          <cell r="B1467" t="str">
            <v>PPF-NS-SGA(BLACK)</v>
          </cell>
          <cell r="C1467" t="str">
            <v>제품</v>
          </cell>
          <cell r="D1467" t="str">
            <v>윈도우 제품군</v>
          </cell>
          <cell r="E1467" t="str">
            <v>HIGH-END</v>
          </cell>
          <cell r="F1467" t="str">
            <v>C-PPF</v>
          </cell>
        </row>
        <row r="1468">
          <cell r="A1468">
            <v>31568</v>
          </cell>
          <cell r="B1468" t="str">
            <v>PPF-NS-SGA(BLUE)</v>
          </cell>
          <cell r="C1468" t="str">
            <v>제품</v>
          </cell>
          <cell r="D1468" t="str">
            <v>윈도우 제품군</v>
          </cell>
          <cell r="E1468" t="str">
            <v>HIGH-END</v>
          </cell>
          <cell r="F1468" t="str">
            <v>C-PPF</v>
          </cell>
        </row>
        <row r="1469">
          <cell r="A1469">
            <v>31570</v>
          </cell>
          <cell r="B1469" t="str">
            <v>PPF-NS-PPF이형지(BLUE)</v>
          </cell>
          <cell r="C1469" t="str">
            <v>제품</v>
          </cell>
          <cell r="D1469" t="str">
            <v>윈도우 제품군</v>
          </cell>
          <cell r="E1469" t="str">
            <v>HIGH-END</v>
          </cell>
          <cell r="F1469" t="str">
            <v>C-PPF</v>
          </cell>
        </row>
        <row r="1470">
          <cell r="A1470">
            <v>31571</v>
          </cell>
          <cell r="B1470" t="str">
            <v>Pontus(KOR)-ND-HP6 0560</v>
          </cell>
          <cell r="C1470" t="str">
            <v>제품</v>
          </cell>
          <cell r="D1470" t="str">
            <v>윈도우 제품군</v>
          </cell>
          <cell r="E1470" t="str">
            <v>전략</v>
          </cell>
          <cell r="F1470" t="str">
            <v>SP</v>
          </cell>
        </row>
        <row r="1471">
          <cell r="A1471">
            <v>31572</v>
          </cell>
          <cell r="B1471" t="str">
            <v>Pontus(KOR)-ND-HP6 1560</v>
          </cell>
          <cell r="C1471" t="str">
            <v>제품</v>
          </cell>
          <cell r="D1471" t="str">
            <v>윈도우 제품군</v>
          </cell>
          <cell r="E1471" t="str">
            <v>전략</v>
          </cell>
          <cell r="F1471" t="str">
            <v>SP</v>
          </cell>
        </row>
        <row r="1472">
          <cell r="A1472">
            <v>31573</v>
          </cell>
          <cell r="B1472" t="str">
            <v>Pontus(KOR)-ND-HP6 3060</v>
          </cell>
          <cell r="C1472" t="str">
            <v>제품</v>
          </cell>
          <cell r="D1472" t="str">
            <v>윈도우 제품군</v>
          </cell>
          <cell r="E1472" t="str">
            <v>전략</v>
          </cell>
          <cell r="F1472" t="str">
            <v>SP</v>
          </cell>
        </row>
        <row r="1473">
          <cell r="A1473">
            <v>31574</v>
          </cell>
          <cell r="B1473" t="str">
            <v>Pontus(KOR)-ND-HP8 0580</v>
          </cell>
          <cell r="C1473" t="str">
            <v>제품</v>
          </cell>
          <cell r="D1473" t="str">
            <v>윈도우 제품군</v>
          </cell>
          <cell r="E1473" t="str">
            <v>전략</v>
          </cell>
          <cell r="F1473" t="str">
            <v>SP</v>
          </cell>
        </row>
        <row r="1474">
          <cell r="A1474">
            <v>31575</v>
          </cell>
          <cell r="B1474" t="str">
            <v>Pontus(KOR)-ND-HP8 1580</v>
          </cell>
          <cell r="C1474" t="str">
            <v>제품</v>
          </cell>
          <cell r="D1474" t="str">
            <v>윈도우 제품군</v>
          </cell>
          <cell r="E1474" t="str">
            <v>전략</v>
          </cell>
          <cell r="F1474" t="str">
            <v>SP</v>
          </cell>
        </row>
        <row r="1475">
          <cell r="A1475">
            <v>31576</v>
          </cell>
          <cell r="B1475" t="str">
            <v>Pontus(KOR)-ND-HP8 3580</v>
          </cell>
          <cell r="C1475" t="str">
            <v>제품</v>
          </cell>
          <cell r="D1475" t="str">
            <v>윈도우 제품군</v>
          </cell>
          <cell r="E1475" t="str">
            <v>전략</v>
          </cell>
          <cell r="F1475" t="str">
            <v>SP</v>
          </cell>
        </row>
        <row r="1476">
          <cell r="A1476">
            <v>31577</v>
          </cell>
          <cell r="B1476" t="str">
            <v>Pontus(KOR)-ND-HP8 4580</v>
          </cell>
          <cell r="C1476" t="str">
            <v>제품</v>
          </cell>
          <cell r="D1476" t="str">
            <v>윈도우 제품군</v>
          </cell>
          <cell r="E1476" t="str">
            <v>전략</v>
          </cell>
          <cell r="F1476" t="str">
            <v>SP</v>
          </cell>
        </row>
        <row r="1477">
          <cell r="A1477">
            <v>31578</v>
          </cell>
          <cell r="B1477" t="str">
            <v>Pontus(KOR)-ND-HP9 0590</v>
          </cell>
          <cell r="C1477" t="str">
            <v>제품</v>
          </cell>
          <cell r="D1477" t="str">
            <v>윈도우 제품군</v>
          </cell>
          <cell r="E1477" t="str">
            <v>전략</v>
          </cell>
          <cell r="F1477" t="str">
            <v>SP</v>
          </cell>
        </row>
        <row r="1478">
          <cell r="A1478">
            <v>31579</v>
          </cell>
          <cell r="B1478" t="str">
            <v>Pontus(KOR)-ND-HP9 1590</v>
          </cell>
          <cell r="C1478" t="str">
            <v>제품</v>
          </cell>
          <cell r="D1478" t="str">
            <v>윈도우 제품군</v>
          </cell>
          <cell r="E1478" t="str">
            <v>전략</v>
          </cell>
          <cell r="F1478" t="str">
            <v>SP</v>
          </cell>
        </row>
        <row r="1479">
          <cell r="A1479">
            <v>31580</v>
          </cell>
          <cell r="B1479" t="str">
            <v>Pontus(KOR)-ND-HP9 3590</v>
          </cell>
          <cell r="C1479" t="str">
            <v>제품</v>
          </cell>
          <cell r="D1479" t="str">
            <v>윈도우 제품군</v>
          </cell>
          <cell r="E1479" t="str">
            <v>전략</v>
          </cell>
          <cell r="F1479" t="str">
            <v>SP</v>
          </cell>
        </row>
        <row r="1480">
          <cell r="A1480">
            <v>31581</v>
          </cell>
          <cell r="B1480" t="str">
            <v>IRSF-ND-IR3560+4MIL</v>
          </cell>
          <cell r="C1480" t="str">
            <v>제품</v>
          </cell>
          <cell r="D1480" t="str">
            <v>윈도우 제품군</v>
          </cell>
          <cell r="E1480" t="str">
            <v>전략</v>
          </cell>
          <cell r="F1480" t="str">
            <v>SAFETY</v>
          </cell>
        </row>
        <row r="1481">
          <cell r="A1481">
            <v>31585</v>
          </cell>
          <cell r="B1481" t="str">
            <v>Mando(KOR)-ND-M6 4560</v>
          </cell>
          <cell r="C1481" t="str">
            <v>제품</v>
          </cell>
          <cell r="D1481" t="str">
            <v>윈도우 제품군</v>
          </cell>
          <cell r="E1481" t="str">
            <v>전략</v>
          </cell>
          <cell r="F1481" t="str">
            <v>SP</v>
          </cell>
        </row>
        <row r="1482">
          <cell r="A1482">
            <v>31586</v>
          </cell>
          <cell r="B1482" t="str">
            <v>Smith(KOR)-ND-T2 7070</v>
          </cell>
          <cell r="C1482" t="str">
            <v>제품</v>
          </cell>
          <cell r="D1482" t="str">
            <v>윈도우 제품군</v>
          </cell>
          <cell r="E1482" t="str">
            <v>전략</v>
          </cell>
          <cell r="F1482" t="str">
            <v>SP</v>
          </cell>
        </row>
        <row r="1483">
          <cell r="A1483">
            <v>31588</v>
          </cell>
          <cell r="B1483" t="str">
            <v>PPF-NS-TGA보호필름(미점)</v>
          </cell>
          <cell r="C1483" t="str">
            <v>제품</v>
          </cell>
          <cell r="D1483" t="str">
            <v>윈도우 제품군</v>
          </cell>
          <cell r="E1483" t="str">
            <v>염료</v>
          </cell>
          <cell r="F1483" t="str">
            <v>COLEX</v>
          </cell>
        </row>
        <row r="1484">
          <cell r="A1484">
            <v>31591</v>
          </cell>
          <cell r="B1484" t="str">
            <v>Phantom(AUS)-ND-S5 2750</v>
          </cell>
          <cell r="C1484" t="str">
            <v>제품</v>
          </cell>
          <cell r="D1484" t="str">
            <v>윈도우 제품군</v>
          </cell>
          <cell r="E1484" t="str">
            <v>전략</v>
          </cell>
          <cell r="F1484" t="str">
            <v>SP</v>
          </cell>
        </row>
        <row r="1485">
          <cell r="A1485">
            <v>31592</v>
          </cell>
          <cell r="B1485" t="str">
            <v>RAINBOW(KOR)-ND-I55 0555</v>
          </cell>
          <cell r="C1485" t="str">
            <v>제품</v>
          </cell>
          <cell r="D1485" t="str">
            <v>윈도우 제품군</v>
          </cell>
          <cell r="E1485" t="str">
            <v>전략</v>
          </cell>
          <cell r="F1485" t="str">
            <v>SP</v>
          </cell>
        </row>
        <row r="1486">
          <cell r="A1486">
            <v>31593</v>
          </cell>
          <cell r="B1486" t="str">
            <v>RAINBOW(KOR)-ND-I55 1555</v>
          </cell>
          <cell r="C1486" t="str">
            <v>제품</v>
          </cell>
          <cell r="D1486" t="str">
            <v>윈도우 제품군</v>
          </cell>
          <cell r="E1486" t="str">
            <v>전략</v>
          </cell>
          <cell r="F1486" t="str">
            <v>SP</v>
          </cell>
        </row>
        <row r="1487">
          <cell r="A1487">
            <v>31594</v>
          </cell>
          <cell r="B1487" t="str">
            <v>RAINBOW(KOR)-ND-I55 3355</v>
          </cell>
          <cell r="C1487" t="str">
            <v>제품</v>
          </cell>
          <cell r="D1487" t="str">
            <v>윈도우 제품군</v>
          </cell>
          <cell r="E1487" t="str">
            <v>전략</v>
          </cell>
          <cell r="F1487" t="str">
            <v>SP</v>
          </cell>
        </row>
        <row r="1488">
          <cell r="A1488">
            <v>31595</v>
          </cell>
          <cell r="B1488" t="str">
            <v>RAINBOW(KOR)-ND-I55 4555</v>
          </cell>
          <cell r="C1488" t="str">
            <v>제품</v>
          </cell>
          <cell r="D1488" t="str">
            <v>윈도우 제품군</v>
          </cell>
          <cell r="E1488" t="str">
            <v>전략</v>
          </cell>
          <cell r="F1488" t="str">
            <v>SP</v>
          </cell>
        </row>
        <row r="1489">
          <cell r="A1489">
            <v>31600</v>
          </cell>
          <cell r="B1489" t="str">
            <v>RAINBOW(KOR)-DM-V90 0590(RHN31%)</v>
          </cell>
          <cell r="C1489" t="str">
            <v>제품</v>
          </cell>
          <cell r="D1489" t="str">
            <v>윈도우 제품군</v>
          </cell>
          <cell r="E1489" t="str">
            <v>전략</v>
          </cell>
          <cell r="F1489" t="str">
            <v>SP</v>
          </cell>
        </row>
        <row r="1490">
          <cell r="A1490">
            <v>31601</v>
          </cell>
          <cell r="B1490" t="str">
            <v>RAINBOW(KOR)-DM-V90 1290(RHN31%)</v>
          </cell>
          <cell r="C1490" t="str">
            <v>제품</v>
          </cell>
          <cell r="D1490" t="str">
            <v>윈도우 제품군</v>
          </cell>
          <cell r="E1490" t="str">
            <v>전략</v>
          </cell>
          <cell r="F1490" t="str">
            <v>SP</v>
          </cell>
        </row>
        <row r="1491">
          <cell r="A1491">
            <v>31602</v>
          </cell>
          <cell r="B1491" t="str">
            <v>RAINBOW(KOR)-DC-V90 3090(RHN40%)</v>
          </cell>
          <cell r="C1491" t="str">
            <v>제품</v>
          </cell>
          <cell r="D1491" t="str">
            <v>윈도우 제품군</v>
          </cell>
          <cell r="E1491" t="str">
            <v>전략</v>
          </cell>
          <cell r="F1491" t="str">
            <v>SP</v>
          </cell>
        </row>
        <row r="1492">
          <cell r="A1492">
            <v>31603</v>
          </cell>
          <cell r="B1492" t="str">
            <v>RAINBOW(KOR)-DC-V90 4590(RHN40%)</v>
          </cell>
          <cell r="C1492" t="str">
            <v>제품</v>
          </cell>
          <cell r="D1492" t="str">
            <v>윈도우 제품군</v>
          </cell>
          <cell r="E1492" t="str">
            <v>전략</v>
          </cell>
          <cell r="F1492" t="str">
            <v>SP</v>
          </cell>
        </row>
        <row r="1493">
          <cell r="A1493">
            <v>31614</v>
          </cell>
          <cell r="B1493" t="str">
            <v>SF-NS-4MIL(PSA개선)</v>
          </cell>
          <cell r="C1493" t="str">
            <v>제품</v>
          </cell>
          <cell r="D1493" t="str">
            <v>윈도우 제품군</v>
          </cell>
          <cell r="E1493" t="str">
            <v>전략</v>
          </cell>
          <cell r="F1493" t="str">
            <v>SAFETY</v>
          </cell>
        </row>
        <row r="1494">
          <cell r="A1494">
            <v>31630</v>
          </cell>
          <cell r="B1494" t="str">
            <v>PPF-NS-SGM(BLUE)</v>
          </cell>
          <cell r="C1494" t="str">
            <v>제품</v>
          </cell>
          <cell r="D1494" t="str">
            <v>윈도우 제품군</v>
          </cell>
          <cell r="E1494" t="str">
            <v>HIGH-END</v>
          </cell>
          <cell r="F1494" t="str">
            <v>C-PPF</v>
          </cell>
        </row>
        <row r="1495">
          <cell r="A1495">
            <v>31639</v>
          </cell>
          <cell r="B1495" t="str">
            <v>TEST-EXTERIOR (EXT 1595)t</v>
          </cell>
          <cell r="C1495" t="str">
            <v>제품</v>
          </cell>
          <cell r="D1495" t="str">
            <v>윈도우 제품군</v>
          </cell>
          <cell r="E1495" t="str">
            <v>전략</v>
          </cell>
          <cell r="F1495" t="str">
            <v>SAFETY</v>
          </cell>
        </row>
        <row r="1496">
          <cell r="B1496" t="str">
            <v>Y</v>
          </cell>
          <cell r="E1496" t="str">
            <v>N</v>
          </cell>
        </row>
        <row r="1497">
          <cell r="A1497">
            <v>31642</v>
          </cell>
          <cell r="B1497" t="str">
            <v>SCF-NS-CCS70(SLP)</v>
          </cell>
          <cell r="C1497" t="str">
            <v>제품</v>
          </cell>
          <cell r="D1497" t="str">
            <v>윈도우 제품군</v>
          </cell>
          <cell r="E1497" t="str">
            <v>염료</v>
          </cell>
          <cell r="F1497" t="str">
            <v>1PLY</v>
          </cell>
        </row>
        <row r="1498">
          <cell r="A1498">
            <v>31643</v>
          </cell>
          <cell r="B1498" t="str">
            <v>NS-태양광 ITO용 H/C(188㎛)</v>
          </cell>
          <cell r="C1498" t="str">
            <v>제품</v>
          </cell>
          <cell r="D1498" t="str">
            <v>윈도우 제품군</v>
          </cell>
          <cell r="E1498" t="str">
            <v>기타</v>
          </cell>
          <cell r="F1498" t="str">
            <v>기타</v>
          </cell>
        </row>
        <row r="1499">
          <cell r="A1499">
            <v>31644</v>
          </cell>
          <cell r="B1499" t="str">
            <v>NS-태양광 ITO용 H/C(125㎛)</v>
          </cell>
          <cell r="C1499" t="str">
            <v>제품</v>
          </cell>
          <cell r="D1499" t="str">
            <v>윈도우 제품군</v>
          </cell>
          <cell r="E1499" t="str">
            <v>기타</v>
          </cell>
          <cell r="F1499" t="str">
            <v>기타</v>
          </cell>
        </row>
        <row r="1500">
          <cell r="A1500">
            <v>31647</v>
          </cell>
          <cell r="B1500" t="str">
            <v>MPPF-NS-MPPF SLSI</v>
          </cell>
          <cell r="C1500" t="str">
            <v>제품</v>
          </cell>
          <cell r="D1500" t="str">
            <v>윈도우 제품군</v>
          </cell>
          <cell r="E1500" t="str">
            <v>미분류</v>
          </cell>
          <cell r="F1500" t="str">
            <v>미분류</v>
          </cell>
        </row>
        <row r="1501">
          <cell r="A1501">
            <v>31649</v>
          </cell>
          <cell r="B1501" t="str">
            <v>SCF-DM-CAS15(AL60%)</v>
          </cell>
          <cell r="C1501" t="str">
            <v>제품</v>
          </cell>
          <cell r="D1501" t="str">
            <v>윈도우 제품군</v>
          </cell>
          <cell r="E1501" t="str">
            <v>전략</v>
          </cell>
          <cell r="F1501" t="str">
            <v>SP</v>
          </cell>
        </row>
        <row r="1502">
          <cell r="A1502">
            <v>31650</v>
          </cell>
          <cell r="B1502" t="str">
            <v>SCF-DM-CAS35(AL60%)</v>
          </cell>
          <cell r="C1502" t="str">
            <v>제품</v>
          </cell>
          <cell r="D1502" t="str">
            <v>윈도우 제품군</v>
          </cell>
          <cell r="E1502" t="str">
            <v>전략</v>
          </cell>
          <cell r="F1502" t="str">
            <v>SP</v>
          </cell>
        </row>
        <row r="1503">
          <cell r="A1503">
            <v>31651</v>
          </cell>
          <cell r="B1503" t="str">
            <v>RAINBOW(KOR)-DM-V70 0770(RHN31%)</v>
          </cell>
          <cell r="C1503" t="str">
            <v>제품</v>
          </cell>
          <cell r="D1503" t="str">
            <v>윈도우 제품군</v>
          </cell>
          <cell r="E1503" t="str">
            <v>전략</v>
          </cell>
          <cell r="F1503" t="str">
            <v>SP</v>
          </cell>
        </row>
        <row r="1504">
          <cell r="A1504">
            <v>31652</v>
          </cell>
          <cell r="B1504" t="str">
            <v>RAINBOW(KOR)-DM-V70 1270(RHN31%)</v>
          </cell>
          <cell r="C1504" t="str">
            <v>제품</v>
          </cell>
          <cell r="D1504" t="str">
            <v>윈도우 제품군</v>
          </cell>
          <cell r="E1504" t="str">
            <v>전략</v>
          </cell>
          <cell r="F1504" t="str">
            <v>SP</v>
          </cell>
        </row>
        <row r="1505">
          <cell r="A1505">
            <v>31653</v>
          </cell>
          <cell r="B1505" t="str">
            <v>RAINBOW(KOR)-DC-V70 3070(RHN40%)</v>
          </cell>
          <cell r="C1505" t="str">
            <v>제품</v>
          </cell>
          <cell r="D1505" t="str">
            <v>윈도우 제품군</v>
          </cell>
          <cell r="E1505" t="str">
            <v>전략</v>
          </cell>
          <cell r="F1505" t="str">
            <v>SP</v>
          </cell>
        </row>
        <row r="1506">
          <cell r="A1506">
            <v>31654</v>
          </cell>
          <cell r="B1506" t="str">
            <v>RAINBOW(KOR)-DC-V70 4570(RHN40%)</v>
          </cell>
          <cell r="C1506" t="str">
            <v>제품</v>
          </cell>
          <cell r="D1506" t="str">
            <v>윈도우 제품군</v>
          </cell>
          <cell r="E1506" t="str">
            <v>전략</v>
          </cell>
          <cell r="F1506" t="str">
            <v>SP</v>
          </cell>
        </row>
        <row r="1507">
          <cell r="A1507">
            <v>31655</v>
          </cell>
          <cell r="B1507" t="str">
            <v>PPF-NS-SGA MATT</v>
          </cell>
          <cell r="C1507" t="str">
            <v>제품</v>
          </cell>
          <cell r="D1507" t="str">
            <v>윈도우 제품군</v>
          </cell>
          <cell r="E1507" t="str">
            <v>HIGH-END</v>
          </cell>
          <cell r="F1507" t="str">
            <v>C-PPF</v>
          </cell>
        </row>
        <row r="1508">
          <cell r="A1508">
            <v>31656</v>
          </cell>
          <cell r="B1508" t="str">
            <v>IRSF-ND-IR4060+4MIL</v>
          </cell>
          <cell r="C1508" t="str">
            <v>제품</v>
          </cell>
          <cell r="D1508" t="str">
            <v>윈도우 제품군</v>
          </cell>
          <cell r="E1508" t="str">
            <v>전략</v>
          </cell>
          <cell r="F1508" t="str">
            <v>SAFETY</v>
          </cell>
        </row>
        <row r="1509">
          <cell r="A1509">
            <v>31657</v>
          </cell>
          <cell r="B1509" t="str">
            <v>IRSF-ND-IR6060+4MIL</v>
          </cell>
          <cell r="C1509" t="str">
            <v>제품</v>
          </cell>
          <cell r="D1509" t="str">
            <v>윈도우 제품군</v>
          </cell>
          <cell r="E1509" t="str">
            <v>전략</v>
          </cell>
          <cell r="F1509" t="str">
            <v>SAFETY</v>
          </cell>
        </row>
        <row r="1510">
          <cell r="A1510">
            <v>31658</v>
          </cell>
          <cell r="B1510" t="str">
            <v>IRSF-ND-IR4090+4MIL</v>
          </cell>
          <cell r="C1510" t="str">
            <v>제품</v>
          </cell>
          <cell r="D1510" t="str">
            <v>윈도우 제품군</v>
          </cell>
          <cell r="E1510" t="str">
            <v>전략</v>
          </cell>
          <cell r="F1510" t="str">
            <v>SAFETY</v>
          </cell>
        </row>
        <row r="1511">
          <cell r="A1511">
            <v>31659</v>
          </cell>
          <cell r="B1511" t="str">
            <v>IRSF-ND-IR6090+4MIL</v>
          </cell>
          <cell r="C1511" t="str">
            <v>제품</v>
          </cell>
          <cell r="D1511" t="str">
            <v>윈도우 제품군</v>
          </cell>
          <cell r="E1511" t="str">
            <v>전략</v>
          </cell>
          <cell r="F1511" t="str">
            <v>SAFETY</v>
          </cell>
        </row>
        <row r="1512">
          <cell r="A1512">
            <v>31664</v>
          </cell>
          <cell r="B1512" t="str">
            <v>MPPF-NS-MPPF AGSI</v>
          </cell>
          <cell r="C1512" t="str">
            <v>제품</v>
          </cell>
          <cell r="D1512" t="str">
            <v>윈도우 제품군</v>
          </cell>
          <cell r="E1512" t="str">
            <v>미분류</v>
          </cell>
          <cell r="F1512" t="str">
            <v>미분류</v>
          </cell>
        </row>
        <row r="1513">
          <cell r="A1513">
            <v>31668</v>
          </cell>
          <cell r="B1513" t="str">
            <v>PPF-NS-PPF이형지(N-WHITE 88㎛)</v>
          </cell>
          <cell r="C1513" t="str">
            <v>제품</v>
          </cell>
          <cell r="D1513" t="str">
            <v>윈도우 제품군</v>
          </cell>
          <cell r="E1513" t="str">
            <v>HIGH-END</v>
          </cell>
          <cell r="F1513" t="str">
            <v>C-PPF</v>
          </cell>
        </row>
        <row r="1514">
          <cell r="A1514">
            <v>31669</v>
          </cell>
          <cell r="B1514" t="str">
            <v>TEST-PPF-NS-SGA TD</v>
          </cell>
          <cell r="C1514" t="str">
            <v>제품</v>
          </cell>
          <cell r="D1514" t="str">
            <v>윈도우 제품군</v>
          </cell>
          <cell r="E1514" t="str">
            <v>미분류</v>
          </cell>
          <cell r="F1514" t="str">
            <v>미분류</v>
          </cell>
        </row>
        <row r="1515">
          <cell r="A1515">
            <v>31670</v>
          </cell>
          <cell r="B1515" t="str">
            <v>TETS-PPF-NS-SGA N</v>
          </cell>
          <cell r="C1515" t="str">
            <v>제품</v>
          </cell>
          <cell r="D1515" t="str">
            <v>윈도우 제품군</v>
          </cell>
          <cell r="E1515" t="str">
            <v>HIGH-END</v>
          </cell>
          <cell r="F1515" t="str">
            <v>C-PPF</v>
          </cell>
        </row>
        <row r="1516">
          <cell r="A1516">
            <v>31671</v>
          </cell>
          <cell r="B1516" t="str">
            <v>SFSL-ND-BK20+8MIL</v>
          </cell>
          <cell r="C1516" t="str">
            <v>제품</v>
          </cell>
          <cell r="D1516" t="str">
            <v>윈도우 제품군</v>
          </cell>
          <cell r="E1516" t="str">
            <v>전략</v>
          </cell>
          <cell r="F1516" t="str">
            <v>SAFETY</v>
          </cell>
        </row>
        <row r="1517">
          <cell r="A1517">
            <v>31672</v>
          </cell>
          <cell r="B1517" t="str">
            <v>SFSL-ND-BK35+8MIL</v>
          </cell>
          <cell r="C1517" t="str">
            <v>제품</v>
          </cell>
          <cell r="D1517" t="str">
            <v>윈도우 제품군</v>
          </cell>
          <cell r="E1517" t="str">
            <v>전략</v>
          </cell>
          <cell r="F1517" t="str">
            <v>SAFETY</v>
          </cell>
        </row>
        <row r="1518">
          <cell r="A1518">
            <v>31678</v>
          </cell>
          <cell r="B1518" t="str">
            <v>IRSF-ND-IR1590+4MIL</v>
          </cell>
          <cell r="C1518" t="str">
            <v>제품</v>
          </cell>
          <cell r="D1518" t="str">
            <v>윈도우 제품군</v>
          </cell>
          <cell r="E1518" t="str">
            <v>전략</v>
          </cell>
          <cell r="F1518" t="str">
            <v>SAFETY</v>
          </cell>
        </row>
        <row r="1519">
          <cell r="A1519">
            <v>31682</v>
          </cell>
          <cell r="B1519" t="str">
            <v>SW83G_상품</v>
          </cell>
          <cell r="C1519" t="str">
            <v>상품</v>
          </cell>
          <cell r="D1519" t="str">
            <v>윈도우 제품군</v>
          </cell>
          <cell r="E1519" t="str">
            <v>FILM</v>
          </cell>
          <cell r="F1519" t="str">
            <v>FILM</v>
          </cell>
        </row>
        <row r="1520">
          <cell r="A1520">
            <v>31684</v>
          </cell>
          <cell r="B1520" t="str">
            <v>Phantom(KOR)-ND-S5 1050</v>
          </cell>
          <cell r="C1520" t="str">
            <v>제품</v>
          </cell>
          <cell r="D1520" t="str">
            <v>윈도우 제품군</v>
          </cell>
          <cell r="E1520" t="str">
            <v>전략</v>
          </cell>
          <cell r="F1520" t="str">
            <v>SP</v>
          </cell>
        </row>
        <row r="1521">
          <cell r="A1521">
            <v>31685</v>
          </cell>
          <cell r="B1521" t="str">
            <v>Phantom(KOR)-ND-S7 1070</v>
          </cell>
          <cell r="C1521" t="str">
            <v>제품</v>
          </cell>
          <cell r="D1521" t="str">
            <v>윈도우 제품군</v>
          </cell>
          <cell r="E1521" t="str">
            <v>전략</v>
          </cell>
          <cell r="F1521" t="str">
            <v>SP</v>
          </cell>
        </row>
        <row r="1522">
          <cell r="A1522">
            <v>31686</v>
          </cell>
          <cell r="B1522" t="str">
            <v>Phantom(KOR)-ND-S9 1090</v>
          </cell>
          <cell r="C1522" t="str">
            <v>제품</v>
          </cell>
          <cell r="D1522" t="str">
            <v>윈도우 제품군</v>
          </cell>
          <cell r="E1522" t="str">
            <v>전략</v>
          </cell>
          <cell r="F1522" t="str">
            <v>SP</v>
          </cell>
        </row>
        <row r="1523">
          <cell r="A1523">
            <v>31694</v>
          </cell>
          <cell r="B1523" t="str">
            <v>IRSF-ND-TRUEBLUE T35+4MIL</v>
          </cell>
          <cell r="C1523" t="str">
            <v>제품</v>
          </cell>
          <cell r="D1523" t="str">
            <v>윈도우 제품군</v>
          </cell>
          <cell r="E1523" t="str">
            <v>전략</v>
          </cell>
          <cell r="F1523" t="str">
            <v>SAFETY</v>
          </cell>
        </row>
        <row r="1524">
          <cell r="A1524">
            <v>31695</v>
          </cell>
          <cell r="B1524" t="str">
            <v>TEST-ND-Dichroic Film</v>
          </cell>
          <cell r="C1524" t="str">
            <v>제품</v>
          </cell>
          <cell r="D1524" t="str">
            <v>윈도우 제품군</v>
          </cell>
          <cell r="E1524" t="str">
            <v>전략</v>
          </cell>
          <cell r="F1524" t="str">
            <v>SP</v>
          </cell>
        </row>
        <row r="1525">
          <cell r="A1525">
            <v>31696</v>
          </cell>
          <cell r="B1525" t="str">
            <v xml:space="preserve"> TEST-NS-OCA COATING</v>
          </cell>
          <cell r="C1525" t="str">
            <v>제품</v>
          </cell>
          <cell r="D1525" t="str">
            <v>윈도우 제품군</v>
          </cell>
          <cell r="E1525" t="str">
            <v>기타</v>
          </cell>
          <cell r="F1525" t="str">
            <v>기타</v>
          </cell>
        </row>
        <row r="1526">
          <cell r="A1526">
            <v>31700</v>
          </cell>
          <cell r="B1526" t="str">
            <v>TEST-NS-ANTI FOG</v>
          </cell>
          <cell r="C1526" t="str">
            <v>제품</v>
          </cell>
          <cell r="D1526" t="str">
            <v>윈도우 제품군</v>
          </cell>
          <cell r="E1526" t="str">
            <v>전략</v>
          </cell>
          <cell r="F1526" t="str">
            <v>SP</v>
          </cell>
        </row>
        <row r="1527">
          <cell r="A1527">
            <v>31704</v>
          </cell>
          <cell r="B1527" t="str">
            <v>PPF-NS-TGA(WHITE)</v>
          </cell>
          <cell r="C1527" t="str">
            <v>제품</v>
          </cell>
          <cell r="D1527" t="str">
            <v>윈도우 제품군</v>
          </cell>
          <cell r="E1527" t="str">
            <v>HIGH-END</v>
          </cell>
          <cell r="F1527" t="str">
            <v>C-PPF</v>
          </cell>
        </row>
        <row r="1528">
          <cell r="A1528">
            <v>31706</v>
          </cell>
          <cell r="B1528" t="str">
            <v>RAINBOW(KOR)-DM-V GLAM05(RHN25%)</v>
          </cell>
          <cell r="C1528" t="str">
            <v>제품</v>
          </cell>
          <cell r="D1528" t="str">
            <v>윈도우 제품군</v>
          </cell>
          <cell r="E1528" t="str">
            <v>전략</v>
          </cell>
          <cell r="F1528" t="str">
            <v>SP</v>
          </cell>
        </row>
        <row r="1529">
          <cell r="A1529">
            <v>31707</v>
          </cell>
          <cell r="B1529" t="str">
            <v>RAINBOW(KOR)-DM-V GLAM10(RHN25%)</v>
          </cell>
          <cell r="C1529" t="str">
            <v>제품</v>
          </cell>
          <cell r="D1529" t="str">
            <v>윈도우 제품군</v>
          </cell>
          <cell r="E1529" t="str">
            <v>전략</v>
          </cell>
          <cell r="F1529" t="str">
            <v>SP</v>
          </cell>
        </row>
        <row r="1530">
          <cell r="A1530">
            <v>31708</v>
          </cell>
          <cell r="B1530" t="str">
            <v>RAINBOW(KOR)-DM-V GLAM28(RHN40%)</v>
          </cell>
          <cell r="C1530" t="str">
            <v>제품</v>
          </cell>
          <cell r="D1530" t="str">
            <v>윈도우 제품군</v>
          </cell>
          <cell r="E1530" t="str">
            <v>전략</v>
          </cell>
          <cell r="F1530" t="str">
            <v>SP</v>
          </cell>
        </row>
        <row r="1531">
          <cell r="A1531">
            <v>31709</v>
          </cell>
          <cell r="B1531" t="str">
            <v>RAINBOW(KOR)-DM-V90 2390(RHN40%)</v>
          </cell>
          <cell r="C1531" t="str">
            <v>제품</v>
          </cell>
          <cell r="D1531" t="str">
            <v>윈도우 제품군</v>
          </cell>
          <cell r="E1531" t="str">
            <v>전략</v>
          </cell>
          <cell r="F1531" t="str">
            <v>SP</v>
          </cell>
        </row>
        <row r="1532">
          <cell r="A1532">
            <v>31711</v>
          </cell>
          <cell r="B1532" t="str">
            <v>SCF-ND-CCS75</v>
          </cell>
          <cell r="C1532" t="str">
            <v>제품</v>
          </cell>
          <cell r="D1532" t="str">
            <v>윈도우 제품군</v>
          </cell>
          <cell r="E1532" t="str">
            <v>염료</v>
          </cell>
          <cell r="F1532" t="str">
            <v>2PLY</v>
          </cell>
        </row>
        <row r="1533">
          <cell r="A1533">
            <v>31713</v>
          </cell>
          <cell r="B1533" t="str">
            <v>PPF-NS-PPF이형지(R-BLACK)</v>
          </cell>
          <cell r="C1533" t="str">
            <v>제품</v>
          </cell>
          <cell r="D1533" t="str">
            <v>윈도우 제품군</v>
          </cell>
          <cell r="E1533" t="str">
            <v>HIGH-END</v>
          </cell>
          <cell r="F1533" t="str">
            <v>C-PPF</v>
          </cell>
        </row>
        <row r="1534">
          <cell r="A1534">
            <v>31714</v>
          </cell>
          <cell r="B1534" t="str">
            <v>PPF-NS-SGA (R-BLACK)</v>
          </cell>
          <cell r="C1534" t="str">
            <v>제품</v>
          </cell>
          <cell r="D1534" t="str">
            <v>윈도우 제품군</v>
          </cell>
          <cell r="E1534" t="str">
            <v>HIGH-END</v>
          </cell>
          <cell r="F1534" t="str">
            <v>C-PPF</v>
          </cell>
        </row>
        <row r="1535">
          <cell r="A1535">
            <v>31716</v>
          </cell>
          <cell r="B1535" t="str">
            <v>IR-NS-IR8530</v>
          </cell>
          <cell r="C1535" t="str">
            <v>제품</v>
          </cell>
          <cell r="D1535" t="str">
            <v>윈도우 제품군</v>
          </cell>
          <cell r="E1535" t="str">
            <v>기타</v>
          </cell>
          <cell r="F1535" t="str">
            <v>기타</v>
          </cell>
        </row>
        <row r="1536">
          <cell r="A1536">
            <v>31718</v>
          </cell>
          <cell r="B1536" t="str">
            <v>Mando(KOR)-ND-M9 0590</v>
          </cell>
          <cell r="C1536" t="str">
            <v>제품</v>
          </cell>
          <cell r="D1536" t="str">
            <v>윈도우 제품군</v>
          </cell>
          <cell r="E1536" t="str">
            <v>전략</v>
          </cell>
          <cell r="F1536" t="str">
            <v>SP</v>
          </cell>
        </row>
        <row r="1537">
          <cell r="A1537">
            <v>31721</v>
          </cell>
          <cell r="B1537" t="str">
            <v>SF-NS-AG GLASS 4MIL</v>
          </cell>
          <cell r="C1537" t="str">
            <v>제품</v>
          </cell>
          <cell r="D1537" t="str">
            <v>윈도우 제품군</v>
          </cell>
          <cell r="E1537" t="str">
            <v>전략</v>
          </cell>
          <cell r="F1537" t="str">
            <v>SAFETY</v>
          </cell>
        </row>
        <row r="1538">
          <cell r="A1538">
            <v>31722</v>
          </cell>
          <cell r="B1538" t="str">
            <v>PPF-NS-SGA N</v>
          </cell>
          <cell r="C1538" t="str">
            <v>제품</v>
          </cell>
          <cell r="D1538" t="str">
            <v>윈도우 제품군</v>
          </cell>
          <cell r="E1538" t="str">
            <v>HIGH-END</v>
          </cell>
          <cell r="F1538" t="str">
            <v>C-PPF</v>
          </cell>
        </row>
        <row r="1539">
          <cell r="A1539">
            <v>31725</v>
          </cell>
          <cell r="B1539" t="str">
            <v>IRSF-ND-IR1560+4MIL</v>
          </cell>
          <cell r="C1539" t="str">
            <v>제품</v>
          </cell>
          <cell r="D1539" t="str">
            <v>윈도우 제품군</v>
          </cell>
          <cell r="E1539" t="str">
            <v>전략</v>
          </cell>
          <cell r="F1539" t="str">
            <v>SAFETY</v>
          </cell>
        </row>
        <row r="1540">
          <cell r="A1540">
            <v>31726</v>
          </cell>
          <cell r="B1540" t="str">
            <v>Chroma(KOR)-SPT-CHROMA7 PRO 1075(RHN31%)</v>
          </cell>
          <cell r="C1540" t="str">
            <v>제품</v>
          </cell>
          <cell r="D1540" t="str">
            <v>윈도우 제품군</v>
          </cell>
          <cell r="E1540" t="str">
            <v>전략</v>
          </cell>
          <cell r="F1540" t="str">
            <v>SP</v>
          </cell>
        </row>
        <row r="1541">
          <cell r="A1541">
            <v>31727</v>
          </cell>
          <cell r="B1541" t="str">
            <v>Chroma(KOR)-SPT-CHROMA7 PRO 3075(RHN40%)</v>
          </cell>
          <cell r="C1541" t="str">
            <v>제품</v>
          </cell>
          <cell r="D1541" t="str">
            <v>윈도우 제품군</v>
          </cell>
          <cell r="E1541" t="str">
            <v>전략</v>
          </cell>
          <cell r="F1541" t="str">
            <v>SP</v>
          </cell>
        </row>
        <row r="1542">
          <cell r="A1542">
            <v>31729</v>
          </cell>
          <cell r="B1542" t="str">
            <v>PPF-보호필름(SGA-N)</v>
          </cell>
          <cell r="C1542" t="str">
            <v>제품</v>
          </cell>
          <cell r="D1542" t="str">
            <v>윈도우 제품군</v>
          </cell>
          <cell r="E1542" t="str">
            <v>HIGH-END</v>
          </cell>
          <cell r="F1542" t="str">
            <v>C-PPF</v>
          </cell>
        </row>
        <row r="1543">
          <cell r="A1543">
            <v>31731</v>
          </cell>
          <cell r="B1543" t="str">
            <v>PPF-NS-TGA(R-BLACK)</v>
          </cell>
          <cell r="C1543" t="str">
            <v>제품</v>
          </cell>
          <cell r="D1543" t="str">
            <v>윈도우 제품군</v>
          </cell>
          <cell r="E1543" t="str">
            <v>HIGH-END</v>
          </cell>
          <cell r="F1543" t="str">
            <v>C-PPF</v>
          </cell>
        </row>
        <row r="1544">
          <cell r="A1544">
            <v>31732</v>
          </cell>
          <cell r="B1544" t="str">
            <v>PANORAMA(KOR)-ND-PN5 1550</v>
          </cell>
          <cell r="C1544" t="str">
            <v>제품</v>
          </cell>
          <cell r="D1544" t="str">
            <v>윈도우 제품군</v>
          </cell>
          <cell r="E1544" t="str">
            <v>미분류</v>
          </cell>
          <cell r="F1544" t="str">
            <v>미분류</v>
          </cell>
        </row>
        <row r="1545">
          <cell r="A1545">
            <v>31733</v>
          </cell>
          <cell r="B1545" t="str">
            <v>PANORAMA(KOR)-ND-PN5 2550</v>
          </cell>
          <cell r="C1545" t="str">
            <v>제품</v>
          </cell>
          <cell r="D1545" t="str">
            <v>윈도우 제품군</v>
          </cell>
          <cell r="E1545" t="str">
            <v>미분류</v>
          </cell>
          <cell r="F1545" t="str">
            <v>미분류</v>
          </cell>
        </row>
        <row r="1546">
          <cell r="A1546">
            <v>31734</v>
          </cell>
          <cell r="B1546" t="str">
            <v>PANORAMA(KOR)-ND-PN9 1590</v>
          </cell>
          <cell r="C1546" t="str">
            <v>제품</v>
          </cell>
          <cell r="D1546" t="str">
            <v>윈도우 제품군</v>
          </cell>
          <cell r="E1546" t="str">
            <v>미분류</v>
          </cell>
          <cell r="F1546" t="str">
            <v>미분류</v>
          </cell>
        </row>
        <row r="1547">
          <cell r="A1547">
            <v>31735</v>
          </cell>
          <cell r="B1547" t="str">
            <v>PANORAMA(KOR)-ND-PN9 2590</v>
          </cell>
          <cell r="C1547" t="str">
            <v>제품</v>
          </cell>
          <cell r="D1547" t="str">
            <v>윈도우 제품군</v>
          </cell>
          <cell r="E1547" t="str">
            <v>미분류</v>
          </cell>
          <cell r="F1547" t="str">
            <v>미분류</v>
          </cell>
        </row>
        <row r="1548">
          <cell r="A1548">
            <v>31736</v>
          </cell>
          <cell r="B1548" t="str">
            <v xml:space="preserve"> TEST-NS-OCA COATING(CARRIER TYPE)</v>
          </cell>
          <cell r="C1548" t="str">
            <v>제품</v>
          </cell>
          <cell r="D1548" t="str">
            <v>윈도우 제품군</v>
          </cell>
          <cell r="E1548" t="str">
            <v>기타</v>
          </cell>
          <cell r="F1548" t="str">
            <v>기타</v>
          </cell>
        </row>
        <row r="1549">
          <cell r="A1549">
            <v>31737</v>
          </cell>
          <cell r="B1549" t="str">
            <v>RAINBOW(KOR)-ND-I90 0590</v>
          </cell>
          <cell r="C1549" t="str">
            <v>제품</v>
          </cell>
          <cell r="D1549" t="str">
            <v>윈도우 제품군</v>
          </cell>
          <cell r="E1549" t="str">
            <v>전략</v>
          </cell>
          <cell r="F1549" t="str">
            <v>SP</v>
          </cell>
        </row>
        <row r="1550">
          <cell r="A1550">
            <v>31738</v>
          </cell>
          <cell r="B1550" t="str">
            <v>RAINBOW(KOR)-ND-I90 1590</v>
          </cell>
          <cell r="C1550" t="str">
            <v>제품</v>
          </cell>
          <cell r="D1550" t="str">
            <v>윈도우 제품군</v>
          </cell>
          <cell r="E1550" t="str">
            <v>전략</v>
          </cell>
          <cell r="F1550" t="str">
            <v>SP</v>
          </cell>
        </row>
        <row r="1551">
          <cell r="A1551">
            <v>31739</v>
          </cell>
          <cell r="B1551" t="str">
            <v>RAINBOW(KOR)-ND-I90 3390</v>
          </cell>
          <cell r="C1551" t="str">
            <v>제품</v>
          </cell>
          <cell r="D1551" t="str">
            <v>윈도우 제품군</v>
          </cell>
          <cell r="E1551" t="str">
            <v>전략</v>
          </cell>
          <cell r="F1551" t="str">
            <v>SP</v>
          </cell>
        </row>
        <row r="1552">
          <cell r="A1552">
            <v>31741</v>
          </cell>
          <cell r="B1552" t="str">
            <v>PEDOT(PDLC)</v>
          </cell>
          <cell r="C1552" t="str">
            <v>제품</v>
          </cell>
          <cell r="D1552" t="str">
            <v>윈도우 제품군</v>
          </cell>
          <cell r="E1552" t="str">
            <v>기타</v>
          </cell>
          <cell r="F1552" t="str">
            <v>기타</v>
          </cell>
        </row>
        <row r="1553">
          <cell r="A1553">
            <v>31742</v>
          </cell>
          <cell r="B1553" t="str">
            <v>RHN15(PDLC)</v>
          </cell>
          <cell r="C1553" t="str">
            <v>제품</v>
          </cell>
          <cell r="D1553" t="str">
            <v>윈도우 제품군</v>
          </cell>
          <cell r="E1553" t="str">
            <v>기타</v>
          </cell>
          <cell r="F1553" t="str">
            <v>기타</v>
          </cell>
        </row>
        <row r="1554">
          <cell r="A1554">
            <v>31743</v>
          </cell>
          <cell r="B1554" t="str">
            <v>IR-NS-IR7565</v>
          </cell>
          <cell r="C1554" t="str">
            <v>제품</v>
          </cell>
          <cell r="D1554" t="str">
            <v>윈도우 제품군</v>
          </cell>
          <cell r="E1554" t="str">
            <v>전략</v>
          </cell>
          <cell r="F1554" t="str">
            <v>IR</v>
          </cell>
        </row>
        <row r="1555">
          <cell r="A1555">
            <v>31744</v>
          </cell>
          <cell r="B1555" t="str">
            <v>IR-NS-IR7090(36um)</v>
          </cell>
          <cell r="C1555" t="str">
            <v>제품</v>
          </cell>
          <cell r="D1555" t="str">
            <v>윈도우 제품군</v>
          </cell>
          <cell r="E1555" t="str">
            <v>전략</v>
          </cell>
          <cell r="F1555" t="str">
            <v>IR</v>
          </cell>
        </row>
        <row r="1556">
          <cell r="A1556">
            <v>31745</v>
          </cell>
          <cell r="B1556" t="str">
            <v>SP(New)-NS-CBK 20(IR 40)</v>
          </cell>
          <cell r="C1556" t="str">
            <v>제품</v>
          </cell>
          <cell r="D1556" t="str">
            <v>윈도우 제품군</v>
          </cell>
          <cell r="E1556" t="str">
            <v>전략</v>
          </cell>
          <cell r="F1556" t="str">
            <v>SP</v>
          </cell>
        </row>
        <row r="1557">
          <cell r="A1557">
            <v>31750</v>
          </cell>
          <cell r="B1557" t="str">
            <v>PANORAMA(KOR)-ND-PN5 0550</v>
          </cell>
          <cell r="C1557" t="str">
            <v>제품</v>
          </cell>
          <cell r="D1557" t="str">
            <v>윈도우 제품군</v>
          </cell>
          <cell r="E1557" t="str">
            <v>미분류</v>
          </cell>
          <cell r="F1557" t="str">
            <v>미분류</v>
          </cell>
        </row>
        <row r="1558">
          <cell r="A1558">
            <v>31751</v>
          </cell>
          <cell r="B1558" t="str">
            <v>PANORAMA(KOR)-ND-PN9 0590</v>
          </cell>
          <cell r="C1558" t="str">
            <v>제품</v>
          </cell>
          <cell r="D1558" t="str">
            <v>윈도우 제품군</v>
          </cell>
          <cell r="E1558" t="str">
            <v>미분류</v>
          </cell>
          <cell r="F1558" t="str">
            <v>미분류</v>
          </cell>
        </row>
        <row r="1559">
          <cell r="A1559">
            <v>31752</v>
          </cell>
          <cell r="B1559" t="str">
            <v>TEST-PPF-NS-SGA MATT(발수개선)</v>
          </cell>
          <cell r="C1559" t="str">
            <v>제품</v>
          </cell>
          <cell r="D1559" t="str">
            <v>윈도우 제품군</v>
          </cell>
          <cell r="E1559" t="str">
            <v>HIGH-END</v>
          </cell>
          <cell r="F1559" t="str">
            <v>C-PPF</v>
          </cell>
        </row>
        <row r="1560">
          <cell r="A1560">
            <v>31756</v>
          </cell>
          <cell r="B1560" t="str">
            <v>SFSL-ND-BK35+4MIL(SOLARFREE)</v>
          </cell>
          <cell r="C1560" t="str">
            <v>제품</v>
          </cell>
          <cell r="D1560" t="str">
            <v>윈도우 제품군</v>
          </cell>
          <cell r="E1560" t="str">
            <v>전략</v>
          </cell>
          <cell r="F1560" t="str">
            <v>SAFETY</v>
          </cell>
        </row>
        <row r="1561">
          <cell r="A1561">
            <v>31757</v>
          </cell>
          <cell r="B1561" t="str">
            <v>SCF-DM-CARBON METAL03(HG 0.12)</v>
          </cell>
          <cell r="C1561" t="str">
            <v>제품</v>
          </cell>
          <cell r="D1561" t="str">
            <v>윈도우 제품군</v>
          </cell>
          <cell r="E1561" t="str">
            <v>전략</v>
          </cell>
          <cell r="F1561" t="str">
            <v>SP</v>
          </cell>
        </row>
        <row r="1562">
          <cell r="A1562">
            <v>31758</v>
          </cell>
          <cell r="B1562" t="str">
            <v>SCF-DM-CARNBON METAL18(HG 0.12)</v>
          </cell>
          <cell r="C1562" t="str">
            <v>제품</v>
          </cell>
          <cell r="D1562" t="str">
            <v>윈도우 제품군</v>
          </cell>
          <cell r="E1562" t="str">
            <v>전략</v>
          </cell>
          <cell r="F1562" t="str">
            <v>SP</v>
          </cell>
        </row>
        <row r="1563">
          <cell r="A1563">
            <v>31759</v>
          </cell>
          <cell r="B1563" t="str">
            <v>SCF-DM-CARNBON METAL38(HG 0.12)</v>
          </cell>
          <cell r="C1563" t="str">
            <v>제품</v>
          </cell>
          <cell r="D1563" t="str">
            <v>윈도우 제품군</v>
          </cell>
          <cell r="E1563" t="str">
            <v>전략</v>
          </cell>
          <cell r="F1563" t="str">
            <v>SP</v>
          </cell>
        </row>
        <row r="1564">
          <cell r="A1564">
            <v>31764</v>
          </cell>
          <cell r="B1564" t="str">
            <v>IR-ND-EXTERIOR(XPM 4095)</v>
          </cell>
          <cell r="C1564" t="str">
            <v>제품</v>
          </cell>
          <cell r="D1564" t="str">
            <v>윈도우 제품군</v>
          </cell>
          <cell r="E1564" t="str">
            <v>전략</v>
          </cell>
          <cell r="F1564" t="str">
            <v>SAFETY</v>
          </cell>
        </row>
        <row r="1565">
          <cell r="A1565">
            <v>31765</v>
          </cell>
          <cell r="B1565" t="str">
            <v>TEST-NS-CENTER FASCIA 보호필름</v>
          </cell>
          <cell r="C1565" t="str">
            <v>제품</v>
          </cell>
          <cell r="D1565" t="str">
            <v>윈도우 제품군</v>
          </cell>
          <cell r="E1565" t="str">
            <v>전략</v>
          </cell>
          <cell r="F1565" t="str">
            <v>SAFETY</v>
          </cell>
        </row>
        <row r="1566">
          <cell r="A1566">
            <v>31768</v>
          </cell>
          <cell r="B1566" t="str">
            <v>PPF-NS-SGA-HL(CHARCOAL35%)</v>
          </cell>
          <cell r="C1566" t="str">
            <v>제품</v>
          </cell>
          <cell r="D1566" t="str">
            <v>윈도우 제품군</v>
          </cell>
          <cell r="E1566" t="str">
            <v>HIGH-END</v>
          </cell>
          <cell r="F1566" t="str">
            <v>C-PPF</v>
          </cell>
        </row>
        <row r="1567">
          <cell r="A1567">
            <v>31772</v>
          </cell>
          <cell r="B1567" t="str">
            <v>WINDSHIELD 보호필름(점착개선)</v>
          </cell>
          <cell r="C1567" t="str">
            <v>제품</v>
          </cell>
          <cell r="D1567" t="str">
            <v>윈도우 제품군</v>
          </cell>
          <cell r="E1567" t="str">
            <v>전략</v>
          </cell>
          <cell r="F1567" t="str">
            <v>WP4</v>
          </cell>
        </row>
        <row r="1568">
          <cell r="A1568">
            <v>31773</v>
          </cell>
          <cell r="B1568" t="str">
            <v>PPF-NS-BLACK PPF</v>
          </cell>
          <cell r="C1568" t="str">
            <v>제품</v>
          </cell>
          <cell r="D1568" t="str">
            <v>윈도우 제품군</v>
          </cell>
          <cell r="E1568" t="str">
            <v>HIGH-END</v>
          </cell>
          <cell r="F1568" t="str">
            <v>C-PPF</v>
          </cell>
        </row>
        <row r="1569">
          <cell r="A1569">
            <v>31777</v>
          </cell>
          <cell r="B1569" t="str">
            <v>RAINBOW(KOR)-ND-I55 1055</v>
          </cell>
          <cell r="C1569" t="str">
            <v>제품</v>
          </cell>
          <cell r="D1569" t="str">
            <v>윈도우 제품군</v>
          </cell>
          <cell r="E1569" t="str">
            <v>전략</v>
          </cell>
          <cell r="F1569" t="str">
            <v>SP</v>
          </cell>
        </row>
        <row r="1570">
          <cell r="A1570">
            <v>31779</v>
          </cell>
          <cell r="B1570" t="str">
            <v>HC PEDOT(PDLC용 UP)</v>
          </cell>
          <cell r="C1570" t="str">
            <v>제품</v>
          </cell>
          <cell r="D1570" t="str">
            <v>윈도우 제품군</v>
          </cell>
          <cell r="E1570" t="str">
            <v>기타</v>
          </cell>
          <cell r="F1570" t="str">
            <v>기타</v>
          </cell>
        </row>
        <row r="1571">
          <cell r="A1571">
            <v>31780</v>
          </cell>
          <cell r="B1571" t="str">
            <v>TA PEDOT(PDLC용 DOWN)</v>
          </cell>
          <cell r="C1571" t="str">
            <v>제품</v>
          </cell>
          <cell r="D1571" t="str">
            <v>윈도우 제품군</v>
          </cell>
          <cell r="E1571" t="str">
            <v>기타</v>
          </cell>
          <cell r="F1571" t="str">
            <v>기타</v>
          </cell>
        </row>
        <row r="1572">
          <cell r="A1572">
            <v>31791</v>
          </cell>
          <cell r="B1572" t="str">
            <v>SFSL-ND-TPA GREEN20+4MIL</v>
          </cell>
          <cell r="C1572" t="str">
            <v>제품</v>
          </cell>
          <cell r="D1572" t="str">
            <v>윈도우 제품군</v>
          </cell>
          <cell r="E1572" t="str">
            <v>전략</v>
          </cell>
          <cell r="F1572" t="str">
            <v>SAFETY</v>
          </cell>
        </row>
        <row r="1573">
          <cell r="A1573">
            <v>31792</v>
          </cell>
          <cell r="B1573" t="str">
            <v>SCF-DM GRAYSILVER 15(0.8)</v>
          </cell>
          <cell r="C1573" t="str">
            <v>제품</v>
          </cell>
          <cell r="D1573" t="str">
            <v>윈도우 제품군</v>
          </cell>
          <cell r="E1573" t="str">
            <v>염료</v>
          </cell>
          <cell r="F1573" t="str">
            <v>2PLY</v>
          </cell>
        </row>
        <row r="1574">
          <cell r="A1574">
            <v>31796</v>
          </cell>
          <cell r="B1574" t="str">
            <v>PFF-NS-Pearl matte PPF(blue)</v>
          </cell>
          <cell r="C1574" t="str">
            <v>제품</v>
          </cell>
          <cell r="D1574" t="str">
            <v>윈도우 제품군</v>
          </cell>
          <cell r="E1574" t="str">
            <v>HIGH-END</v>
          </cell>
          <cell r="F1574" t="str">
            <v>C-PPF</v>
          </cell>
        </row>
        <row r="1575">
          <cell r="A1575">
            <v>31797</v>
          </cell>
          <cell r="B1575" t="str">
            <v xml:space="preserve"> NS-PRIVACY(OCA)</v>
          </cell>
          <cell r="C1575" t="str">
            <v>제품</v>
          </cell>
          <cell r="D1575" t="str">
            <v>윈도우 제품군</v>
          </cell>
          <cell r="E1575" t="str">
            <v>기타</v>
          </cell>
          <cell r="F1575" t="str">
            <v>기타</v>
          </cell>
        </row>
        <row r="1576">
          <cell r="A1576">
            <v>31798</v>
          </cell>
          <cell r="B1576" t="str">
            <v>RAINBOW(KOR)-ND-I55 0555S</v>
          </cell>
          <cell r="C1576" t="str">
            <v>제품</v>
          </cell>
          <cell r="D1576" t="str">
            <v>윈도우 제품군</v>
          </cell>
          <cell r="E1576" t="str">
            <v>전략</v>
          </cell>
          <cell r="F1576" t="str">
            <v>SP</v>
          </cell>
        </row>
        <row r="1577">
          <cell r="A1577">
            <v>31799</v>
          </cell>
          <cell r="B1577" t="str">
            <v>RAINBOW(KOR)-ND-I55 1055S</v>
          </cell>
          <cell r="C1577" t="str">
            <v>제품</v>
          </cell>
          <cell r="D1577" t="str">
            <v>윈도우 제품군</v>
          </cell>
          <cell r="E1577" t="str">
            <v>전략</v>
          </cell>
          <cell r="F1577" t="str">
            <v>SP</v>
          </cell>
        </row>
        <row r="1578">
          <cell r="A1578">
            <v>31800</v>
          </cell>
          <cell r="B1578" t="str">
            <v>RAINBOW(KOR)-ND-I55 1555S</v>
          </cell>
          <cell r="C1578" t="str">
            <v>제품</v>
          </cell>
          <cell r="D1578" t="str">
            <v>윈도우 제품군</v>
          </cell>
          <cell r="E1578" t="str">
            <v>전략</v>
          </cell>
          <cell r="F1578" t="str">
            <v>SP</v>
          </cell>
        </row>
        <row r="1579">
          <cell r="A1579">
            <v>31801</v>
          </cell>
          <cell r="B1579" t="str">
            <v>RAINBOW(KOR)-ND-I55 2355S</v>
          </cell>
          <cell r="C1579" t="str">
            <v>제품</v>
          </cell>
          <cell r="D1579" t="str">
            <v>윈도우 제품군</v>
          </cell>
          <cell r="E1579" t="str">
            <v>전략</v>
          </cell>
          <cell r="F1579" t="str">
            <v>SP</v>
          </cell>
        </row>
        <row r="1580">
          <cell r="A1580">
            <v>31802</v>
          </cell>
          <cell r="B1580" t="str">
            <v>RAINBOW(KOR)-ND-I55 3555S</v>
          </cell>
          <cell r="C1580" t="str">
            <v>제품</v>
          </cell>
          <cell r="D1580" t="str">
            <v>윈도우 제품군</v>
          </cell>
          <cell r="E1580" t="str">
            <v>전략</v>
          </cell>
          <cell r="F1580" t="str">
            <v>SP</v>
          </cell>
        </row>
        <row r="1581">
          <cell r="A1581">
            <v>31803</v>
          </cell>
          <cell r="B1581" t="str">
            <v>RAINBOW(KOR)-ND-I55 4555S</v>
          </cell>
          <cell r="C1581" t="str">
            <v>제품</v>
          </cell>
          <cell r="D1581" t="str">
            <v>윈도우 제품군</v>
          </cell>
          <cell r="E1581" t="str">
            <v>전략</v>
          </cell>
          <cell r="F1581" t="str">
            <v>SP</v>
          </cell>
        </row>
        <row r="1582">
          <cell r="A1582">
            <v>31804</v>
          </cell>
          <cell r="B1582" t="str">
            <v>RAINBOW(KOR)-DM-V70 2370(RHN40%)</v>
          </cell>
          <cell r="C1582" t="str">
            <v>제품</v>
          </cell>
          <cell r="D1582" t="str">
            <v>윈도우 제품군</v>
          </cell>
          <cell r="E1582" t="str">
            <v>전략</v>
          </cell>
          <cell r="F1582" t="str">
            <v>SP</v>
          </cell>
        </row>
        <row r="1583">
          <cell r="A1583">
            <v>31806</v>
          </cell>
          <cell r="B1583" t="str">
            <v>PPF-NS-TGA(S)-HL(Charcoal 35%)</v>
          </cell>
          <cell r="C1583" t="str">
            <v>제품</v>
          </cell>
          <cell r="D1583" t="str">
            <v>윈도우 제품군</v>
          </cell>
          <cell r="E1583" t="str">
            <v>HIGH-END</v>
          </cell>
          <cell r="F1583" t="str">
            <v>C-PPF</v>
          </cell>
        </row>
        <row r="1584">
          <cell r="A1584">
            <v>31807</v>
          </cell>
          <cell r="B1584" t="str">
            <v>PPF-NS-TGA(S)-HL(Charcoal 50%)</v>
          </cell>
          <cell r="C1584" t="str">
            <v>제품</v>
          </cell>
          <cell r="D1584" t="str">
            <v>윈도우 제품군</v>
          </cell>
          <cell r="E1584" t="str">
            <v>HIGH-END</v>
          </cell>
          <cell r="F1584" t="str">
            <v>C-PPF</v>
          </cell>
        </row>
        <row r="1585">
          <cell r="A1585">
            <v>31808</v>
          </cell>
          <cell r="B1585" t="str">
            <v>PPF-NS-TGA(S)-HL(Gray 35%)</v>
          </cell>
          <cell r="C1585" t="str">
            <v>제품</v>
          </cell>
          <cell r="D1585" t="str">
            <v>윈도우 제품군</v>
          </cell>
          <cell r="E1585" t="str">
            <v>HIGH-END</v>
          </cell>
          <cell r="F1585" t="str">
            <v>C-PPF</v>
          </cell>
        </row>
        <row r="1586">
          <cell r="A1586">
            <v>31809</v>
          </cell>
          <cell r="B1586" t="str">
            <v>PPF-NS-TGA(S)-HL(Gray 50%)</v>
          </cell>
          <cell r="C1586" t="str">
            <v>제품</v>
          </cell>
          <cell r="D1586" t="str">
            <v>윈도우 제품군</v>
          </cell>
          <cell r="E1586" t="str">
            <v>HIGH-END</v>
          </cell>
          <cell r="F1586" t="str">
            <v>C-PPF</v>
          </cell>
        </row>
        <row r="1587">
          <cell r="A1587">
            <v>31813</v>
          </cell>
          <cell r="B1587" t="str">
            <v>Mando(KOR)-ND-M9 4590</v>
          </cell>
          <cell r="C1587" t="str">
            <v>제품</v>
          </cell>
          <cell r="D1587" t="str">
            <v>윈도우 제품군</v>
          </cell>
          <cell r="E1587" t="str">
            <v>전략</v>
          </cell>
          <cell r="F1587" t="str">
            <v>SP</v>
          </cell>
        </row>
        <row r="1588">
          <cell r="A1588">
            <v>31817</v>
          </cell>
          <cell r="B1588" t="str">
            <v>PFF-NS-Pearl matte PPF(Violet pearl)</v>
          </cell>
          <cell r="C1588" t="str">
            <v>제품</v>
          </cell>
          <cell r="D1588" t="str">
            <v>윈도우 제품군</v>
          </cell>
          <cell r="E1588" t="str">
            <v>HIGH-END</v>
          </cell>
          <cell r="F1588" t="str">
            <v>C-PPF</v>
          </cell>
        </row>
        <row r="1589">
          <cell r="A1589">
            <v>31819</v>
          </cell>
          <cell r="B1589" t="str">
            <v>SP-NS-CBK 20(SLP)</v>
          </cell>
          <cell r="C1589" t="str">
            <v>제품</v>
          </cell>
          <cell r="D1589" t="str">
            <v>윈도우 제품군</v>
          </cell>
          <cell r="E1589" t="str">
            <v>전략</v>
          </cell>
          <cell r="F1589" t="str">
            <v>SP</v>
          </cell>
        </row>
        <row r="1590">
          <cell r="A1590">
            <v>31831</v>
          </cell>
          <cell r="B1590" t="str">
            <v>SP(USA)-ND-Mono Carbon 15</v>
          </cell>
          <cell r="C1590" t="str">
            <v>제품</v>
          </cell>
          <cell r="D1590" t="str">
            <v>윈도우 제품군</v>
          </cell>
          <cell r="E1590" t="str">
            <v>전략</v>
          </cell>
          <cell r="F1590" t="str">
            <v>SP</v>
          </cell>
        </row>
        <row r="1591">
          <cell r="A1591">
            <v>31832</v>
          </cell>
          <cell r="B1591" t="str">
            <v>Smith(KOR)-ND-T2 2390</v>
          </cell>
          <cell r="C1591" t="str">
            <v>제품</v>
          </cell>
          <cell r="D1591" t="str">
            <v>윈도우 제품군</v>
          </cell>
          <cell r="E1591" t="str">
            <v>전략</v>
          </cell>
          <cell r="F1591" t="str">
            <v>SP</v>
          </cell>
        </row>
        <row r="1592">
          <cell r="A1592">
            <v>31833</v>
          </cell>
          <cell r="B1592" t="str">
            <v>SP-NS-CBK 15(SLP)</v>
          </cell>
          <cell r="C1592" t="str">
            <v>제품</v>
          </cell>
          <cell r="D1592" t="str">
            <v>윈도우 제품군</v>
          </cell>
          <cell r="E1592" t="str">
            <v>전략</v>
          </cell>
          <cell r="F1592" t="str">
            <v>SP</v>
          </cell>
        </row>
        <row r="1593">
          <cell r="A1593">
            <v>31837</v>
          </cell>
          <cell r="B1593" t="str">
            <v>SP-NS-CBK 50(SLP)</v>
          </cell>
          <cell r="C1593" t="str">
            <v>제품</v>
          </cell>
          <cell r="D1593" t="str">
            <v>윈도우 제품군</v>
          </cell>
          <cell r="E1593" t="str">
            <v>전략</v>
          </cell>
          <cell r="F1593" t="str">
            <v>SP</v>
          </cell>
        </row>
        <row r="1594">
          <cell r="A1594">
            <v>31841</v>
          </cell>
          <cell r="B1594" t="str">
            <v>SCF-NS-CCS 0</v>
          </cell>
          <cell r="C1594" t="str">
            <v>제품</v>
          </cell>
          <cell r="D1594" t="str">
            <v>윈도우 제품군</v>
          </cell>
          <cell r="E1594" t="str">
            <v>염료</v>
          </cell>
          <cell r="F1594" t="str">
            <v>1PLY</v>
          </cell>
        </row>
        <row r="1595">
          <cell r="A1595">
            <v>31843</v>
          </cell>
          <cell r="B1595" t="str">
            <v>PDLC-OCA 15</v>
          </cell>
          <cell r="C1595" t="str">
            <v>제품</v>
          </cell>
          <cell r="D1595" t="str">
            <v>윈도우 제품군</v>
          </cell>
          <cell r="E1595" t="str">
            <v>기타</v>
          </cell>
          <cell r="F1595" t="str">
            <v>기타</v>
          </cell>
        </row>
        <row r="1596">
          <cell r="A1596">
            <v>31849</v>
          </cell>
          <cell r="B1596" t="str">
            <v>PPF-NS-SGA-HL(CHARCOAL50%)</v>
          </cell>
          <cell r="C1596" t="str">
            <v>제품</v>
          </cell>
          <cell r="D1596" t="str">
            <v>윈도우 제품군</v>
          </cell>
          <cell r="E1596" t="str">
            <v>HIGH-END</v>
          </cell>
          <cell r="F1596" t="str">
            <v>C-PPF</v>
          </cell>
        </row>
        <row r="1597">
          <cell r="A1597">
            <v>31850</v>
          </cell>
          <cell r="B1597" t="str">
            <v>PFF-NS-Pearl matte PPF(Red)</v>
          </cell>
          <cell r="C1597" t="str">
            <v>제품</v>
          </cell>
          <cell r="D1597" t="str">
            <v>윈도우 제품군</v>
          </cell>
          <cell r="E1597" t="str">
            <v>HIGH-END</v>
          </cell>
          <cell r="F1597" t="str">
            <v>C-PPF</v>
          </cell>
        </row>
        <row r="1598">
          <cell r="A1598">
            <v>31853</v>
          </cell>
          <cell r="B1598" t="str">
            <v>WINDSHIELD보호필름(점착개선-ESR-100)</v>
          </cell>
          <cell r="C1598" t="str">
            <v>제품</v>
          </cell>
          <cell r="D1598" t="str">
            <v>윈도우 제품군</v>
          </cell>
          <cell r="E1598" t="str">
            <v>전략</v>
          </cell>
          <cell r="F1598" t="str">
            <v>WP4</v>
          </cell>
        </row>
        <row r="1599">
          <cell r="A1599">
            <v>31854</v>
          </cell>
          <cell r="B1599" t="str">
            <v>WINDSHIELD보호필름(점착개선-ESR-75)</v>
          </cell>
          <cell r="C1599" t="str">
            <v>제품</v>
          </cell>
          <cell r="D1599" t="str">
            <v>윈도우 제품군</v>
          </cell>
          <cell r="E1599" t="str">
            <v>전략</v>
          </cell>
          <cell r="F1599" t="str">
            <v>WP4</v>
          </cell>
        </row>
        <row r="1600">
          <cell r="A1600">
            <v>31855</v>
          </cell>
          <cell r="B1600" t="str">
            <v>WINDSHIELD보호필름(점착개선-ESR-50)</v>
          </cell>
          <cell r="C1600" t="str">
            <v>제품</v>
          </cell>
          <cell r="D1600" t="str">
            <v>윈도우 제품군</v>
          </cell>
          <cell r="E1600" t="str">
            <v>전략</v>
          </cell>
          <cell r="F1600" t="str">
            <v>WP4</v>
          </cell>
        </row>
        <row r="1601">
          <cell r="A1601">
            <v>31856</v>
          </cell>
          <cell r="B1601" t="str">
            <v>IR-ND-TRUEBLUE 0595</v>
          </cell>
          <cell r="C1601" t="str">
            <v>제품</v>
          </cell>
          <cell r="D1601" t="str">
            <v>윈도우 제품군</v>
          </cell>
          <cell r="E1601" t="str">
            <v>전략</v>
          </cell>
          <cell r="F1601" t="str">
            <v>IR</v>
          </cell>
        </row>
        <row r="1602">
          <cell r="A1602">
            <v>31857</v>
          </cell>
          <cell r="B1602" t="str">
            <v>SPECIAL(KOR)-DM-SPECIAL R 1075</v>
          </cell>
          <cell r="C1602" t="str">
            <v>제품</v>
          </cell>
          <cell r="D1602" t="str">
            <v>윈도우 제품군</v>
          </cell>
          <cell r="E1602" t="str">
            <v>전략</v>
          </cell>
          <cell r="F1602" t="str">
            <v>SP</v>
          </cell>
        </row>
        <row r="1603">
          <cell r="A1603">
            <v>31858</v>
          </cell>
          <cell r="B1603" t="str">
            <v>SPECIAL(KOR)-DM-SPECIAL R 3065</v>
          </cell>
          <cell r="C1603" t="str">
            <v>제품</v>
          </cell>
          <cell r="D1603" t="str">
            <v>윈도우 제품군</v>
          </cell>
          <cell r="E1603" t="str">
            <v>전략</v>
          </cell>
          <cell r="F1603" t="str">
            <v>SP</v>
          </cell>
        </row>
        <row r="1604">
          <cell r="A1604">
            <v>31864</v>
          </cell>
          <cell r="B1604" t="str">
            <v>SCF-NS-CCS16(SLP)</v>
          </cell>
          <cell r="C1604" t="str">
            <v>제품</v>
          </cell>
          <cell r="D1604" t="str">
            <v>윈도우 제품군</v>
          </cell>
          <cell r="E1604" t="str">
            <v>염료</v>
          </cell>
          <cell r="F1604" t="str">
            <v>1PLY</v>
          </cell>
        </row>
        <row r="1605">
          <cell r="A1605">
            <v>31865</v>
          </cell>
          <cell r="B1605" t="str">
            <v>IR-ND-TRUEBLUE 6595</v>
          </cell>
          <cell r="C1605" t="str">
            <v>제품</v>
          </cell>
          <cell r="D1605" t="str">
            <v>윈도우 제품군</v>
          </cell>
          <cell r="E1605" t="str">
            <v>전략</v>
          </cell>
          <cell r="F1605" t="str">
            <v>IR</v>
          </cell>
        </row>
        <row r="1606">
          <cell r="A1606">
            <v>31867</v>
          </cell>
          <cell r="B1606" t="str">
            <v>SP-NS-CBK 35(SLP)</v>
          </cell>
          <cell r="C1606" t="str">
            <v>제품</v>
          </cell>
          <cell r="D1606" t="str">
            <v>윈도우 제품군</v>
          </cell>
          <cell r="E1606" t="str">
            <v>전략</v>
          </cell>
          <cell r="F1606" t="str">
            <v>SP</v>
          </cell>
        </row>
        <row r="1607">
          <cell r="A1607">
            <v>31868</v>
          </cell>
          <cell r="B1607" t="str">
            <v>SP-NS-CBK 05(SLP)</v>
          </cell>
          <cell r="C1607" t="str">
            <v>제품</v>
          </cell>
          <cell r="D1607" t="str">
            <v>윈도우 제품군</v>
          </cell>
          <cell r="E1607" t="str">
            <v>전략</v>
          </cell>
          <cell r="F1607" t="str">
            <v>SP</v>
          </cell>
        </row>
        <row r="1608">
          <cell r="A1608">
            <v>31871</v>
          </cell>
          <cell r="B1608" t="str">
            <v>RAINBOW(KOR)-ND-I90 2390</v>
          </cell>
          <cell r="C1608" t="str">
            <v>제품</v>
          </cell>
          <cell r="D1608" t="str">
            <v>윈도우 제품군</v>
          </cell>
          <cell r="E1608" t="str">
            <v>전략</v>
          </cell>
          <cell r="F1608" t="str">
            <v>SP</v>
          </cell>
        </row>
        <row r="1609">
          <cell r="A1609">
            <v>31872</v>
          </cell>
          <cell r="B1609" t="str">
            <v>RAINBOW(KOR)-DM-V GLAM23(RHN31%)</v>
          </cell>
          <cell r="C1609" t="str">
            <v>제품</v>
          </cell>
          <cell r="D1609" t="str">
            <v>윈도우 제품군</v>
          </cell>
          <cell r="E1609" t="str">
            <v>전략</v>
          </cell>
          <cell r="F1609" t="str">
            <v>SP</v>
          </cell>
        </row>
        <row r="1610">
          <cell r="A1610">
            <v>31881</v>
          </cell>
          <cell r="B1610" t="str">
            <v>TEST-ND-MONO CARBON 0%(1.5MIL)</v>
          </cell>
          <cell r="C1610" t="str">
            <v>제품</v>
          </cell>
          <cell r="D1610" t="str">
            <v>윈도우 제품군</v>
          </cell>
          <cell r="E1610" t="str">
            <v>전략</v>
          </cell>
          <cell r="F1610" t="str">
            <v>SP</v>
          </cell>
        </row>
        <row r="1611">
          <cell r="A1611">
            <v>31882</v>
          </cell>
          <cell r="B1611" t="str">
            <v>TEST-SP-PNT 35</v>
          </cell>
          <cell r="C1611" t="str">
            <v>제품</v>
          </cell>
          <cell r="D1611" t="str">
            <v>윈도우 제품군</v>
          </cell>
          <cell r="E1611" t="str">
            <v>전략</v>
          </cell>
          <cell r="F1611" t="str">
            <v>SP</v>
          </cell>
        </row>
        <row r="1612">
          <cell r="A1612">
            <v>31884</v>
          </cell>
          <cell r="B1612" t="str">
            <v>PDLC(상부)</v>
          </cell>
          <cell r="C1612" t="str">
            <v>제품</v>
          </cell>
          <cell r="D1612" t="str">
            <v>윈도우 제품군</v>
          </cell>
          <cell r="E1612" t="str">
            <v>Transition Film</v>
          </cell>
          <cell r="F1612" t="str">
            <v>PDLC</v>
          </cell>
        </row>
        <row r="1613">
          <cell r="A1613">
            <v>31885</v>
          </cell>
          <cell r="B1613" t="str">
            <v>PDLC(하부)</v>
          </cell>
          <cell r="C1613" t="str">
            <v>제품</v>
          </cell>
          <cell r="D1613" t="str">
            <v>윈도우 제품군</v>
          </cell>
          <cell r="E1613" t="str">
            <v>기타</v>
          </cell>
          <cell r="F1613" t="str">
            <v>기타</v>
          </cell>
        </row>
        <row r="1614">
          <cell r="A1614">
            <v>31887</v>
          </cell>
          <cell r="B1614" t="str">
            <v>TEST-Phantom(KOR)-ND-1.5MIL 3095</v>
          </cell>
          <cell r="C1614" t="str">
            <v>제품</v>
          </cell>
          <cell r="D1614" t="str">
            <v>윈도우 제품군</v>
          </cell>
          <cell r="E1614" t="str">
            <v>전략</v>
          </cell>
          <cell r="F1614" t="str">
            <v>SP</v>
          </cell>
        </row>
        <row r="1615">
          <cell r="A1615">
            <v>31890</v>
          </cell>
          <cell r="B1615" t="str">
            <v>TEST-Exterior PET (4097)</v>
          </cell>
          <cell r="C1615" t="str">
            <v>제품</v>
          </cell>
          <cell r="D1615" t="str">
            <v>윈도우 제품군</v>
          </cell>
          <cell r="E1615" t="str">
            <v>전략</v>
          </cell>
          <cell r="F1615" t="str">
            <v>SAFETY</v>
          </cell>
        </row>
        <row r="1616">
          <cell r="A1616">
            <v>31891</v>
          </cell>
          <cell r="B1616" t="str">
            <v>TEST-Exterior PET (clear)</v>
          </cell>
          <cell r="C1616" t="str">
            <v>제품</v>
          </cell>
          <cell r="D1616" t="str">
            <v>윈도우 제품군</v>
          </cell>
          <cell r="E1616" t="str">
            <v>전략</v>
          </cell>
          <cell r="F1616" t="str">
            <v>SAFETY</v>
          </cell>
        </row>
        <row r="1617">
          <cell r="A1617">
            <v>31892</v>
          </cell>
          <cell r="B1617" t="str">
            <v>Smith(KOR)-ND-T0 7040</v>
          </cell>
          <cell r="C1617" t="str">
            <v>제품</v>
          </cell>
          <cell r="D1617" t="str">
            <v>윈도우 제품군</v>
          </cell>
          <cell r="E1617" t="str">
            <v>전략</v>
          </cell>
          <cell r="F1617" t="str">
            <v>SP</v>
          </cell>
        </row>
        <row r="1618">
          <cell r="A1618">
            <v>31894</v>
          </cell>
          <cell r="B1618" t="str">
            <v>SCF-DM-CARBON METAL 05(HG 0.12)</v>
          </cell>
          <cell r="C1618" t="str">
            <v>제품</v>
          </cell>
          <cell r="D1618" t="str">
            <v>윈도우 제품군</v>
          </cell>
          <cell r="E1618" t="str">
            <v>전략</v>
          </cell>
          <cell r="F1618" t="str">
            <v>SP</v>
          </cell>
        </row>
        <row r="1619">
          <cell r="A1619">
            <v>31895</v>
          </cell>
          <cell r="B1619" t="str">
            <v>RAYNO-PLATINUM N45(NSN70)</v>
          </cell>
          <cell r="C1619" t="str">
            <v>제품</v>
          </cell>
          <cell r="D1619" t="str">
            <v>윈도우 제품군</v>
          </cell>
          <cell r="E1619" t="str">
            <v>전략</v>
          </cell>
          <cell r="F1619" t="str">
            <v>IR</v>
          </cell>
        </row>
        <row r="1620">
          <cell r="A1620">
            <v>31896</v>
          </cell>
          <cell r="B1620" t="str">
            <v>RAYNO-PLATINUM N35(NSN70)</v>
          </cell>
          <cell r="C1620" t="str">
            <v>제품</v>
          </cell>
          <cell r="D1620" t="str">
            <v>윈도우 제품군</v>
          </cell>
          <cell r="E1620" t="str">
            <v>전략</v>
          </cell>
          <cell r="F1620" t="str">
            <v>IR</v>
          </cell>
        </row>
        <row r="1621">
          <cell r="A1621">
            <v>31897</v>
          </cell>
          <cell r="B1621" t="str">
            <v>RAYNO-PLATINUM N15(NSN70)</v>
          </cell>
          <cell r="C1621" t="str">
            <v>제품</v>
          </cell>
          <cell r="D1621" t="str">
            <v>윈도우 제품군</v>
          </cell>
          <cell r="E1621" t="str">
            <v>전략</v>
          </cell>
          <cell r="F1621" t="str">
            <v>IR</v>
          </cell>
        </row>
        <row r="1622">
          <cell r="A1622">
            <v>31898</v>
          </cell>
          <cell r="B1622" t="str">
            <v>RAYNO-PLATINUM S45(HG 0.3)</v>
          </cell>
          <cell r="C1622" t="str">
            <v>제품</v>
          </cell>
          <cell r="D1622" t="str">
            <v>윈도우 제품군</v>
          </cell>
          <cell r="E1622" t="str">
            <v>전략</v>
          </cell>
          <cell r="F1622" t="str">
            <v>IR</v>
          </cell>
        </row>
        <row r="1623">
          <cell r="A1623">
            <v>31899</v>
          </cell>
          <cell r="B1623" t="str">
            <v>RAYNO-PLATINUM S35(HG 0.3)</v>
          </cell>
          <cell r="C1623" t="str">
            <v>제품</v>
          </cell>
          <cell r="D1623" t="str">
            <v>윈도우 제품군</v>
          </cell>
          <cell r="E1623" t="str">
            <v>전략</v>
          </cell>
          <cell r="F1623" t="str">
            <v>IR</v>
          </cell>
        </row>
        <row r="1624">
          <cell r="A1624">
            <v>31905</v>
          </cell>
          <cell r="B1624" t="str">
            <v>SP-ND-PDLC 30</v>
          </cell>
          <cell r="C1624" t="str">
            <v>제품</v>
          </cell>
          <cell r="D1624" t="str">
            <v>윈도우 제품군</v>
          </cell>
          <cell r="E1624" t="str">
            <v>전략</v>
          </cell>
          <cell r="F1624" t="str">
            <v>SP</v>
          </cell>
        </row>
        <row r="1625">
          <cell r="A1625">
            <v>31906</v>
          </cell>
          <cell r="B1625" t="str">
            <v>SP-DM-PDLC 15</v>
          </cell>
          <cell r="C1625" t="str">
            <v>제품</v>
          </cell>
          <cell r="D1625" t="str">
            <v>윈도우 제품군</v>
          </cell>
          <cell r="E1625" t="str">
            <v>전략</v>
          </cell>
          <cell r="F1625" t="str">
            <v>SP</v>
          </cell>
        </row>
        <row r="1626">
          <cell r="A1626">
            <v>31914</v>
          </cell>
          <cell r="B1626" t="str">
            <v>RAYNO-TRINITY G50(NSN70)</v>
          </cell>
          <cell r="C1626" t="str">
            <v>제품</v>
          </cell>
          <cell r="D1626" t="str">
            <v>윈도우 제품군</v>
          </cell>
          <cell r="E1626" t="str">
            <v>전략</v>
          </cell>
          <cell r="F1626" t="str">
            <v>IR</v>
          </cell>
        </row>
        <row r="1627">
          <cell r="A1627">
            <v>31915</v>
          </cell>
          <cell r="B1627" t="str">
            <v>RAYNO-TRINITY G35(NSN60)</v>
          </cell>
          <cell r="C1627" t="str">
            <v>제품</v>
          </cell>
          <cell r="D1627" t="str">
            <v>윈도우 제품군</v>
          </cell>
          <cell r="E1627" t="str">
            <v>전략</v>
          </cell>
          <cell r="F1627" t="str">
            <v>IR</v>
          </cell>
        </row>
        <row r="1628">
          <cell r="A1628">
            <v>31916</v>
          </cell>
          <cell r="B1628" t="str">
            <v>RAYNO-TRINITY G20(NSN60)</v>
          </cell>
          <cell r="C1628" t="str">
            <v>제품</v>
          </cell>
          <cell r="D1628" t="str">
            <v>윈도우 제품군</v>
          </cell>
          <cell r="E1628" t="str">
            <v>전략</v>
          </cell>
          <cell r="F1628" t="str">
            <v>IR</v>
          </cell>
        </row>
        <row r="1629">
          <cell r="A1629">
            <v>31918</v>
          </cell>
          <cell r="B1629" t="str">
            <v>ULTINUM(KOR)-3PLY-ULTINUM XP 0597</v>
          </cell>
          <cell r="C1629" t="str">
            <v>제품</v>
          </cell>
          <cell r="D1629" t="str">
            <v>윈도우 제품군</v>
          </cell>
          <cell r="E1629" t="str">
            <v>전략</v>
          </cell>
          <cell r="F1629" t="str">
            <v>SP</v>
          </cell>
        </row>
        <row r="1630">
          <cell r="A1630">
            <v>31919</v>
          </cell>
          <cell r="B1630" t="str">
            <v>ULTINUM(KOR)-3PLY-ULTINUM XP 1597</v>
          </cell>
          <cell r="C1630" t="str">
            <v>제품</v>
          </cell>
          <cell r="D1630" t="str">
            <v>윈도우 제품군</v>
          </cell>
          <cell r="E1630" t="str">
            <v>전략</v>
          </cell>
          <cell r="F1630" t="str">
            <v>SP</v>
          </cell>
        </row>
        <row r="1631">
          <cell r="A1631">
            <v>31920</v>
          </cell>
          <cell r="B1631" t="str">
            <v>ULTINUM(KOR)-3PLY-ULTINUM XP 3097</v>
          </cell>
          <cell r="C1631" t="str">
            <v>제품</v>
          </cell>
          <cell r="D1631" t="str">
            <v>윈도우 제품군</v>
          </cell>
          <cell r="E1631" t="str">
            <v>전략</v>
          </cell>
          <cell r="F1631" t="str">
            <v>SP</v>
          </cell>
        </row>
        <row r="1632">
          <cell r="A1632">
            <v>31921</v>
          </cell>
          <cell r="B1632" t="str">
            <v>ULTINUM(KOR)-ND-ULTINUM CARBON RS 0085</v>
          </cell>
          <cell r="C1632" t="str">
            <v>제품</v>
          </cell>
          <cell r="D1632" t="str">
            <v>윈도우 제품군</v>
          </cell>
          <cell r="E1632" t="str">
            <v>전략</v>
          </cell>
          <cell r="F1632" t="str">
            <v>SP</v>
          </cell>
        </row>
        <row r="1633">
          <cell r="A1633">
            <v>31922</v>
          </cell>
          <cell r="B1633" t="str">
            <v>Special R(KOR)-DM-SPECIAL R 1060(HG 0.3)</v>
          </cell>
          <cell r="C1633" t="str">
            <v>제품</v>
          </cell>
          <cell r="D1633" t="str">
            <v>윈도우 제품군</v>
          </cell>
          <cell r="E1633" t="str">
            <v>전략</v>
          </cell>
          <cell r="F1633" t="str">
            <v>SP</v>
          </cell>
        </row>
        <row r="1634">
          <cell r="A1634">
            <v>31923</v>
          </cell>
          <cell r="B1634" t="str">
            <v>CHROMA(KOR)-DM-CHROMA R 3060(HG 0.3)</v>
          </cell>
          <cell r="C1634" t="str">
            <v>제품</v>
          </cell>
          <cell r="D1634" t="str">
            <v>윈도우 제품군</v>
          </cell>
          <cell r="E1634" t="str">
            <v>전략</v>
          </cell>
          <cell r="F1634" t="str">
            <v>SP</v>
          </cell>
        </row>
        <row r="1635">
          <cell r="A1635">
            <v>31925</v>
          </cell>
          <cell r="B1635" t="str">
            <v>CHROMA(KOR)-DM-CHROMA R 1060(HG 0.3)</v>
          </cell>
          <cell r="C1635" t="str">
            <v>제품</v>
          </cell>
          <cell r="D1635" t="str">
            <v>윈도우 제품군</v>
          </cell>
          <cell r="E1635" t="str">
            <v>전략</v>
          </cell>
          <cell r="F1635" t="str">
            <v>SP</v>
          </cell>
        </row>
        <row r="1636">
          <cell r="A1636">
            <v>31929</v>
          </cell>
          <cell r="B1636" t="str">
            <v>TEST-NS-PPF4 SAMPLE</v>
          </cell>
          <cell r="C1636" t="str">
            <v>제품</v>
          </cell>
          <cell r="D1636" t="str">
            <v>윈도우 제품군</v>
          </cell>
          <cell r="E1636" t="str">
            <v>HIGH-END</v>
          </cell>
          <cell r="F1636" t="str">
            <v>C-PPF</v>
          </cell>
        </row>
        <row r="1637">
          <cell r="A1637">
            <v>31930</v>
          </cell>
          <cell r="B1637" t="str">
            <v>Special R(KOR)-DM-SPECIAL R 3060(HG 0.3)</v>
          </cell>
          <cell r="C1637" t="str">
            <v>제품</v>
          </cell>
          <cell r="D1637" t="str">
            <v>윈도우 제품군</v>
          </cell>
          <cell r="E1637" t="str">
            <v>전략</v>
          </cell>
          <cell r="F1637" t="str">
            <v>SP</v>
          </cell>
        </row>
        <row r="1638">
          <cell r="A1638">
            <v>31931</v>
          </cell>
          <cell r="B1638" t="str">
            <v>ULTINUM(KOR)-3PLY-ULTINUM X 0585</v>
          </cell>
          <cell r="C1638" t="str">
            <v>제품</v>
          </cell>
          <cell r="D1638" t="str">
            <v>윈도우 제품군</v>
          </cell>
          <cell r="E1638" t="str">
            <v>전략</v>
          </cell>
          <cell r="F1638" t="str">
            <v>SP</v>
          </cell>
        </row>
        <row r="1639">
          <cell r="A1639">
            <v>31932</v>
          </cell>
          <cell r="B1639" t="str">
            <v>ULTINUM(KOR)-3PLY-ULTINUM X 1585</v>
          </cell>
          <cell r="C1639" t="str">
            <v>제품</v>
          </cell>
          <cell r="D1639" t="str">
            <v>윈도우 제품군</v>
          </cell>
          <cell r="E1639" t="str">
            <v>전략</v>
          </cell>
          <cell r="F1639" t="str">
            <v>SP</v>
          </cell>
        </row>
        <row r="1640">
          <cell r="A1640">
            <v>31933</v>
          </cell>
          <cell r="B1640" t="str">
            <v>ULTINUM(KOR)-3PLY-ULTINUM X 3085</v>
          </cell>
          <cell r="C1640" t="str">
            <v>제품</v>
          </cell>
          <cell r="D1640" t="str">
            <v>윈도우 제품군</v>
          </cell>
          <cell r="E1640" t="str">
            <v>전략</v>
          </cell>
          <cell r="F1640" t="str">
            <v>SP</v>
          </cell>
        </row>
        <row r="1641">
          <cell r="A1641">
            <v>31935</v>
          </cell>
          <cell r="B1641" t="str">
            <v>TEST-DIY B45 (HG 0.3)</v>
          </cell>
          <cell r="C1641" t="str">
            <v>제품</v>
          </cell>
          <cell r="D1641" t="str">
            <v>윈도우 제품군</v>
          </cell>
          <cell r="E1641" t="str">
            <v>전략</v>
          </cell>
          <cell r="F1641" t="str">
            <v>IR</v>
          </cell>
        </row>
        <row r="1642">
          <cell r="A1642">
            <v>31940</v>
          </cell>
          <cell r="B1642" t="str">
            <v>PPF-ND-Carbon Pattern PPF</v>
          </cell>
          <cell r="C1642" t="str">
            <v>제품</v>
          </cell>
          <cell r="D1642" t="str">
            <v>윈도우 제품군</v>
          </cell>
          <cell r="E1642" t="str">
            <v>HIGH-END</v>
          </cell>
          <cell r="F1642" t="str">
            <v>C-PPF</v>
          </cell>
        </row>
        <row r="1643">
          <cell r="A1643">
            <v>31949</v>
          </cell>
          <cell r="B1643" t="str">
            <v>RAINBOW(KOR)-ND-I55 8055S</v>
          </cell>
          <cell r="C1643" t="str">
            <v>제품</v>
          </cell>
          <cell r="D1643" t="str">
            <v>윈도우 제품군</v>
          </cell>
          <cell r="E1643" t="str">
            <v>전략</v>
          </cell>
          <cell r="F1643" t="str">
            <v>SP</v>
          </cell>
        </row>
        <row r="1644">
          <cell r="A1644">
            <v>31950</v>
          </cell>
          <cell r="B1644" t="str">
            <v>TEST-PPF-MTM12(12MIL PPF)</v>
          </cell>
          <cell r="C1644" t="str">
            <v>제품</v>
          </cell>
          <cell r="D1644" t="str">
            <v>윈도우 제품군</v>
          </cell>
          <cell r="E1644" t="str">
            <v>HIGH-END</v>
          </cell>
          <cell r="F1644" t="str">
            <v>C-PPF</v>
          </cell>
        </row>
        <row r="1645">
          <cell r="A1645">
            <v>31956</v>
          </cell>
          <cell r="B1645" t="str">
            <v>XZ31C FILM</v>
          </cell>
          <cell r="C1645" t="str">
            <v>상품</v>
          </cell>
          <cell r="D1645" t="str">
            <v>윈도우 제품군</v>
          </cell>
          <cell r="E1645" t="str">
            <v>FILM</v>
          </cell>
          <cell r="F1645" t="str">
            <v>FILM</v>
          </cell>
        </row>
        <row r="1646">
          <cell r="A1646">
            <v>31957</v>
          </cell>
          <cell r="B1646" t="str">
            <v>Phantom(KOR)-ND-S7 7770</v>
          </cell>
          <cell r="C1646" t="str">
            <v>제품</v>
          </cell>
          <cell r="D1646" t="str">
            <v>윈도우 제품군</v>
          </cell>
          <cell r="E1646" t="str">
            <v>전략</v>
          </cell>
          <cell r="F1646" t="str">
            <v>SP</v>
          </cell>
        </row>
        <row r="1647">
          <cell r="A1647">
            <v>31958</v>
          </cell>
          <cell r="B1647" t="str">
            <v>Phantom(KOR)-ND-S5 7750</v>
          </cell>
          <cell r="C1647" t="str">
            <v>제품</v>
          </cell>
          <cell r="D1647" t="str">
            <v>윈도우 제품군</v>
          </cell>
          <cell r="E1647" t="str">
            <v>전략</v>
          </cell>
          <cell r="F1647" t="str">
            <v>SP</v>
          </cell>
        </row>
        <row r="1648">
          <cell r="A1648">
            <v>31959</v>
          </cell>
          <cell r="B1648" t="str">
            <v>SF-NS-2MIL(DS-4200)</v>
          </cell>
          <cell r="C1648" t="str">
            <v>제품</v>
          </cell>
          <cell r="D1648" t="str">
            <v>윈도우 제품군</v>
          </cell>
          <cell r="E1648" t="str">
            <v>전략</v>
          </cell>
          <cell r="F1648" t="str">
            <v>SAFETY</v>
          </cell>
        </row>
        <row r="1649">
          <cell r="A1649">
            <v>31960</v>
          </cell>
          <cell r="B1649" t="str">
            <v>PPF-NS-SGA(SI)</v>
          </cell>
          <cell r="C1649" t="str">
            <v>제품</v>
          </cell>
          <cell r="D1649" t="str">
            <v>윈도우 제품군</v>
          </cell>
          <cell r="E1649" t="str">
            <v>HIGH-END</v>
          </cell>
          <cell r="F1649" t="str">
            <v>C-PPF</v>
          </cell>
        </row>
        <row r="1650">
          <cell r="A1650">
            <v>31961</v>
          </cell>
          <cell r="B1650" t="str">
            <v>PPF-NS-SGA(SI-PLUS)</v>
          </cell>
          <cell r="C1650" t="str">
            <v>제품</v>
          </cell>
          <cell r="D1650" t="str">
            <v>윈도우 제품군</v>
          </cell>
          <cell r="E1650" t="str">
            <v>HIGH-END</v>
          </cell>
          <cell r="F1650" t="str">
            <v>C-PPF</v>
          </cell>
        </row>
        <row r="1651">
          <cell r="A1651">
            <v>31962</v>
          </cell>
          <cell r="B1651" t="str">
            <v>Phantom(KOR)-ND-S7 8550</v>
          </cell>
          <cell r="C1651" t="str">
            <v>제품</v>
          </cell>
          <cell r="D1651" t="str">
            <v>윈도우 제품군</v>
          </cell>
          <cell r="E1651" t="str">
            <v>전략</v>
          </cell>
          <cell r="F1651" t="str">
            <v>SP</v>
          </cell>
        </row>
        <row r="1652">
          <cell r="A1652">
            <v>31963</v>
          </cell>
          <cell r="B1652" t="str">
            <v>PPF-NS-XTM(Kaizer)</v>
          </cell>
          <cell r="C1652" t="str">
            <v>제품</v>
          </cell>
          <cell r="D1652" t="str">
            <v>윈도우 제품군</v>
          </cell>
          <cell r="E1652" t="str">
            <v>HIGH-END</v>
          </cell>
          <cell r="F1652" t="str">
            <v>C-PPF</v>
          </cell>
        </row>
        <row r="1653">
          <cell r="A1653">
            <v>31966</v>
          </cell>
          <cell r="B1653" t="str">
            <v>PPF-NS-ULTRAFIT XP CRISTAL(MONO)</v>
          </cell>
          <cell r="C1653" t="str">
            <v>제품</v>
          </cell>
          <cell r="D1653" t="str">
            <v>윈도우 제품군</v>
          </cell>
          <cell r="E1653" t="str">
            <v>HIGH-END</v>
          </cell>
          <cell r="F1653" t="str">
            <v>C-PPF</v>
          </cell>
        </row>
        <row r="1654">
          <cell r="A1654">
            <v>31967</v>
          </cell>
          <cell r="B1654" t="str">
            <v>Tview-ND-Mono Carbon 85</v>
          </cell>
          <cell r="C1654" t="str">
            <v>제품</v>
          </cell>
          <cell r="D1654" t="str">
            <v>윈도우 제품군</v>
          </cell>
          <cell r="E1654" t="str">
            <v>전략</v>
          </cell>
          <cell r="F1654" t="str">
            <v>SP</v>
          </cell>
        </row>
        <row r="1655">
          <cell r="A1655">
            <v>31968</v>
          </cell>
          <cell r="B1655" t="str">
            <v>PDLC 안료점착</v>
          </cell>
          <cell r="C1655" t="str">
            <v>제품</v>
          </cell>
          <cell r="D1655" t="str">
            <v>윈도우 제품군</v>
          </cell>
          <cell r="E1655" t="str">
            <v>Transition Film</v>
          </cell>
          <cell r="F1655" t="str">
            <v>PDLC</v>
          </cell>
        </row>
        <row r="1656">
          <cell r="A1656">
            <v>31969</v>
          </cell>
          <cell r="B1656" t="str">
            <v>IRSF-ND-IR1580+4MIL</v>
          </cell>
          <cell r="C1656" t="str">
            <v>제품</v>
          </cell>
          <cell r="D1656" t="str">
            <v>윈도우 제품군</v>
          </cell>
          <cell r="E1656" t="str">
            <v>전략</v>
          </cell>
          <cell r="F1656" t="str">
            <v>SAFETY</v>
          </cell>
        </row>
        <row r="1657">
          <cell r="A1657">
            <v>31970</v>
          </cell>
          <cell r="B1657" t="str">
            <v>IRSF-ND-IR4080+4MIL</v>
          </cell>
          <cell r="C1657" t="str">
            <v>제품</v>
          </cell>
          <cell r="D1657" t="str">
            <v>윈도우 제품군</v>
          </cell>
          <cell r="E1657" t="str">
            <v>전략</v>
          </cell>
          <cell r="F1657" t="str">
            <v>SAFETY</v>
          </cell>
        </row>
        <row r="1658">
          <cell r="A1658">
            <v>31971</v>
          </cell>
          <cell r="B1658" t="str">
            <v>IRSF-ND-IR6080+4MIL</v>
          </cell>
          <cell r="C1658" t="str">
            <v>제품</v>
          </cell>
          <cell r="D1658" t="str">
            <v>윈도우 제품군</v>
          </cell>
          <cell r="E1658" t="str">
            <v>전략</v>
          </cell>
          <cell r="F1658" t="str">
            <v>SAFETY</v>
          </cell>
        </row>
        <row r="1659">
          <cell r="A1659">
            <v>31979</v>
          </cell>
          <cell r="B1659" t="str">
            <v>PPF-NS-TSI(WHITE)</v>
          </cell>
          <cell r="C1659" t="str">
            <v>제품</v>
          </cell>
          <cell r="D1659" t="str">
            <v>윈도우 제품군</v>
          </cell>
          <cell r="E1659" t="str">
            <v>HIGH-END</v>
          </cell>
          <cell r="F1659" t="str">
            <v>C-PPF</v>
          </cell>
        </row>
        <row r="1660">
          <cell r="A1660">
            <v>31980</v>
          </cell>
          <cell r="B1660" t="str">
            <v>IRSF-ND-IR5090</v>
          </cell>
          <cell r="C1660" t="str">
            <v>제품</v>
          </cell>
          <cell r="D1660" t="str">
            <v>윈도우 제품군</v>
          </cell>
          <cell r="E1660" t="str">
            <v>전략</v>
          </cell>
          <cell r="F1660" t="str">
            <v>IR</v>
          </cell>
        </row>
        <row r="1661">
          <cell r="A1661">
            <v>31981</v>
          </cell>
          <cell r="B1661" t="str">
            <v>IRSF-ND-IR7080</v>
          </cell>
          <cell r="C1661" t="str">
            <v>제품</v>
          </cell>
          <cell r="D1661" t="str">
            <v>윈도우 제품군</v>
          </cell>
          <cell r="E1661" t="str">
            <v>전략</v>
          </cell>
          <cell r="F1661" t="str">
            <v>IR</v>
          </cell>
        </row>
        <row r="1662">
          <cell r="A1662">
            <v>31982</v>
          </cell>
          <cell r="B1662" t="str">
            <v>IRSF-ND-IR3090+4MIL</v>
          </cell>
          <cell r="C1662" t="str">
            <v>제품</v>
          </cell>
          <cell r="D1662" t="str">
            <v>윈도우 제품군</v>
          </cell>
          <cell r="E1662" t="str">
            <v>전략</v>
          </cell>
          <cell r="F1662" t="str">
            <v>SAFETY</v>
          </cell>
        </row>
        <row r="1663">
          <cell r="A1663">
            <v>31983</v>
          </cell>
          <cell r="B1663" t="str">
            <v>IRSF-ND-IR5090+4MIL</v>
          </cell>
          <cell r="C1663" t="str">
            <v>제품</v>
          </cell>
          <cell r="D1663" t="str">
            <v>윈도우 제품군</v>
          </cell>
          <cell r="E1663" t="str">
            <v>전략</v>
          </cell>
          <cell r="F1663" t="str">
            <v>SAFETY</v>
          </cell>
        </row>
        <row r="1664">
          <cell r="A1664">
            <v>31984</v>
          </cell>
          <cell r="B1664" t="str">
            <v>PPF-NS-ULTRA FIT XP BLACK(MONO)</v>
          </cell>
          <cell r="C1664" t="str">
            <v>제품</v>
          </cell>
          <cell r="D1664" t="str">
            <v>윈도우 제품군</v>
          </cell>
          <cell r="E1664" t="str">
            <v>HIGH-END</v>
          </cell>
          <cell r="F1664" t="str">
            <v>C-PPF</v>
          </cell>
        </row>
        <row r="1665">
          <cell r="A1665">
            <v>31985</v>
          </cell>
          <cell r="B1665" t="str">
            <v>PPF-ND-ULTRA FIT XP BLACK CARBON(MONO)</v>
          </cell>
          <cell r="C1665" t="str">
            <v>제품</v>
          </cell>
          <cell r="D1665" t="str">
            <v>윈도우 제품군</v>
          </cell>
          <cell r="E1665" t="str">
            <v>HIGH-END</v>
          </cell>
          <cell r="F1665" t="str">
            <v>C-PPF</v>
          </cell>
        </row>
        <row r="1666">
          <cell r="A1666">
            <v>31986</v>
          </cell>
          <cell r="B1666" t="str">
            <v>TEST-PPF-NS-TGM</v>
          </cell>
          <cell r="C1666" t="str">
            <v>제품</v>
          </cell>
          <cell r="D1666" t="str">
            <v>윈도우 제품군</v>
          </cell>
          <cell r="E1666" t="str">
            <v>HIGH-END</v>
          </cell>
          <cell r="F1666" t="str">
            <v>C-PPF</v>
          </cell>
        </row>
        <row r="1667">
          <cell r="A1667">
            <v>31987</v>
          </cell>
          <cell r="B1667" t="str">
            <v>TEST-PPF-NS-SSL</v>
          </cell>
          <cell r="C1667" t="str">
            <v>제품</v>
          </cell>
          <cell r="D1667" t="str">
            <v>윈도우 제품군</v>
          </cell>
          <cell r="E1667" t="str">
            <v>HIGH-END</v>
          </cell>
          <cell r="F1667" t="str">
            <v>C-PPF</v>
          </cell>
        </row>
        <row r="1668">
          <cell r="A1668">
            <v>31988</v>
          </cell>
          <cell r="B1668" t="str">
            <v>TEST-PPF-NS-SGW</v>
          </cell>
          <cell r="C1668" t="str">
            <v>제품</v>
          </cell>
          <cell r="D1668" t="str">
            <v>윈도우 제품군</v>
          </cell>
          <cell r="E1668" t="str">
            <v>HIGH-END</v>
          </cell>
          <cell r="F1668" t="str">
            <v>C-PPF</v>
          </cell>
        </row>
        <row r="1669">
          <cell r="A1669">
            <v>31989</v>
          </cell>
          <cell r="B1669" t="str">
            <v>SP-NS-CBK 05W (SLP)</v>
          </cell>
          <cell r="C1669" t="str">
            <v>제품</v>
          </cell>
          <cell r="D1669" t="str">
            <v>윈도우 제품군</v>
          </cell>
          <cell r="E1669" t="str">
            <v>전략</v>
          </cell>
          <cell r="F1669" t="str">
            <v>SP</v>
          </cell>
        </row>
        <row r="1670">
          <cell r="A1670">
            <v>31990</v>
          </cell>
          <cell r="B1670" t="str">
            <v>SP-NS-CBK 15W (SLP)</v>
          </cell>
          <cell r="C1670" t="str">
            <v>제품</v>
          </cell>
          <cell r="D1670" t="str">
            <v>윈도우 제품군</v>
          </cell>
          <cell r="E1670" t="str">
            <v>전략</v>
          </cell>
          <cell r="F1670" t="str">
            <v>SP</v>
          </cell>
        </row>
        <row r="1671">
          <cell r="A1671">
            <v>31991</v>
          </cell>
          <cell r="B1671" t="str">
            <v>SP-NS-CBK 20W (SLP)</v>
          </cell>
          <cell r="C1671" t="str">
            <v>제품</v>
          </cell>
          <cell r="D1671" t="str">
            <v>윈도우 제품군</v>
          </cell>
          <cell r="E1671" t="str">
            <v>전략</v>
          </cell>
          <cell r="F1671" t="str">
            <v>SP</v>
          </cell>
        </row>
        <row r="1672">
          <cell r="A1672">
            <v>31992</v>
          </cell>
          <cell r="B1672" t="str">
            <v>SP-NS-CBK 35W (SLP)</v>
          </cell>
          <cell r="C1672" t="str">
            <v>제품</v>
          </cell>
          <cell r="D1672" t="str">
            <v>윈도우 제품군</v>
          </cell>
          <cell r="E1672" t="str">
            <v>전략</v>
          </cell>
          <cell r="F1672" t="str">
            <v>SP</v>
          </cell>
        </row>
        <row r="1673">
          <cell r="A1673">
            <v>31993</v>
          </cell>
          <cell r="B1673" t="str">
            <v>SP-NS-CBK 50W (SLP)</v>
          </cell>
          <cell r="C1673" t="str">
            <v>제품</v>
          </cell>
          <cell r="D1673" t="str">
            <v>윈도우 제품군</v>
          </cell>
          <cell r="E1673" t="str">
            <v>전략</v>
          </cell>
          <cell r="F1673" t="str">
            <v>SP</v>
          </cell>
        </row>
        <row r="1674">
          <cell r="A1674">
            <v>31994</v>
          </cell>
          <cell r="B1674" t="str">
            <v>SPD-SCHUTZEN CX60 05</v>
          </cell>
          <cell r="C1674" t="str">
            <v>제품</v>
          </cell>
          <cell r="D1674" t="str">
            <v>윈도우 제품군</v>
          </cell>
          <cell r="E1674" t="str">
            <v>전략</v>
          </cell>
          <cell r="F1674" t="str">
            <v>SP</v>
          </cell>
        </row>
        <row r="1675">
          <cell r="A1675">
            <v>31995</v>
          </cell>
          <cell r="B1675" t="str">
            <v>SPD-SCHUTZEN CX60 12</v>
          </cell>
          <cell r="C1675" t="str">
            <v>제품</v>
          </cell>
          <cell r="D1675" t="str">
            <v>윈도우 제품군</v>
          </cell>
          <cell r="E1675" t="str">
            <v>전략</v>
          </cell>
          <cell r="F1675" t="str">
            <v>SP</v>
          </cell>
        </row>
        <row r="1676">
          <cell r="A1676">
            <v>31996</v>
          </cell>
          <cell r="B1676" t="str">
            <v>SPD-SCHUTZEN CX60 30</v>
          </cell>
          <cell r="C1676" t="str">
            <v>제품</v>
          </cell>
          <cell r="D1676" t="str">
            <v>윈도우 제품군</v>
          </cell>
          <cell r="E1676" t="str">
            <v>전략</v>
          </cell>
          <cell r="F1676" t="str">
            <v>SP</v>
          </cell>
        </row>
        <row r="1677">
          <cell r="A1677">
            <v>31997</v>
          </cell>
          <cell r="B1677" t="str">
            <v>SPD-SCHUTZEN CX60 87</v>
          </cell>
          <cell r="C1677" t="str">
            <v>제품</v>
          </cell>
          <cell r="D1677" t="str">
            <v>윈도우 제품군</v>
          </cell>
          <cell r="E1677" t="str">
            <v>전략</v>
          </cell>
          <cell r="F1677" t="str">
            <v>SP</v>
          </cell>
        </row>
        <row r="1678">
          <cell r="A1678">
            <v>31998</v>
          </cell>
          <cell r="B1678" t="str">
            <v>SPD-SCHUTZEN CX90 05</v>
          </cell>
          <cell r="C1678" t="str">
            <v>제품</v>
          </cell>
          <cell r="D1678" t="str">
            <v>윈도우 제품군</v>
          </cell>
          <cell r="E1678" t="str">
            <v>전략</v>
          </cell>
          <cell r="F1678" t="str">
            <v>SP</v>
          </cell>
        </row>
        <row r="1679">
          <cell r="A1679">
            <v>31999</v>
          </cell>
          <cell r="B1679" t="str">
            <v>SPD-SCHUTZEN CX90 12</v>
          </cell>
          <cell r="C1679" t="str">
            <v>제품</v>
          </cell>
          <cell r="D1679" t="str">
            <v>윈도우 제품군</v>
          </cell>
          <cell r="E1679" t="str">
            <v>전략</v>
          </cell>
          <cell r="F1679" t="str">
            <v>SP</v>
          </cell>
        </row>
        <row r="1680">
          <cell r="A1680">
            <v>32000</v>
          </cell>
          <cell r="B1680" t="str">
            <v>SPD-SCHUTZEN CX90 30</v>
          </cell>
          <cell r="C1680" t="str">
            <v>제품</v>
          </cell>
          <cell r="D1680" t="str">
            <v>윈도우 제품군</v>
          </cell>
          <cell r="E1680" t="str">
            <v>전략</v>
          </cell>
          <cell r="F1680" t="str">
            <v>SP</v>
          </cell>
        </row>
        <row r="1681">
          <cell r="A1681">
            <v>32001</v>
          </cell>
          <cell r="B1681" t="str">
            <v>SPDM-SCHUTZEN MX70 07 (HG 0.3)</v>
          </cell>
          <cell r="C1681" t="str">
            <v>제품</v>
          </cell>
          <cell r="D1681" t="str">
            <v>윈도우 제품군</v>
          </cell>
          <cell r="E1681" t="str">
            <v>전략</v>
          </cell>
          <cell r="F1681" t="str">
            <v>SP</v>
          </cell>
        </row>
        <row r="1682">
          <cell r="A1682">
            <v>32002</v>
          </cell>
          <cell r="B1682" t="str">
            <v>SPDM-SCHUTZEN MX70 27 (HG 0.3)</v>
          </cell>
          <cell r="C1682" t="str">
            <v>제품</v>
          </cell>
          <cell r="D1682" t="str">
            <v>윈도우 제품군</v>
          </cell>
          <cell r="E1682" t="str">
            <v>전략</v>
          </cell>
          <cell r="F1682" t="str">
            <v>SP</v>
          </cell>
        </row>
        <row r="1683">
          <cell r="A1683">
            <v>32003</v>
          </cell>
          <cell r="B1683" t="str">
            <v>SPDM-SCHUTZEN GX80 07 (RHN 31%)</v>
          </cell>
          <cell r="C1683" t="str">
            <v>제품</v>
          </cell>
          <cell r="D1683" t="str">
            <v>윈도우 제품군</v>
          </cell>
          <cell r="E1683" t="str">
            <v>전략</v>
          </cell>
          <cell r="F1683" t="str">
            <v>SP</v>
          </cell>
        </row>
        <row r="1684">
          <cell r="A1684">
            <v>32004</v>
          </cell>
          <cell r="B1684" t="str">
            <v>SPDM-SCHUTZEN GX80 27 (RHN 40%)</v>
          </cell>
          <cell r="C1684" t="str">
            <v>제품</v>
          </cell>
          <cell r="D1684" t="str">
            <v>윈도우 제품군</v>
          </cell>
          <cell r="E1684" t="str">
            <v>전략</v>
          </cell>
          <cell r="F1684" t="str">
            <v>SP</v>
          </cell>
        </row>
        <row r="1685">
          <cell r="A1685">
            <v>32005</v>
          </cell>
          <cell r="B1685" t="str">
            <v>SPDM-SCHUTZEN GX90 07 (RHN 31%)</v>
          </cell>
          <cell r="C1685" t="str">
            <v>제품</v>
          </cell>
          <cell r="D1685" t="str">
            <v>윈도우 제품군</v>
          </cell>
          <cell r="E1685" t="str">
            <v>전략</v>
          </cell>
          <cell r="F1685" t="str">
            <v>SP</v>
          </cell>
        </row>
        <row r="1686">
          <cell r="A1686">
            <v>32006</v>
          </cell>
          <cell r="B1686" t="str">
            <v>SPDM-SCHUTZEN GX90 27 (RHN 40%)</v>
          </cell>
          <cell r="C1686" t="str">
            <v>제품</v>
          </cell>
          <cell r="D1686" t="str">
            <v>윈도우 제품군</v>
          </cell>
          <cell r="E1686" t="str">
            <v>전략</v>
          </cell>
          <cell r="F1686" t="str">
            <v>SP</v>
          </cell>
        </row>
        <row r="1687">
          <cell r="A1687">
            <v>32007</v>
          </cell>
          <cell r="B1687" t="str">
            <v>IR WINDSHIELD 3550</v>
          </cell>
          <cell r="C1687" t="str">
            <v>제품</v>
          </cell>
          <cell r="D1687" t="str">
            <v>윈도우 제품군</v>
          </cell>
          <cell r="E1687" t="str">
            <v>전략</v>
          </cell>
          <cell r="F1687" t="str">
            <v>WP4</v>
          </cell>
        </row>
        <row r="1688">
          <cell r="A1688">
            <v>32008</v>
          </cell>
          <cell r="B1688" t="str">
            <v>IR WINDSHIELD 3590</v>
          </cell>
          <cell r="C1688" t="str">
            <v>제품</v>
          </cell>
          <cell r="D1688" t="str">
            <v>윈도우 제품군</v>
          </cell>
          <cell r="E1688" t="str">
            <v>전략</v>
          </cell>
          <cell r="F1688" t="str">
            <v>WP4</v>
          </cell>
        </row>
        <row r="1689">
          <cell r="A1689">
            <v>32009</v>
          </cell>
          <cell r="B1689" t="str">
            <v>IR WINDSHIELD 7060</v>
          </cell>
          <cell r="C1689" t="str">
            <v>제품</v>
          </cell>
          <cell r="D1689" t="str">
            <v>윈도우 제품군</v>
          </cell>
          <cell r="E1689" t="str">
            <v>전략</v>
          </cell>
          <cell r="F1689" t="str">
            <v>WP4</v>
          </cell>
        </row>
        <row r="1690">
          <cell r="A1690">
            <v>32010</v>
          </cell>
          <cell r="B1690" t="str">
            <v>IR WINDSHIELD 7090</v>
          </cell>
          <cell r="C1690" t="str">
            <v>제품</v>
          </cell>
          <cell r="D1690" t="str">
            <v>윈도우 제품군</v>
          </cell>
          <cell r="E1690" t="str">
            <v>전략</v>
          </cell>
          <cell r="F1690" t="str">
            <v>WP4</v>
          </cell>
        </row>
        <row r="1691">
          <cell r="A1691">
            <v>32014</v>
          </cell>
          <cell r="B1691" t="str">
            <v>SUNVISOR</v>
          </cell>
          <cell r="C1691" t="str">
            <v>상품</v>
          </cell>
          <cell r="D1691" t="str">
            <v>윈도우 제품군</v>
          </cell>
          <cell r="E1691" t="str">
            <v>Smart film set</v>
          </cell>
          <cell r="F1691" t="str">
            <v>Smart film set</v>
          </cell>
        </row>
        <row r="1692">
          <cell r="A1692">
            <v>32015</v>
          </cell>
          <cell r="B1692" t="str">
            <v>CURTAIN</v>
          </cell>
          <cell r="C1692" t="str">
            <v>상품</v>
          </cell>
          <cell r="D1692" t="str">
            <v>윈도우 제품군</v>
          </cell>
          <cell r="E1692" t="str">
            <v>Smart film set</v>
          </cell>
          <cell r="F1692" t="str">
            <v>Smart film set</v>
          </cell>
        </row>
        <row r="1693">
          <cell r="A1693">
            <v>32016</v>
          </cell>
          <cell r="B1693" t="str">
            <v>RAINBOW(KOR)-DM-VS200 05(RHN31%)</v>
          </cell>
          <cell r="C1693" t="str">
            <v>제품</v>
          </cell>
          <cell r="D1693" t="str">
            <v>윈도우 제품군</v>
          </cell>
          <cell r="E1693" t="str">
            <v>전략</v>
          </cell>
          <cell r="F1693" t="str">
            <v>SP</v>
          </cell>
        </row>
        <row r="1694">
          <cell r="A1694">
            <v>32017</v>
          </cell>
          <cell r="B1694" t="str">
            <v>RAINBOW(KOR)-DM-VS200 12(RHN31%)</v>
          </cell>
          <cell r="C1694" t="str">
            <v>제품</v>
          </cell>
          <cell r="D1694" t="str">
            <v>윈도우 제품군</v>
          </cell>
          <cell r="E1694" t="str">
            <v>전략</v>
          </cell>
          <cell r="F1694" t="str">
            <v>SP</v>
          </cell>
        </row>
        <row r="1695">
          <cell r="A1695">
            <v>32018</v>
          </cell>
          <cell r="B1695" t="str">
            <v>RAINBOW(KOR)-DM-VS200 23(RHN40%)</v>
          </cell>
          <cell r="C1695" t="str">
            <v>제품</v>
          </cell>
          <cell r="D1695" t="str">
            <v>윈도우 제품군</v>
          </cell>
          <cell r="E1695" t="str">
            <v>전략</v>
          </cell>
          <cell r="F1695" t="str">
            <v>SP</v>
          </cell>
        </row>
        <row r="1696">
          <cell r="A1696">
            <v>32019</v>
          </cell>
          <cell r="B1696" t="str">
            <v>RAINBOW(KOR)-DM-VS200 30(RHN40%)</v>
          </cell>
          <cell r="C1696" t="str">
            <v>제품</v>
          </cell>
          <cell r="D1696" t="str">
            <v>윈도우 제품군</v>
          </cell>
          <cell r="E1696" t="str">
            <v>전략</v>
          </cell>
          <cell r="F1696" t="str">
            <v>SP</v>
          </cell>
        </row>
        <row r="1697">
          <cell r="A1697">
            <v>32022</v>
          </cell>
          <cell r="B1697" t="str">
            <v>PPF-NS-Gray Color PPF(MONO)</v>
          </cell>
          <cell r="C1697" t="str">
            <v>제품</v>
          </cell>
          <cell r="D1697" t="str">
            <v>윈도우 제품군</v>
          </cell>
          <cell r="E1697" t="str">
            <v>HIGH-END</v>
          </cell>
          <cell r="F1697" t="str">
            <v>C-PPF</v>
          </cell>
        </row>
        <row r="1698">
          <cell r="A1698">
            <v>32023</v>
          </cell>
          <cell r="B1698" t="str">
            <v>PPF-NS-PPF MATTE(MONO)</v>
          </cell>
          <cell r="C1698" t="str">
            <v>제품</v>
          </cell>
          <cell r="D1698" t="str">
            <v>윈도우 제품군</v>
          </cell>
          <cell r="E1698" t="str">
            <v>HIGH-END</v>
          </cell>
          <cell r="F1698" t="str">
            <v>C-PPF</v>
          </cell>
        </row>
        <row r="1699">
          <cell r="A1699">
            <v>32024</v>
          </cell>
          <cell r="B1699" t="str">
            <v>PPF-NS-Piano black PPF(MONO)</v>
          </cell>
          <cell r="C1699" t="str">
            <v>제품</v>
          </cell>
          <cell r="D1699" t="str">
            <v>윈도우 제품군</v>
          </cell>
          <cell r="E1699" t="str">
            <v>HIGH-END</v>
          </cell>
          <cell r="F1699" t="str">
            <v>C-PPF</v>
          </cell>
        </row>
        <row r="1700">
          <cell r="A1700">
            <v>32025</v>
          </cell>
          <cell r="B1700" t="str">
            <v>VALKYRIE(KOR)-DM-2795(RHN 40%)</v>
          </cell>
          <cell r="C1700" t="str">
            <v>제품</v>
          </cell>
          <cell r="D1700" t="str">
            <v>윈도우 제품군</v>
          </cell>
          <cell r="E1700" t="str">
            <v>전략</v>
          </cell>
          <cell r="F1700" t="str">
            <v>SP</v>
          </cell>
        </row>
        <row r="1701">
          <cell r="A1701">
            <v>32026</v>
          </cell>
          <cell r="B1701" t="str">
            <v>VALKYRIE(KOR)-DM-1295(RHN 40%)</v>
          </cell>
          <cell r="C1701" t="str">
            <v>제품</v>
          </cell>
          <cell r="D1701" t="str">
            <v>윈도우 제품군</v>
          </cell>
          <cell r="E1701" t="str">
            <v>전략</v>
          </cell>
          <cell r="F1701" t="str">
            <v>SP</v>
          </cell>
        </row>
        <row r="1702">
          <cell r="A1702">
            <v>32032</v>
          </cell>
          <cell r="B1702" t="str">
            <v>IR WINDSHIELD 8050</v>
          </cell>
          <cell r="C1702" t="str">
            <v>제품</v>
          </cell>
          <cell r="D1702" t="str">
            <v>윈도우 제품군</v>
          </cell>
          <cell r="E1702" t="str">
            <v>전략</v>
          </cell>
          <cell r="F1702" t="str">
            <v>WP4</v>
          </cell>
        </row>
        <row r="1703">
          <cell r="A1703">
            <v>32036</v>
          </cell>
          <cell r="B1703" t="str">
            <v>VALKYRIE(KOR)-DM-0795(RHN 40%)</v>
          </cell>
          <cell r="C1703" t="str">
            <v>제품</v>
          </cell>
          <cell r="D1703" t="str">
            <v>윈도우 제품군</v>
          </cell>
          <cell r="E1703" t="str">
            <v>전략</v>
          </cell>
          <cell r="F1703" t="str">
            <v>SP</v>
          </cell>
        </row>
        <row r="1704">
          <cell r="A1704">
            <v>32037</v>
          </cell>
          <cell r="B1704" t="str">
            <v>VELVET(KOR)-ND-0595</v>
          </cell>
          <cell r="C1704" t="str">
            <v>제품</v>
          </cell>
          <cell r="D1704" t="str">
            <v>윈도우 제품군</v>
          </cell>
          <cell r="E1704" t="str">
            <v>전략</v>
          </cell>
          <cell r="F1704" t="str">
            <v>SP</v>
          </cell>
        </row>
        <row r="1705">
          <cell r="A1705">
            <v>32038</v>
          </cell>
          <cell r="B1705" t="str">
            <v>VELVET(KOR)-ND-1595</v>
          </cell>
          <cell r="C1705" t="str">
            <v>제품</v>
          </cell>
          <cell r="D1705" t="str">
            <v>윈도우 제품군</v>
          </cell>
          <cell r="E1705" t="str">
            <v>전략</v>
          </cell>
          <cell r="F1705" t="str">
            <v>SP</v>
          </cell>
        </row>
        <row r="1706">
          <cell r="A1706">
            <v>32039</v>
          </cell>
          <cell r="B1706" t="str">
            <v>VELVET(KOR)-ND-3095</v>
          </cell>
          <cell r="C1706" t="str">
            <v>제품</v>
          </cell>
          <cell r="D1706" t="str">
            <v>윈도우 제품군</v>
          </cell>
          <cell r="E1706" t="str">
            <v>전략</v>
          </cell>
          <cell r="F1706" t="str">
            <v>SP</v>
          </cell>
        </row>
        <row r="1707">
          <cell r="A1707">
            <v>32040</v>
          </cell>
          <cell r="B1707" t="str">
            <v>VELVET(KOR)-ND-4095</v>
          </cell>
          <cell r="C1707" t="str">
            <v>제품</v>
          </cell>
          <cell r="D1707" t="str">
            <v>윈도우 제품군</v>
          </cell>
          <cell r="E1707" t="str">
            <v>전략</v>
          </cell>
          <cell r="F1707" t="str">
            <v>SP</v>
          </cell>
        </row>
        <row r="1708">
          <cell r="A1708">
            <v>32041</v>
          </cell>
          <cell r="B1708" t="str">
            <v>PPF-NS-XTM PLUS(Kaizer)</v>
          </cell>
          <cell r="C1708" t="str">
            <v>제품</v>
          </cell>
          <cell r="D1708" t="str">
            <v>윈도우 제품군</v>
          </cell>
          <cell r="E1708" t="str">
            <v>HIGH-END</v>
          </cell>
          <cell r="F1708" t="str">
            <v>C-PPF</v>
          </cell>
        </row>
        <row r="1709">
          <cell r="A1709">
            <v>32042</v>
          </cell>
          <cell r="B1709" t="str">
            <v>Tview-DM-PRESTO D1 1290 (RHN31%)</v>
          </cell>
          <cell r="C1709" t="str">
            <v>제품</v>
          </cell>
          <cell r="D1709" t="str">
            <v>윈도우 제품군</v>
          </cell>
          <cell r="E1709" t="str">
            <v>전략</v>
          </cell>
          <cell r="F1709" t="str">
            <v>SP</v>
          </cell>
        </row>
        <row r="1710">
          <cell r="A1710">
            <v>32043</v>
          </cell>
          <cell r="B1710" t="str">
            <v>Tview-DM-PRESTO D1 3090 (RHN40%)</v>
          </cell>
          <cell r="C1710" t="str">
            <v>제품</v>
          </cell>
          <cell r="D1710" t="str">
            <v>윈도우 제품군</v>
          </cell>
          <cell r="E1710" t="str">
            <v>전략</v>
          </cell>
          <cell r="F1710" t="str">
            <v>SP</v>
          </cell>
        </row>
        <row r="1711">
          <cell r="A1711">
            <v>32044</v>
          </cell>
          <cell r="B1711" t="str">
            <v>SCF-NS-CCS03(SLP)</v>
          </cell>
          <cell r="C1711" t="str">
            <v>제품</v>
          </cell>
          <cell r="D1711" t="str">
            <v>윈도우 제품군</v>
          </cell>
          <cell r="E1711" t="str">
            <v>염료</v>
          </cell>
          <cell r="F1711" t="str">
            <v>1PLY</v>
          </cell>
        </row>
        <row r="1712">
          <cell r="A1712">
            <v>32048</v>
          </cell>
          <cell r="B1712" t="str">
            <v>RAYNO-PLATINUM S15(HG 0.3)</v>
          </cell>
          <cell r="C1712" t="str">
            <v>제품</v>
          </cell>
          <cell r="D1712" t="str">
            <v>윈도우 제품군</v>
          </cell>
          <cell r="E1712" t="str">
            <v>전략</v>
          </cell>
          <cell r="F1712" t="str">
            <v>IR</v>
          </cell>
        </row>
        <row r="1713">
          <cell r="A1713">
            <v>32055</v>
          </cell>
          <cell r="B1713" t="str">
            <v>NS-Onyxhield(항균)</v>
          </cell>
          <cell r="C1713" t="str">
            <v>제품</v>
          </cell>
          <cell r="D1713" t="str">
            <v>윈도우 제품군</v>
          </cell>
          <cell r="E1713" t="str">
            <v>기타</v>
          </cell>
          <cell r="F1713" t="str">
            <v>기타</v>
          </cell>
        </row>
        <row r="1714">
          <cell r="A1714">
            <v>32057</v>
          </cell>
          <cell r="B1714" t="str">
            <v>AB FILM</v>
          </cell>
          <cell r="C1714" t="str">
            <v>제품</v>
          </cell>
          <cell r="D1714" t="str">
            <v>윈도우 제품군</v>
          </cell>
          <cell r="E1714" t="str">
            <v>기타</v>
          </cell>
          <cell r="F1714" t="str">
            <v>기타</v>
          </cell>
        </row>
        <row r="1715">
          <cell r="A1715">
            <v>32064</v>
          </cell>
          <cell r="B1715" t="str">
            <v>NS-PPF 점착보호필름(ULTRAFIT)</v>
          </cell>
          <cell r="C1715" t="str">
            <v>제품</v>
          </cell>
          <cell r="D1715" t="str">
            <v>윈도우 제품군</v>
          </cell>
          <cell r="E1715" t="str">
            <v>HIGH-END</v>
          </cell>
          <cell r="F1715" t="str">
            <v>C-PPF</v>
          </cell>
        </row>
        <row r="1716">
          <cell r="A1716">
            <v>32075</v>
          </cell>
          <cell r="B1716" t="str">
            <v>Phantom(2nd)-ND-F95 0595(항균ISR)</v>
          </cell>
          <cell r="C1716" t="str">
            <v>제품</v>
          </cell>
          <cell r="D1716" t="str">
            <v>윈도우 제품군</v>
          </cell>
          <cell r="E1716" t="str">
            <v>전략</v>
          </cell>
          <cell r="F1716" t="str">
            <v>SP</v>
          </cell>
        </row>
        <row r="1717">
          <cell r="A1717">
            <v>32076</v>
          </cell>
          <cell r="B1717" t="str">
            <v>Phantom(2nd)-ND-F95 1295(항균ISR)</v>
          </cell>
          <cell r="C1717" t="str">
            <v>제품</v>
          </cell>
          <cell r="D1717" t="str">
            <v>윈도우 제품군</v>
          </cell>
          <cell r="E1717" t="str">
            <v>전략</v>
          </cell>
          <cell r="F1717" t="str">
            <v>SP</v>
          </cell>
        </row>
        <row r="1718">
          <cell r="A1718">
            <v>32077</v>
          </cell>
          <cell r="B1718" t="str">
            <v>Phantom(2nd)-ND-F95 2795(항균ISR)</v>
          </cell>
          <cell r="C1718" t="str">
            <v>제품</v>
          </cell>
          <cell r="D1718" t="str">
            <v>윈도우 제품군</v>
          </cell>
          <cell r="E1718" t="str">
            <v>전략</v>
          </cell>
          <cell r="F1718" t="str">
            <v>SP</v>
          </cell>
        </row>
        <row r="1719">
          <cell r="A1719">
            <v>32081</v>
          </cell>
          <cell r="B1719" t="str">
            <v>PET FILM (고투명)</v>
          </cell>
          <cell r="C1719" t="str">
            <v>상품</v>
          </cell>
          <cell r="D1719" t="str">
            <v>윈도우 제품군</v>
          </cell>
          <cell r="E1719" t="str">
            <v>원자재</v>
          </cell>
          <cell r="F1719" t="str">
            <v>원자재</v>
          </cell>
        </row>
        <row r="1720">
          <cell r="A1720">
            <v>32082</v>
          </cell>
          <cell r="B1720" t="str">
            <v>TEST-PPF-MTM10(10MIL PPF)</v>
          </cell>
          <cell r="C1720" t="str">
            <v>제품</v>
          </cell>
          <cell r="D1720" t="str">
            <v>윈도우 제품군</v>
          </cell>
          <cell r="E1720" t="str">
            <v>HIGH-END</v>
          </cell>
          <cell r="F1720" t="str">
            <v>C-PPF</v>
          </cell>
        </row>
        <row r="1721">
          <cell r="A1721">
            <v>32083</v>
          </cell>
          <cell r="B1721" t="str">
            <v>PPF-NS-ULTRA FIT STONE BEIGE</v>
          </cell>
          <cell r="C1721" t="str">
            <v>제품</v>
          </cell>
          <cell r="D1721" t="str">
            <v>윈도우 제품군</v>
          </cell>
          <cell r="E1721" t="str">
            <v>HIGH-END</v>
          </cell>
          <cell r="F1721" t="str">
            <v>C-PPF</v>
          </cell>
        </row>
        <row r="1722">
          <cell r="A1722">
            <v>32089</v>
          </cell>
          <cell r="B1722" t="str">
            <v>NS-SOFT MOLD PATTERN(FORGED)</v>
          </cell>
          <cell r="C1722" t="str">
            <v>제품</v>
          </cell>
          <cell r="D1722" t="str">
            <v>윈도우 제품군</v>
          </cell>
          <cell r="E1722" t="str">
            <v>HIGH-END</v>
          </cell>
          <cell r="F1722" t="str">
            <v>C-PPF</v>
          </cell>
        </row>
        <row r="1723">
          <cell r="A1723">
            <v>32090</v>
          </cell>
          <cell r="B1723" t="str">
            <v>NS-SOFT MOLD PATTERN(MATT/BLACK SATIN)</v>
          </cell>
          <cell r="C1723" t="str">
            <v>제품</v>
          </cell>
          <cell r="D1723" t="str">
            <v>윈도우 제품군</v>
          </cell>
          <cell r="E1723" t="str">
            <v>염료</v>
          </cell>
          <cell r="F1723" t="str">
            <v>COLEX</v>
          </cell>
        </row>
        <row r="1724">
          <cell r="A1724">
            <v>32091</v>
          </cell>
          <cell r="B1724" t="str">
            <v>PPF-NS-FORGED CARBON PPF</v>
          </cell>
          <cell r="C1724" t="str">
            <v>제품</v>
          </cell>
          <cell r="D1724" t="str">
            <v>윈도우 제품군</v>
          </cell>
          <cell r="E1724" t="str">
            <v>HIGH-END</v>
          </cell>
          <cell r="F1724" t="str">
            <v>C-PPF</v>
          </cell>
        </row>
        <row r="1725">
          <cell r="A1725">
            <v>32092</v>
          </cell>
          <cell r="B1725" t="str">
            <v>PPF-NS-BLACK SATIN FINISH PPF</v>
          </cell>
          <cell r="C1725" t="str">
            <v>제품</v>
          </cell>
          <cell r="D1725" t="str">
            <v>윈도우 제품군</v>
          </cell>
          <cell r="E1725" t="str">
            <v>HIGH-END</v>
          </cell>
          <cell r="F1725" t="str">
            <v>C-PPF</v>
          </cell>
        </row>
        <row r="1726">
          <cell r="A1726">
            <v>32094</v>
          </cell>
          <cell r="B1726" t="str">
            <v>CT506</v>
          </cell>
          <cell r="C1726" t="str">
            <v>상품</v>
          </cell>
          <cell r="D1726" t="str">
            <v>윈도우 제품군</v>
          </cell>
          <cell r="E1726" t="str">
            <v>원자재</v>
          </cell>
          <cell r="F1726" t="str">
            <v>원자재</v>
          </cell>
        </row>
        <row r="1727">
          <cell r="A1727">
            <v>32105</v>
          </cell>
          <cell r="B1727" t="str">
            <v>PPF-NS-ULTRA FIT H/L Graphite(35%)</v>
          </cell>
          <cell r="C1727" t="str">
            <v>제품</v>
          </cell>
          <cell r="D1727" t="str">
            <v>윈도우 제품군</v>
          </cell>
          <cell r="E1727" t="str">
            <v>HIGH-END</v>
          </cell>
          <cell r="F1727" t="str">
            <v>C-PPF</v>
          </cell>
        </row>
        <row r="1728">
          <cell r="A1728">
            <v>32106</v>
          </cell>
          <cell r="B1728" t="str">
            <v>PPF-NS-ULTRA FIT H/L Moonlight(42%)</v>
          </cell>
          <cell r="C1728" t="str">
            <v>제품</v>
          </cell>
          <cell r="D1728" t="str">
            <v>윈도우 제품군</v>
          </cell>
          <cell r="E1728" t="str">
            <v>HIGH-END</v>
          </cell>
          <cell r="F1728" t="str">
            <v>C-PPF</v>
          </cell>
        </row>
        <row r="1729">
          <cell r="A1729">
            <v>32108</v>
          </cell>
          <cell r="B1729" t="str">
            <v>NS-Windshield(EPU TYPE)</v>
          </cell>
          <cell r="C1729" t="str">
            <v>제품</v>
          </cell>
          <cell r="D1729" t="str">
            <v>윈도우 제품군</v>
          </cell>
          <cell r="E1729" t="str">
            <v>전략</v>
          </cell>
          <cell r="F1729" t="str">
            <v>WP4</v>
          </cell>
        </row>
        <row r="1730">
          <cell r="A1730">
            <v>32111</v>
          </cell>
          <cell r="B1730" t="str">
            <v>PPF-ND-ULTRA FIT BLACK MATTE(MONO)</v>
          </cell>
          <cell r="C1730" t="str">
            <v>제품</v>
          </cell>
          <cell r="D1730" t="str">
            <v>윈도우 제품군</v>
          </cell>
          <cell r="E1730" t="str">
            <v>HIGH-END</v>
          </cell>
          <cell r="F1730" t="str">
            <v>C-PPF</v>
          </cell>
        </row>
        <row r="1731">
          <cell r="A1731">
            <v>32112</v>
          </cell>
          <cell r="B1731" t="str">
            <v>Chroma(KOR)-SPT-CHROMA9 PRO 1095(RHN31%-D)</v>
          </cell>
          <cell r="C1731" t="str">
            <v>제품</v>
          </cell>
          <cell r="D1731" t="str">
            <v>윈도우 제품군</v>
          </cell>
          <cell r="E1731" t="str">
            <v>전략</v>
          </cell>
          <cell r="F1731" t="str">
            <v>SP</v>
          </cell>
        </row>
        <row r="1732">
          <cell r="A1732">
            <v>32113</v>
          </cell>
          <cell r="B1732" t="str">
            <v>RAYNO-PLATINUM N40(NSN70)</v>
          </cell>
          <cell r="C1732" t="str">
            <v>제품</v>
          </cell>
          <cell r="D1732" t="str">
            <v>윈도우 제품군</v>
          </cell>
          <cell r="E1732" t="str">
            <v>전략</v>
          </cell>
          <cell r="F1732" t="str">
            <v>IR</v>
          </cell>
        </row>
        <row r="1733">
          <cell r="A1733">
            <v>32118</v>
          </cell>
          <cell r="B1733" t="str">
            <v>Phantom(2nd)-ND-F95 5095(항균ISR)</v>
          </cell>
          <cell r="C1733" t="str">
            <v>제품</v>
          </cell>
          <cell r="D1733" t="str">
            <v>윈도우 제품군</v>
          </cell>
          <cell r="E1733" t="str">
            <v>전략</v>
          </cell>
          <cell r="F1733" t="str">
            <v>SP</v>
          </cell>
        </row>
        <row r="1734">
          <cell r="B1734" t="str">
            <v>Y</v>
          </cell>
          <cell r="E1734" t="str">
            <v>N</v>
          </cell>
        </row>
        <row r="1735">
          <cell r="A1735">
            <v>32148</v>
          </cell>
          <cell r="B1735" t="str">
            <v>CT505</v>
          </cell>
          <cell r="C1735" t="str">
            <v>상품</v>
          </cell>
          <cell r="D1735" t="str">
            <v>윈도우 제품군</v>
          </cell>
          <cell r="E1735" t="str">
            <v>원자재</v>
          </cell>
          <cell r="F1735" t="str">
            <v>원자재</v>
          </cell>
        </row>
        <row r="1736">
          <cell r="A1736">
            <v>32160</v>
          </cell>
          <cell r="B1736" t="str">
            <v>RAYNO-PLATINUM S05(HG 0.3)</v>
          </cell>
          <cell r="C1736" t="str">
            <v>제품</v>
          </cell>
          <cell r="D1736" t="str">
            <v>윈도우 제품군</v>
          </cell>
          <cell r="E1736" t="str">
            <v>전략</v>
          </cell>
          <cell r="F1736" t="str">
            <v>IR</v>
          </cell>
        </row>
        <row r="1737">
          <cell r="A1737">
            <v>32161</v>
          </cell>
          <cell r="B1737" t="str">
            <v>PPF-ND-PEARL PPF(viola fantasy)</v>
          </cell>
          <cell r="C1737" t="str">
            <v>제품</v>
          </cell>
          <cell r="D1737" t="str">
            <v>윈도우 제품군</v>
          </cell>
          <cell r="E1737" t="str">
            <v>HIGH-END</v>
          </cell>
          <cell r="F1737" t="str">
            <v>C-PPF</v>
          </cell>
        </row>
        <row r="1738">
          <cell r="A1738">
            <v>32162</v>
          </cell>
          <cell r="B1738" t="str">
            <v>PPF-ND-PEARL PPF(arctic fire)</v>
          </cell>
          <cell r="C1738" t="str">
            <v>제품</v>
          </cell>
          <cell r="D1738" t="str">
            <v>윈도우 제품군</v>
          </cell>
          <cell r="E1738" t="str">
            <v>HIGH-END</v>
          </cell>
          <cell r="F1738" t="str">
            <v>C-PPF</v>
          </cell>
        </row>
        <row r="1739">
          <cell r="A1739">
            <v>32163</v>
          </cell>
          <cell r="B1739" t="str">
            <v>PPF-ND-PEARL PPF(lapis sunlight)</v>
          </cell>
          <cell r="C1739" t="str">
            <v>제품</v>
          </cell>
          <cell r="D1739" t="str">
            <v>윈도우 제품군</v>
          </cell>
          <cell r="E1739" t="str">
            <v>HIGH-END</v>
          </cell>
          <cell r="F1739" t="str">
            <v>C-PPF</v>
          </cell>
        </row>
        <row r="1740">
          <cell r="A1740">
            <v>32166</v>
          </cell>
          <cell r="B1740" t="str">
            <v>CHROMA(KOR)-DC-CHROMA 9 1090(RHN 31%-DYED)</v>
          </cell>
          <cell r="C1740" t="str">
            <v>제품</v>
          </cell>
          <cell r="D1740" t="str">
            <v>윈도우 제품군</v>
          </cell>
          <cell r="E1740" t="str">
            <v>전략</v>
          </cell>
          <cell r="F1740" t="str">
            <v>SP</v>
          </cell>
        </row>
        <row r="1741">
          <cell r="A1741">
            <v>32167</v>
          </cell>
          <cell r="B1741" t="str">
            <v>CHROMA(KOR)-DC-CHROMA 9 3090(RHN 31%)</v>
          </cell>
          <cell r="C1741" t="str">
            <v>제품</v>
          </cell>
          <cell r="D1741" t="str">
            <v>윈도우 제품군</v>
          </cell>
          <cell r="E1741" t="str">
            <v>전략</v>
          </cell>
          <cell r="F1741" t="str">
            <v>SP</v>
          </cell>
        </row>
        <row r="1742">
          <cell r="A1742">
            <v>32168</v>
          </cell>
          <cell r="B1742" t="str">
            <v>Phantom(2nd)-ND-F65 0565(항균ISR)</v>
          </cell>
          <cell r="C1742" t="str">
            <v>제품</v>
          </cell>
          <cell r="D1742" t="str">
            <v>윈도우 제품군</v>
          </cell>
          <cell r="E1742" t="str">
            <v>전략</v>
          </cell>
          <cell r="F1742" t="str">
            <v>SP</v>
          </cell>
        </row>
        <row r="1743">
          <cell r="B1743" t="str">
            <v>Y</v>
          </cell>
          <cell r="E1743" t="str">
            <v>N</v>
          </cell>
        </row>
        <row r="1744">
          <cell r="A1744">
            <v>32169</v>
          </cell>
          <cell r="B1744" t="str">
            <v>Phantom(2nd)-ND-F65 1265(항균ISR)</v>
          </cell>
          <cell r="C1744" t="str">
            <v>제품</v>
          </cell>
          <cell r="D1744" t="str">
            <v>윈도우 제품군</v>
          </cell>
          <cell r="E1744" t="str">
            <v>전략</v>
          </cell>
          <cell r="F1744" t="str">
            <v>SP</v>
          </cell>
        </row>
        <row r="1745">
          <cell r="A1745">
            <v>32170</v>
          </cell>
          <cell r="B1745" t="str">
            <v>Phantom(2nd)-ND-F65 2765(항균ISR)</v>
          </cell>
          <cell r="C1745" t="str">
            <v>제품</v>
          </cell>
          <cell r="D1745" t="str">
            <v>윈도우 제품군</v>
          </cell>
          <cell r="E1745" t="str">
            <v>전략</v>
          </cell>
          <cell r="F1745" t="str">
            <v>SP</v>
          </cell>
        </row>
        <row r="1746">
          <cell r="B1746" t="str">
            <v>Y</v>
          </cell>
          <cell r="E1746" t="str">
            <v>N</v>
          </cell>
        </row>
        <row r="1747">
          <cell r="A1747">
            <v>32171</v>
          </cell>
          <cell r="B1747" t="str">
            <v>Phantom(2nd)-ND-F85 0585(항균ISR)</v>
          </cell>
          <cell r="C1747" t="str">
            <v>제품</v>
          </cell>
          <cell r="D1747" t="str">
            <v>윈도우 제품군</v>
          </cell>
          <cell r="E1747" t="str">
            <v>전략</v>
          </cell>
          <cell r="F1747" t="str">
            <v>SP</v>
          </cell>
        </row>
        <row r="1748">
          <cell r="B1748" t="str">
            <v>Y</v>
          </cell>
          <cell r="E1748" t="str">
            <v>N</v>
          </cell>
        </row>
        <row r="1749">
          <cell r="A1749">
            <v>32172</v>
          </cell>
          <cell r="B1749" t="str">
            <v>Phantom(2nd)-ND-F85 1285(항균ISR)</v>
          </cell>
          <cell r="C1749" t="str">
            <v>제품</v>
          </cell>
          <cell r="D1749" t="str">
            <v>윈도우 제품군</v>
          </cell>
          <cell r="E1749" t="str">
            <v>전략</v>
          </cell>
          <cell r="F1749" t="str">
            <v>SP</v>
          </cell>
        </row>
        <row r="1750">
          <cell r="B1750" t="str">
            <v>Y</v>
          </cell>
          <cell r="E1750" t="str">
            <v>N</v>
          </cell>
        </row>
        <row r="1751">
          <cell r="A1751">
            <v>32173</v>
          </cell>
          <cell r="B1751" t="str">
            <v>Phantom(2nd)-ND-F85 2785(항균ISR)</v>
          </cell>
          <cell r="C1751" t="str">
            <v>제품</v>
          </cell>
          <cell r="D1751" t="str">
            <v>윈도우 제품군</v>
          </cell>
          <cell r="E1751" t="str">
            <v>전략</v>
          </cell>
          <cell r="F1751" t="str">
            <v>SP</v>
          </cell>
        </row>
        <row r="1752">
          <cell r="B1752" t="str">
            <v>Y</v>
          </cell>
          <cell r="E1752" t="str">
            <v>N</v>
          </cell>
        </row>
        <row r="1753">
          <cell r="A1753">
            <v>32174</v>
          </cell>
          <cell r="B1753" t="str">
            <v>PPF-ND-Forged carbon pattern PPF(gloss type)</v>
          </cell>
          <cell r="C1753" t="str">
            <v>제품</v>
          </cell>
          <cell r="D1753" t="str">
            <v>윈도우 제품군</v>
          </cell>
          <cell r="E1753" t="str">
            <v>HIGH-END</v>
          </cell>
          <cell r="F1753" t="str">
            <v>C-PPF</v>
          </cell>
        </row>
        <row r="1754">
          <cell r="A1754">
            <v>32176</v>
          </cell>
          <cell r="B1754" t="str">
            <v>CHROMA(KOR)-DC-CHROMA 9 7090(NSN 73%)</v>
          </cell>
          <cell r="C1754" t="str">
            <v>제품</v>
          </cell>
          <cell r="D1754" t="str">
            <v>윈도우 제품군</v>
          </cell>
          <cell r="E1754" t="str">
            <v>전략</v>
          </cell>
          <cell r="F1754" t="str">
            <v>SP</v>
          </cell>
        </row>
        <row r="1755">
          <cell r="A1755">
            <v>32179</v>
          </cell>
          <cell r="B1755" t="str">
            <v>Phantom(2nd)-ND-F95 4095 (항균ISR)</v>
          </cell>
          <cell r="C1755" t="str">
            <v>제품</v>
          </cell>
          <cell r="D1755" t="str">
            <v>윈도우 제품군</v>
          </cell>
          <cell r="E1755" t="str">
            <v>전략</v>
          </cell>
          <cell r="F1755" t="str">
            <v>SP</v>
          </cell>
        </row>
        <row r="1756">
          <cell r="A1756">
            <v>32180</v>
          </cell>
          <cell r="B1756" t="str">
            <v>ULTINUM(KOR)-3PLY-ULTINUM XP 4097</v>
          </cell>
          <cell r="C1756" t="str">
            <v>제품</v>
          </cell>
          <cell r="D1756" t="str">
            <v>윈도우 제품군</v>
          </cell>
          <cell r="E1756" t="str">
            <v>전략</v>
          </cell>
          <cell r="F1756" t="str">
            <v>SP</v>
          </cell>
        </row>
        <row r="1757">
          <cell r="A1757">
            <v>32182</v>
          </cell>
          <cell r="B1757" t="str">
            <v>NAVIGATION FILM</v>
          </cell>
          <cell r="C1757" t="str">
            <v>상품</v>
          </cell>
          <cell r="D1757" t="str">
            <v>윈도우 제품군</v>
          </cell>
          <cell r="E1757" t="str">
            <v>FILM</v>
          </cell>
          <cell r="F1757" t="str">
            <v>FILM</v>
          </cell>
        </row>
        <row r="1758">
          <cell r="A1758">
            <v>32183</v>
          </cell>
          <cell r="B1758" t="str">
            <v>SCF-NS-DYED 3560</v>
          </cell>
          <cell r="C1758" t="str">
            <v>제품</v>
          </cell>
          <cell r="D1758" t="str">
            <v>윈도우 제품군</v>
          </cell>
          <cell r="E1758" t="str">
            <v>전략</v>
          </cell>
          <cell r="F1758" t="str">
            <v>IR</v>
          </cell>
        </row>
        <row r="1759">
          <cell r="A1759">
            <v>32184</v>
          </cell>
          <cell r="B1759" t="str">
            <v>SCF-NS-DYED 1575(RHN31%-DYED)</v>
          </cell>
          <cell r="C1759" t="str">
            <v>제품</v>
          </cell>
          <cell r="D1759" t="str">
            <v>윈도우 제품군</v>
          </cell>
          <cell r="E1759" t="str">
            <v>전략</v>
          </cell>
          <cell r="F1759" t="str">
            <v>IR</v>
          </cell>
        </row>
        <row r="1760">
          <cell r="A1760">
            <v>32198</v>
          </cell>
          <cell r="B1760" t="str">
            <v>PPF-NS-Crystal Satin Finish (Kaizer)</v>
          </cell>
          <cell r="C1760" t="str">
            <v>제품</v>
          </cell>
          <cell r="D1760" t="str">
            <v>윈도우 제품군</v>
          </cell>
          <cell r="E1760" t="str">
            <v>HIGH-END</v>
          </cell>
          <cell r="F1760" t="str">
            <v>C-PPF</v>
          </cell>
        </row>
        <row r="1761">
          <cell r="A1761">
            <v>32199</v>
          </cell>
          <cell r="B1761" t="str">
            <v>PPF-NS-Onyx Black(Kaizer)</v>
          </cell>
          <cell r="C1761" t="str">
            <v>제품</v>
          </cell>
          <cell r="D1761" t="str">
            <v>윈도우 제품군</v>
          </cell>
          <cell r="E1761" t="str">
            <v>HIGH-END</v>
          </cell>
          <cell r="F1761" t="str">
            <v>C-PPF</v>
          </cell>
        </row>
        <row r="1762">
          <cell r="A1762">
            <v>32200</v>
          </cell>
          <cell r="B1762" t="str">
            <v>PPF-NS-Black Satin Finish(Kaizer)</v>
          </cell>
          <cell r="C1762" t="str">
            <v>제품</v>
          </cell>
          <cell r="D1762" t="str">
            <v>윈도우 제품군</v>
          </cell>
          <cell r="E1762" t="str">
            <v>HIGH-END</v>
          </cell>
          <cell r="F1762" t="str">
            <v>C-PPF</v>
          </cell>
        </row>
        <row r="1763">
          <cell r="A1763">
            <v>32210</v>
          </cell>
          <cell r="B1763" t="str">
            <v>PPF-NS-PPF Prism pattern(TPU 성형용)</v>
          </cell>
          <cell r="C1763" t="str">
            <v>제품</v>
          </cell>
          <cell r="D1763" t="str">
            <v>윈도우 제품군</v>
          </cell>
          <cell r="E1763" t="str">
            <v>HIGH-END</v>
          </cell>
          <cell r="F1763" t="str">
            <v>C-PPF</v>
          </cell>
        </row>
        <row r="1764">
          <cell r="A1764">
            <v>32211</v>
          </cell>
          <cell r="B1764" t="str">
            <v>PPP-Prism pattern PPF(BLUE)</v>
          </cell>
          <cell r="C1764" t="str">
            <v>제품</v>
          </cell>
          <cell r="D1764" t="str">
            <v>윈도우 제품군</v>
          </cell>
          <cell r="E1764" t="str">
            <v>HIGH-END</v>
          </cell>
          <cell r="F1764" t="str">
            <v>C-PPF</v>
          </cell>
        </row>
        <row r="1765">
          <cell r="A1765">
            <v>32212</v>
          </cell>
          <cell r="B1765" t="str">
            <v>PPF-NS-SGA(VER. UP)</v>
          </cell>
          <cell r="C1765" t="str">
            <v>제품</v>
          </cell>
          <cell r="D1765" t="str">
            <v>윈도우 제품군</v>
          </cell>
          <cell r="E1765" t="str">
            <v>HIGH-END</v>
          </cell>
          <cell r="F1765" t="str">
            <v>C-PPF</v>
          </cell>
        </row>
        <row r="1766">
          <cell r="A1766">
            <v>32213</v>
          </cell>
          <cell r="B1766" t="str">
            <v>PPF-NS-TGA(VER. UP)</v>
          </cell>
          <cell r="C1766" t="str">
            <v>제품</v>
          </cell>
          <cell r="D1766" t="str">
            <v>윈도우 제품군</v>
          </cell>
          <cell r="E1766" t="str">
            <v>HIGH-END</v>
          </cell>
          <cell r="F1766" t="str">
            <v>C-PPF</v>
          </cell>
        </row>
        <row r="1767">
          <cell r="A1767">
            <v>32214</v>
          </cell>
          <cell r="B1767" t="str">
            <v>CT505</v>
          </cell>
          <cell r="C1767" t="str">
            <v>상품</v>
          </cell>
          <cell r="D1767" t="str">
            <v>윈도우 제품군</v>
          </cell>
          <cell r="E1767" t="str">
            <v>원자재</v>
          </cell>
          <cell r="F1767" t="str">
            <v>원자재</v>
          </cell>
        </row>
        <row r="1768">
          <cell r="A1768">
            <v>32220</v>
          </cell>
          <cell r="B1768" t="str">
            <v>PPF-MTM12(12MIL PPF)-SAVECARS</v>
          </cell>
          <cell r="C1768" t="str">
            <v>제품</v>
          </cell>
          <cell r="D1768" t="str">
            <v>윈도우 제품군</v>
          </cell>
          <cell r="E1768" t="str">
            <v>HIGH-END</v>
          </cell>
          <cell r="F1768" t="str">
            <v>C-PPF</v>
          </cell>
        </row>
        <row r="1769">
          <cell r="A1769">
            <v>32221</v>
          </cell>
          <cell r="B1769" t="str">
            <v>Tview-ND-Mono Carbon 05 (CFC)</v>
          </cell>
          <cell r="C1769" t="str">
            <v>제품</v>
          </cell>
          <cell r="D1769" t="str">
            <v>윈도우 제품군</v>
          </cell>
          <cell r="E1769" t="str">
            <v>전략</v>
          </cell>
          <cell r="F1769" t="str">
            <v>SP</v>
          </cell>
        </row>
        <row r="1770">
          <cell r="A1770">
            <v>32222</v>
          </cell>
          <cell r="B1770" t="str">
            <v>Tview-ND-Mono Carbon 15 (CFC)</v>
          </cell>
          <cell r="C1770" t="str">
            <v>제품</v>
          </cell>
          <cell r="D1770" t="str">
            <v>윈도우 제품군</v>
          </cell>
          <cell r="E1770" t="str">
            <v>전략</v>
          </cell>
          <cell r="F1770" t="str">
            <v>SP</v>
          </cell>
        </row>
        <row r="1771">
          <cell r="A1771">
            <v>32223</v>
          </cell>
          <cell r="B1771" t="str">
            <v>Tview-ND-Mono Carbon 35 (CFC)</v>
          </cell>
          <cell r="C1771" t="str">
            <v>제품</v>
          </cell>
          <cell r="D1771" t="str">
            <v>윈도우 제품군</v>
          </cell>
          <cell r="E1771" t="str">
            <v>전략</v>
          </cell>
          <cell r="F1771" t="str">
            <v>SP</v>
          </cell>
        </row>
        <row r="1772">
          <cell r="A1772">
            <v>32224</v>
          </cell>
          <cell r="B1772" t="str">
            <v>Tview-ND-Mono Carbon 45 (CFC)</v>
          </cell>
          <cell r="C1772" t="str">
            <v>제품</v>
          </cell>
          <cell r="D1772" t="str">
            <v>윈도우 제품군</v>
          </cell>
          <cell r="E1772" t="str">
            <v>전략</v>
          </cell>
          <cell r="F1772" t="str">
            <v>SP</v>
          </cell>
        </row>
        <row r="1773">
          <cell r="A1773">
            <v>32225</v>
          </cell>
          <cell r="B1773" t="str">
            <v>Tview-ND-Mono Carbon 85 (CFC)</v>
          </cell>
          <cell r="C1773" t="str">
            <v>제품</v>
          </cell>
          <cell r="D1773" t="str">
            <v>윈도우 제품군</v>
          </cell>
          <cell r="E1773" t="str">
            <v>전략</v>
          </cell>
          <cell r="F1773" t="str">
            <v>SP</v>
          </cell>
        </row>
        <row r="1774">
          <cell r="A1774">
            <v>32226</v>
          </cell>
          <cell r="B1774" t="str">
            <v>PPF-NS-PPF이형지(N-WHITE 88㎛-박리개선)</v>
          </cell>
          <cell r="C1774" t="str">
            <v>제품</v>
          </cell>
          <cell r="D1774" t="str">
            <v>윈도우 제품군</v>
          </cell>
          <cell r="E1774" t="str">
            <v>염료</v>
          </cell>
          <cell r="F1774" t="str">
            <v>COLEX</v>
          </cell>
        </row>
        <row r="1775">
          <cell r="A1775">
            <v>32227</v>
          </cell>
          <cell r="B1775" t="str">
            <v>PPF-NS-ULTRAFIT XP SUPREME TOP(PX9815)</v>
          </cell>
          <cell r="C1775" t="str">
            <v>제품</v>
          </cell>
          <cell r="D1775" t="str">
            <v>윈도우 제품군</v>
          </cell>
          <cell r="E1775" t="str">
            <v>HIGH-END</v>
          </cell>
          <cell r="F1775" t="str">
            <v>C-PPF</v>
          </cell>
        </row>
        <row r="1776">
          <cell r="A1776">
            <v>32228</v>
          </cell>
          <cell r="B1776" t="str">
            <v>PPF-NS-PPF이형지(WHITE 105㎛-박리개선)</v>
          </cell>
          <cell r="C1776" t="str">
            <v>제품</v>
          </cell>
          <cell r="D1776" t="str">
            <v>윈도우 제품군</v>
          </cell>
          <cell r="E1776" t="str">
            <v>염료</v>
          </cell>
          <cell r="F1776" t="str">
            <v>COLEX</v>
          </cell>
        </row>
        <row r="1777">
          <cell r="A1777">
            <v>32229</v>
          </cell>
          <cell r="B1777" t="str">
            <v>PPF-NS-ULTRAFIT XP GOLD BLACK</v>
          </cell>
          <cell r="C1777" t="str">
            <v>제품</v>
          </cell>
          <cell r="D1777" t="str">
            <v>윈도우 제품군</v>
          </cell>
          <cell r="E1777" t="str">
            <v>HIGH-END</v>
          </cell>
          <cell r="F1777" t="str">
            <v>C-PPF</v>
          </cell>
        </row>
        <row r="1778">
          <cell r="A1778">
            <v>32238</v>
          </cell>
          <cell r="B1778" t="str">
            <v>SP-NS-CBK 05W (SLP-WA500)</v>
          </cell>
          <cell r="C1778" t="str">
            <v>제품</v>
          </cell>
          <cell r="D1778" t="str">
            <v>윈도우 제품군</v>
          </cell>
          <cell r="E1778" t="str">
            <v>전략</v>
          </cell>
          <cell r="F1778" t="str">
            <v>SP</v>
          </cell>
        </row>
        <row r="1779">
          <cell r="A1779">
            <v>32239</v>
          </cell>
          <cell r="B1779" t="str">
            <v>SP-NS-CBK 15W (SLP-WA500)</v>
          </cell>
          <cell r="C1779" t="str">
            <v>제품</v>
          </cell>
          <cell r="D1779" t="str">
            <v>윈도우 제품군</v>
          </cell>
          <cell r="E1779" t="str">
            <v>전략</v>
          </cell>
          <cell r="F1779" t="str">
            <v>SP</v>
          </cell>
        </row>
        <row r="1780">
          <cell r="A1780">
            <v>32240</v>
          </cell>
          <cell r="B1780" t="str">
            <v>SP-NS-CBK 20W (SLP-WA500)</v>
          </cell>
          <cell r="C1780" t="str">
            <v>제품</v>
          </cell>
          <cell r="D1780" t="str">
            <v>윈도우 제품군</v>
          </cell>
          <cell r="E1780" t="str">
            <v>전략</v>
          </cell>
          <cell r="F1780" t="str">
            <v>SP</v>
          </cell>
        </row>
        <row r="1781">
          <cell r="A1781">
            <v>32241</v>
          </cell>
          <cell r="B1781" t="str">
            <v>SP-NS-CBK 35W (SLP-WA500)</v>
          </cell>
          <cell r="C1781" t="str">
            <v>제품</v>
          </cell>
          <cell r="D1781" t="str">
            <v>윈도우 제품군</v>
          </cell>
          <cell r="E1781" t="str">
            <v>전략</v>
          </cell>
          <cell r="F1781" t="str">
            <v>SP</v>
          </cell>
        </row>
        <row r="1782">
          <cell r="A1782">
            <v>32242</v>
          </cell>
          <cell r="B1782" t="str">
            <v>SP-NS-CBK 50W (SLP-WA500)</v>
          </cell>
          <cell r="C1782" t="str">
            <v>제품</v>
          </cell>
          <cell r="D1782" t="str">
            <v>윈도우 제품군</v>
          </cell>
          <cell r="E1782" t="str">
            <v>전략</v>
          </cell>
          <cell r="F1782" t="str">
            <v>SP</v>
          </cell>
        </row>
        <row r="1783">
          <cell r="A1783">
            <v>32243</v>
          </cell>
          <cell r="B1783" t="str">
            <v>SPD-ND-Carbon G9 0590(SLP)</v>
          </cell>
          <cell r="C1783" t="str">
            <v>제품</v>
          </cell>
          <cell r="D1783" t="str">
            <v>윈도우 제품군</v>
          </cell>
          <cell r="E1783" t="str">
            <v>전략</v>
          </cell>
          <cell r="F1783" t="str">
            <v>SP</v>
          </cell>
        </row>
        <row r="1784">
          <cell r="A1784">
            <v>32244</v>
          </cell>
          <cell r="B1784" t="str">
            <v>SPD-ND-Carbon G9 2090(SLP)</v>
          </cell>
          <cell r="C1784" t="str">
            <v>제품</v>
          </cell>
          <cell r="D1784" t="str">
            <v>윈도우 제품군</v>
          </cell>
          <cell r="E1784" t="str">
            <v>전략</v>
          </cell>
          <cell r="F1784" t="str">
            <v>SP</v>
          </cell>
        </row>
        <row r="1785">
          <cell r="A1785">
            <v>32245</v>
          </cell>
          <cell r="B1785" t="str">
            <v>SPD-ND-Carbon G9 3590(SLP)</v>
          </cell>
          <cell r="C1785" t="str">
            <v>제품</v>
          </cell>
          <cell r="D1785" t="str">
            <v>윈도우 제품군</v>
          </cell>
          <cell r="E1785" t="str">
            <v>전략</v>
          </cell>
          <cell r="F1785" t="str">
            <v>SP</v>
          </cell>
        </row>
        <row r="1786">
          <cell r="A1786">
            <v>32246</v>
          </cell>
          <cell r="B1786" t="str">
            <v>SPD-ND-Carbon G9 5090(SLP)</v>
          </cell>
          <cell r="C1786" t="str">
            <v>제품</v>
          </cell>
          <cell r="D1786" t="str">
            <v>윈도우 제품군</v>
          </cell>
          <cell r="E1786" t="str">
            <v>전략</v>
          </cell>
          <cell r="F1786" t="str">
            <v>SP</v>
          </cell>
        </row>
        <row r="1787">
          <cell r="A1787">
            <v>32247</v>
          </cell>
          <cell r="B1787" t="str">
            <v>SP(RUS)-ND-Mono Carbon 05 PS</v>
          </cell>
          <cell r="C1787" t="str">
            <v>제품</v>
          </cell>
          <cell r="D1787" t="str">
            <v>윈도우 제품군</v>
          </cell>
          <cell r="E1787" t="str">
            <v>전략</v>
          </cell>
          <cell r="F1787" t="str">
            <v>SP</v>
          </cell>
        </row>
        <row r="1788">
          <cell r="A1788">
            <v>32248</v>
          </cell>
          <cell r="B1788" t="str">
            <v>PPF-NS-ULTRAFIT XP METALLIC SILVER(PEARL)</v>
          </cell>
          <cell r="C1788" t="str">
            <v>제품</v>
          </cell>
          <cell r="D1788" t="str">
            <v>윈도우 제품군</v>
          </cell>
          <cell r="E1788" t="str">
            <v>HIGH-END</v>
          </cell>
          <cell r="F1788" t="str">
            <v>C-PPF</v>
          </cell>
        </row>
        <row r="1789">
          <cell r="A1789">
            <v>32249</v>
          </cell>
          <cell r="B1789" t="str">
            <v>PPF-NS-ULTRAFIT XP METALLIC ROSE SILVER(PEARL)</v>
          </cell>
          <cell r="C1789" t="str">
            <v>제품</v>
          </cell>
          <cell r="D1789" t="str">
            <v>윈도우 제품군</v>
          </cell>
          <cell r="E1789" t="str">
            <v>HIGH-END</v>
          </cell>
          <cell r="F1789" t="str">
            <v>C-PPF</v>
          </cell>
        </row>
        <row r="1790">
          <cell r="A1790">
            <v>32250</v>
          </cell>
          <cell r="B1790" t="str">
            <v>PPF-NS-ULTRAFIT XP TUSCAN YELLOW(PEARL)</v>
          </cell>
          <cell r="C1790" t="str">
            <v>제품</v>
          </cell>
          <cell r="D1790" t="str">
            <v>윈도우 제품군</v>
          </cell>
          <cell r="E1790" t="str">
            <v>HIGH-END</v>
          </cell>
          <cell r="F1790" t="str">
            <v>C-PPF</v>
          </cell>
        </row>
        <row r="1791">
          <cell r="A1791">
            <v>32251</v>
          </cell>
          <cell r="B1791" t="str">
            <v>PPF-NS-ULTRAFIT XP LIGHT STONE</v>
          </cell>
          <cell r="C1791" t="str">
            <v>제품</v>
          </cell>
          <cell r="D1791" t="str">
            <v>윈도우 제품군</v>
          </cell>
          <cell r="E1791" t="str">
            <v>HIGH-END</v>
          </cell>
          <cell r="F1791" t="str">
            <v>C-PPF</v>
          </cell>
        </row>
        <row r="1792">
          <cell r="A1792">
            <v>32252</v>
          </cell>
          <cell r="B1792" t="str">
            <v>PPF-NS-AURORA ROSY GREEN (pearl)</v>
          </cell>
          <cell r="C1792" t="str">
            <v>제품</v>
          </cell>
          <cell r="D1792" t="str">
            <v>윈도우 제품군</v>
          </cell>
          <cell r="E1792" t="str">
            <v>HIGH-END</v>
          </cell>
          <cell r="F1792" t="str">
            <v>C-PPF</v>
          </cell>
        </row>
        <row r="1793">
          <cell r="A1793">
            <v>32253</v>
          </cell>
          <cell r="B1793" t="str">
            <v>PPF-NS-AURORA LAKE BLUE (pearl)</v>
          </cell>
          <cell r="C1793" t="str">
            <v>제품</v>
          </cell>
          <cell r="D1793" t="str">
            <v>윈도우 제품군</v>
          </cell>
          <cell r="E1793" t="str">
            <v>HIGH-END</v>
          </cell>
          <cell r="F1793" t="str">
            <v>C-PPF</v>
          </cell>
        </row>
        <row r="1794">
          <cell r="A1794">
            <v>32254</v>
          </cell>
          <cell r="B1794" t="str">
            <v>PPF-NS-WINTER GRAY</v>
          </cell>
          <cell r="C1794" t="str">
            <v>제품</v>
          </cell>
          <cell r="D1794" t="str">
            <v>윈도우 제품군</v>
          </cell>
          <cell r="E1794" t="str">
            <v>HIGH-END</v>
          </cell>
          <cell r="F1794" t="str">
            <v>C-PPF</v>
          </cell>
        </row>
        <row r="1795">
          <cell r="A1795">
            <v>32255</v>
          </cell>
          <cell r="B1795" t="str">
            <v>PPF-NS-NOBLE GRAY</v>
          </cell>
          <cell r="C1795" t="str">
            <v>제품</v>
          </cell>
          <cell r="D1795" t="str">
            <v>윈도우 제품군</v>
          </cell>
          <cell r="E1795" t="str">
            <v>HIGH-END</v>
          </cell>
          <cell r="F1795" t="str">
            <v>C-PPF</v>
          </cell>
        </row>
        <row r="1796">
          <cell r="A1796">
            <v>32256</v>
          </cell>
          <cell r="B1796" t="str">
            <v>RAINBOW(KOR)-ND-I75 0565</v>
          </cell>
          <cell r="C1796" t="str">
            <v>제품</v>
          </cell>
          <cell r="D1796" t="str">
            <v>윈도우 제품군</v>
          </cell>
          <cell r="E1796" t="str">
            <v>전략</v>
          </cell>
          <cell r="F1796" t="str">
            <v>SP</v>
          </cell>
        </row>
        <row r="1797">
          <cell r="A1797">
            <v>32257</v>
          </cell>
          <cell r="B1797" t="str">
            <v>RAINBOW(KOR)-ND-I75 1565</v>
          </cell>
          <cell r="C1797" t="str">
            <v>제품</v>
          </cell>
          <cell r="D1797" t="str">
            <v>윈도우 제품군</v>
          </cell>
          <cell r="E1797" t="str">
            <v>전략</v>
          </cell>
          <cell r="F1797" t="str">
            <v>SP</v>
          </cell>
        </row>
        <row r="1798">
          <cell r="A1798">
            <v>32258</v>
          </cell>
          <cell r="B1798" t="str">
            <v>RAINBOW(KOR)-ND-I75 2365</v>
          </cell>
          <cell r="C1798" t="str">
            <v>제품</v>
          </cell>
          <cell r="D1798" t="str">
            <v>윈도우 제품군</v>
          </cell>
          <cell r="E1798" t="str">
            <v>전략</v>
          </cell>
          <cell r="F1798" t="str">
            <v>SP</v>
          </cell>
        </row>
        <row r="1799">
          <cell r="A1799">
            <v>32259</v>
          </cell>
          <cell r="B1799" t="str">
            <v>RAINBOW(KOR)-ND-I75 3365</v>
          </cell>
          <cell r="C1799" t="str">
            <v>제품</v>
          </cell>
          <cell r="D1799" t="str">
            <v>윈도우 제품군</v>
          </cell>
          <cell r="E1799" t="str">
            <v>전략</v>
          </cell>
          <cell r="F1799" t="str">
            <v>SP</v>
          </cell>
        </row>
        <row r="1800">
          <cell r="A1800">
            <v>32260</v>
          </cell>
          <cell r="B1800" t="str">
            <v>RAINBOW(KOR)-ND-IS100S 0575</v>
          </cell>
          <cell r="C1800" t="str">
            <v>제품</v>
          </cell>
          <cell r="D1800" t="str">
            <v>윈도우 제품군</v>
          </cell>
          <cell r="E1800" t="str">
            <v>전략</v>
          </cell>
          <cell r="F1800" t="str">
            <v>SP</v>
          </cell>
        </row>
        <row r="1801">
          <cell r="A1801">
            <v>32261</v>
          </cell>
          <cell r="B1801" t="str">
            <v>RAINBOW(KOR)-ND-IS100S 1575</v>
          </cell>
          <cell r="C1801" t="str">
            <v>제품</v>
          </cell>
          <cell r="D1801" t="str">
            <v>윈도우 제품군</v>
          </cell>
          <cell r="E1801" t="str">
            <v>전략</v>
          </cell>
          <cell r="F1801" t="str">
            <v>SP</v>
          </cell>
        </row>
        <row r="1802">
          <cell r="A1802">
            <v>32262</v>
          </cell>
          <cell r="B1802" t="str">
            <v>RAINBOW(KOR)-ND-IS100S 2375</v>
          </cell>
          <cell r="C1802" t="str">
            <v>제품</v>
          </cell>
          <cell r="D1802" t="str">
            <v>윈도우 제품군</v>
          </cell>
          <cell r="E1802" t="str">
            <v>전략</v>
          </cell>
          <cell r="F1802" t="str">
            <v>SP</v>
          </cell>
        </row>
        <row r="1803">
          <cell r="A1803">
            <v>32263</v>
          </cell>
          <cell r="B1803" t="str">
            <v>RAINBOW(KOR)-ND-IS100S 3375</v>
          </cell>
          <cell r="C1803" t="str">
            <v>제품</v>
          </cell>
          <cell r="D1803" t="str">
            <v>윈도우 제품군</v>
          </cell>
          <cell r="E1803" t="str">
            <v>전략</v>
          </cell>
          <cell r="F1803" t="str">
            <v>SP</v>
          </cell>
        </row>
        <row r="1804">
          <cell r="A1804">
            <v>32264</v>
          </cell>
          <cell r="B1804" t="str">
            <v>RAINBOW(KOR)-ND-IS200 0590</v>
          </cell>
          <cell r="C1804" t="str">
            <v>제품</v>
          </cell>
          <cell r="D1804" t="str">
            <v>윈도우 제품군</v>
          </cell>
          <cell r="E1804" t="str">
            <v>전략</v>
          </cell>
          <cell r="F1804" t="str">
            <v>SP</v>
          </cell>
        </row>
        <row r="1805">
          <cell r="A1805">
            <v>32265</v>
          </cell>
          <cell r="B1805" t="str">
            <v>RAINBOW(KOR)-ND-IS200 1590</v>
          </cell>
          <cell r="C1805" t="str">
            <v>제품</v>
          </cell>
          <cell r="D1805" t="str">
            <v>윈도우 제품군</v>
          </cell>
          <cell r="E1805" t="str">
            <v>전략</v>
          </cell>
          <cell r="F1805" t="str">
            <v>SP</v>
          </cell>
        </row>
        <row r="1806">
          <cell r="A1806">
            <v>32266</v>
          </cell>
          <cell r="B1806" t="str">
            <v>RAINBOW(KOR)-ND-IS200 2390</v>
          </cell>
          <cell r="C1806" t="str">
            <v>제품</v>
          </cell>
          <cell r="D1806" t="str">
            <v>윈도우 제품군</v>
          </cell>
          <cell r="E1806" t="str">
            <v>전략</v>
          </cell>
          <cell r="F1806" t="str">
            <v>SP</v>
          </cell>
        </row>
        <row r="1807">
          <cell r="A1807">
            <v>32267</v>
          </cell>
          <cell r="B1807" t="str">
            <v>RAINBOW(KOR)-ND-IS200 3390</v>
          </cell>
          <cell r="C1807" t="str">
            <v>제품</v>
          </cell>
          <cell r="D1807" t="str">
            <v>윈도우 제품군</v>
          </cell>
          <cell r="E1807" t="str">
            <v>전략</v>
          </cell>
          <cell r="F1807" t="str">
            <v>SP</v>
          </cell>
        </row>
        <row r="1808">
          <cell r="A1808">
            <v>32272</v>
          </cell>
          <cell r="B1808" t="str">
            <v>PPF-NS-Gray Satin Finish (Kaizer)</v>
          </cell>
          <cell r="C1808" t="str">
            <v>제품</v>
          </cell>
          <cell r="D1808" t="str">
            <v>윈도우 제품군</v>
          </cell>
          <cell r="E1808" t="str">
            <v>HIGH-END</v>
          </cell>
          <cell r="F1808" t="str">
            <v>C-PPF</v>
          </cell>
        </row>
        <row r="1809">
          <cell r="A1809">
            <v>32274</v>
          </cell>
          <cell r="B1809" t="str">
            <v>Smith(KOR)-ND-T2 4590</v>
          </cell>
          <cell r="C1809" t="str">
            <v>제품</v>
          </cell>
          <cell r="D1809" t="str">
            <v>윈도우 제품군</v>
          </cell>
          <cell r="E1809" t="str">
            <v>전략</v>
          </cell>
          <cell r="F1809" t="str">
            <v>SP</v>
          </cell>
        </row>
        <row r="1810">
          <cell r="A1810">
            <v>32276</v>
          </cell>
          <cell r="B1810" t="str">
            <v>SP(RUS)-ND-Mono Carbon 15 PS</v>
          </cell>
          <cell r="C1810" t="str">
            <v>제품</v>
          </cell>
          <cell r="D1810" t="str">
            <v>윈도우 제품군</v>
          </cell>
          <cell r="E1810" t="str">
            <v>전략</v>
          </cell>
          <cell r="F1810" t="str">
            <v>SP</v>
          </cell>
        </row>
        <row r="1811">
          <cell r="A1811">
            <v>32281</v>
          </cell>
          <cell r="B1811" t="str">
            <v>SP(RUS)-ND-Mono Carbon 35 PS</v>
          </cell>
          <cell r="C1811" t="str">
            <v>제품</v>
          </cell>
          <cell r="D1811" t="str">
            <v>윈도우 제품군</v>
          </cell>
          <cell r="E1811" t="str">
            <v>전략</v>
          </cell>
          <cell r="F1811" t="str">
            <v>SP</v>
          </cell>
        </row>
        <row r="1812">
          <cell r="A1812">
            <v>32282</v>
          </cell>
          <cell r="B1812" t="str">
            <v>SP(RUS)-ND-Mono Carbon 50 PS</v>
          </cell>
          <cell r="C1812" t="str">
            <v>제품</v>
          </cell>
          <cell r="D1812" t="str">
            <v>윈도우 제품군</v>
          </cell>
          <cell r="E1812" t="str">
            <v>전략</v>
          </cell>
          <cell r="F1812" t="str">
            <v>SP</v>
          </cell>
        </row>
        <row r="1813">
          <cell r="A1813">
            <v>32283</v>
          </cell>
          <cell r="B1813" t="str">
            <v>PPF-NS-SGA MATT</v>
          </cell>
          <cell r="C1813" t="str">
            <v>제품</v>
          </cell>
          <cell r="D1813" t="str">
            <v>윈도우 제품군</v>
          </cell>
          <cell r="E1813" t="str">
            <v>HIGH-END</v>
          </cell>
          <cell r="F1813" t="str">
            <v>C-PPF</v>
          </cell>
        </row>
        <row r="1814">
          <cell r="A1814">
            <v>32293</v>
          </cell>
          <cell r="B1814" t="str">
            <v>TEST-Window Film EPU Type (8050)</v>
          </cell>
          <cell r="C1814" t="str">
            <v>제품</v>
          </cell>
          <cell r="D1814" t="str">
            <v>윈도우 제품군</v>
          </cell>
          <cell r="E1814" t="str">
            <v>전략</v>
          </cell>
          <cell r="F1814" t="str">
            <v>SP</v>
          </cell>
        </row>
        <row r="1815">
          <cell r="A1815">
            <v>32294</v>
          </cell>
          <cell r="B1815" t="str">
            <v>PPF-NS-PPF 박리개선 이형지(인쇄타입)</v>
          </cell>
          <cell r="C1815" t="str">
            <v>제품</v>
          </cell>
          <cell r="D1815" t="str">
            <v>윈도우 제품군</v>
          </cell>
          <cell r="E1815" t="str">
            <v>HIGH-END</v>
          </cell>
          <cell r="F1815" t="str">
            <v>C-PPF</v>
          </cell>
        </row>
        <row r="1816">
          <cell r="A1816">
            <v>32295</v>
          </cell>
          <cell r="B1816" t="str">
            <v>PPF-NS-PPF 패턴 이형지(인쇄타입)</v>
          </cell>
          <cell r="C1816" t="str">
            <v>제품</v>
          </cell>
          <cell r="D1816" t="str">
            <v>윈도우 제품군</v>
          </cell>
          <cell r="E1816" t="str">
            <v>HIGH-END</v>
          </cell>
          <cell r="F1816" t="str">
            <v>C-PPF</v>
          </cell>
        </row>
        <row r="1817">
          <cell r="A1817">
            <v>32296</v>
          </cell>
          <cell r="B1817" t="str">
            <v>PPF-NS-SGA NON CAP(SM50-10L)</v>
          </cell>
          <cell r="C1817" t="str">
            <v>제품</v>
          </cell>
          <cell r="D1817" t="str">
            <v>윈도우 제품군</v>
          </cell>
          <cell r="E1817" t="str">
            <v>HIGH-END</v>
          </cell>
          <cell r="F1817" t="str">
            <v>C-PPF</v>
          </cell>
        </row>
        <row r="1818">
          <cell r="A1818">
            <v>32297</v>
          </cell>
          <cell r="B1818" t="str">
            <v>PPF-NS-SGA Pattern(OP개선)</v>
          </cell>
          <cell r="C1818" t="str">
            <v>제품</v>
          </cell>
          <cell r="D1818" t="str">
            <v>윈도우 제품군</v>
          </cell>
          <cell r="E1818" t="str">
            <v>HIGH-END</v>
          </cell>
          <cell r="F1818" t="str">
            <v>C-PPF</v>
          </cell>
        </row>
        <row r="1819">
          <cell r="A1819">
            <v>32298</v>
          </cell>
          <cell r="B1819" t="str">
            <v>PDLC UP (SR TEST)</v>
          </cell>
          <cell r="C1819" t="str">
            <v>제품</v>
          </cell>
          <cell r="D1819" t="str">
            <v>윈도우 제품군</v>
          </cell>
          <cell r="E1819" t="str">
            <v>Transition Film</v>
          </cell>
          <cell r="F1819" t="str">
            <v>PDLC</v>
          </cell>
        </row>
        <row r="1820">
          <cell r="A1820">
            <v>32299</v>
          </cell>
          <cell r="B1820" t="str">
            <v>PDLC DOWN (TEST)</v>
          </cell>
          <cell r="C1820" t="str">
            <v>제품</v>
          </cell>
          <cell r="D1820" t="str">
            <v>윈도우 제품군</v>
          </cell>
          <cell r="E1820" t="str">
            <v>Transition Film</v>
          </cell>
          <cell r="F1820" t="str">
            <v>PDLC</v>
          </cell>
        </row>
        <row r="1821">
          <cell r="A1821">
            <v>32300</v>
          </cell>
          <cell r="B1821" t="str">
            <v>PDLC PSA (TEST)</v>
          </cell>
          <cell r="C1821" t="str">
            <v>제품</v>
          </cell>
          <cell r="D1821" t="str">
            <v>윈도우 제품군</v>
          </cell>
          <cell r="E1821" t="str">
            <v>Transition Film</v>
          </cell>
          <cell r="F1821" t="str">
            <v>PDLC</v>
          </cell>
        </row>
        <row r="1822">
          <cell r="A1822">
            <v>32303</v>
          </cell>
          <cell r="B1822" t="str">
            <v>ULTRAFIT-ND-ULTRAFIT VC 05</v>
          </cell>
          <cell r="C1822" t="str">
            <v>제품</v>
          </cell>
          <cell r="D1822" t="str">
            <v>윈도우 제품군</v>
          </cell>
          <cell r="E1822" t="str">
            <v>전략</v>
          </cell>
          <cell r="F1822" t="str">
            <v>SP</v>
          </cell>
        </row>
        <row r="1823">
          <cell r="A1823">
            <v>32304</v>
          </cell>
          <cell r="B1823" t="str">
            <v>ULTRAFIT-ND-ULTRAFIT VC 15</v>
          </cell>
          <cell r="C1823" t="str">
            <v>제품</v>
          </cell>
          <cell r="D1823" t="str">
            <v>윈도우 제품군</v>
          </cell>
          <cell r="E1823" t="str">
            <v>전략</v>
          </cell>
          <cell r="F1823" t="str">
            <v>SP</v>
          </cell>
        </row>
        <row r="1824">
          <cell r="A1824">
            <v>32305</v>
          </cell>
          <cell r="B1824" t="str">
            <v>ULTRAFIT-ND-ULTRAFIT VC 25</v>
          </cell>
          <cell r="C1824" t="str">
            <v>제품</v>
          </cell>
          <cell r="D1824" t="str">
            <v>윈도우 제품군</v>
          </cell>
          <cell r="E1824" t="str">
            <v>전략</v>
          </cell>
          <cell r="F1824" t="str">
            <v>SP</v>
          </cell>
        </row>
        <row r="1825">
          <cell r="A1825">
            <v>32306</v>
          </cell>
          <cell r="B1825" t="str">
            <v>ULTRAFIT-ND-ULTRAFIT VC 35</v>
          </cell>
          <cell r="C1825" t="str">
            <v>제품</v>
          </cell>
          <cell r="D1825" t="str">
            <v>윈도우 제품군</v>
          </cell>
          <cell r="E1825" t="str">
            <v>전략</v>
          </cell>
          <cell r="F1825" t="str">
            <v>SP</v>
          </cell>
        </row>
        <row r="1826">
          <cell r="A1826">
            <v>32307</v>
          </cell>
          <cell r="B1826" t="str">
            <v>ULTRAFIT-ND-ULTRAFIT VC 50</v>
          </cell>
          <cell r="C1826" t="str">
            <v>제품</v>
          </cell>
          <cell r="D1826" t="str">
            <v>윈도우 제품군</v>
          </cell>
          <cell r="E1826" t="str">
            <v>전략</v>
          </cell>
          <cell r="F1826" t="str">
            <v>SP</v>
          </cell>
        </row>
        <row r="1827">
          <cell r="A1827">
            <v>32308</v>
          </cell>
          <cell r="B1827" t="str">
            <v>ULTRAFIT-ND-ULTRAFIT VC 70</v>
          </cell>
          <cell r="C1827" t="str">
            <v>제품</v>
          </cell>
          <cell r="D1827" t="str">
            <v>윈도우 제품군</v>
          </cell>
          <cell r="E1827" t="str">
            <v>전략</v>
          </cell>
          <cell r="F1827" t="str">
            <v>SP</v>
          </cell>
        </row>
        <row r="1828">
          <cell r="A1828">
            <v>32309</v>
          </cell>
          <cell r="B1828" t="str">
            <v>ULTRAFIT-ND-ULTRAFIT VF 05</v>
          </cell>
          <cell r="C1828" t="str">
            <v>제품</v>
          </cell>
          <cell r="D1828" t="str">
            <v>윈도우 제품군</v>
          </cell>
          <cell r="E1828" t="str">
            <v>전략</v>
          </cell>
          <cell r="F1828" t="str">
            <v>SP</v>
          </cell>
        </row>
        <row r="1829">
          <cell r="A1829">
            <v>32310</v>
          </cell>
          <cell r="B1829" t="str">
            <v>ULTRAFIT-ND-ULTRAFIT VF 15</v>
          </cell>
          <cell r="C1829" t="str">
            <v>제품</v>
          </cell>
          <cell r="D1829" t="str">
            <v>윈도우 제품군</v>
          </cell>
          <cell r="E1829" t="str">
            <v>전략</v>
          </cell>
          <cell r="F1829" t="str">
            <v>SP</v>
          </cell>
        </row>
        <row r="1830">
          <cell r="A1830">
            <v>32311</v>
          </cell>
          <cell r="B1830" t="str">
            <v>ULTRAFIT-ND-ULTRAFIT VF 25</v>
          </cell>
          <cell r="C1830" t="str">
            <v>제품</v>
          </cell>
          <cell r="D1830" t="str">
            <v>윈도우 제품군</v>
          </cell>
          <cell r="E1830" t="str">
            <v>전략</v>
          </cell>
          <cell r="F1830" t="str">
            <v>SP</v>
          </cell>
        </row>
        <row r="1831">
          <cell r="A1831">
            <v>32312</v>
          </cell>
          <cell r="B1831" t="str">
            <v>ULTRAFIT-ND-ULTRAFIT VF 35</v>
          </cell>
          <cell r="C1831" t="str">
            <v>제품</v>
          </cell>
          <cell r="D1831" t="str">
            <v>윈도우 제품군</v>
          </cell>
          <cell r="E1831" t="str">
            <v>전략</v>
          </cell>
          <cell r="F1831" t="str">
            <v>SP</v>
          </cell>
        </row>
        <row r="1832">
          <cell r="A1832">
            <v>32313</v>
          </cell>
          <cell r="B1832" t="str">
            <v>ULTRAFIT-ND-ULTRAFIT VF 50</v>
          </cell>
          <cell r="C1832" t="str">
            <v>제품</v>
          </cell>
          <cell r="D1832" t="str">
            <v>윈도우 제품군</v>
          </cell>
          <cell r="E1832" t="str">
            <v>전략</v>
          </cell>
          <cell r="F1832" t="str">
            <v>SP</v>
          </cell>
        </row>
        <row r="1833">
          <cell r="A1833">
            <v>32314</v>
          </cell>
          <cell r="B1833" t="str">
            <v>ULTRAFIT-ND-ULTRAFIT VF 70</v>
          </cell>
          <cell r="C1833" t="str">
            <v>제품</v>
          </cell>
          <cell r="D1833" t="str">
            <v>윈도우 제품군</v>
          </cell>
          <cell r="E1833" t="str">
            <v>전략</v>
          </cell>
          <cell r="F1833" t="str">
            <v>SP</v>
          </cell>
        </row>
        <row r="1834">
          <cell r="A1834">
            <v>32315</v>
          </cell>
          <cell r="B1834" t="str">
            <v>ULTRAFIT-ND-ULTRAFIT VS 05</v>
          </cell>
          <cell r="C1834" t="str">
            <v>제품</v>
          </cell>
          <cell r="D1834" t="str">
            <v>윈도우 제품군</v>
          </cell>
          <cell r="E1834" t="str">
            <v>전략</v>
          </cell>
          <cell r="F1834" t="str">
            <v>SP</v>
          </cell>
        </row>
        <row r="1835">
          <cell r="A1835">
            <v>32316</v>
          </cell>
          <cell r="B1835" t="str">
            <v>ULTRAFIT-ND-ULTRAFIT VS 15</v>
          </cell>
          <cell r="C1835" t="str">
            <v>제품</v>
          </cell>
          <cell r="D1835" t="str">
            <v>윈도우 제품군</v>
          </cell>
          <cell r="E1835" t="str">
            <v>전략</v>
          </cell>
          <cell r="F1835" t="str">
            <v>SP</v>
          </cell>
        </row>
        <row r="1836">
          <cell r="A1836">
            <v>32317</v>
          </cell>
          <cell r="B1836" t="str">
            <v>ULTRAFIT-ND-ULTRAFIT VS 25</v>
          </cell>
          <cell r="C1836" t="str">
            <v>제품</v>
          </cell>
          <cell r="D1836" t="str">
            <v>윈도우 제품군</v>
          </cell>
          <cell r="E1836" t="str">
            <v>전략</v>
          </cell>
          <cell r="F1836" t="str">
            <v>SP</v>
          </cell>
        </row>
        <row r="1837">
          <cell r="A1837">
            <v>32318</v>
          </cell>
          <cell r="B1837" t="str">
            <v>ULTRAFIT-ND-ULTRAFIT VS 35</v>
          </cell>
          <cell r="C1837" t="str">
            <v>제품</v>
          </cell>
          <cell r="D1837" t="str">
            <v>윈도우 제품군</v>
          </cell>
          <cell r="E1837" t="str">
            <v>전략</v>
          </cell>
          <cell r="F1837" t="str">
            <v>SP</v>
          </cell>
        </row>
        <row r="1838">
          <cell r="A1838">
            <v>32319</v>
          </cell>
          <cell r="B1838" t="str">
            <v>ULTRAFIT-ND-ULTRAFIT VS 50</v>
          </cell>
          <cell r="C1838" t="str">
            <v>제품</v>
          </cell>
          <cell r="D1838" t="str">
            <v>윈도우 제품군</v>
          </cell>
          <cell r="E1838" t="str">
            <v>전략</v>
          </cell>
          <cell r="F1838" t="str">
            <v>SP</v>
          </cell>
        </row>
        <row r="1839">
          <cell r="A1839">
            <v>32320</v>
          </cell>
          <cell r="B1839" t="str">
            <v>ULTRAFIT-ND-ULTRAFIT VS 70</v>
          </cell>
          <cell r="C1839" t="str">
            <v>제품</v>
          </cell>
          <cell r="D1839" t="str">
            <v>윈도우 제품군</v>
          </cell>
          <cell r="E1839" t="str">
            <v>전략</v>
          </cell>
          <cell r="F1839" t="str">
            <v>SP</v>
          </cell>
        </row>
        <row r="1840">
          <cell r="A1840">
            <v>32321</v>
          </cell>
          <cell r="B1840" t="str">
            <v>Phantom(2nd)-ND-F95 3895 (항균ISR)</v>
          </cell>
          <cell r="C1840" t="str">
            <v>제품</v>
          </cell>
          <cell r="D1840" t="str">
            <v>윈도우 제품군</v>
          </cell>
          <cell r="E1840" t="str">
            <v>전략</v>
          </cell>
          <cell r="F1840" t="str">
            <v>SP</v>
          </cell>
        </row>
        <row r="1841">
          <cell r="A1841">
            <v>32333</v>
          </cell>
          <cell r="B1841" t="str">
            <v>PDLC H/C (DI向)</v>
          </cell>
          <cell r="C1841" t="str">
            <v>제품</v>
          </cell>
          <cell r="D1841" t="str">
            <v>윈도우 제품군</v>
          </cell>
          <cell r="E1841" t="str">
            <v>Transition Film</v>
          </cell>
          <cell r="F1841" t="str">
            <v>PDLC</v>
          </cell>
        </row>
        <row r="1842">
          <cell r="A1842">
            <v>32334</v>
          </cell>
          <cell r="B1842" t="str">
            <v>PDLC PSA (DI向)</v>
          </cell>
          <cell r="C1842" t="str">
            <v>제품</v>
          </cell>
          <cell r="D1842" t="str">
            <v>윈도우 제품군</v>
          </cell>
          <cell r="E1842" t="str">
            <v>Transition Film</v>
          </cell>
          <cell r="F1842" t="str">
            <v>PDLC</v>
          </cell>
        </row>
        <row r="1843">
          <cell r="A1843">
            <v>32336</v>
          </cell>
          <cell r="B1843" t="str">
            <v>PPF-NS-SGA NON CAP</v>
          </cell>
          <cell r="C1843" t="str">
            <v>제품</v>
          </cell>
          <cell r="D1843" t="str">
            <v>윈도우 제품군</v>
          </cell>
          <cell r="E1843" t="str">
            <v>HIGH-END</v>
          </cell>
          <cell r="F1843" t="str">
            <v>C-PPF</v>
          </cell>
        </row>
        <row r="1844">
          <cell r="A1844">
            <v>32337</v>
          </cell>
          <cell r="B1844" t="str">
            <v>PDLC H/C 5mil (DI向)</v>
          </cell>
          <cell r="C1844" t="str">
            <v>제품</v>
          </cell>
          <cell r="D1844" t="str">
            <v>윈도우 제품군</v>
          </cell>
          <cell r="E1844" t="str">
            <v>Transition Film</v>
          </cell>
          <cell r="F1844" t="str">
            <v>PDLC</v>
          </cell>
        </row>
        <row r="1845">
          <cell r="A1845">
            <v>32338</v>
          </cell>
          <cell r="B1845" t="str">
            <v>PDLC PSA 5mil (DI向)</v>
          </cell>
          <cell r="C1845" t="str">
            <v>제품</v>
          </cell>
          <cell r="D1845" t="str">
            <v>윈도우 제품군</v>
          </cell>
          <cell r="E1845" t="str">
            <v>Transition Film</v>
          </cell>
          <cell r="F1845" t="str">
            <v>PDLC</v>
          </cell>
        </row>
        <row r="1846">
          <cell r="A1846">
            <v>32339</v>
          </cell>
          <cell r="B1846" t="str">
            <v>PDLC H/C PF (DI向)</v>
          </cell>
          <cell r="C1846" t="str">
            <v>제품</v>
          </cell>
          <cell r="D1846" t="str">
            <v>윈도우 제품군</v>
          </cell>
          <cell r="E1846" t="str">
            <v>Transition Film</v>
          </cell>
          <cell r="F1846" t="str">
            <v>PDLC</v>
          </cell>
        </row>
        <row r="1847">
          <cell r="A1847">
            <v>32347</v>
          </cell>
          <cell r="B1847" t="str">
            <v>PDLC 7mil 보호필름</v>
          </cell>
          <cell r="C1847" t="str">
            <v>제품</v>
          </cell>
          <cell r="D1847" t="str">
            <v>윈도우 제품군</v>
          </cell>
          <cell r="E1847" t="str">
            <v>Transition Film</v>
          </cell>
          <cell r="F1847" t="str">
            <v>PDLC</v>
          </cell>
        </row>
        <row r="1848">
          <cell r="A1848">
            <v>32348</v>
          </cell>
          <cell r="B1848" t="str">
            <v>PDLC (상부 H/C) 리비콘向</v>
          </cell>
          <cell r="C1848" t="str">
            <v>제품</v>
          </cell>
          <cell r="D1848" t="str">
            <v>윈도우 제품군</v>
          </cell>
          <cell r="E1848" t="str">
            <v>Transition Film</v>
          </cell>
          <cell r="F1848" t="str">
            <v>PDLC</v>
          </cell>
        </row>
        <row r="1849">
          <cell r="A1849">
            <v>32349</v>
          </cell>
          <cell r="B1849" t="str">
            <v>PDLC (하부 PET) 리비콘向</v>
          </cell>
          <cell r="C1849" t="str">
            <v>제품</v>
          </cell>
          <cell r="D1849" t="str">
            <v>윈도우 제품군</v>
          </cell>
          <cell r="E1849" t="str">
            <v>Transition Film</v>
          </cell>
          <cell r="F1849" t="str">
            <v>PDLC</v>
          </cell>
        </row>
        <row r="1850">
          <cell r="A1850">
            <v>32352</v>
          </cell>
          <cell r="B1850" t="str">
            <v>Smith(KOR)-ND-T1 4560</v>
          </cell>
          <cell r="C1850" t="str">
            <v>제품</v>
          </cell>
          <cell r="D1850" t="str">
            <v>윈도우 제품군</v>
          </cell>
          <cell r="E1850" t="str">
            <v>전략</v>
          </cell>
          <cell r="F1850" t="str">
            <v>SP</v>
          </cell>
        </row>
        <row r="1851">
          <cell r="A1851">
            <v>32354</v>
          </cell>
          <cell r="B1851" t="str">
            <v>IR-ND-TRUEBLUE5099(건축용)</v>
          </cell>
          <cell r="C1851" t="str">
            <v>제품</v>
          </cell>
          <cell r="D1851" t="str">
            <v>윈도우 제품군</v>
          </cell>
          <cell r="E1851" t="str">
            <v>전략</v>
          </cell>
          <cell r="F1851" t="str">
            <v>IR</v>
          </cell>
        </row>
        <row r="1852">
          <cell r="A1852">
            <v>32355</v>
          </cell>
          <cell r="B1852" t="str">
            <v>편광필름 (TEST)</v>
          </cell>
          <cell r="C1852" t="str">
            <v>제품</v>
          </cell>
          <cell r="D1852" t="str">
            <v>윈도우 제품군</v>
          </cell>
          <cell r="E1852" t="str">
            <v>전략</v>
          </cell>
          <cell r="F1852" t="str">
            <v>IR</v>
          </cell>
        </row>
        <row r="1853">
          <cell r="A1853">
            <v>32356</v>
          </cell>
          <cell r="B1853" t="str">
            <v>PDLC H/C (DI向)</v>
          </cell>
          <cell r="C1853" t="str">
            <v>제품</v>
          </cell>
          <cell r="D1853" t="str">
            <v>윈도우 제품군</v>
          </cell>
          <cell r="E1853" t="str">
            <v>Transition Film</v>
          </cell>
          <cell r="F1853" t="str">
            <v>PDLC</v>
          </cell>
        </row>
        <row r="1854">
          <cell r="A1854">
            <v>32357</v>
          </cell>
          <cell r="B1854" t="str">
            <v>PDLC PSA (DI向)</v>
          </cell>
          <cell r="C1854" t="str">
            <v>제품</v>
          </cell>
          <cell r="D1854" t="str">
            <v>윈도우 제품군</v>
          </cell>
          <cell r="E1854" t="str">
            <v>Transition Film</v>
          </cell>
          <cell r="F1854" t="str">
            <v>PDLC</v>
          </cell>
        </row>
        <row r="1855">
          <cell r="A1855">
            <v>32359</v>
          </cell>
          <cell r="B1855" t="str">
            <v>Phantom(2nd)-ND-F95 3595(항균ISR)</v>
          </cell>
          <cell r="C1855" t="str">
            <v>제품</v>
          </cell>
          <cell r="D1855" t="str">
            <v>윈도우 제품군</v>
          </cell>
          <cell r="E1855" t="str">
            <v>전략</v>
          </cell>
          <cell r="F1855" t="str">
            <v>SP</v>
          </cell>
        </row>
        <row r="1856">
          <cell r="A1856">
            <v>32360</v>
          </cell>
          <cell r="B1856" t="str">
            <v>RAINBOW(KOR)-DM-VS100 05(RHN31%)</v>
          </cell>
          <cell r="C1856" t="str">
            <v>제품</v>
          </cell>
          <cell r="D1856" t="str">
            <v>윈도우 제품군</v>
          </cell>
          <cell r="E1856" t="str">
            <v>전략</v>
          </cell>
          <cell r="F1856" t="str">
            <v>SP</v>
          </cell>
        </row>
        <row r="1857">
          <cell r="A1857">
            <v>32361</v>
          </cell>
          <cell r="B1857" t="str">
            <v>RAINBOW(KOR)-DM-VS100 12(RHN31%)</v>
          </cell>
          <cell r="C1857" t="str">
            <v>제품</v>
          </cell>
          <cell r="D1857" t="str">
            <v>윈도우 제품군</v>
          </cell>
          <cell r="E1857" t="str">
            <v>전략</v>
          </cell>
          <cell r="F1857" t="str">
            <v>SP</v>
          </cell>
        </row>
        <row r="1858">
          <cell r="A1858">
            <v>32362</v>
          </cell>
          <cell r="B1858" t="str">
            <v>RAINBOW(KOR)-DM-VS100 23(RHN40%)</v>
          </cell>
          <cell r="C1858" t="str">
            <v>제품</v>
          </cell>
          <cell r="D1858" t="str">
            <v>윈도우 제품군</v>
          </cell>
          <cell r="E1858" t="str">
            <v>전략</v>
          </cell>
          <cell r="F1858" t="str">
            <v>SP</v>
          </cell>
        </row>
        <row r="1859">
          <cell r="A1859">
            <v>32363</v>
          </cell>
          <cell r="B1859" t="str">
            <v>RAINBOW(KOR)-DM-VS100 30(RHN40%)</v>
          </cell>
          <cell r="C1859" t="str">
            <v>제품</v>
          </cell>
          <cell r="D1859" t="str">
            <v>윈도우 제품군</v>
          </cell>
          <cell r="E1859" t="str">
            <v>전략</v>
          </cell>
          <cell r="F1859" t="str">
            <v>SP</v>
          </cell>
        </row>
        <row r="1860">
          <cell r="A1860">
            <v>32366</v>
          </cell>
          <cell r="B1860" t="str">
            <v>Divine(KOR)-DM-D50R(NSN70)</v>
          </cell>
          <cell r="C1860" t="str">
            <v>제품</v>
          </cell>
          <cell r="D1860" t="str">
            <v>윈도우 제품군</v>
          </cell>
          <cell r="E1860" t="str">
            <v>전략</v>
          </cell>
          <cell r="F1860" t="str">
            <v>IR</v>
          </cell>
        </row>
        <row r="1861">
          <cell r="A1861">
            <v>32369</v>
          </cell>
          <cell r="B1861" t="str">
            <v>RAINBOW(KOR)-ND-I90 1090</v>
          </cell>
          <cell r="C1861" t="str">
            <v>제품</v>
          </cell>
          <cell r="D1861" t="str">
            <v>윈도우 제품군</v>
          </cell>
          <cell r="E1861" t="str">
            <v>전략</v>
          </cell>
          <cell r="F1861" t="str">
            <v>SP</v>
          </cell>
        </row>
        <row r="1862">
          <cell r="A1862">
            <v>32370</v>
          </cell>
          <cell r="B1862" t="str">
            <v>RAINBOW(KOR)-ND-I90 4590</v>
          </cell>
          <cell r="C1862" t="str">
            <v>제품</v>
          </cell>
          <cell r="D1862" t="str">
            <v>윈도우 제품군</v>
          </cell>
          <cell r="E1862" t="str">
            <v>전략</v>
          </cell>
          <cell r="F1862" t="str">
            <v>SP</v>
          </cell>
        </row>
        <row r="1863">
          <cell r="A1863">
            <v>32371</v>
          </cell>
          <cell r="B1863" t="str">
            <v>RAINBOW(KOR)-ND-IS100S 1080</v>
          </cell>
          <cell r="C1863" t="str">
            <v>제품</v>
          </cell>
          <cell r="D1863" t="str">
            <v>윈도우 제품군</v>
          </cell>
          <cell r="E1863" t="str">
            <v>전략</v>
          </cell>
          <cell r="F1863" t="str">
            <v>SP</v>
          </cell>
        </row>
        <row r="1864">
          <cell r="A1864">
            <v>32372</v>
          </cell>
          <cell r="B1864" t="str">
            <v>RAINBOW(KOR)-ND-IS100S 4580</v>
          </cell>
          <cell r="C1864" t="str">
            <v>제품</v>
          </cell>
          <cell r="D1864" t="str">
            <v>윈도우 제품군</v>
          </cell>
          <cell r="E1864" t="str">
            <v>전략</v>
          </cell>
          <cell r="F1864" t="str">
            <v>SP</v>
          </cell>
        </row>
        <row r="1865">
          <cell r="A1865">
            <v>32373</v>
          </cell>
          <cell r="B1865" t="str">
            <v>RAINBOW(KOR)-ND-IS200 4590</v>
          </cell>
          <cell r="C1865" t="str">
            <v>제품</v>
          </cell>
          <cell r="D1865" t="str">
            <v>윈도우 제품군</v>
          </cell>
          <cell r="E1865" t="str">
            <v>전략</v>
          </cell>
          <cell r="F1865" t="str">
            <v>SP</v>
          </cell>
        </row>
        <row r="1866">
          <cell r="A1866">
            <v>32374</v>
          </cell>
          <cell r="B1866" t="str">
            <v>RAINBOW(KOR)-DM-VS100 45(RHN41%)</v>
          </cell>
          <cell r="C1866" t="str">
            <v>제품</v>
          </cell>
          <cell r="D1866" t="str">
            <v>윈도우 제품군</v>
          </cell>
          <cell r="E1866" t="str">
            <v>전략</v>
          </cell>
          <cell r="F1866" t="str">
            <v>SP</v>
          </cell>
        </row>
        <row r="1867">
          <cell r="A1867">
            <v>32375</v>
          </cell>
          <cell r="B1867" t="str">
            <v>RAINBOW(KOR)-DM-VS200 45(RHN41%)</v>
          </cell>
          <cell r="C1867" t="str">
            <v>제품</v>
          </cell>
          <cell r="D1867" t="str">
            <v>윈도우 제품군</v>
          </cell>
          <cell r="E1867" t="str">
            <v>전략</v>
          </cell>
          <cell r="F1867" t="str">
            <v>SP</v>
          </cell>
        </row>
        <row r="1868">
          <cell r="A1868">
            <v>32376</v>
          </cell>
          <cell r="B1868" t="str">
            <v>Phantom(2nd)-ND-F5 0555(항균MIBK)</v>
          </cell>
          <cell r="C1868" t="str">
            <v>제품</v>
          </cell>
          <cell r="D1868" t="str">
            <v>윈도우 제품군</v>
          </cell>
          <cell r="E1868" t="str">
            <v>전략</v>
          </cell>
          <cell r="F1868" t="str">
            <v>SP</v>
          </cell>
        </row>
        <row r="1869">
          <cell r="A1869">
            <v>32377</v>
          </cell>
          <cell r="B1869" t="str">
            <v>Phantom(2nd)-ND-F5 1255(항균MIBK)</v>
          </cell>
          <cell r="C1869" t="str">
            <v>제품</v>
          </cell>
          <cell r="D1869" t="str">
            <v>윈도우 제품군</v>
          </cell>
          <cell r="E1869" t="str">
            <v>전략</v>
          </cell>
          <cell r="F1869" t="str">
            <v>SP</v>
          </cell>
        </row>
        <row r="1870">
          <cell r="A1870">
            <v>32378</v>
          </cell>
          <cell r="B1870" t="str">
            <v>Phantom(2nd)-ND-F5 2755(항균MIBK)</v>
          </cell>
          <cell r="C1870" t="str">
            <v>제품</v>
          </cell>
          <cell r="D1870" t="str">
            <v>윈도우 제품군</v>
          </cell>
          <cell r="E1870" t="str">
            <v>전략</v>
          </cell>
          <cell r="F1870" t="str">
            <v>SP</v>
          </cell>
        </row>
        <row r="1871">
          <cell r="A1871">
            <v>32379</v>
          </cell>
          <cell r="B1871" t="str">
            <v>Phantom(2nd)-ND-F5 3855(항균MIBK)</v>
          </cell>
          <cell r="C1871" t="str">
            <v>제품</v>
          </cell>
          <cell r="D1871" t="str">
            <v>윈도우 제품군</v>
          </cell>
          <cell r="E1871" t="str">
            <v>전략</v>
          </cell>
          <cell r="F1871" t="str">
            <v>SP</v>
          </cell>
        </row>
        <row r="1872">
          <cell r="A1872">
            <v>32380</v>
          </cell>
          <cell r="B1872" t="str">
            <v>Phantom(2nd)-ND-F65 3865(항균ISR)</v>
          </cell>
          <cell r="C1872" t="str">
            <v>제품</v>
          </cell>
          <cell r="D1872" t="str">
            <v>윈도우 제품군</v>
          </cell>
          <cell r="E1872" t="str">
            <v>전략</v>
          </cell>
          <cell r="F1872" t="str">
            <v>SP</v>
          </cell>
        </row>
        <row r="1873">
          <cell r="A1873">
            <v>32381</v>
          </cell>
          <cell r="B1873" t="str">
            <v>Phantom(2nd)-ND-F85 3885(항균ISR)</v>
          </cell>
          <cell r="C1873" t="str">
            <v>제품</v>
          </cell>
          <cell r="D1873" t="str">
            <v>윈도우 제품군</v>
          </cell>
          <cell r="E1873" t="str">
            <v>전략</v>
          </cell>
          <cell r="F1873" t="str">
            <v>SP</v>
          </cell>
        </row>
        <row r="1874">
          <cell r="A1874">
            <v>32382</v>
          </cell>
          <cell r="B1874" t="str">
            <v>SP-ND-Energise SSR-M20</v>
          </cell>
          <cell r="C1874" t="str">
            <v>제품</v>
          </cell>
          <cell r="D1874" t="str">
            <v>윈도우 제품군</v>
          </cell>
          <cell r="E1874" t="str">
            <v>전략</v>
          </cell>
          <cell r="F1874" t="str">
            <v>SP</v>
          </cell>
        </row>
        <row r="1875">
          <cell r="A1875">
            <v>32385</v>
          </cell>
          <cell r="B1875" t="str">
            <v>단면 H/C (임가공용)</v>
          </cell>
          <cell r="C1875" t="str">
            <v>제품</v>
          </cell>
          <cell r="D1875" t="str">
            <v>윈도우 제품군</v>
          </cell>
          <cell r="E1875" t="str">
            <v>염료</v>
          </cell>
          <cell r="F1875" t="str">
            <v>COLEX</v>
          </cell>
        </row>
        <row r="1876">
          <cell r="A1876">
            <v>32386</v>
          </cell>
          <cell r="B1876" t="str">
            <v>ND-편광필름</v>
          </cell>
          <cell r="C1876" t="str">
            <v>제품</v>
          </cell>
          <cell r="D1876" t="str">
            <v>윈도우 제품군</v>
          </cell>
          <cell r="E1876" t="str">
            <v>염료</v>
          </cell>
          <cell r="F1876" t="str">
            <v>2PLY</v>
          </cell>
        </row>
        <row r="1877">
          <cell r="A1877">
            <v>32387</v>
          </cell>
          <cell r="B1877" t="str">
            <v>PDLC 안료점착</v>
          </cell>
          <cell r="C1877" t="str">
            <v>제품</v>
          </cell>
          <cell r="D1877" t="str">
            <v>윈도우 제품군</v>
          </cell>
          <cell r="E1877" t="str">
            <v>Transition Film</v>
          </cell>
          <cell r="F1877" t="str">
            <v>PDLC</v>
          </cell>
        </row>
        <row r="1878">
          <cell r="A1878">
            <v>32388</v>
          </cell>
          <cell r="B1878" t="str">
            <v>Signature(KOR)-DM-S50R(NSN60)</v>
          </cell>
          <cell r="C1878" t="str">
            <v>제품</v>
          </cell>
          <cell r="D1878" t="str">
            <v>윈도우 제품군</v>
          </cell>
          <cell r="E1878" t="str">
            <v>전략</v>
          </cell>
          <cell r="F1878" t="str">
            <v>IR</v>
          </cell>
        </row>
        <row r="1879">
          <cell r="A1879">
            <v>32389</v>
          </cell>
          <cell r="B1879" t="str">
            <v>Premium LX(KOR)-DM-Premium LX(NSN60)</v>
          </cell>
          <cell r="C1879" t="str">
            <v>제품</v>
          </cell>
          <cell r="D1879" t="str">
            <v>윈도우 제품군</v>
          </cell>
          <cell r="E1879" t="str">
            <v>전략</v>
          </cell>
          <cell r="F1879" t="str">
            <v>IR</v>
          </cell>
        </row>
        <row r="1880">
          <cell r="A1880">
            <v>32390</v>
          </cell>
          <cell r="B1880" t="str">
            <v>PICASUS 1295</v>
          </cell>
          <cell r="C1880" t="str">
            <v>제품</v>
          </cell>
          <cell r="D1880" t="str">
            <v>윈도우 제품군</v>
          </cell>
          <cell r="E1880" t="str">
            <v>전략</v>
          </cell>
          <cell r="F1880" t="str">
            <v>SP</v>
          </cell>
        </row>
        <row r="1881">
          <cell r="A1881">
            <v>32391</v>
          </cell>
          <cell r="B1881" t="str">
            <v>PICASUS 2795</v>
          </cell>
          <cell r="C1881" t="str">
            <v>제품</v>
          </cell>
          <cell r="D1881" t="str">
            <v>윈도우 제품군</v>
          </cell>
          <cell r="E1881" t="str">
            <v>전략</v>
          </cell>
          <cell r="F1881" t="str">
            <v>SP</v>
          </cell>
        </row>
        <row r="1882">
          <cell r="A1882">
            <v>32398</v>
          </cell>
          <cell r="B1882" t="str">
            <v>SP-ND-Energise SSR-M10</v>
          </cell>
          <cell r="C1882" t="str">
            <v>제품</v>
          </cell>
          <cell r="D1882" t="str">
            <v>윈도우 제품군</v>
          </cell>
          <cell r="E1882" t="str">
            <v>전략</v>
          </cell>
          <cell r="F1882" t="str">
            <v>SP</v>
          </cell>
        </row>
        <row r="1883">
          <cell r="A1883">
            <v>32399</v>
          </cell>
          <cell r="B1883" t="str">
            <v>SP-ND-Energise SSR-K20</v>
          </cell>
          <cell r="C1883" t="str">
            <v>제품</v>
          </cell>
          <cell r="D1883" t="str">
            <v>윈도우 제품군</v>
          </cell>
          <cell r="E1883" t="str">
            <v>전략</v>
          </cell>
          <cell r="F1883" t="str">
            <v>SP</v>
          </cell>
        </row>
        <row r="1884">
          <cell r="A1884">
            <v>32400</v>
          </cell>
          <cell r="B1884" t="str">
            <v>TEST-BLUE CARBON PATTERN PPF</v>
          </cell>
          <cell r="C1884" t="str">
            <v>제품</v>
          </cell>
          <cell r="D1884" t="str">
            <v>윈도우 제품군</v>
          </cell>
          <cell r="E1884" t="str">
            <v>HIGH-END</v>
          </cell>
          <cell r="F1884" t="str">
            <v>C-PPF</v>
          </cell>
        </row>
        <row r="1885">
          <cell r="A1885">
            <v>32401</v>
          </cell>
          <cell r="B1885" t="str">
            <v>TEST-RED FORGED PATTERN PPF</v>
          </cell>
          <cell r="C1885" t="str">
            <v>제품</v>
          </cell>
          <cell r="D1885" t="str">
            <v>윈도우 제품군</v>
          </cell>
          <cell r="E1885" t="str">
            <v>HIGH-END</v>
          </cell>
          <cell r="F1885" t="str">
            <v>C-PPF</v>
          </cell>
        </row>
        <row r="1886">
          <cell r="A1886">
            <v>32404</v>
          </cell>
          <cell r="B1886" t="str">
            <v>TEST-1Ply PET type Windshield</v>
          </cell>
          <cell r="C1886" t="str">
            <v>제품</v>
          </cell>
          <cell r="D1886" t="str">
            <v>윈도우 제품군</v>
          </cell>
          <cell r="E1886" t="str">
            <v>전략</v>
          </cell>
          <cell r="F1886" t="str">
            <v>WP4</v>
          </cell>
        </row>
        <row r="1887">
          <cell r="A1887">
            <v>32405</v>
          </cell>
          <cell r="B1887" t="str">
            <v>TEST-2Ply PET type Windshield</v>
          </cell>
          <cell r="C1887" t="str">
            <v>제품</v>
          </cell>
          <cell r="D1887" t="str">
            <v>윈도우 제품군</v>
          </cell>
          <cell r="E1887" t="str">
            <v>전략</v>
          </cell>
          <cell r="F1887" t="str">
            <v>WP4</v>
          </cell>
        </row>
        <row r="1888">
          <cell r="A1888">
            <v>32406</v>
          </cell>
          <cell r="B1888" t="str">
            <v>TEST-2Ply PMMA type Windshield</v>
          </cell>
          <cell r="C1888" t="str">
            <v>제품</v>
          </cell>
          <cell r="D1888" t="str">
            <v>윈도우 제품군</v>
          </cell>
          <cell r="E1888" t="str">
            <v>전략</v>
          </cell>
          <cell r="F1888" t="str">
            <v>WP4</v>
          </cell>
        </row>
        <row r="1889">
          <cell r="A1889">
            <v>32407</v>
          </cell>
          <cell r="B1889" t="str">
            <v>PPF-NS-ULTRAFIT XP PHOENIX RED(PEARL)</v>
          </cell>
          <cell r="C1889" t="str">
            <v>제품</v>
          </cell>
          <cell r="D1889" t="str">
            <v>윈도우 제품군</v>
          </cell>
          <cell r="E1889" t="str">
            <v>HIGH-END</v>
          </cell>
          <cell r="F1889" t="str">
            <v>C-PPF</v>
          </cell>
        </row>
        <row r="1890">
          <cell r="A1890">
            <v>32408</v>
          </cell>
          <cell r="B1890" t="str">
            <v>PDLC AB(DI向)</v>
          </cell>
          <cell r="C1890" t="str">
            <v>제품</v>
          </cell>
          <cell r="D1890" t="str">
            <v>윈도우 제품군</v>
          </cell>
          <cell r="E1890" t="str">
            <v>Transition Film</v>
          </cell>
          <cell r="F1890" t="str">
            <v>PDLC</v>
          </cell>
        </row>
        <row r="1891">
          <cell r="A1891">
            <v>32409</v>
          </cell>
          <cell r="B1891" t="str">
            <v>NS-Clear Matte (Haze 60%)</v>
          </cell>
          <cell r="C1891" t="str">
            <v>제품</v>
          </cell>
          <cell r="D1891" t="str">
            <v>윈도우 제품군</v>
          </cell>
          <cell r="E1891" t="str">
            <v>전략</v>
          </cell>
          <cell r="F1891" t="str">
            <v>SAFETY</v>
          </cell>
        </row>
        <row r="1892">
          <cell r="A1892">
            <v>32410</v>
          </cell>
          <cell r="B1892" t="str">
            <v>ND-Color Matte (Haze 50%)</v>
          </cell>
          <cell r="C1892" t="str">
            <v>제품</v>
          </cell>
          <cell r="D1892" t="str">
            <v>윈도우 제품군</v>
          </cell>
          <cell r="E1892" t="str">
            <v>전략</v>
          </cell>
          <cell r="F1892" t="str">
            <v>SAFETY</v>
          </cell>
        </row>
        <row r="1893">
          <cell r="A1893">
            <v>32411</v>
          </cell>
          <cell r="B1893" t="str">
            <v>PDLC (상부 H/C 36㎛)</v>
          </cell>
          <cell r="C1893" t="str">
            <v>제품</v>
          </cell>
          <cell r="D1893" t="str">
            <v>윈도우 제품군</v>
          </cell>
          <cell r="E1893" t="str">
            <v>Transition Film</v>
          </cell>
          <cell r="F1893" t="str">
            <v>PDLC</v>
          </cell>
        </row>
        <row r="1894">
          <cell r="A1894">
            <v>32412</v>
          </cell>
          <cell r="B1894" t="str">
            <v>PDLC (하부 PET 36㎛)</v>
          </cell>
          <cell r="C1894" t="str">
            <v>제품</v>
          </cell>
          <cell r="D1894" t="str">
            <v>윈도우 제품군</v>
          </cell>
          <cell r="E1894" t="str">
            <v>Transition Film</v>
          </cell>
          <cell r="F1894" t="str">
            <v>PDLC</v>
          </cell>
        </row>
        <row r="1895">
          <cell r="A1895">
            <v>32413</v>
          </cell>
          <cell r="B1895" t="str">
            <v>PPF-NS-TGA N (OP개선)</v>
          </cell>
          <cell r="C1895" t="str">
            <v>제품</v>
          </cell>
          <cell r="D1895" t="str">
            <v>윈도우 제품군</v>
          </cell>
          <cell r="E1895" t="str">
            <v>HIGH-END</v>
          </cell>
          <cell r="F1895" t="str">
            <v>C-PPF</v>
          </cell>
        </row>
        <row r="1896">
          <cell r="A1896">
            <v>32414</v>
          </cell>
          <cell r="B1896" t="str">
            <v>PPF-NS-Onyxhield EX9</v>
          </cell>
          <cell r="C1896" t="str">
            <v>제품</v>
          </cell>
          <cell r="D1896" t="str">
            <v>윈도우 제품군</v>
          </cell>
          <cell r="E1896" t="str">
            <v>HIGH-END</v>
          </cell>
          <cell r="F1896" t="str">
            <v>C-PPF</v>
          </cell>
        </row>
        <row r="1897">
          <cell r="A1897">
            <v>32415</v>
          </cell>
          <cell r="B1897" t="str">
            <v>PPF-NS-Onyxhield EX9 H</v>
          </cell>
          <cell r="C1897" t="str">
            <v>제품</v>
          </cell>
          <cell r="D1897" t="str">
            <v>윈도우 제품군</v>
          </cell>
          <cell r="E1897" t="str">
            <v>HIGH-END</v>
          </cell>
          <cell r="F1897" t="str">
            <v>C-PPF</v>
          </cell>
        </row>
        <row r="1898">
          <cell r="A1898">
            <v>32416</v>
          </cell>
          <cell r="B1898" t="str">
            <v>PPF-BLUE CARBON PATTERN PPF(100)</v>
          </cell>
          <cell r="C1898" t="str">
            <v>제품</v>
          </cell>
          <cell r="D1898" t="str">
            <v>윈도우 제품군</v>
          </cell>
          <cell r="E1898" t="str">
            <v>HIGH-END</v>
          </cell>
          <cell r="F1898" t="str">
            <v>C-PPF</v>
          </cell>
        </row>
        <row r="1899">
          <cell r="A1899">
            <v>32417</v>
          </cell>
          <cell r="B1899" t="str">
            <v>PPF-BLUE CARBON PATTERN PPF(150)</v>
          </cell>
          <cell r="C1899" t="str">
            <v>제품</v>
          </cell>
          <cell r="D1899" t="str">
            <v>윈도우 제품군</v>
          </cell>
          <cell r="E1899" t="str">
            <v>HIGH-END</v>
          </cell>
          <cell r="F1899" t="str">
            <v>C-PPF</v>
          </cell>
        </row>
        <row r="1900">
          <cell r="A1900">
            <v>32418</v>
          </cell>
          <cell r="B1900" t="str">
            <v>PPF-RED FORGED PATTERN PPF(100)</v>
          </cell>
          <cell r="C1900" t="str">
            <v>제품</v>
          </cell>
          <cell r="D1900" t="str">
            <v>윈도우 제품군</v>
          </cell>
          <cell r="E1900" t="str">
            <v>HIGH-END</v>
          </cell>
          <cell r="F1900" t="str">
            <v>C-PPF</v>
          </cell>
        </row>
        <row r="1901">
          <cell r="A1901">
            <v>32419</v>
          </cell>
          <cell r="B1901" t="str">
            <v>PPF-RED FORGED PATTERN PPF(150)</v>
          </cell>
          <cell r="C1901" t="str">
            <v>제품</v>
          </cell>
          <cell r="D1901" t="str">
            <v>윈도우 제품군</v>
          </cell>
          <cell r="E1901" t="str">
            <v>HIGH-END</v>
          </cell>
          <cell r="F1901" t="str">
            <v>C-PPF</v>
          </cell>
        </row>
        <row r="1902">
          <cell r="A1902">
            <v>32420</v>
          </cell>
          <cell r="B1902" t="str">
            <v>RAINBOW(KOR)-DM-BN85 0585(RHN40%)</v>
          </cell>
          <cell r="C1902" t="str">
            <v>제품</v>
          </cell>
          <cell r="D1902" t="str">
            <v>윈도우 제품군</v>
          </cell>
          <cell r="E1902" t="str">
            <v>전략</v>
          </cell>
          <cell r="F1902" t="str">
            <v>SP</v>
          </cell>
        </row>
        <row r="1903">
          <cell r="A1903">
            <v>32421</v>
          </cell>
          <cell r="B1903" t="str">
            <v>RAINBOW(KOR)-DC-BN85 1285(RHN31%)</v>
          </cell>
          <cell r="C1903" t="str">
            <v>제품</v>
          </cell>
          <cell r="D1903" t="str">
            <v>윈도우 제품군</v>
          </cell>
          <cell r="E1903" t="str">
            <v>전략</v>
          </cell>
          <cell r="F1903" t="str">
            <v>SP</v>
          </cell>
        </row>
        <row r="1904">
          <cell r="A1904">
            <v>32422</v>
          </cell>
          <cell r="B1904" t="str">
            <v>RAINBOW(KOR)-DC-BN85 2385(RHN31%)</v>
          </cell>
          <cell r="C1904" t="str">
            <v>제품</v>
          </cell>
          <cell r="D1904" t="str">
            <v>윈도우 제품군</v>
          </cell>
          <cell r="E1904" t="str">
            <v>전략</v>
          </cell>
          <cell r="F1904" t="str">
            <v>SP</v>
          </cell>
        </row>
        <row r="1905">
          <cell r="A1905">
            <v>32423</v>
          </cell>
          <cell r="B1905" t="str">
            <v>RAINBOW(KOR)-DC-BN85 2885(RHN40%)</v>
          </cell>
          <cell r="C1905" t="str">
            <v>제품</v>
          </cell>
          <cell r="D1905" t="str">
            <v>윈도우 제품군</v>
          </cell>
          <cell r="E1905" t="str">
            <v>전략</v>
          </cell>
          <cell r="F1905" t="str">
            <v>SP</v>
          </cell>
        </row>
        <row r="1906">
          <cell r="A1906">
            <v>32424</v>
          </cell>
          <cell r="B1906" t="str">
            <v>RAINBOW(KOR)-DM-BN100 0590RHN40%)</v>
          </cell>
          <cell r="C1906" t="str">
            <v>제품</v>
          </cell>
          <cell r="D1906" t="str">
            <v>윈도우 제품군</v>
          </cell>
          <cell r="E1906" t="str">
            <v>전략</v>
          </cell>
          <cell r="F1906" t="str">
            <v>SP</v>
          </cell>
        </row>
        <row r="1907">
          <cell r="A1907">
            <v>32425</v>
          </cell>
          <cell r="B1907" t="str">
            <v>RAINBOW(KOR)-DC-BN100 1090RHN31%)</v>
          </cell>
          <cell r="C1907" t="str">
            <v>제품</v>
          </cell>
          <cell r="D1907" t="str">
            <v>윈도우 제품군</v>
          </cell>
          <cell r="E1907" t="str">
            <v>전략</v>
          </cell>
          <cell r="F1907" t="str">
            <v>SP</v>
          </cell>
        </row>
        <row r="1908">
          <cell r="A1908">
            <v>32426</v>
          </cell>
          <cell r="B1908" t="str">
            <v>RAINBOW(KOR)-DC-BN100 2390RHN31%)</v>
          </cell>
          <cell r="C1908" t="str">
            <v>제품</v>
          </cell>
          <cell r="D1908" t="str">
            <v>윈도우 제품군</v>
          </cell>
          <cell r="E1908" t="str">
            <v>전략</v>
          </cell>
          <cell r="F1908" t="str">
            <v>SP</v>
          </cell>
        </row>
        <row r="1909">
          <cell r="A1909">
            <v>32427</v>
          </cell>
          <cell r="B1909" t="str">
            <v>RAINBOW(KOR)-DC-BN100 2890RHN40%)</v>
          </cell>
          <cell r="C1909" t="str">
            <v>제품</v>
          </cell>
          <cell r="D1909" t="str">
            <v>윈도우 제품군</v>
          </cell>
          <cell r="E1909" t="str">
            <v>전략</v>
          </cell>
          <cell r="F1909" t="str">
            <v>SP</v>
          </cell>
        </row>
        <row r="1910">
          <cell r="A1910">
            <v>32428</v>
          </cell>
          <cell r="B1910" t="str">
            <v>PDLC 투명점착(PSA 36㎛) DI向</v>
          </cell>
          <cell r="C1910" t="str">
            <v>제품</v>
          </cell>
          <cell r="D1910" t="str">
            <v>윈도우 제품군</v>
          </cell>
          <cell r="E1910" t="str">
            <v>Transition Film</v>
          </cell>
          <cell r="F1910" t="str">
            <v>PDLC</v>
          </cell>
        </row>
        <row r="1911">
          <cell r="A1911">
            <v>32429</v>
          </cell>
          <cell r="B1911" t="str">
            <v>PPF-NS-PPF이형지(SM50-10L-WHITE 88㎛)</v>
          </cell>
          <cell r="C1911" t="str">
            <v>제품</v>
          </cell>
          <cell r="D1911" t="str">
            <v>윈도우 제품군</v>
          </cell>
          <cell r="E1911" t="str">
            <v>염료</v>
          </cell>
          <cell r="F1911" t="str">
            <v>COLEX</v>
          </cell>
        </row>
        <row r="1912">
          <cell r="A1912">
            <v>32430</v>
          </cell>
          <cell r="B1912" t="str">
            <v>PPF-NS-PPF이형지(SM50-10L-WHITE 105㎛)</v>
          </cell>
          <cell r="C1912" t="str">
            <v>제품</v>
          </cell>
          <cell r="D1912" t="str">
            <v>윈도우 제품군</v>
          </cell>
          <cell r="E1912" t="str">
            <v>염료</v>
          </cell>
          <cell r="F1912" t="str">
            <v>COLEX</v>
          </cell>
        </row>
        <row r="1913">
          <cell r="A1913">
            <v>32431</v>
          </cell>
          <cell r="B1913" t="str">
            <v>PPF-NS-Onyxhield EX11</v>
          </cell>
          <cell r="C1913" t="str">
            <v>제품</v>
          </cell>
          <cell r="D1913" t="str">
            <v>윈도우 제품군</v>
          </cell>
          <cell r="E1913" t="str">
            <v>HIGH-END</v>
          </cell>
          <cell r="F1913" t="str">
            <v>C-PPF</v>
          </cell>
        </row>
        <row r="1914">
          <cell r="A1914">
            <v>32433</v>
          </cell>
          <cell r="B1914" t="str">
            <v>PPF-NS-PPF HL Butter Yellow (Kaizer)</v>
          </cell>
          <cell r="C1914" t="str">
            <v>제품</v>
          </cell>
          <cell r="D1914" t="str">
            <v>윈도우 제품군</v>
          </cell>
          <cell r="E1914" t="str">
            <v>HIGH-END</v>
          </cell>
          <cell r="F1914" t="str">
            <v>C-PPF</v>
          </cell>
        </row>
        <row r="1915">
          <cell r="A1915">
            <v>32434</v>
          </cell>
          <cell r="B1915" t="str">
            <v>PPF-NS-PPF HL Iron Gray (Kaizer)</v>
          </cell>
          <cell r="C1915" t="str">
            <v>제품</v>
          </cell>
          <cell r="D1915" t="str">
            <v>윈도우 제품군</v>
          </cell>
          <cell r="E1915" t="str">
            <v>HIGH-END</v>
          </cell>
          <cell r="F1915" t="str">
            <v>C-PPF</v>
          </cell>
        </row>
        <row r="1916">
          <cell r="A1916">
            <v>32435</v>
          </cell>
          <cell r="B1916" t="str">
            <v>편광필름-PF-T2-48</v>
          </cell>
          <cell r="C1916" t="str">
            <v>제품</v>
          </cell>
          <cell r="D1916" t="str">
            <v>윈도우 제품군</v>
          </cell>
          <cell r="E1916" t="str">
            <v>전략</v>
          </cell>
          <cell r="F1916" t="str">
            <v>SAFETY</v>
          </cell>
        </row>
        <row r="1917">
          <cell r="A1917">
            <v>32436</v>
          </cell>
          <cell r="B1917" t="str">
            <v>SF-NS-4MIL(SR 3~4um)</v>
          </cell>
          <cell r="C1917" t="str">
            <v>제품</v>
          </cell>
          <cell r="D1917" t="str">
            <v>윈도우 제품군</v>
          </cell>
          <cell r="E1917" t="str">
            <v>전략</v>
          </cell>
          <cell r="F1917" t="str">
            <v>SAFETY</v>
          </cell>
        </row>
        <row r="1918">
          <cell r="A1918">
            <v>32437</v>
          </cell>
          <cell r="B1918" t="str">
            <v>TEST-PPF-SGA(NON CAP)</v>
          </cell>
          <cell r="C1918" t="str">
            <v>제품</v>
          </cell>
          <cell r="D1918" t="str">
            <v>윈도우 제품군</v>
          </cell>
          <cell r="E1918" t="str">
            <v>HIGH-END</v>
          </cell>
          <cell r="F1918" t="str">
            <v>C-PPF</v>
          </cell>
        </row>
        <row r="1919">
          <cell r="A1919">
            <v>32438</v>
          </cell>
          <cell r="B1919" t="str">
            <v>TEST-PPF-NON CAP (SM50-50-10L)</v>
          </cell>
          <cell r="C1919" t="str">
            <v>제품</v>
          </cell>
          <cell r="D1919" t="str">
            <v>윈도우 제품군</v>
          </cell>
          <cell r="E1919" t="str">
            <v>HIGH-END</v>
          </cell>
          <cell r="F1919" t="str">
            <v>C-PPF</v>
          </cell>
        </row>
        <row r="1920">
          <cell r="A1920">
            <v>32439</v>
          </cell>
          <cell r="B1920" t="str">
            <v>TEST-PPF-SGA ver.UP(Non Cap)</v>
          </cell>
          <cell r="C1920" t="str">
            <v>제품</v>
          </cell>
          <cell r="D1920" t="str">
            <v>윈도우 제품군</v>
          </cell>
          <cell r="E1920" t="str">
            <v>HIGH-END</v>
          </cell>
          <cell r="F1920" t="str">
            <v>C-PPF</v>
          </cell>
        </row>
        <row r="1921">
          <cell r="A1921">
            <v>32446</v>
          </cell>
          <cell r="B1921" t="str">
            <v>PPF-NS-Onyxhield EXa RED</v>
          </cell>
          <cell r="C1921" t="str">
            <v>제품</v>
          </cell>
          <cell r="D1921" t="str">
            <v>윈도우 제품군</v>
          </cell>
          <cell r="E1921" t="str">
            <v>HIGH-END</v>
          </cell>
          <cell r="F1921" t="str">
            <v>C-PPF</v>
          </cell>
        </row>
        <row r="1922">
          <cell r="A1922">
            <v>32447</v>
          </cell>
          <cell r="B1922" t="str">
            <v>PDLC (LIVICON 투명 PSA)</v>
          </cell>
          <cell r="C1922" t="str">
            <v>제품</v>
          </cell>
          <cell r="D1922" t="str">
            <v>윈도우 제품군</v>
          </cell>
          <cell r="E1922" t="str">
            <v>Transition Film</v>
          </cell>
          <cell r="F1922" t="str">
            <v>PDLC</v>
          </cell>
        </row>
        <row r="1923">
          <cell r="A1923">
            <v>32448</v>
          </cell>
          <cell r="B1923" t="str">
            <v>PPF-NS-Onyxhield EXa BLUE</v>
          </cell>
          <cell r="C1923" t="str">
            <v>제품</v>
          </cell>
          <cell r="D1923" t="str">
            <v>윈도우 제품군</v>
          </cell>
          <cell r="E1923" t="str">
            <v>HIGH-END</v>
          </cell>
          <cell r="F1923" t="str">
            <v>C-PPF</v>
          </cell>
        </row>
        <row r="1924">
          <cell r="A1924">
            <v>32449</v>
          </cell>
          <cell r="B1924" t="str">
            <v>PPF-SGM(점착개선)</v>
          </cell>
          <cell r="C1924" t="str">
            <v>제품</v>
          </cell>
          <cell r="D1924" t="str">
            <v>윈도우 제품군</v>
          </cell>
          <cell r="E1924" t="str">
            <v>HIGH-END</v>
          </cell>
          <cell r="F1924" t="str">
            <v>C-PPF</v>
          </cell>
        </row>
        <row r="1925">
          <cell r="A1925">
            <v>32452</v>
          </cell>
          <cell r="B1925" t="str">
            <v>PPF-ND-Big forged Pattern</v>
          </cell>
          <cell r="C1925" t="str">
            <v>제품</v>
          </cell>
          <cell r="D1925" t="str">
            <v>윈도우 제품군</v>
          </cell>
          <cell r="E1925" t="str">
            <v>HIGH-END</v>
          </cell>
          <cell r="F1925" t="str">
            <v>C-PPF</v>
          </cell>
        </row>
        <row r="1926">
          <cell r="A1926">
            <v>32453</v>
          </cell>
          <cell r="B1926" t="str">
            <v>PPF-NS-Onyxhield EXa MATT</v>
          </cell>
          <cell r="C1926" t="str">
            <v>제품</v>
          </cell>
          <cell r="D1926" t="str">
            <v>윈도우 제품군</v>
          </cell>
          <cell r="E1926" t="str">
            <v>HIGH-END</v>
          </cell>
          <cell r="F1926" t="str">
            <v>C-PPF</v>
          </cell>
        </row>
        <row r="1927">
          <cell r="A1927">
            <v>32454</v>
          </cell>
          <cell r="B1927" t="str">
            <v>IRSF-ND-IR1090+4MIL</v>
          </cell>
          <cell r="C1927" t="str">
            <v>제품</v>
          </cell>
          <cell r="D1927" t="str">
            <v>윈도우 제품군</v>
          </cell>
          <cell r="E1927" t="str">
            <v>전략</v>
          </cell>
          <cell r="F1927" t="str">
            <v>IR</v>
          </cell>
        </row>
        <row r="1928">
          <cell r="A1928">
            <v>32455</v>
          </cell>
          <cell r="B1928" t="str">
            <v>Windshield ver 2.0 (PET 1PLY)</v>
          </cell>
          <cell r="C1928" t="str">
            <v>제품</v>
          </cell>
          <cell r="D1928" t="str">
            <v>윈도우 제품군</v>
          </cell>
          <cell r="E1928" t="str">
            <v>전략</v>
          </cell>
          <cell r="F1928" t="str">
            <v>WP4</v>
          </cell>
        </row>
        <row r="1929">
          <cell r="A1929">
            <v>32457</v>
          </cell>
          <cell r="B1929" t="str">
            <v>PPF-ND-Diamond cut forged carbon PPF</v>
          </cell>
          <cell r="C1929" t="str">
            <v>제품</v>
          </cell>
          <cell r="D1929" t="str">
            <v>윈도우 제품군</v>
          </cell>
          <cell r="E1929" t="str">
            <v>HIGH-END</v>
          </cell>
          <cell r="F1929" t="str">
            <v>C-PPF</v>
          </cell>
        </row>
        <row r="1930">
          <cell r="A1930">
            <v>32458</v>
          </cell>
          <cell r="B1930" t="str">
            <v>Phantom(Charcoal)-ND-S5 0550(MEP)</v>
          </cell>
          <cell r="C1930" t="str">
            <v>제품</v>
          </cell>
          <cell r="D1930" t="str">
            <v>윈도우 제품군</v>
          </cell>
          <cell r="E1930" t="str">
            <v>전략</v>
          </cell>
          <cell r="F1930" t="str">
            <v>SP</v>
          </cell>
        </row>
        <row r="1931">
          <cell r="A1931">
            <v>32459</v>
          </cell>
          <cell r="B1931" t="str">
            <v>Phantom(Charcoal)-ND-S5 1550(MEP)</v>
          </cell>
          <cell r="C1931" t="str">
            <v>제품</v>
          </cell>
          <cell r="D1931" t="str">
            <v>윈도우 제품군</v>
          </cell>
          <cell r="E1931" t="str">
            <v>전략</v>
          </cell>
          <cell r="F1931" t="str">
            <v>SP</v>
          </cell>
        </row>
        <row r="1932">
          <cell r="A1932">
            <v>32460</v>
          </cell>
          <cell r="B1932" t="str">
            <v>Phantom(Charcoal)-ND-S5 2050(MEP)</v>
          </cell>
          <cell r="C1932" t="str">
            <v>제품</v>
          </cell>
          <cell r="D1932" t="str">
            <v>윈도우 제품군</v>
          </cell>
          <cell r="E1932" t="str">
            <v>전략</v>
          </cell>
          <cell r="F1932" t="str">
            <v>SP</v>
          </cell>
        </row>
        <row r="1933">
          <cell r="A1933">
            <v>32461</v>
          </cell>
          <cell r="B1933" t="str">
            <v>Phantom(Charcoal)-ND-S5 4050(MEP)</v>
          </cell>
          <cell r="C1933" t="str">
            <v>제품</v>
          </cell>
          <cell r="D1933" t="str">
            <v>윈도우 제품군</v>
          </cell>
          <cell r="E1933" t="str">
            <v>전략</v>
          </cell>
          <cell r="F1933" t="str">
            <v>SP</v>
          </cell>
        </row>
        <row r="1934">
          <cell r="A1934">
            <v>32462</v>
          </cell>
          <cell r="B1934" t="str">
            <v>Phantom(Charcoal)-ND-S5 5050(MEP)</v>
          </cell>
          <cell r="C1934" t="str">
            <v>제품</v>
          </cell>
          <cell r="D1934" t="str">
            <v>윈도우 제품군</v>
          </cell>
          <cell r="E1934" t="str">
            <v>전략</v>
          </cell>
          <cell r="F1934" t="str">
            <v>SP</v>
          </cell>
        </row>
        <row r="1935">
          <cell r="A1935">
            <v>32465</v>
          </cell>
          <cell r="B1935" t="str">
            <v>SP-ND-Energise SSR-M30</v>
          </cell>
          <cell r="C1935" t="str">
            <v>제품</v>
          </cell>
          <cell r="D1935" t="str">
            <v>윈도우 제품군</v>
          </cell>
          <cell r="E1935" t="str">
            <v>전략</v>
          </cell>
          <cell r="F1935" t="str">
            <v>SP</v>
          </cell>
        </row>
        <row r="1936">
          <cell r="A1936">
            <v>32466</v>
          </cell>
          <cell r="B1936" t="str">
            <v>PPF-NS-IVIOS Kaizer Red PPF</v>
          </cell>
          <cell r="C1936" t="str">
            <v>제품</v>
          </cell>
          <cell r="D1936" t="str">
            <v>윈도우 제품군</v>
          </cell>
          <cell r="E1936" t="str">
            <v>HIGH-END</v>
          </cell>
          <cell r="F1936" t="str">
            <v>C-PPF</v>
          </cell>
        </row>
        <row r="1937">
          <cell r="A1937">
            <v>32467</v>
          </cell>
          <cell r="B1937" t="str">
            <v>PPF-NS-IVIOS Kaizer Blue PPF</v>
          </cell>
          <cell r="C1937" t="str">
            <v>제품</v>
          </cell>
          <cell r="D1937" t="str">
            <v>윈도우 제품군</v>
          </cell>
          <cell r="E1937" t="str">
            <v>HIGH-END</v>
          </cell>
          <cell r="F1937" t="str">
            <v>C-PPF</v>
          </cell>
        </row>
        <row r="1938">
          <cell r="A1938">
            <v>32468</v>
          </cell>
          <cell r="B1938" t="str">
            <v>PPF-NS-IVIOS Kaizer Blue pearl PPF</v>
          </cell>
          <cell r="C1938" t="str">
            <v>제품</v>
          </cell>
          <cell r="D1938" t="str">
            <v>윈도우 제품군</v>
          </cell>
          <cell r="E1938" t="str">
            <v>HIGH-END</v>
          </cell>
          <cell r="F1938" t="str">
            <v>C-PPF</v>
          </cell>
        </row>
        <row r="1939">
          <cell r="A1939">
            <v>32469</v>
          </cell>
          <cell r="B1939" t="str">
            <v>PPF-NS-IVIOS Kaizer White satin PPF</v>
          </cell>
          <cell r="C1939" t="str">
            <v>제품</v>
          </cell>
          <cell r="D1939" t="str">
            <v>윈도우 제품군</v>
          </cell>
          <cell r="E1939" t="str">
            <v>HIGH-END</v>
          </cell>
          <cell r="F1939" t="str">
            <v>C-PPF</v>
          </cell>
        </row>
        <row r="1940">
          <cell r="A1940">
            <v>32470</v>
          </cell>
          <cell r="B1940" t="str">
            <v>PPF-NS-ULTRAFIT XP SUPREME TOP(PX93-15)</v>
          </cell>
          <cell r="C1940" t="str">
            <v>제품</v>
          </cell>
          <cell r="D1940" t="str">
            <v>윈도우 제품군</v>
          </cell>
          <cell r="E1940" t="str">
            <v>HIGH-END</v>
          </cell>
          <cell r="F1940" t="str">
            <v>C-PPF</v>
          </cell>
        </row>
        <row r="1941">
          <cell r="A1941">
            <v>32471</v>
          </cell>
          <cell r="B1941" t="str">
            <v>ULTRAFIT-ND-ULTRAFIT VC 02</v>
          </cell>
          <cell r="C1941" t="str">
            <v>제품</v>
          </cell>
          <cell r="D1941" t="str">
            <v>윈도우 제품군</v>
          </cell>
          <cell r="E1941" t="str">
            <v>전략</v>
          </cell>
          <cell r="F1941" t="str">
            <v>SP</v>
          </cell>
        </row>
        <row r="1942">
          <cell r="A1942">
            <v>32472</v>
          </cell>
          <cell r="B1942" t="str">
            <v>PPF-NS-Onyxhield Exa ONYX CARBON</v>
          </cell>
          <cell r="C1942" t="str">
            <v>제품</v>
          </cell>
          <cell r="D1942" t="str">
            <v>윈도우 제품군</v>
          </cell>
          <cell r="E1942" t="str">
            <v>HIGH-END</v>
          </cell>
          <cell r="F1942" t="str">
            <v>C-PPF</v>
          </cell>
        </row>
        <row r="1943">
          <cell r="A1943">
            <v>32473</v>
          </cell>
          <cell r="B1943" t="str">
            <v>PPF-NS-Onyxhield Exa BLIZZARD CARBON</v>
          </cell>
          <cell r="C1943" t="str">
            <v>제품</v>
          </cell>
          <cell r="D1943" t="str">
            <v>윈도우 제품군</v>
          </cell>
          <cell r="E1943" t="str">
            <v>HIGH-END</v>
          </cell>
          <cell r="F1943" t="str">
            <v>C-PPF</v>
          </cell>
        </row>
        <row r="1944">
          <cell r="A1944">
            <v>32474</v>
          </cell>
          <cell r="B1944" t="str">
            <v>PPF-NS-Onyxhield Exa MATTE BLACK</v>
          </cell>
          <cell r="C1944" t="str">
            <v>제품</v>
          </cell>
          <cell r="D1944" t="str">
            <v>윈도우 제품군</v>
          </cell>
          <cell r="E1944" t="str">
            <v>HIGH-END</v>
          </cell>
          <cell r="F1944" t="str">
            <v>C-PPF</v>
          </cell>
        </row>
        <row r="1945">
          <cell r="A1945">
            <v>32475</v>
          </cell>
          <cell r="B1945" t="str">
            <v>DI向 AB Film</v>
          </cell>
          <cell r="C1945" t="str">
            <v>제품</v>
          </cell>
          <cell r="D1945" t="str">
            <v>윈도우 제품군</v>
          </cell>
          <cell r="E1945" t="str">
            <v>Transition Film</v>
          </cell>
          <cell r="F1945" t="str">
            <v>PDLC</v>
          </cell>
        </row>
        <row r="1946">
          <cell r="A1946">
            <v>32477</v>
          </cell>
          <cell r="B1946" t="str">
            <v>편광필름-PF-T2-48(보호필름적용)</v>
          </cell>
          <cell r="C1946" t="str">
            <v>제품</v>
          </cell>
          <cell r="D1946" t="str">
            <v>윈도우 제품군</v>
          </cell>
          <cell r="E1946" t="str">
            <v>전략</v>
          </cell>
          <cell r="F1946" t="str">
            <v>SAFETY</v>
          </cell>
        </row>
        <row r="1947">
          <cell r="A1947">
            <v>32478</v>
          </cell>
          <cell r="B1947" t="str">
            <v>2Ply PET type Windshield (ESR)</v>
          </cell>
          <cell r="C1947" t="str">
            <v>제품</v>
          </cell>
          <cell r="D1947" t="str">
            <v>윈도우 제품군</v>
          </cell>
          <cell r="E1947" t="str">
            <v>전략</v>
          </cell>
          <cell r="F1947" t="str">
            <v>WP4</v>
          </cell>
        </row>
        <row r="1948">
          <cell r="A1948">
            <v>32480</v>
          </cell>
          <cell r="B1948" t="str">
            <v>ULTRAFIT-ND-ULTRAFIT VS 80</v>
          </cell>
          <cell r="C1948" t="str">
            <v>제품</v>
          </cell>
          <cell r="D1948" t="str">
            <v>윈도우 제품군</v>
          </cell>
          <cell r="E1948" t="str">
            <v>전략</v>
          </cell>
          <cell r="F1948" t="str">
            <v>SP</v>
          </cell>
        </row>
        <row r="1949">
          <cell r="A1949">
            <v>32482</v>
          </cell>
          <cell r="B1949" t="str">
            <v>3A FILM</v>
          </cell>
          <cell r="C1949" t="str">
            <v>상품</v>
          </cell>
          <cell r="D1949" t="str">
            <v>윈도우 제품군</v>
          </cell>
          <cell r="E1949" t="str">
            <v>FILM</v>
          </cell>
          <cell r="F1949" t="str">
            <v>FILM</v>
          </cell>
        </row>
        <row r="1950">
          <cell r="A1950">
            <v>32483</v>
          </cell>
          <cell r="B1950" t="str">
            <v>2Ply PET type Windshield (TOP)</v>
          </cell>
          <cell r="C1950" t="str">
            <v>제품</v>
          </cell>
          <cell r="D1950" t="str">
            <v>윈도우 제품군</v>
          </cell>
          <cell r="E1950" t="str">
            <v>전략</v>
          </cell>
          <cell r="F1950" t="str">
            <v>WP4</v>
          </cell>
        </row>
        <row r="1951">
          <cell r="A1951">
            <v>32487</v>
          </cell>
          <cell r="B1951" t="str">
            <v>PPF-NS-ULTRAFIT XP PEARL WHITE</v>
          </cell>
          <cell r="C1951" t="str">
            <v>제품</v>
          </cell>
          <cell r="D1951" t="str">
            <v>윈도우 제품군</v>
          </cell>
          <cell r="E1951" t="str">
            <v>HIGH-END</v>
          </cell>
          <cell r="F1951" t="str">
            <v>C-PPF</v>
          </cell>
        </row>
        <row r="1952">
          <cell r="A1952">
            <v>32488</v>
          </cell>
          <cell r="B1952" t="str">
            <v>SP-ND-Energise SSR-M40</v>
          </cell>
          <cell r="C1952" t="str">
            <v>제품</v>
          </cell>
          <cell r="D1952" t="str">
            <v>윈도우 제품군</v>
          </cell>
          <cell r="E1952" t="str">
            <v>전략</v>
          </cell>
          <cell r="F1952" t="str">
            <v>SP</v>
          </cell>
        </row>
        <row r="1953">
          <cell r="A1953">
            <v>32489</v>
          </cell>
          <cell r="B1953" t="str">
            <v>Phantom(Charcoal)-ND-S5 7550(MEP)</v>
          </cell>
          <cell r="C1953" t="str">
            <v>제품</v>
          </cell>
          <cell r="D1953" t="str">
            <v>윈도우 제품군</v>
          </cell>
          <cell r="E1953" t="str">
            <v>전략</v>
          </cell>
          <cell r="F1953" t="str">
            <v>SP</v>
          </cell>
        </row>
        <row r="1954">
          <cell r="A1954">
            <v>32495</v>
          </cell>
          <cell r="B1954" t="str">
            <v>Phantom(2nd)-ND-F5 1555(항균MIBK)</v>
          </cell>
          <cell r="C1954" t="str">
            <v>제품</v>
          </cell>
          <cell r="D1954" t="str">
            <v>윈도우 제품군</v>
          </cell>
          <cell r="E1954" t="str">
            <v>전략</v>
          </cell>
          <cell r="F1954" t="str">
            <v>SP</v>
          </cell>
        </row>
        <row r="1955">
          <cell r="A1955">
            <v>32496</v>
          </cell>
          <cell r="B1955" t="str">
            <v>Phantom(2nd)-ND-F5 3555(항균MIBK)</v>
          </cell>
          <cell r="C1955" t="str">
            <v>제품</v>
          </cell>
          <cell r="D1955" t="str">
            <v>윈도우 제품군</v>
          </cell>
          <cell r="E1955" t="str">
            <v>전략</v>
          </cell>
          <cell r="F1955" t="str">
            <v>SP</v>
          </cell>
        </row>
        <row r="1956">
          <cell r="A1956">
            <v>32497</v>
          </cell>
          <cell r="B1956" t="str">
            <v>Phantom(2nd)-ND-F5 4555(항균MIBK)</v>
          </cell>
          <cell r="C1956" t="str">
            <v>제품</v>
          </cell>
          <cell r="D1956" t="str">
            <v>윈도우 제품군</v>
          </cell>
          <cell r="E1956" t="str">
            <v>전략</v>
          </cell>
          <cell r="F1956" t="str">
            <v>SP</v>
          </cell>
        </row>
        <row r="1957">
          <cell r="A1957">
            <v>32498</v>
          </cell>
          <cell r="B1957" t="str">
            <v>PPF-NS-ULTRAFIT XP AURORA AQUA</v>
          </cell>
          <cell r="C1957" t="str">
            <v>제품</v>
          </cell>
          <cell r="D1957" t="str">
            <v>윈도우 제품군</v>
          </cell>
          <cell r="E1957" t="str">
            <v>HIGH-END</v>
          </cell>
          <cell r="F1957" t="str">
            <v>C-PPF</v>
          </cell>
        </row>
        <row r="1958">
          <cell r="A1958">
            <v>32499</v>
          </cell>
          <cell r="B1958" t="str">
            <v>PPF-NS-ULTRAFIT XP AURORA FOREST</v>
          </cell>
          <cell r="C1958" t="str">
            <v>제품</v>
          </cell>
          <cell r="D1958" t="str">
            <v>윈도우 제품군</v>
          </cell>
          <cell r="E1958" t="str">
            <v>HIGH-END</v>
          </cell>
          <cell r="F1958" t="str">
            <v>C-PPF</v>
          </cell>
        </row>
        <row r="1959">
          <cell r="A1959">
            <v>32500</v>
          </cell>
          <cell r="B1959" t="str">
            <v>PPF-NS-ULTRAFIT XP AURORA MAGENTA</v>
          </cell>
          <cell r="C1959" t="str">
            <v>제품</v>
          </cell>
          <cell r="D1959" t="str">
            <v>윈도우 제품군</v>
          </cell>
          <cell r="E1959" t="str">
            <v>HIGH-END</v>
          </cell>
          <cell r="F1959" t="str">
            <v>C-PPF</v>
          </cell>
        </row>
        <row r="1960">
          <cell r="A1960">
            <v>32501</v>
          </cell>
          <cell r="B1960" t="str">
            <v>PPF-NS-ULTRAFIT XP AURORA PURPLE</v>
          </cell>
          <cell r="C1960" t="str">
            <v>제품</v>
          </cell>
          <cell r="D1960" t="str">
            <v>윈도우 제품군</v>
          </cell>
          <cell r="E1960" t="str">
            <v>HIGH-END</v>
          </cell>
          <cell r="F1960" t="str">
            <v>C-PPF</v>
          </cell>
        </row>
        <row r="1961">
          <cell r="A1961">
            <v>32502</v>
          </cell>
          <cell r="B1961" t="str">
            <v>PPF-NS-ULTRAFIT XP AURORA SILVER</v>
          </cell>
          <cell r="C1961" t="str">
            <v>제품</v>
          </cell>
          <cell r="D1961" t="str">
            <v>윈도우 제품군</v>
          </cell>
          <cell r="E1961" t="str">
            <v>HIGH-END</v>
          </cell>
          <cell r="F1961" t="str">
            <v>C-PPF</v>
          </cell>
        </row>
        <row r="1962">
          <cell r="A1962">
            <v>32503</v>
          </cell>
          <cell r="B1962" t="str">
            <v>PPF-NS-ULTRAFIT XP DEEP CHROMA BLUE</v>
          </cell>
          <cell r="C1962" t="str">
            <v>제품</v>
          </cell>
          <cell r="D1962" t="str">
            <v>윈도우 제품군</v>
          </cell>
          <cell r="E1962" t="str">
            <v>HIGH-END</v>
          </cell>
          <cell r="F1962" t="str">
            <v>C-PPF</v>
          </cell>
        </row>
        <row r="1963">
          <cell r="A1963">
            <v>32504</v>
          </cell>
          <cell r="B1963" t="str">
            <v>PPF-NS-ULTRAFIT XP TUSCAN YELLOW (PEARL)</v>
          </cell>
          <cell r="C1963" t="str">
            <v>제품</v>
          </cell>
          <cell r="D1963" t="str">
            <v>윈도우 제품군</v>
          </cell>
          <cell r="E1963" t="str">
            <v>HIGH-END</v>
          </cell>
          <cell r="F1963" t="str">
            <v>C-PPF</v>
          </cell>
        </row>
        <row r="1964">
          <cell r="A1964">
            <v>32505</v>
          </cell>
          <cell r="B1964" t="str">
            <v>PPF-NS-ULTRAFIT XP METALLIC SILVER (PEARL)</v>
          </cell>
          <cell r="C1964" t="str">
            <v>제품</v>
          </cell>
          <cell r="D1964" t="str">
            <v>윈도우 제품군</v>
          </cell>
          <cell r="E1964" t="str">
            <v>HIGH-END</v>
          </cell>
          <cell r="F1964" t="str">
            <v>C-PPF</v>
          </cell>
        </row>
        <row r="1965">
          <cell r="A1965">
            <v>32506</v>
          </cell>
          <cell r="B1965" t="str">
            <v>PPF-NS-ULTRAFIT XP METALLIC ROSE SILVER (PEARL)</v>
          </cell>
          <cell r="C1965" t="str">
            <v>제품</v>
          </cell>
          <cell r="D1965" t="str">
            <v>윈도우 제품군</v>
          </cell>
          <cell r="E1965" t="str">
            <v>HIGH-END</v>
          </cell>
          <cell r="F1965" t="str">
            <v>C-PPF</v>
          </cell>
        </row>
        <row r="1966">
          <cell r="A1966">
            <v>32507</v>
          </cell>
          <cell r="B1966" t="str">
            <v>ULTRAFIT-NS-ULTRAFIT WinCrest Clear</v>
          </cell>
          <cell r="C1966" t="str">
            <v>제품</v>
          </cell>
          <cell r="D1966" t="str">
            <v>윈도우 제품군</v>
          </cell>
          <cell r="E1966" t="str">
            <v>전략</v>
          </cell>
          <cell r="F1966" t="str">
            <v>WP4</v>
          </cell>
        </row>
        <row r="1967">
          <cell r="A1967">
            <v>32508</v>
          </cell>
          <cell r="B1967" t="str">
            <v>SPDM-SCHUTZEN HX90 13 (RHN 25%)</v>
          </cell>
          <cell r="C1967" t="str">
            <v>제품</v>
          </cell>
          <cell r="D1967" t="str">
            <v>윈도우 제품군</v>
          </cell>
          <cell r="E1967" t="str">
            <v>전략</v>
          </cell>
          <cell r="F1967" t="str">
            <v>SP</v>
          </cell>
        </row>
        <row r="1968">
          <cell r="A1968">
            <v>32509</v>
          </cell>
          <cell r="B1968" t="str">
            <v>SPDM-SCHUTZEN HX90 20 (RHN 31%)</v>
          </cell>
          <cell r="C1968" t="str">
            <v>제품</v>
          </cell>
          <cell r="D1968" t="str">
            <v>윈도우 제품군</v>
          </cell>
          <cell r="E1968" t="str">
            <v>전략</v>
          </cell>
          <cell r="F1968" t="str">
            <v>SP</v>
          </cell>
        </row>
        <row r="1969">
          <cell r="A1969">
            <v>32510</v>
          </cell>
          <cell r="B1969" t="str">
            <v>SPDM-SCHUTZEN HX80 07 (RHN 25%)</v>
          </cell>
          <cell r="C1969" t="str">
            <v>제품</v>
          </cell>
          <cell r="D1969" t="str">
            <v>윈도우 제품군</v>
          </cell>
          <cell r="E1969" t="str">
            <v>전략</v>
          </cell>
          <cell r="F1969" t="str">
            <v>SP</v>
          </cell>
        </row>
        <row r="1970">
          <cell r="A1970">
            <v>32511</v>
          </cell>
          <cell r="B1970" t="str">
            <v>SPDM-SCHUTZEN HX80 13 (RHN 25%)</v>
          </cell>
          <cell r="C1970" t="str">
            <v>제품</v>
          </cell>
          <cell r="D1970" t="str">
            <v>윈도우 제품군</v>
          </cell>
          <cell r="E1970" t="str">
            <v>전략</v>
          </cell>
          <cell r="F1970" t="str">
            <v>SP</v>
          </cell>
        </row>
        <row r="1971">
          <cell r="A1971">
            <v>32512</v>
          </cell>
          <cell r="B1971" t="str">
            <v>SPDM-SCHUTZEN HX80 20 (RHN 31%)</v>
          </cell>
          <cell r="C1971" t="str">
            <v>제품</v>
          </cell>
          <cell r="D1971" t="str">
            <v>윈도우 제품군</v>
          </cell>
          <cell r="E1971" t="str">
            <v>전략</v>
          </cell>
          <cell r="F1971" t="str">
            <v>SP</v>
          </cell>
        </row>
        <row r="1972">
          <cell r="A1972">
            <v>32513</v>
          </cell>
          <cell r="B1972" t="str">
            <v>SPDM-SCHUTZEN HX80 27 (RHN 31%)</v>
          </cell>
          <cell r="C1972" t="str">
            <v>제품</v>
          </cell>
          <cell r="D1972" t="str">
            <v>윈도우 제품군</v>
          </cell>
          <cell r="E1972" t="str">
            <v>전략</v>
          </cell>
          <cell r="F1972" t="str">
            <v>SP</v>
          </cell>
        </row>
        <row r="1973">
          <cell r="A1973">
            <v>32521</v>
          </cell>
          <cell r="B1973" t="str">
            <v>RAINBOW(KOR)-DM-LUCE 05(RHN25%)</v>
          </cell>
          <cell r="C1973" t="str">
            <v>제품</v>
          </cell>
          <cell r="D1973" t="str">
            <v>윈도우 제품군</v>
          </cell>
          <cell r="E1973" t="str">
            <v>전략</v>
          </cell>
          <cell r="F1973" t="str">
            <v>SP</v>
          </cell>
        </row>
        <row r="1974">
          <cell r="A1974">
            <v>32522</v>
          </cell>
          <cell r="B1974" t="str">
            <v>RAINBOW(KOR)-DM-LUCE 10(RHN25%)</v>
          </cell>
          <cell r="C1974" t="str">
            <v>제품</v>
          </cell>
          <cell r="D1974" t="str">
            <v>윈도우 제품군</v>
          </cell>
          <cell r="E1974" t="str">
            <v>전략</v>
          </cell>
          <cell r="F1974" t="str">
            <v>SP</v>
          </cell>
        </row>
        <row r="1975">
          <cell r="A1975">
            <v>32523</v>
          </cell>
          <cell r="B1975" t="str">
            <v>RAINBOW(KOR)-DM-LUCE 22(RHN31%)</v>
          </cell>
          <cell r="C1975" t="str">
            <v>제품</v>
          </cell>
          <cell r="D1975" t="str">
            <v>윈도우 제품군</v>
          </cell>
          <cell r="E1975" t="str">
            <v>전략</v>
          </cell>
          <cell r="F1975" t="str">
            <v>SP</v>
          </cell>
        </row>
        <row r="1976">
          <cell r="A1976">
            <v>32524</v>
          </cell>
          <cell r="B1976" t="str">
            <v>RAINBOW(KOR)-DM-LUCE 28(RHN40%)</v>
          </cell>
          <cell r="C1976" t="str">
            <v>제품</v>
          </cell>
          <cell r="D1976" t="str">
            <v>윈도우 제품군</v>
          </cell>
          <cell r="E1976" t="str">
            <v>전략</v>
          </cell>
          <cell r="F1976" t="str">
            <v>SP</v>
          </cell>
        </row>
        <row r="1977">
          <cell r="A1977">
            <v>32525</v>
          </cell>
          <cell r="B1977" t="str">
            <v>SF-NS-2MIL(썬바이져용)-중박리(RX660-60A)</v>
          </cell>
          <cell r="C1977" t="str">
            <v>제품</v>
          </cell>
          <cell r="D1977" t="str">
            <v>윈도우 제품군</v>
          </cell>
          <cell r="E1977" t="str">
            <v>전략</v>
          </cell>
          <cell r="F1977" t="str">
            <v>SAFETY</v>
          </cell>
        </row>
        <row r="1978">
          <cell r="A1978">
            <v>32528</v>
          </cell>
          <cell r="B1978" t="str">
            <v>상보텍 100um (H/C + 점착)</v>
          </cell>
          <cell r="C1978" t="str">
            <v>제품</v>
          </cell>
          <cell r="D1978" t="str">
            <v>윈도우 제품군</v>
          </cell>
          <cell r="E1978" t="str">
            <v>전략</v>
          </cell>
          <cell r="F1978" t="str">
            <v>SAFETY</v>
          </cell>
        </row>
        <row r="1979">
          <cell r="A1979">
            <v>32529</v>
          </cell>
          <cell r="B1979" t="str">
            <v>상보텍 충돌방지 점착(비산)</v>
          </cell>
          <cell r="C1979" t="str">
            <v>제품</v>
          </cell>
          <cell r="D1979" t="str">
            <v>윈도우 제품군</v>
          </cell>
          <cell r="E1979" t="str">
            <v>전략</v>
          </cell>
          <cell r="F1979" t="str">
            <v>SAFETY</v>
          </cell>
        </row>
        <row r="1980">
          <cell r="A1980">
            <v>32530</v>
          </cell>
          <cell r="B1980" t="str">
            <v>SP-ND-Energise CRT15</v>
          </cell>
          <cell r="C1980" t="str">
            <v>제품</v>
          </cell>
          <cell r="D1980" t="str">
            <v>윈도우 제품군</v>
          </cell>
          <cell r="E1980" t="str">
            <v>전략</v>
          </cell>
          <cell r="F1980" t="str">
            <v>SP</v>
          </cell>
        </row>
        <row r="1981">
          <cell r="A1981">
            <v>32531</v>
          </cell>
          <cell r="B1981" t="str">
            <v>SP-ND-Energise CRT35</v>
          </cell>
          <cell r="C1981" t="str">
            <v>제품</v>
          </cell>
          <cell r="D1981" t="str">
            <v>윈도우 제품군</v>
          </cell>
          <cell r="E1981" t="str">
            <v>전략</v>
          </cell>
          <cell r="F1981" t="str">
            <v>SP</v>
          </cell>
        </row>
        <row r="1982">
          <cell r="A1982">
            <v>32532</v>
          </cell>
          <cell r="B1982" t="str">
            <v>ULTRAFIT-NS-ULTRAFIT WinCrest Clear</v>
          </cell>
          <cell r="C1982" t="str">
            <v>제품</v>
          </cell>
          <cell r="D1982" t="str">
            <v>윈도우 제품군</v>
          </cell>
          <cell r="E1982" t="str">
            <v>전략</v>
          </cell>
          <cell r="F1982" t="str">
            <v>WP4</v>
          </cell>
        </row>
        <row r="1983">
          <cell r="A1983">
            <v>32533</v>
          </cell>
          <cell r="B1983" t="str">
            <v>Low price TPU (미사용)</v>
          </cell>
          <cell r="C1983" t="str">
            <v>제품</v>
          </cell>
          <cell r="D1983" t="str">
            <v>윈도우 제품군</v>
          </cell>
          <cell r="E1983" t="str">
            <v>HIGH-END</v>
          </cell>
          <cell r="F1983" t="str">
            <v>C-PPF</v>
          </cell>
        </row>
        <row r="1984">
          <cell r="A1984">
            <v>32534</v>
          </cell>
          <cell r="B1984" t="str">
            <v>PPF-NS-TGA N (SPECIAL)</v>
          </cell>
          <cell r="C1984" t="str">
            <v>제품</v>
          </cell>
          <cell r="D1984" t="str">
            <v>윈도우 제품군</v>
          </cell>
          <cell r="E1984" t="str">
            <v>HIGH-END</v>
          </cell>
          <cell r="F1984" t="str">
            <v>C-PPF</v>
          </cell>
        </row>
        <row r="1985">
          <cell r="A1985">
            <v>32536</v>
          </cell>
          <cell r="B1985" t="str">
            <v>SPDM-SCHUTZEN HX90 07 (RHN 25%)</v>
          </cell>
          <cell r="C1985" t="str">
            <v>제품</v>
          </cell>
          <cell r="D1985" t="str">
            <v>윈도우 제품군</v>
          </cell>
          <cell r="E1985" t="str">
            <v>전략</v>
          </cell>
          <cell r="F1985" t="str">
            <v>SP</v>
          </cell>
        </row>
        <row r="1986">
          <cell r="A1986">
            <v>32537</v>
          </cell>
          <cell r="B1986" t="str">
            <v>SPDM-SCHUTZEN HX90 27 (RHN 31%)</v>
          </cell>
          <cell r="C1986" t="str">
            <v>제품</v>
          </cell>
          <cell r="D1986" t="str">
            <v>윈도우 제품군</v>
          </cell>
          <cell r="E1986" t="str">
            <v>전략</v>
          </cell>
          <cell r="F1986" t="str">
            <v>SP</v>
          </cell>
        </row>
        <row r="1987">
          <cell r="A1987">
            <v>32538</v>
          </cell>
          <cell r="B1987" t="str">
            <v>SPDC-SCHUTZEN FX90 TB07 (NiCr31-DYED)</v>
          </cell>
          <cell r="C1987" t="str">
            <v>제품</v>
          </cell>
          <cell r="D1987" t="str">
            <v>윈도우 제품군</v>
          </cell>
          <cell r="E1987" t="str">
            <v>전략</v>
          </cell>
          <cell r="F1987" t="str">
            <v>SP</v>
          </cell>
        </row>
        <row r="1988">
          <cell r="A1988">
            <v>32539</v>
          </cell>
          <cell r="B1988" t="str">
            <v>SPDC-SCHUTZEN FX90 TB27 (NiCr31)</v>
          </cell>
          <cell r="C1988" t="str">
            <v>제품</v>
          </cell>
          <cell r="D1988" t="str">
            <v>윈도우 제품군</v>
          </cell>
          <cell r="E1988" t="str">
            <v>전략</v>
          </cell>
          <cell r="F1988" t="str">
            <v>SP</v>
          </cell>
        </row>
        <row r="1989">
          <cell r="A1989">
            <v>32540</v>
          </cell>
          <cell r="B1989" t="str">
            <v>SPDC-SCHUTZEN FX90 VB07 (NiCr31-DYED)</v>
          </cell>
          <cell r="C1989" t="str">
            <v>제품</v>
          </cell>
          <cell r="D1989" t="str">
            <v>윈도우 제품군</v>
          </cell>
          <cell r="E1989" t="str">
            <v>전략</v>
          </cell>
          <cell r="F1989" t="str">
            <v>SP</v>
          </cell>
        </row>
        <row r="1990">
          <cell r="A1990">
            <v>32541</v>
          </cell>
          <cell r="B1990" t="str">
            <v>SPDC-SCHUTZEN FX90 VB27 (NiCr31)</v>
          </cell>
          <cell r="C1990" t="str">
            <v>제품</v>
          </cell>
          <cell r="D1990" t="str">
            <v>윈도우 제품군</v>
          </cell>
          <cell r="E1990" t="str">
            <v>전략</v>
          </cell>
          <cell r="F1990" t="str">
            <v>SP</v>
          </cell>
        </row>
        <row r="1991">
          <cell r="A1991">
            <v>32544</v>
          </cell>
          <cell r="B1991" t="str">
            <v>PPF-NS-ULTRAFIT XP Olive Green(PEARL)</v>
          </cell>
          <cell r="C1991" t="str">
            <v>제품</v>
          </cell>
          <cell r="D1991" t="str">
            <v>윈도우 제품군</v>
          </cell>
          <cell r="E1991" t="str">
            <v>HIGH-END</v>
          </cell>
          <cell r="F1991" t="str">
            <v>C-PPF</v>
          </cell>
        </row>
        <row r="1992">
          <cell r="A1992">
            <v>32547</v>
          </cell>
          <cell r="B1992" t="str">
            <v>Phantom(2nd)-ND-F5 5055(항균MIBK)</v>
          </cell>
          <cell r="C1992" t="str">
            <v>제품</v>
          </cell>
          <cell r="D1992" t="str">
            <v>윈도우 제품군</v>
          </cell>
          <cell r="E1992" t="str">
            <v>전략</v>
          </cell>
          <cell r="F1992" t="str">
            <v>SP</v>
          </cell>
        </row>
        <row r="1993">
          <cell r="A1993">
            <v>32548</v>
          </cell>
          <cell r="B1993" t="str">
            <v>Phantom(2nd)-ND-F65 5065(항균ISR)</v>
          </cell>
          <cell r="C1993" t="str">
            <v>제품</v>
          </cell>
          <cell r="D1993" t="str">
            <v>윈도우 제품군</v>
          </cell>
          <cell r="E1993" t="str">
            <v>전략</v>
          </cell>
          <cell r="F1993" t="str">
            <v>SP</v>
          </cell>
        </row>
        <row r="1994">
          <cell r="A1994">
            <v>32549</v>
          </cell>
          <cell r="B1994" t="str">
            <v>Phantom(2nd)-ND-F85 5085(항균ISR)</v>
          </cell>
          <cell r="C1994" t="str">
            <v>제품</v>
          </cell>
          <cell r="D1994" t="str">
            <v>윈도우 제품군</v>
          </cell>
          <cell r="E1994" t="str">
            <v>전략</v>
          </cell>
          <cell r="F1994" t="str">
            <v>SP</v>
          </cell>
        </row>
        <row r="1995">
          <cell r="A1995">
            <v>32550</v>
          </cell>
          <cell r="B1995" t="str">
            <v>열차단 PPF</v>
          </cell>
          <cell r="C1995" t="str">
            <v>제품</v>
          </cell>
          <cell r="D1995" t="str">
            <v>윈도우 제품군</v>
          </cell>
          <cell r="E1995" t="str">
            <v>HIGH-END</v>
          </cell>
          <cell r="F1995" t="str">
            <v>C-PPF</v>
          </cell>
        </row>
        <row r="1996">
          <cell r="A1996">
            <v>32551</v>
          </cell>
          <cell r="B1996" t="str">
            <v>PPF-NS-IVIOS Kaizer White PPF</v>
          </cell>
          <cell r="C1996" t="str">
            <v>제품</v>
          </cell>
          <cell r="D1996" t="str">
            <v>윈도우 제품군</v>
          </cell>
          <cell r="E1996" t="str">
            <v>HIGH-END</v>
          </cell>
          <cell r="F1996" t="str">
            <v>C-PPF</v>
          </cell>
        </row>
        <row r="1997">
          <cell r="A1997">
            <v>32552</v>
          </cell>
          <cell r="B1997" t="str">
            <v>PPF-NS-SGA N (SPECIAL)</v>
          </cell>
          <cell r="C1997" t="str">
            <v>제품</v>
          </cell>
          <cell r="D1997" t="str">
            <v>윈도우 제품군</v>
          </cell>
          <cell r="E1997" t="str">
            <v>HIGH-END</v>
          </cell>
          <cell r="F1997" t="str">
            <v>C-PPF</v>
          </cell>
        </row>
        <row r="1998">
          <cell r="A1998">
            <v>32553</v>
          </cell>
          <cell r="B1998" t="str">
            <v>TEST-PPF 개선</v>
          </cell>
          <cell r="C1998" t="str">
            <v>제품</v>
          </cell>
          <cell r="D1998" t="str">
            <v>윈도우 제품군</v>
          </cell>
          <cell r="E1998" t="str">
            <v>HIGH-END</v>
          </cell>
          <cell r="F1998" t="str">
            <v>C-PPF</v>
          </cell>
        </row>
        <row r="1999">
          <cell r="A1999">
            <v>32554</v>
          </cell>
          <cell r="B1999" t="str">
            <v>SPDC-SCHUTZEN FX90 BG07 (NiCr31-DYED)</v>
          </cell>
          <cell r="C1999" t="str">
            <v>제품</v>
          </cell>
          <cell r="D1999" t="str">
            <v>윈도우 제품군</v>
          </cell>
          <cell r="E1999" t="str">
            <v>전략</v>
          </cell>
          <cell r="F1999" t="str">
            <v>SP</v>
          </cell>
        </row>
        <row r="2000">
          <cell r="A2000">
            <v>32555</v>
          </cell>
          <cell r="B2000" t="str">
            <v>SPDC-SCHUTZEN FX90 BG27 (NiCr31)</v>
          </cell>
          <cell r="C2000" t="str">
            <v>제품</v>
          </cell>
          <cell r="D2000" t="str">
            <v>윈도우 제품군</v>
          </cell>
          <cell r="E2000" t="str">
            <v>전략</v>
          </cell>
          <cell r="F2000" t="str">
            <v>SP</v>
          </cell>
        </row>
        <row r="2001">
          <cell r="A2001">
            <v>32556</v>
          </cell>
          <cell r="B2001" t="str">
            <v>WP-NS-IVIOS Axion</v>
          </cell>
          <cell r="C2001" t="str">
            <v>제품</v>
          </cell>
          <cell r="D2001" t="str">
            <v>윈도우 제품군</v>
          </cell>
          <cell r="E2001" t="str">
            <v>전략</v>
          </cell>
          <cell r="F2001" t="str">
            <v>WP4</v>
          </cell>
        </row>
        <row r="2002">
          <cell r="A2002">
            <v>32557</v>
          </cell>
          <cell r="B2002" t="str">
            <v>PPF-NS-Onyxhield EXa Gulf Blue</v>
          </cell>
          <cell r="C2002" t="str">
            <v>제품</v>
          </cell>
          <cell r="D2002" t="str">
            <v>윈도우 제품군</v>
          </cell>
          <cell r="E2002" t="str">
            <v>HIGH-END</v>
          </cell>
          <cell r="F2002" t="str">
            <v>C-PPF</v>
          </cell>
        </row>
        <row r="2003">
          <cell r="A2003">
            <v>32558</v>
          </cell>
          <cell r="B2003" t="str">
            <v>PPF-NS-Onyxhield EXa Shade Green</v>
          </cell>
          <cell r="C2003" t="str">
            <v>제품</v>
          </cell>
          <cell r="D2003" t="str">
            <v>윈도우 제품군</v>
          </cell>
          <cell r="E2003" t="str">
            <v>HIGH-END</v>
          </cell>
          <cell r="F2003" t="str">
            <v>C-PPF</v>
          </cell>
        </row>
        <row r="2004">
          <cell r="A2004">
            <v>32563</v>
          </cell>
          <cell r="B2004" t="str">
            <v>LGC向 안료점착 개발 샘플</v>
          </cell>
          <cell r="C2004" t="str">
            <v>제품</v>
          </cell>
          <cell r="D2004" t="str">
            <v>윈도우 제품군</v>
          </cell>
          <cell r="E2004" t="str">
            <v>전략</v>
          </cell>
          <cell r="F2004" t="str">
            <v>SP</v>
          </cell>
        </row>
        <row r="2005">
          <cell r="A2005">
            <v>32569</v>
          </cell>
          <cell r="B2005" t="str">
            <v>PPF-NS-ULTRAFIT XP Olive Green Satin(PEARL)</v>
          </cell>
          <cell r="C2005" t="str">
            <v>제품</v>
          </cell>
          <cell r="D2005" t="str">
            <v>윈도우 제품군</v>
          </cell>
          <cell r="E2005" t="str">
            <v>HIGH-END</v>
          </cell>
          <cell r="F2005" t="str">
            <v>C-PPF</v>
          </cell>
        </row>
        <row r="2006">
          <cell r="A2006">
            <v>32570</v>
          </cell>
          <cell r="B2006" t="str">
            <v>PPF-NS-ULTRAFIT XP PEARL WHITE Satin</v>
          </cell>
          <cell r="C2006" t="str">
            <v>제품</v>
          </cell>
          <cell r="D2006" t="str">
            <v>윈도우 제품군</v>
          </cell>
          <cell r="E2006" t="str">
            <v>HIGH-END</v>
          </cell>
          <cell r="F2006" t="str">
            <v>C-PPF</v>
          </cell>
        </row>
        <row r="2007">
          <cell r="A2007">
            <v>32571</v>
          </cell>
          <cell r="B2007" t="str">
            <v>PPF-NS-ULTRAFIT XP Metallic Silver Satin(PEARL)</v>
          </cell>
          <cell r="C2007" t="str">
            <v>제품</v>
          </cell>
          <cell r="D2007" t="str">
            <v>윈도우 제품군</v>
          </cell>
          <cell r="E2007" t="str">
            <v>HIGH-END</v>
          </cell>
          <cell r="F2007" t="str">
            <v>C-PPF</v>
          </cell>
        </row>
        <row r="2008">
          <cell r="A2008">
            <v>32582</v>
          </cell>
          <cell r="B2008" t="str">
            <v>PPF-NS-Onyxhield EXa Crayon</v>
          </cell>
          <cell r="C2008" t="str">
            <v>제품</v>
          </cell>
          <cell r="D2008" t="str">
            <v>윈도우 제품군</v>
          </cell>
          <cell r="E2008" t="str">
            <v>HIGH-END</v>
          </cell>
          <cell r="F2008" t="str">
            <v>C-PPF</v>
          </cell>
        </row>
        <row r="2009">
          <cell r="A2009">
            <v>32583</v>
          </cell>
          <cell r="B2009" t="str">
            <v>SPD(S개선2)-ND-2070 (G7 20%)</v>
          </cell>
          <cell r="C2009" t="str">
            <v>제품</v>
          </cell>
          <cell r="D2009" t="str">
            <v>윈도우 제품군</v>
          </cell>
          <cell r="E2009" t="str">
            <v>전략</v>
          </cell>
          <cell r="F2009" t="str">
            <v>SP</v>
          </cell>
        </row>
        <row r="2010">
          <cell r="A2010">
            <v>32584</v>
          </cell>
          <cell r="B2010" t="str">
            <v>PPF-NS-ULTRAFIT XP RETRO TUSCAN YELLOW (PEARL)</v>
          </cell>
          <cell r="C2010" t="str">
            <v>제품</v>
          </cell>
          <cell r="D2010" t="str">
            <v>윈도우 제품군</v>
          </cell>
          <cell r="E2010" t="str">
            <v>HIGH-END</v>
          </cell>
          <cell r="F2010" t="str">
            <v>C-PPF</v>
          </cell>
        </row>
        <row r="2011">
          <cell r="A2011">
            <v>32585</v>
          </cell>
          <cell r="B2011" t="str">
            <v>PPF-NS-Onyxhield EXa Valencia Orange</v>
          </cell>
          <cell r="C2011" t="str">
            <v>제품</v>
          </cell>
          <cell r="D2011" t="str">
            <v>윈도우 제품군</v>
          </cell>
          <cell r="E2011" t="str">
            <v>HIGH-END</v>
          </cell>
          <cell r="F2011" t="str">
            <v>C-PPF</v>
          </cell>
        </row>
        <row r="2012">
          <cell r="A2012">
            <v>32586</v>
          </cell>
          <cell r="B2012" t="str">
            <v>SPD-SCHUTZEN CX60 40</v>
          </cell>
          <cell r="C2012" t="str">
            <v>제품</v>
          </cell>
          <cell r="D2012" t="str">
            <v>윈도우 제품군</v>
          </cell>
          <cell r="E2012" t="str">
            <v>전략</v>
          </cell>
          <cell r="F2012" t="str">
            <v>SP</v>
          </cell>
        </row>
        <row r="2013">
          <cell r="A2013">
            <v>32587</v>
          </cell>
          <cell r="B2013" t="str">
            <v>SPD-SCHUTZEN CX60 50</v>
          </cell>
          <cell r="C2013" t="str">
            <v>제품</v>
          </cell>
          <cell r="D2013" t="str">
            <v>윈도우 제품군</v>
          </cell>
          <cell r="E2013" t="str">
            <v>전략</v>
          </cell>
          <cell r="F2013" t="str">
            <v>SP</v>
          </cell>
        </row>
        <row r="2014">
          <cell r="A2014">
            <v>32588</v>
          </cell>
          <cell r="B2014" t="str">
            <v>SPD-SCHUTZEN CX60 70</v>
          </cell>
          <cell r="C2014" t="str">
            <v>제품</v>
          </cell>
          <cell r="D2014" t="str">
            <v>윈도우 제품군</v>
          </cell>
          <cell r="E2014" t="str">
            <v>전략</v>
          </cell>
          <cell r="F2014" t="str">
            <v>SP</v>
          </cell>
        </row>
        <row r="2015">
          <cell r="A2015">
            <v>32589</v>
          </cell>
          <cell r="B2015" t="str">
            <v>SPD-SCHUTZEN CX90 05(NEW)</v>
          </cell>
          <cell r="C2015" t="str">
            <v>제품</v>
          </cell>
          <cell r="D2015" t="str">
            <v>윈도우 제품군</v>
          </cell>
          <cell r="E2015" t="str">
            <v>전략</v>
          </cell>
          <cell r="F2015" t="str">
            <v>SP</v>
          </cell>
        </row>
        <row r="2016">
          <cell r="A2016">
            <v>32590</v>
          </cell>
          <cell r="B2016" t="str">
            <v>SPD-SCHUTZEN CX90 12(NEW)</v>
          </cell>
          <cell r="C2016" t="str">
            <v>제품</v>
          </cell>
          <cell r="D2016" t="str">
            <v>윈도우 제품군</v>
          </cell>
          <cell r="E2016" t="str">
            <v>전략</v>
          </cell>
          <cell r="F2016" t="str">
            <v>SP</v>
          </cell>
        </row>
        <row r="2017">
          <cell r="A2017">
            <v>32591</v>
          </cell>
          <cell r="B2017" t="str">
            <v>SPD-SCHUTZEN CX90 30(NEW)</v>
          </cell>
          <cell r="C2017" t="str">
            <v>제품</v>
          </cell>
          <cell r="D2017" t="str">
            <v>윈도우 제품군</v>
          </cell>
          <cell r="E2017" t="str">
            <v>전략</v>
          </cell>
          <cell r="F2017" t="str">
            <v>SP</v>
          </cell>
        </row>
        <row r="2018">
          <cell r="A2018">
            <v>32592</v>
          </cell>
          <cell r="B2018" t="str">
            <v>SPD-SCHUTZEN CX90 40(NEW)</v>
          </cell>
          <cell r="C2018" t="str">
            <v>제품</v>
          </cell>
          <cell r="D2018" t="str">
            <v>윈도우 제품군</v>
          </cell>
          <cell r="E2018" t="str">
            <v>전략</v>
          </cell>
          <cell r="F2018" t="str">
            <v>SP</v>
          </cell>
        </row>
        <row r="2019">
          <cell r="A2019">
            <v>32593</v>
          </cell>
          <cell r="B2019" t="str">
            <v>SPD-SCHUTZEN CX90 50(NEW)</v>
          </cell>
          <cell r="C2019" t="str">
            <v>제품</v>
          </cell>
          <cell r="D2019" t="str">
            <v>윈도우 제품군</v>
          </cell>
          <cell r="E2019" t="str">
            <v>전략</v>
          </cell>
          <cell r="F2019" t="str">
            <v>SP</v>
          </cell>
        </row>
        <row r="2020">
          <cell r="A2020">
            <v>32594</v>
          </cell>
          <cell r="B2020" t="str">
            <v>SPD-SCHUTZEN CX90 70(NEW)</v>
          </cell>
          <cell r="C2020" t="str">
            <v>제품</v>
          </cell>
          <cell r="D2020" t="str">
            <v>윈도우 제품군</v>
          </cell>
          <cell r="E2020" t="str">
            <v>전략</v>
          </cell>
          <cell r="F2020" t="str">
            <v>SP</v>
          </cell>
        </row>
        <row r="2021">
          <cell r="A2021">
            <v>32595</v>
          </cell>
          <cell r="B2021" t="str">
            <v>SPD-ND-LG向 CARBON</v>
          </cell>
          <cell r="C2021" t="str">
            <v>제품</v>
          </cell>
          <cell r="D2021" t="str">
            <v>윈도우 제품군</v>
          </cell>
          <cell r="E2021" t="str">
            <v>전략</v>
          </cell>
          <cell r="F2021" t="str">
            <v>SP</v>
          </cell>
        </row>
        <row r="2022">
          <cell r="A2022">
            <v>32597</v>
          </cell>
          <cell r="B2022" t="str">
            <v>RAINBOW(KOR)-ND-Legend Grace 1597</v>
          </cell>
          <cell r="C2022" t="str">
            <v>제품</v>
          </cell>
          <cell r="D2022" t="str">
            <v>윈도우 제품군</v>
          </cell>
          <cell r="E2022" t="str">
            <v>전략</v>
          </cell>
          <cell r="F2022" t="str">
            <v>SP</v>
          </cell>
        </row>
        <row r="2023">
          <cell r="A2023">
            <v>32598</v>
          </cell>
          <cell r="B2023" t="str">
            <v>RAINBOW(KOR)-ND-Legend Grace 2397</v>
          </cell>
          <cell r="C2023" t="str">
            <v>제품</v>
          </cell>
          <cell r="D2023" t="str">
            <v>윈도우 제품군</v>
          </cell>
          <cell r="E2023" t="str">
            <v>전략</v>
          </cell>
          <cell r="F2023" t="str">
            <v>SP</v>
          </cell>
        </row>
        <row r="2024">
          <cell r="A2024">
            <v>32599</v>
          </cell>
          <cell r="B2024" t="str">
            <v>RAINBOW(KOR)-ND-Legend Grace 3397</v>
          </cell>
          <cell r="C2024" t="str">
            <v>제품</v>
          </cell>
          <cell r="D2024" t="str">
            <v>윈도우 제품군</v>
          </cell>
          <cell r="E2024" t="str">
            <v>전략</v>
          </cell>
          <cell r="F2024" t="str">
            <v>SP</v>
          </cell>
        </row>
        <row r="2025">
          <cell r="A2025">
            <v>32600</v>
          </cell>
          <cell r="B2025" t="str">
            <v>RAINBOW(KOR)-ND-Legend Grace 4597</v>
          </cell>
          <cell r="C2025" t="str">
            <v>제품</v>
          </cell>
          <cell r="D2025" t="str">
            <v>윈도우 제품군</v>
          </cell>
          <cell r="E2025" t="str">
            <v>전략</v>
          </cell>
          <cell r="F2025" t="str">
            <v>SP</v>
          </cell>
        </row>
        <row r="2026">
          <cell r="A2026">
            <v>32601</v>
          </cell>
          <cell r="B2026" t="str">
            <v>RAINBOW(KOR)-ND-Legend Grace 0597</v>
          </cell>
          <cell r="C2026" t="str">
            <v>제품</v>
          </cell>
          <cell r="D2026" t="str">
            <v>윈도우 제품군</v>
          </cell>
          <cell r="E2026" t="str">
            <v>전략</v>
          </cell>
          <cell r="F2026" t="str">
            <v>SP</v>
          </cell>
        </row>
        <row r="2027">
          <cell r="A2027">
            <v>32602</v>
          </cell>
          <cell r="B2027" t="str">
            <v>RAINBOW(KOR)-DM-Legend Luminous 0597(RHN31%)</v>
          </cell>
          <cell r="C2027" t="str">
            <v>제품</v>
          </cell>
          <cell r="D2027" t="str">
            <v>윈도우 제품군</v>
          </cell>
          <cell r="E2027" t="str">
            <v>전략</v>
          </cell>
          <cell r="F2027" t="str">
            <v>SP</v>
          </cell>
        </row>
        <row r="2028">
          <cell r="A2028">
            <v>32603</v>
          </cell>
          <cell r="B2028" t="str">
            <v>RAINBOW(KOR)-DM-Legend Luminous 1297(RHN31%)</v>
          </cell>
          <cell r="C2028" t="str">
            <v>제품</v>
          </cell>
          <cell r="D2028" t="str">
            <v>윈도우 제품군</v>
          </cell>
          <cell r="E2028" t="str">
            <v>전략</v>
          </cell>
          <cell r="F2028" t="str">
            <v>SP</v>
          </cell>
        </row>
        <row r="2029">
          <cell r="A2029">
            <v>32604</v>
          </cell>
          <cell r="B2029" t="str">
            <v>RAINBOW(KOR)-DM-Legend Luminous 2297(RHN40%)</v>
          </cell>
          <cell r="C2029" t="str">
            <v>제품</v>
          </cell>
          <cell r="D2029" t="str">
            <v>윈도우 제품군</v>
          </cell>
          <cell r="E2029" t="str">
            <v>전략</v>
          </cell>
          <cell r="F2029" t="str">
            <v>SP</v>
          </cell>
        </row>
        <row r="2030">
          <cell r="A2030">
            <v>32605</v>
          </cell>
          <cell r="B2030" t="str">
            <v>RAINBOW(KOR)-DM-Legend Luminous 3095(RHN40%)</v>
          </cell>
          <cell r="C2030" t="str">
            <v>제품</v>
          </cell>
          <cell r="D2030" t="str">
            <v>윈도우 제품군</v>
          </cell>
          <cell r="E2030" t="str">
            <v>전략</v>
          </cell>
          <cell r="F2030" t="str">
            <v>SP</v>
          </cell>
        </row>
        <row r="2031">
          <cell r="A2031">
            <v>32606</v>
          </cell>
          <cell r="B2031" t="str">
            <v>RAINBOW(KOR)-DM-Legend Luminous 4095(RHN40%)</v>
          </cell>
          <cell r="C2031" t="str">
            <v>제품</v>
          </cell>
          <cell r="D2031" t="str">
            <v>윈도우 제품군</v>
          </cell>
          <cell r="E2031" t="str">
            <v>전략</v>
          </cell>
          <cell r="F2031" t="str">
            <v>SP</v>
          </cell>
        </row>
        <row r="2032">
          <cell r="A2032">
            <v>32608</v>
          </cell>
          <cell r="B2032" t="str">
            <v>PPF-NS-Onyxhield EXα Aqua Marine Blue Metallic(pearl)</v>
          </cell>
          <cell r="C2032" t="str">
            <v>제품</v>
          </cell>
          <cell r="D2032" t="str">
            <v>윈도우 제품군</v>
          </cell>
          <cell r="E2032" t="str">
            <v>HIGH-END</v>
          </cell>
          <cell r="F2032" t="str">
            <v>C-PPF</v>
          </cell>
        </row>
        <row r="2033">
          <cell r="A2033">
            <v>32609</v>
          </cell>
          <cell r="B2033" t="str">
            <v>PPF-NS-ULTRAFIT XP BLACK FORGED</v>
          </cell>
          <cell r="C2033" t="str">
            <v>제품</v>
          </cell>
          <cell r="D2033" t="str">
            <v>윈도우 제품군</v>
          </cell>
          <cell r="E2033" t="str">
            <v>HIGH-END</v>
          </cell>
          <cell r="F2033" t="str">
            <v>C-PPF</v>
          </cell>
        </row>
        <row r="2034">
          <cell r="A2034">
            <v>32610</v>
          </cell>
          <cell r="B2034" t="str">
            <v>PPF-NS-COVER FLICK PPF(STABILL)-합지 이형지 88-10L</v>
          </cell>
          <cell r="C2034" t="str">
            <v>제품</v>
          </cell>
          <cell r="D2034" t="str">
            <v>윈도우 제품군</v>
          </cell>
          <cell r="E2034" t="str">
            <v>HIGH-END</v>
          </cell>
          <cell r="F2034" t="str">
            <v>C-PPF</v>
          </cell>
        </row>
        <row r="2035">
          <cell r="A2035">
            <v>32611</v>
          </cell>
          <cell r="B2035" t="str">
            <v>PPF-NS-Onyxhield EXα Bloom Pink(pearl)</v>
          </cell>
          <cell r="C2035" t="str">
            <v>제품</v>
          </cell>
          <cell r="D2035" t="str">
            <v>윈도우 제품군</v>
          </cell>
          <cell r="E2035" t="str">
            <v>HIGH-END</v>
          </cell>
          <cell r="F2035" t="str">
            <v>C-PPF</v>
          </cell>
        </row>
        <row r="2036">
          <cell r="A2036">
            <v>32612</v>
          </cell>
          <cell r="B2036" t="str">
            <v>PPF-NS-Onyxhield EXα Dark Viole Metallic(pearl)</v>
          </cell>
          <cell r="C2036" t="str">
            <v>제품</v>
          </cell>
          <cell r="D2036" t="str">
            <v>윈도우 제품군</v>
          </cell>
          <cell r="E2036" t="str">
            <v>HIGH-END</v>
          </cell>
          <cell r="F2036" t="str">
            <v>C-PPF</v>
          </cell>
        </row>
        <row r="2037">
          <cell r="A2037">
            <v>32613</v>
          </cell>
          <cell r="B2037" t="str">
            <v>PPF-NS-Onyxhield EXα Bianco Fuji(pearl)</v>
          </cell>
          <cell r="C2037" t="str">
            <v>제품</v>
          </cell>
          <cell r="D2037" t="str">
            <v>윈도우 제품군</v>
          </cell>
          <cell r="E2037" t="str">
            <v>HIGH-END</v>
          </cell>
          <cell r="F2037" t="str">
            <v>C-PPF</v>
          </cell>
        </row>
        <row r="2038">
          <cell r="A2038">
            <v>32616</v>
          </cell>
          <cell r="B2038" t="str">
            <v>PPF-NS-ULTRA FIT RETRO STONE BEIGE</v>
          </cell>
          <cell r="C2038" t="str">
            <v>제품</v>
          </cell>
          <cell r="D2038" t="str">
            <v>윈도우 제품군</v>
          </cell>
          <cell r="E2038" t="str">
            <v>HIGH-END</v>
          </cell>
          <cell r="F2038" t="str">
            <v>C-PPF</v>
          </cell>
        </row>
        <row r="2039">
          <cell r="A2039">
            <v>32617</v>
          </cell>
          <cell r="B2039" t="str">
            <v>PPF-NS-ULTRA FIT RETRO PHOENIX RED</v>
          </cell>
          <cell r="C2039" t="str">
            <v>제품</v>
          </cell>
          <cell r="D2039" t="str">
            <v>윈도우 제품군</v>
          </cell>
          <cell r="E2039" t="str">
            <v>HIGH-END</v>
          </cell>
          <cell r="F2039" t="str">
            <v>C-PPF</v>
          </cell>
        </row>
        <row r="2040">
          <cell r="A2040">
            <v>32618</v>
          </cell>
          <cell r="B2040" t="str">
            <v>단면 H/C (임가공용)-100um</v>
          </cell>
          <cell r="C2040" t="str">
            <v>제품</v>
          </cell>
          <cell r="D2040" t="str">
            <v>윈도우 제품군</v>
          </cell>
          <cell r="E2040" t="str">
            <v>염료</v>
          </cell>
          <cell r="F2040" t="str">
            <v>COLEX</v>
          </cell>
        </row>
        <row r="2041">
          <cell r="A2041">
            <v>32621</v>
          </cell>
          <cell r="B2041" t="str">
            <v>NS-PPF 점착보호필름(ULTRAFIT)박리개선</v>
          </cell>
          <cell r="C2041" t="str">
            <v>제품</v>
          </cell>
          <cell r="D2041" t="str">
            <v>윈도우 제품군</v>
          </cell>
          <cell r="E2041" t="str">
            <v>염료</v>
          </cell>
          <cell r="F2041" t="str">
            <v>COLEX</v>
          </cell>
        </row>
        <row r="2042">
          <cell r="A2042">
            <v>32622</v>
          </cell>
          <cell r="B2042" t="str">
            <v>SPD-ND-1550(Extreme)</v>
          </cell>
          <cell r="C2042" t="str">
            <v>제품</v>
          </cell>
          <cell r="D2042" t="str">
            <v>윈도우 제품군</v>
          </cell>
          <cell r="E2042" t="str">
            <v>전략</v>
          </cell>
          <cell r="F2042" t="str">
            <v>SP</v>
          </cell>
        </row>
        <row r="2043">
          <cell r="A2043">
            <v>32623</v>
          </cell>
          <cell r="B2043" t="str">
            <v>SPD-ND-2250(Extreme)</v>
          </cell>
          <cell r="C2043" t="str">
            <v>제품</v>
          </cell>
          <cell r="D2043" t="str">
            <v>윈도우 제품군</v>
          </cell>
          <cell r="E2043" t="str">
            <v>전략</v>
          </cell>
          <cell r="F2043" t="str">
            <v>SP</v>
          </cell>
        </row>
        <row r="2044">
          <cell r="A2044">
            <v>32624</v>
          </cell>
          <cell r="B2044" t="str">
            <v>SPD-ND-2270(Extreme)</v>
          </cell>
          <cell r="C2044" t="str">
            <v>제품</v>
          </cell>
          <cell r="D2044" t="str">
            <v>윈도우 제품군</v>
          </cell>
          <cell r="E2044" t="str">
            <v>전략</v>
          </cell>
          <cell r="F2044" t="str">
            <v>SP</v>
          </cell>
        </row>
        <row r="2045">
          <cell r="A2045">
            <v>32625</v>
          </cell>
          <cell r="B2045" t="str">
            <v>SPD-ND-3370(Extreme)</v>
          </cell>
          <cell r="C2045" t="str">
            <v>제품</v>
          </cell>
          <cell r="D2045" t="str">
            <v>윈도우 제품군</v>
          </cell>
          <cell r="E2045" t="str">
            <v>전략</v>
          </cell>
          <cell r="F2045" t="str">
            <v>SP</v>
          </cell>
        </row>
        <row r="2046">
          <cell r="A2046">
            <v>32626</v>
          </cell>
          <cell r="B2046" t="str">
            <v>SPD-ND-5070(Extreme)</v>
          </cell>
          <cell r="C2046" t="str">
            <v>제품</v>
          </cell>
          <cell r="D2046" t="str">
            <v>윈도우 제품군</v>
          </cell>
          <cell r="E2046" t="str">
            <v>전략</v>
          </cell>
          <cell r="F2046" t="str">
            <v>SP</v>
          </cell>
        </row>
        <row r="2047">
          <cell r="A2047">
            <v>32627</v>
          </cell>
          <cell r="B2047" t="str">
            <v>PPF-ND-Diamond cut forged carbon K PPF</v>
          </cell>
          <cell r="C2047" t="str">
            <v>제품</v>
          </cell>
          <cell r="D2047" t="str">
            <v>윈도우 제품군</v>
          </cell>
          <cell r="E2047" t="str">
            <v>HIGH-END</v>
          </cell>
          <cell r="F2047" t="str">
            <v>C-PPF</v>
          </cell>
        </row>
        <row r="2048">
          <cell r="A2048">
            <v>32628</v>
          </cell>
          <cell r="B2048" t="str">
            <v>Phantom(Charcoal)-ND-S5 3550(MEP)</v>
          </cell>
          <cell r="C2048" t="str">
            <v>제품</v>
          </cell>
          <cell r="D2048" t="str">
            <v>윈도우 제품군</v>
          </cell>
          <cell r="E2048" t="str">
            <v>전략</v>
          </cell>
          <cell r="F2048" t="str">
            <v>SP</v>
          </cell>
        </row>
        <row r="2049">
          <cell r="A2049">
            <v>32631</v>
          </cell>
          <cell r="B2049" t="str">
            <v>Phantom(Charcoal)-ND-S5 2550(MEP)</v>
          </cell>
          <cell r="C2049" t="str">
            <v>제품</v>
          </cell>
          <cell r="D2049" t="str">
            <v>윈도우 제품군</v>
          </cell>
          <cell r="E2049" t="str">
            <v>전략</v>
          </cell>
          <cell r="F2049" t="str">
            <v>SP</v>
          </cell>
        </row>
        <row r="2050">
          <cell r="A2050">
            <v>32636</v>
          </cell>
          <cell r="B2050" t="str">
            <v>SPD-ND-Mono carbon 05(SLP NEW YORK)</v>
          </cell>
          <cell r="C2050" t="str">
            <v>제품</v>
          </cell>
          <cell r="D2050" t="str">
            <v>윈도우 제품군</v>
          </cell>
          <cell r="E2050" t="str">
            <v>전략</v>
          </cell>
          <cell r="F2050" t="str">
            <v>SP</v>
          </cell>
        </row>
        <row r="2051">
          <cell r="A2051">
            <v>32637</v>
          </cell>
          <cell r="B2051" t="str">
            <v>SPD-ND-Mono carbon 20(SLP NEW YORK)</v>
          </cell>
          <cell r="C2051" t="str">
            <v>제품</v>
          </cell>
          <cell r="D2051" t="str">
            <v>윈도우 제품군</v>
          </cell>
          <cell r="E2051" t="str">
            <v>전략</v>
          </cell>
          <cell r="F2051" t="str">
            <v>SP</v>
          </cell>
        </row>
        <row r="2052">
          <cell r="A2052">
            <v>32638</v>
          </cell>
          <cell r="B2052" t="str">
            <v>SPD-ND-Mono carbon 35(SLP NEW YORK)</v>
          </cell>
          <cell r="C2052" t="str">
            <v>제품</v>
          </cell>
          <cell r="D2052" t="str">
            <v>윈도우 제품군</v>
          </cell>
          <cell r="E2052" t="str">
            <v>전략</v>
          </cell>
          <cell r="F2052" t="str">
            <v>SP</v>
          </cell>
        </row>
        <row r="2053">
          <cell r="A2053">
            <v>32639</v>
          </cell>
          <cell r="B2053" t="str">
            <v>SPD-ND-Mono carbon 50(SLP NEW YORK)</v>
          </cell>
          <cell r="C2053" t="str">
            <v>제품</v>
          </cell>
          <cell r="D2053" t="str">
            <v>윈도우 제품군</v>
          </cell>
          <cell r="E2053" t="str">
            <v>전략</v>
          </cell>
          <cell r="F2053" t="str">
            <v>SP</v>
          </cell>
        </row>
        <row r="2054">
          <cell r="A2054">
            <v>32640</v>
          </cell>
          <cell r="B2054" t="str">
            <v>Phantom(Charcoal)-ND-S7 2070(MEP)</v>
          </cell>
          <cell r="C2054" t="str">
            <v>제품</v>
          </cell>
          <cell r="D2054" t="str">
            <v>윈도우 제품군</v>
          </cell>
          <cell r="E2054" t="str">
            <v>전략</v>
          </cell>
          <cell r="F2054" t="str">
            <v>SP</v>
          </cell>
        </row>
        <row r="2055">
          <cell r="A2055">
            <v>32642</v>
          </cell>
          <cell r="B2055" t="str">
            <v>Phantom(Charcoal)-ND-S7 7570(MEP)</v>
          </cell>
          <cell r="C2055" t="str">
            <v>제품</v>
          </cell>
          <cell r="D2055" t="str">
            <v>윈도우 제품군</v>
          </cell>
          <cell r="E2055" t="str">
            <v>전략</v>
          </cell>
          <cell r="F2055" t="str">
            <v>SP</v>
          </cell>
        </row>
        <row r="2056">
          <cell r="A2056">
            <v>32643</v>
          </cell>
          <cell r="B2056" t="str">
            <v>Phantom(Charcoal)-ND-S7 4070(MEP)</v>
          </cell>
          <cell r="C2056" t="str">
            <v>제품</v>
          </cell>
          <cell r="D2056" t="str">
            <v>윈도우 제품군</v>
          </cell>
          <cell r="E2056" t="str">
            <v>전략</v>
          </cell>
          <cell r="F2056" t="str">
            <v>SP</v>
          </cell>
        </row>
        <row r="2057">
          <cell r="A2057">
            <v>32655</v>
          </cell>
          <cell r="B2057" t="str">
            <v>SP-DM-Energise G9M 10 (RHN31%)</v>
          </cell>
          <cell r="C2057" t="str">
            <v>제품</v>
          </cell>
          <cell r="D2057" t="str">
            <v>윈도우 제품군</v>
          </cell>
          <cell r="E2057" t="str">
            <v>전략</v>
          </cell>
          <cell r="F2057" t="str">
            <v>SP</v>
          </cell>
        </row>
        <row r="2058">
          <cell r="A2058">
            <v>32659</v>
          </cell>
          <cell r="B2058" t="str">
            <v>PPF-ND-PPF SUNROOF(3090)</v>
          </cell>
          <cell r="C2058" t="str">
            <v>제품</v>
          </cell>
          <cell r="D2058" t="str">
            <v>윈도우 제품군</v>
          </cell>
          <cell r="E2058" t="str">
            <v>HIGH-END</v>
          </cell>
          <cell r="F2058" t="str">
            <v>C-PPF</v>
          </cell>
        </row>
        <row r="2059">
          <cell r="A2059">
            <v>32660</v>
          </cell>
          <cell r="B2059" t="str">
            <v>SPD-Ceramic CCS 87 05 (SLP)</v>
          </cell>
          <cell r="C2059" t="str">
            <v>제품</v>
          </cell>
          <cell r="D2059" t="str">
            <v>윈도우 제품군</v>
          </cell>
          <cell r="E2059" t="str">
            <v>전략</v>
          </cell>
          <cell r="F2059" t="str">
            <v>SP</v>
          </cell>
        </row>
        <row r="2060">
          <cell r="A2060">
            <v>32661</v>
          </cell>
          <cell r="B2060" t="str">
            <v>SPD-Ceramic CCS 87 20 (SLP)</v>
          </cell>
          <cell r="C2060" t="str">
            <v>제품</v>
          </cell>
          <cell r="D2060" t="str">
            <v>윈도우 제품군</v>
          </cell>
          <cell r="E2060" t="str">
            <v>전략</v>
          </cell>
          <cell r="F2060" t="str">
            <v>SP</v>
          </cell>
        </row>
        <row r="2061">
          <cell r="A2061">
            <v>32662</v>
          </cell>
          <cell r="B2061" t="str">
            <v>SPD-Ceramic CCS 87 35 (SLP)</v>
          </cell>
          <cell r="C2061" t="str">
            <v>제품</v>
          </cell>
          <cell r="D2061" t="str">
            <v>윈도우 제품군</v>
          </cell>
          <cell r="E2061" t="str">
            <v>전략</v>
          </cell>
          <cell r="F2061" t="str">
            <v>SP</v>
          </cell>
        </row>
        <row r="2062">
          <cell r="A2062">
            <v>32663</v>
          </cell>
          <cell r="B2062" t="str">
            <v>SPD-Ceramic CCS 87 50 (SLP)</v>
          </cell>
          <cell r="C2062" t="str">
            <v>제품</v>
          </cell>
          <cell r="D2062" t="str">
            <v>윈도우 제품군</v>
          </cell>
          <cell r="E2062" t="str">
            <v>전략</v>
          </cell>
          <cell r="F2062" t="str">
            <v>SP</v>
          </cell>
        </row>
        <row r="2063">
          <cell r="A2063">
            <v>32664</v>
          </cell>
          <cell r="B2063" t="str">
            <v>PPF-NS-ULTRAFIT XP Fire Red</v>
          </cell>
          <cell r="C2063" t="str">
            <v>제품</v>
          </cell>
          <cell r="D2063" t="str">
            <v>윈도우 제품군</v>
          </cell>
          <cell r="E2063" t="str">
            <v>HIGH-END</v>
          </cell>
          <cell r="F2063" t="str">
            <v>C-PPF</v>
          </cell>
        </row>
        <row r="2064">
          <cell r="A2064">
            <v>32665</v>
          </cell>
          <cell r="B2064" t="str">
            <v>PPF-NS-ULTRAFIT XP PURPLE GALAXY</v>
          </cell>
          <cell r="C2064" t="str">
            <v>제품</v>
          </cell>
          <cell r="D2064" t="str">
            <v>윈도우 제품군</v>
          </cell>
          <cell r="E2064" t="str">
            <v>HIGH-END</v>
          </cell>
          <cell r="F2064" t="str">
            <v>C-PPF</v>
          </cell>
        </row>
        <row r="2065">
          <cell r="A2065">
            <v>32669</v>
          </cell>
          <cell r="B2065" t="str">
            <v>NS-PPF-보급형 S1 PPF</v>
          </cell>
          <cell r="C2065" t="str">
            <v>제품</v>
          </cell>
          <cell r="D2065" t="str">
            <v>윈도우 제품군</v>
          </cell>
          <cell r="E2065" t="str">
            <v>HIGH-END</v>
          </cell>
          <cell r="F2065" t="str">
            <v>C-PPF</v>
          </cell>
        </row>
        <row r="2066">
          <cell r="A2066">
            <v>32672</v>
          </cell>
          <cell r="B2066" t="str">
            <v>Phantom(2nd)-ND-F95 0595(항균ISR)-19㎛</v>
          </cell>
          <cell r="C2066" t="str">
            <v>제품</v>
          </cell>
          <cell r="D2066" t="str">
            <v>윈도우 제품군</v>
          </cell>
          <cell r="E2066" t="str">
            <v>전략</v>
          </cell>
          <cell r="F2066" t="str">
            <v>SP</v>
          </cell>
        </row>
        <row r="2067">
          <cell r="A2067">
            <v>32673</v>
          </cell>
          <cell r="B2067" t="str">
            <v>Phantom(2nd)-ND-F95 1295(항균ISR)-19㎛</v>
          </cell>
          <cell r="C2067" t="str">
            <v>제품</v>
          </cell>
          <cell r="D2067" t="str">
            <v>윈도우 제품군</v>
          </cell>
          <cell r="E2067" t="str">
            <v>전략</v>
          </cell>
          <cell r="F2067" t="str">
            <v>SP</v>
          </cell>
        </row>
        <row r="2068">
          <cell r="A2068">
            <v>32674</v>
          </cell>
          <cell r="B2068" t="str">
            <v>Phantom(2nd)-ND-F95 2795(항균ISR)-19㎛</v>
          </cell>
          <cell r="C2068" t="str">
            <v>제품</v>
          </cell>
          <cell r="D2068" t="str">
            <v>윈도우 제품군</v>
          </cell>
          <cell r="E2068" t="str">
            <v>전략</v>
          </cell>
          <cell r="F2068" t="str">
            <v>SP</v>
          </cell>
        </row>
        <row r="2069">
          <cell r="A2069">
            <v>32675</v>
          </cell>
          <cell r="B2069" t="str">
            <v>Phantom(2nd)-ND-F95 4095(항균ISR)-19㎛</v>
          </cell>
          <cell r="C2069" t="str">
            <v>제품</v>
          </cell>
          <cell r="D2069" t="str">
            <v>윈도우 제품군</v>
          </cell>
          <cell r="E2069" t="str">
            <v>전략</v>
          </cell>
          <cell r="F2069" t="str">
            <v>SP</v>
          </cell>
        </row>
        <row r="2070">
          <cell r="A2070">
            <v>32676</v>
          </cell>
          <cell r="B2070" t="str">
            <v>Windshield ver 3.0 (3ply)</v>
          </cell>
          <cell r="C2070" t="str">
            <v>제품</v>
          </cell>
          <cell r="D2070" t="str">
            <v>윈도우 제품군</v>
          </cell>
          <cell r="E2070" t="str">
            <v>전략</v>
          </cell>
          <cell r="F2070" t="str">
            <v>WP4</v>
          </cell>
        </row>
        <row r="2071">
          <cell r="A2071">
            <v>32677</v>
          </cell>
          <cell r="B2071" t="str">
            <v>Windshield ver 3.0 (4ply)</v>
          </cell>
          <cell r="C2071" t="str">
            <v>제품</v>
          </cell>
          <cell r="D2071" t="str">
            <v>윈도우 제품군</v>
          </cell>
          <cell r="E2071" t="str">
            <v>전략</v>
          </cell>
          <cell r="F2071" t="str">
            <v>WP4</v>
          </cell>
        </row>
        <row r="2072">
          <cell r="A2072">
            <v>32686</v>
          </cell>
          <cell r="B2072" t="str">
            <v>PPF-NS-ULTRAFIT XP Fire Red Satin</v>
          </cell>
          <cell r="C2072" t="str">
            <v>제품</v>
          </cell>
          <cell r="D2072" t="str">
            <v>윈도우 제품군</v>
          </cell>
          <cell r="E2072" t="str">
            <v>HIGH-END</v>
          </cell>
          <cell r="F2072" t="str">
            <v>C-PPF</v>
          </cell>
        </row>
        <row r="2073">
          <cell r="A2073">
            <v>32687</v>
          </cell>
          <cell r="B2073" t="str">
            <v>Phantom(2nd)-ND-F65 0565(항균ISR)-19㎛</v>
          </cell>
          <cell r="C2073" t="str">
            <v>제품</v>
          </cell>
          <cell r="D2073" t="str">
            <v>윈도우 제품군</v>
          </cell>
          <cell r="E2073" t="str">
            <v>전략</v>
          </cell>
          <cell r="F2073" t="str">
            <v>SP</v>
          </cell>
        </row>
        <row r="2074">
          <cell r="A2074">
            <v>32688</v>
          </cell>
          <cell r="B2074" t="str">
            <v>Phantom(2nd)-ND-F65 1265(항균ISR)-19㎛</v>
          </cell>
          <cell r="C2074" t="str">
            <v>제품</v>
          </cell>
          <cell r="D2074" t="str">
            <v>윈도우 제품군</v>
          </cell>
          <cell r="E2074" t="str">
            <v>전략</v>
          </cell>
          <cell r="F2074" t="str">
            <v>SP</v>
          </cell>
        </row>
        <row r="2075">
          <cell r="A2075">
            <v>32689</v>
          </cell>
          <cell r="B2075" t="str">
            <v>Phantom(2nd)-ND-F65 2765(항균ISR)-19㎛</v>
          </cell>
          <cell r="C2075" t="str">
            <v>제품</v>
          </cell>
          <cell r="D2075" t="str">
            <v>윈도우 제품군</v>
          </cell>
          <cell r="E2075" t="str">
            <v>전략</v>
          </cell>
          <cell r="F2075" t="str">
            <v>SP</v>
          </cell>
        </row>
        <row r="2076">
          <cell r="A2076">
            <v>32690</v>
          </cell>
          <cell r="B2076" t="str">
            <v>Phantom(2nd)-ND-F65 3565(항균ISR)-19㎛</v>
          </cell>
          <cell r="C2076" t="str">
            <v>제품</v>
          </cell>
          <cell r="D2076" t="str">
            <v>윈도우 제품군</v>
          </cell>
          <cell r="E2076" t="str">
            <v>전략</v>
          </cell>
          <cell r="F2076" t="str">
            <v>SP</v>
          </cell>
        </row>
        <row r="2077">
          <cell r="A2077">
            <v>32691</v>
          </cell>
          <cell r="B2077" t="str">
            <v>Phantom(2nd)-ND-F65 3865(항균ISR)-19㎛</v>
          </cell>
          <cell r="C2077" t="str">
            <v>제품</v>
          </cell>
          <cell r="D2077" t="str">
            <v>윈도우 제품군</v>
          </cell>
          <cell r="E2077" t="str">
            <v>전략</v>
          </cell>
          <cell r="F2077" t="str">
            <v>SP</v>
          </cell>
        </row>
        <row r="2078">
          <cell r="A2078">
            <v>32692</v>
          </cell>
          <cell r="B2078" t="str">
            <v>Phantom(2nd)-ND-F65 5065(항균ISR)-19㎛</v>
          </cell>
          <cell r="C2078" t="str">
            <v>제품</v>
          </cell>
          <cell r="D2078" t="str">
            <v>윈도우 제품군</v>
          </cell>
          <cell r="E2078" t="str">
            <v>전략</v>
          </cell>
          <cell r="F2078" t="str">
            <v>SP</v>
          </cell>
        </row>
        <row r="2079">
          <cell r="A2079">
            <v>32693</v>
          </cell>
          <cell r="B2079" t="str">
            <v>Phantom(2nd)-ND-F85 0585(항균ISR)-19㎛</v>
          </cell>
          <cell r="C2079" t="str">
            <v>제품</v>
          </cell>
          <cell r="D2079" t="str">
            <v>윈도우 제품군</v>
          </cell>
          <cell r="E2079" t="str">
            <v>전략</v>
          </cell>
          <cell r="F2079" t="str">
            <v>SP</v>
          </cell>
        </row>
        <row r="2080">
          <cell r="A2080">
            <v>32694</v>
          </cell>
          <cell r="B2080" t="str">
            <v>Phantom(2nd)-ND-F85 1285(항균ISR)-19㎛</v>
          </cell>
          <cell r="C2080" t="str">
            <v>제품</v>
          </cell>
          <cell r="D2080" t="str">
            <v>윈도우 제품군</v>
          </cell>
          <cell r="E2080" t="str">
            <v>전략</v>
          </cell>
          <cell r="F2080" t="str">
            <v>SP</v>
          </cell>
        </row>
        <row r="2081">
          <cell r="A2081">
            <v>32695</v>
          </cell>
          <cell r="B2081" t="str">
            <v>Phantom(2nd)-ND-F85 2785(항균ISR)-19㎛</v>
          </cell>
          <cell r="C2081" t="str">
            <v>제품</v>
          </cell>
          <cell r="D2081" t="str">
            <v>윈도우 제품군</v>
          </cell>
          <cell r="E2081" t="str">
            <v>전략</v>
          </cell>
          <cell r="F2081" t="str">
            <v>SP</v>
          </cell>
        </row>
        <row r="2082">
          <cell r="A2082">
            <v>32696</v>
          </cell>
          <cell r="B2082" t="str">
            <v>Phantom(2nd)-ND-F85 3885(항균ISR)-19㎛</v>
          </cell>
          <cell r="C2082" t="str">
            <v>제품</v>
          </cell>
          <cell r="D2082" t="str">
            <v>윈도우 제품군</v>
          </cell>
          <cell r="E2082" t="str">
            <v>전략</v>
          </cell>
          <cell r="F2082" t="str">
            <v>SP</v>
          </cell>
        </row>
        <row r="2083">
          <cell r="A2083">
            <v>32697</v>
          </cell>
          <cell r="B2083" t="str">
            <v>Phantom(2nd)-ND-F85 5085(항균ISR)-19㎛</v>
          </cell>
          <cell r="C2083" t="str">
            <v>제품</v>
          </cell>
          <cell r="D2083" t="str">
            <v>윈도우 제품군</v>
          </cell>
          <cell r="E2083" t="str">
            <v>전략</v>
          </cell>
          <cell r="F2083" t="str">
            <v>SP</v>
          </cell>
        </row>
        <row r="2084">
          <cell r="A2084">
            <v>32698</v>
          </cell>
          <cell r="B2084" t="str">
            <v>Phantom(2nd)-ND-F95 3595(항균ISR)-19㎛</v>
          </cell>
          <cell r="C2084" t="str">
            <v>제품</v>
          </cell>
          <cell r="D2084" t="str">
            <v>윈도우 제품군</v>
          </cell>
          <cell r="E2084" t="str">
            <v>전략</v>
          </cell>
          <cell r="F2084" t="str">
            <v>SP</v>
          </cell>
        </row>
        <row r="2085">
          <cell r="A2085">
            <v>32699</v>
          </cell>
          <cell r="B2085" t="str">
            <v>Phantom(2nd)-ND-F95 3895(항균ISR)-19㎛</v>
          </cell>
          <cell r="C2085" t="str">
            <v>제품</v>
          </cell>
          <cell r="D2085" t="str">
            <v>윈도우 제품군</v>
          </cell>
          <cell r="E2085" t="str">
            <v>전략</v>
          </cell>
          <cell r="F2085" t="str">
            <v>SP</v>
          </cell>
        </row>
        <row r="2086">
          <cell r="A2086">
            <v>32700</v>
          </cell>
          <cell r="B2086" t="str">
            <v>Phantom(2nd)-ND-F95 5095(항균ISR)-19㎛</v>
          </cell>
          <cell r="C2086" t="str">
            <v>제품</v>
          </cell>
          <cell r="D2086" t="str">
            <v>윈도우 제품군</v>
          </cell>
          <cell r="E2086" t="str">
            <v>전략</v>
          </cell>
          <cell r="F2086" t="str">
            <v>SP</v>
          </cell>
        </row>
        <row r="2087">
          <cell r="A2087">
            <v>32701</v>
          </cell>
          <cell r="B2087" t="str">
            <v>ND-UV420 30%</v>
          </cell>
          <cell r="C2087" t="str">
            <v>제품</v>
          </cell>
          <cell r="D2087" t="str">
            <v>윈도우 제품군</v>
          </cell>
          <cell r="E2087" t="str">
            <v>전략</v>
          </cell>
          <cell r="F2087" t="str">
            <v>SP</v>
          </cell>
        </row>
        <row r="2088">
          <cell r="A2088">
            <v>32707</v>
          </cell>
          <cell r="B2088" t="str">
            <v>SPD-ND-Sharpline CARBON 05</v>
          </cell>
          <cell r="C2088" t="str">
            <v>제품</v>
          </cell>
          <cell r="D2088" t="str">
            <v>윈도우 제품군</v>
          </cell>
          <cell r="E2088" t="str">
            <v>전략</v>
          </cell>
          <cell r="F2088" t="str">
            <v>SP</v>
          </cell>
        </row>
        <row r="2089">
          <cell r="A2089">
            <v>32708</v>
          </cell>
          <cell r="B2089" t="str">
            <v>SPD-ND-Sharpline CARBON 15</v>
          </cell>
          <cell r="C2089" t="str">
            <v>제품</v>
          </cell>
          <cell r="D2089" t="str">
            <v>윈도우 제품군</v>
          </cell>
          <cell r="E2089" t="str">
            <v>전략</v>
          </cell>
          <cell r="F2089" t="str">
            <v>SP</v>
          </cell>
        </row>
        <row r="2090">
          <cell r="A2090">
            <v>32709</v>
          </cell>
          <cell r="B2090" t="str">
            <v>SPD-ND-Sharpline CARBON 20</v>
          </cell>
          <cell r="C2090" t="str">
            <v>제품</v>
          </cell>
          <cell r="D2090" t="str">
            <v>윈도우 제품군</v>
          </cell>
          <cell r="E2090" t="str">
            <v>전략</v>
          </cell>
          <cell r="F2090" t="str">
            <v>SP</v>
          </cell>
        </row>
        <row r="2091">
          <cell r="A2091">
            <v>32710</v>
          </cell>
          <cell r="B2091" t="str">
            <v>SPD-ND-Sharpline CARBON 35</v>
          </cell>
          <cell r="C2091" t="str">
            <v>제품</v>
          </cell>
          <cell r="D2091" t="str">
            <v>윈도우 제품군</v>
          </cell>
          <cell r="E2091" t="str">
            <v>전략</v>
          </cell>
          <cell r="F2091" t="str">
            <v>SP</v>
          </cell>
        </row>
        <row r="2092">
          <cell r="A2092">
            <v>32711</v>
          </cell>
          <cell r="B2092" t="str">
            <v>SPD-ND-Sharpline CARBON 50</v>
          </cell>
          <cell r="C2092" t="str">
            <v>제품</v>
          </cell>
          <cell r="D2092" t="str">
            <v>윈도우 제품군</v>
          </cell>
          <cell r="E2092" t="str">
            <v>전략</v>
          </cell>
          <cell r="F2092" t="str">
            <v>SP</v>
          </cell>
        </row>
        <row r="2093">
          <cell r="A2093">
            <v>32712</v>
          </cell>
          <cell r="B2093" t="str">
            <v>ND-UV420 15%</v>
          </cell>
          <cell r="C2093" t="str">
            <v>제품</v>
          </cell>
          <cell r="D2093" t="str">
            <v>윈도우 제품군</v>
          </cell>
          <cell r="E2093" t="str">
            <v>전략</v>
          </cell>
          <cell r="F2093" t="str">
            <v>SP</v>
          </cell>
        </row>
        <row r="2094">
          <cell r="A2094">
            <v>32716</v>
          </cell>
          <cell r="B2094" t="str">
            <v>NS-PPF-보급형 S21 PPF</v>
          </cell>
          <cell r="C2094" t="str">
            <v>제품</v>
          </cell>
          <cell r="D2094" t="str">
            <v>윈도우 제품군</v>
          </cell>
          <cell r="E2094" t="str">
            <v>HIGH-END</v>
          </cell>
          <cell r="F2094" t="str">
            <v>C-PPF</v>
          </cell>
        </row>
        <row r="2095">
          <cell r="A2095">
            <v>32717</v>
          </cell>
          <cell r="B2095" t="str">
            <v>SPDM-SCHUTZEN HX70 07(NiCr25%)</v>
          </cell>
          <cell r="C2095" t="str">
            <v>제품</v>
          </cell>
          <cell r="D2095" t="str">
            <v>윈도우 제품군</v>
          </cell>
          <cell r="E2095" t="str">
            <v>전략</v>
          </cell>
          <cell r="F2095" t="str">
            <v>SP</v>
          </cell>
        </row>
        <row r="2096">
          <cell r="A2096">
            <v>32718</v>
          </cell>
          <cell r="B2096" t="str">
            <v>SPDM-SCHUTZEN HX70 13(NiCr25%)</v>
          </cell>
          <cell r="C2096" t="str">
            <v>제품</v>
          </cell>
          <cell r="D2096" t="str">
            <v>윈도우 제품군</v>
          </cell>
          <cell r="E2096" t="str">
            <v>전략</v>
          </cell>
          <cell r="F2096" t="str">
            <v>SP</v>
          </cell>
        </row>
        <row r="2097">
          <cell r="A2097">
            <v>32719</v>
          </cell>
          <cell r="B2097" t="str">
            <v>SPDM-SCHUTZEN HX70 27(NiCr31%)</v>
          </cell>
          <cell r="C2097" t="str">
            <v>제품</v>
          </cell>
          <cell r="D2097" t="str">
            <v>윈도우 제품군</v>
          </cell>
          <cell r="E2097" t="str">
            <v>전략</v>
          </cell>
          <cell r="F2097" t="str">
            <v>SP</v>
          </cell>
        </row>
        <row r="2098">
          <cell r="A2098">
            <v>32726</v>
          </cell>
          <cell r="B2098" t="str">
            <v>ND-UV420 05%</v>
          </cell>
          <cell r="C2098" t="str">
            <v>제품</v>
          </cell>
          <cell r="D2098" t="str">
            <v>윈도우 제품군</v>
          </cell>
          <cell r="E2098" t="str">
            <v>전략</v>
          </cell>
          <cell r="F2098" t="str">
            <v>SP</v>
          </cell>
        </row>
        <row r="2099">
          <cell r="A2099">
            <v>32727</v>
          </cell>
          <cell r="B2099" t="str">
            <v>ND-UV420 40%</v>
          </cell>
          <cell r="C2099" t="str">
            <v>제품</v>
          </cell>
          <cell r="D2099" t="str">
            <v>윈도우 제품군</v>
          </cell>
          <cell r="E2099" t="str">
            <v>전략</v>
          </cell>
          <cell r="F2099" t="str">
            <v>SP</v>
          </cell>
        </row>
        <row r="2100">
          <cell r="A2100">
            <v>32728</v>
          </cell>
          <cell r="B2100" t="str">
            <v>SP-ND-Energise BR80</v>
          </cell>
          <cell r="C2100" t="str">
            <v>제품</v>
          </cell>
          <cell r="D2100" t="str">
            <v>윈도우 제품군</v>
          </cell>
          <cell r="E2100" t="str">
            <v>전략</v>
          </cell>
          <cell r="F2100" t="str">
            <v>SP</v>
          </cell>
        </row>
        <row r="2101">
          <cell r="A2101">
            <v>32730</v>
          </cell>
          <cell r="B2101" t="str">
            <v>CHROMA(KOR)-DC-CHROMA 9 1090(RHN 31%-DYED) - 19um</v>
          </cell>
          <cell r="C2101" t="str">
            <v>제품</v>
          </cell>
          <cell r="D2101" t="str">
            <v>윈도우 제품군</v>
          </cell>
          <cell r="E2101" t="str">
            <v>전략</v>
          </cell>
          <cell r="F2101" t="str">
            <v>SP</v>
          </cell>
        </row>
        <row r="2102">
          <cell r="A2102">
            <v>32731</v>
          </cell>
          <cell r="B2102" t="str">
            <v>CHROMA(KOR)-DC-CHROMA 9 3090(RHN 31%)-19um</v>
          </cell>
          <cell r="C2102" t="str">
            <v>제품</v>
          </cell>
          <cell r="D2102" t="str">
            <v>윈도우 제품군</v>
          </cell>
          <cell r="E2102" t="str">
            <v>전략</v>
          </cell>
          <cell r="F2102" t="str">
            <v>SP</v>
          </cell>
        </row>
        <row r="2103">
          <cell r="A2103">
            <v>32736</v>
          </cell>
          <cell r="B2103" t="str">
            <v>SPD-ND-3M CM15%</v>
          </cell>
          <cell r="C2103" t="str">
            <v>제품</v>
          </cell>
          <cell r="D2103" t="str">
            <v>윈도우 제품군</v>
          </cell>
          <cell r="E2103" t="str">
            <v>전략</v>
          </cell>
          <cell r="F2103" t="str">
            <v>SP</v>
          </cell>
        </row>
        <row r="2104">
          <cell r="A2104">
            <v>32737</v>
          </cell>
          <cell r="B2104" t="str">
            <v>SPD-ND-3M CM30%</v>
          </cell>
          <cell r="C2104" t="str">
            <v>제품</v>
          </cell>
          <cell r="D2104" t="str">
            <v>윈도우 제품군</v>
          </cell>
          <cell r="E2104" t="str">
            <v>전략</v>
          </cell>
          <cell r="F2104" t="str">
            <v>SP</v>
          </cell>
        </row>
        <row r="2105">
          <cell r="A2105">
            <v>32739</v>
          </cell>
          <cell r="B2105" t="str">
            <v>PPF-NS-Onyxhield EXa MATT(USA)</v>
          </cell>
          <cell r="C2105" t="str">
            <v>제품</v>
          </cell>
          <cell r="D2105" t="str">
            <v>윈도우 제품군</v>
          </cell>
          <cell r="E2105" t="str">
            <v>HIGH-END</v>
          </cell>
          <cell r="F2105" t="str">
            <v>C-PPF</v>
          </cell>
        </row>
        <row r="2106">
          <cell r="A2106">
            <v>32741</v>
          </cell>
          <cell r="B2106" t="str">
            <v>ULTRAFIT-ND-ULTRAFIT VC 30</v>
          </cell>
          <cell r="C2106" t="str">
            <v>제품</v>
          </cell>
          <cell r="D2106" t="str">
            <v>윈도우 제품군</v>
          </cell>
          <cell r="E2106" t="str">
            <v>전략</v>
          </cell>
          <cell r="F2106" t="str">
            <v>SP</v>
          </cell>
        </row>
        <row r="2107">
          <cell r="A2107">
            <v>32742</v>
          </cell>
          <cell r="B2107" t="str">
            <v>ULTRAFIT-ND-ULTRAFIT VF 30</v>
          </cell>
          <cell r="C2107" t="str">
            <v>제품</v>
          </cell>
          <cell r="D2107" t="str">
            <v>윈도우 제품군</v>
          </cell>
          <cell r="E2107" t="str">
            <v>전략</v>
          </cell>
          <cell r="F2107" t="str">
            <v>SP</v>
          </cell>
        </row>
        <row r="2108">
          <cell r="A2108">
            <v>32743</v>
          </cell>
          <cell r="B2108" t="str">
            <v>ULTRAFIT-ND-ULTRAFIT VS 30</v>
          </cell>
          <cell r="C2108" t="str">
            <v>제품</v>
          </cell>
          <cell r="D2108" t="str">
            <v>윈도우 제품군</v>
          </cell>
          <cell r="E2108" t="str">
            <v>전략</v>
          </cell>
          <cell r="F2108" t="str">
            <v>SP</v>
          </cell>
        </row>
        <row r="2109">
          <cell r="A2109">
            <v>32745</v>
          </cell>
          <cell r="B2109" t="str">
            <v>PPF-NS-Onyxhield Exa desert sand</v>
          </cell>
          <cell r="C2109" t="str">
            <v>제품</v>
          </cell>
          <cell r="D2109" t="str">
            <v>윈도우 제품군</v>
          </cell>
          <cell r="E2109" t="str">
            <v>HIGH-END</v>
          </cell>
          <cell r="F2109" t="str">
            <v>C-PPF</v>
          </cell>
        </row>
        <row r="2110">
          <cell r="A2110">
            <v>32746</v>
          </cell>
          <cell r="B2110" t="str">
            <v>PPF-NS-Onyxhield Exa Viola-30</v>
          </cell>
          <cell r="C2110" t="str">
            <v>제품</v>
          </cell>
          <cell r="D2110" t="str">
            <v>윈도우 제품군</v>
          </cell>
          <cell r="E2110" t="str">
            <v>HIGH-END</v>
          </cell>
          <cell r="F2110" t="str">
            <v>C-PPF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1"/>
  <sheetViews>
    <sheetView zoomScaleNormal="100" workbookViewId="0">
      <selection activeCell="A14" sqref="A14"/>
    </sheetView>
  </sheetViews>
  <sheetFormatPr defaultRowHeight="16.5"/>
  <cols>
    <col min="2" max="3" width="11.25" customWidth="1"/>
    <col min="4" max="4" width="17" customWidth="1"/>
    <col min="5" max="5" width="31.625" customWidth="1"/>
    <col min="6" max="6" width="25.875" customWidth="1"/>
    <col min="7" max="7" width="25.125" customWidth="1"/>
    <col min="8" max="8" width="54" bestFit="1" customWidth="1"/>
    <col min="9" max="9" width="64" customWidth="1"/>
  </cols>
  <sheetData>
    <row r="2" spans="2:9">
      <c r="B2" s="22" t="s">
        <v>919</v>
      </c>
      <c r="C2" s="22" t="s">
        <v>952</v>
      </c>
      <c r="D2" s="22" t="s">
        <v>924</v>
      </c>
      <c r="E2" s="22" t="s">
        <v>920</v>
      </c>
      <c r="F2" s="22" t="s">
        <v>931</v>
      </c>
      <c r="G2" s="22" t="s">
        <v>921</v>
      </c>
      <c r="H2" s="22" t="s">
        <v>1214</v>
      </c>
      <c r="I2" s="22"/>
    </row>
    <row r="3" spans="2:9">
      <c r="B3" s="33" t="s">
        <v>922</v>
      </c>
      <c r="C3" s="33" t="s">
        <v>953</v>
      </c>
      <c r="D3" s="33" t="s">
        <v>923</v>
      </c>
      <c r="E3" s="33" t="s">
        <v>925</v>
      </c>
      <c r="F3" s="33" t="s">
        <v>933</v>
      </c>
      <c r="G3" s="20" t="s">
        <v>926</v>
      </c>
      <c r="H3" s="20" t="s">
        <v>1244</v>
      </c>
      <c r="I3" s="1" t="s">
        <v>1292</v>
      </c>
    </row>
    <row r="4" spans="2:9">
      <c r="B4" s="33" t="s">
        <v>922</v>
      </c>
      <c r="C4" s="33" t="s">
        <v>953</v>
      </c>
      <c r="D4" s="33" t="s">
        <v>928</v>
      </c>
      <c r="E4" s="33" t="s">
        <v>927</v>
      </c>
      <c r="F4" s="33" t="s">
        <v>934</v>
      </c>
      <c r="G4" s="20" t="s">
        <v>929</v>
      </c>
      <c r="H4" s="20" t="s">
        <v>1311</v>
      </c>
      <c r="I4" s="1" t="s">
        <v>1292</v>
      </c>
    </row>
    <row r="5" spans="2:9">
      <c r="B5" s="33" t="s">
        <v>922</v>
      </c>
      <c r="C5" s="33" t="s">
        <v>953</v>
      </c>
      <c r="D5" s="33" t="s">
        <v>980</v>
      </c>
      <c r="E5" s="33" t="s">
        <v>981</v>
      </c>
      <c r="F5" s="33" t="s">
        <v>932</v>
      </c>
      <c r="G5" s="23" t="s">
        <v>935</v>
      </c>
      <c r="H5" s="20" t="s">
        <v>1312</v>
      </c>
      <c r="I5" s="1" t="s">
        <v>1313</v>
      </c>
    </row>
    <row r="6" spans="2:9" ht="83.25" customHeight="1">
      <c r="B6" s="33" t="s">
        <v>922</v>
      </c>
      <c r="C6" s="33" t="s">
        <v>953</v>
      </c>
      <c r="D6" s="33" t="s">
        <v>936</v>
      </c>
      <c r="E6" s="33" t="s">
        <v>937</v>
      </c>
      <c r="F6" s="33" t="s">
        <v>938</v>
      </c>
      <c r="G6" s="20" t="s">
        <v>1621</v>
      </c>
      <c r="H6" s="35" t="s">
        <v>1622</v>
      </c>
      <c r="I6" s="25" t="s">
        <v>1620</v>
      </c>
    </row>
    <row r="7" spans="2:9" ht="82.5">
      <c r="B7" s="33" t="s">
        <v>922</v>
      </c>
      <c r="C7" s="33" t="s">
        <v>953</v>
      </c>
      <c r="D7" s="33" t="s">
        <v>939</v>
      </c>
      <c r="E7" s="33" t="s">
        <v>941</v>
      </c>
      <c r="F7" s="33" t="s">
        <v>943</v>
      </c>
      <c r="G7" s="20" t="s">
        <v>945</v>
      </c>
      <c r="H7" s="35" t="s">
        <v>1623</v>
      </c>
      <c r="I7" s="25" t="s">
        <v>1619</v>
      </c>
    </row>
    <row r="8" spans="2:9" ht="99">
      <c r="B8" s="33" t="s">
        <v>922</v>
      </c>
      <c r="C8" s="33" t="s">
        <v>953</v>
      </c>
      <c r="D8" s="33" t="s">
        <v>940</v>
      </c>
      <c r="E8" s="33" t="s">
        <v>942</v>
      </c>
      <c r="F8" s="33" t="s">
        <v>944</v>
      </c>
      <c r="G8" s="20" t="s">
        <v>946</v>
      </c>
      <c r="H8" s="35" t="s">
        <v>1624</v>
      </c>
      <c r="I8" s="25" t="s">
        <v>1293</v>
      </c>
    </row>
    <row r="9" spans="2:9">
      <c r="B9" s="1" t="s">
        <v>922</v>
      </c>
      <c r="C9" s="1" t="s">
        <v>954</v>
      </c>
      <c r="D9" s="1" t="s">
        <v>955</v>
      </c>
      <c r="E9" s="1" t="s">
        <v>956</v>
      </c>
      <c r="F9" s="1" t="s">
        <v>957</v>
      </c>
      <c r="G9" s="23" t="s">
        <v>960</v>
      </c>
      <c r="H9" s="23"/>
      <c r="I9" s="1" t="s">
        <v>982</v>
      </c>
    </row>
    <row r="10" spans="2:9">
      <c r="B10" s="1" t="s">
        <v>922</v>
      </c>
      <c r="C10" s="1" t="s">
        <v>954</v>
      </c>
      <c r="D10" s="1" t="s">
        <v>958</v>
      </c>
      <c r="E10" s="1" t="s">
        <v>959</v>
      </c>
      <c r="F10" s="1" t="s">
        <v>957</v>
      </c>
      <c r="G10" s="23" t="s">
        <v>961</v>
      </c>
      <c r="H10" s="23"/>
      <c r="I10" s="1" t="s">
        <v>982</v>
      </c>
    </row>
    <row r="11" spans="2:9" ht="98.25" customHeight="1">
      <c r="B11" s="33" t="s">
        <v>962</v>
      </c>
      <c r="C11" s="33" t="s">
        <v>953</v>
      </c>
      <c r="D11" s="33" t="s">
        <v>976</v>
      </c>
      <c r="E11" s="33" t="s">
        <v>978</v>
      </c>
      <c r="F11" s="33" t="s">
        <v>979</v>
      </c>
      <c r="G11" s="23" t="s">
        <v>977</v>
      </c>
      <c r="H11" s="35" t="s">
        <v>1625</v>
      </c>
      <c r="I11" s="25" t="s">
        <v>1626</v>
      </c>
    </row>
  </sheetData>
  <phoneticPr fontId="1" type="noConversion"/>
  <hyperlinks>
    <hyperlink ref="G3" location="'제품군-GITEM-SITEM'!A1" display="'제품군-GITEM-SITEM'!A1" xr:uid="{00000000-0004-0000-0000-000000000000}"/>
    <hyperlink ref="G4" location="'GITEM-공정-순서'!A1" display="'GITEM-공정-순서'!A1" xr:uid="{00000000-0004-0000-0000-000001000000}"/>
    <hyperlink ref="G5" location="공정군!A1" display="공정군!A1" xr:uid="{00000000-0004-0000-0000-000002000000}"/>
    <hyperlink ref="G7" location="'수율-GITEM등'!A1" display="'수율-GITEM등'!A1" xr:uid="{00000000-0004-0000-0000-000003000000}"/>
    <hyperlink ref="G8" location="'라인스피드-GITEM등'!A1" display="'라인스피드-GITEM등'!A1" xr:uid="{00000000-0004-0000-0000-000004000000}"/>
    <hyperlink ref="G9" location="공정교체시간!A1" display="공정교체시간!A1" xr:uid="{00000000-0004-0000-0000-000005000000}"/>
    <hyperlink ref="G10" location="폭변경!A1" display="폭변경!A1" xr:uid="{00000000-0004-0000-0000-000006000000}"/>
    <hyperlink ref="G11" location="PO정보!A1" display="PO정보!A1" xr:uid="{00000000-0004-0000-0000-00000700000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R38"/>
  <sheetViews>
    <sheetView topLeftCell="E1" workbookViewId="0">
      <selection activeCell="R5" sqref="R5"/>
    </sheetView>
  </sheetViews>
  <sheetFormatPr defaultColWidth="8.625" defaultRowHeight="12"/>
  <cols>
    <col min="1" max="2" width="9" style="5" bestFit="1" customWidth="1"/>
    <col min="3" max="3" width="11.125" style="5" bestFit="1" customWidth="1"/>
    <col min="4" max="4" width="9.75" style="5" bestFit="1" customWidth="1"/>
    <col min="5" max="5" width="10.125" style="5" customWidth="1"/>
    <col min="6" max="6" width="8.25" style="5" bestFit="1" customWidth="1"/>
    <col min="7" max="9" width="10.25" style="5" customWidth="1"/>
    <col min="10" max="10" width="6.25" style="5" bestFit="1" customWidth="1"/>
    <col min="11" max="11" width="2.375" style="5" customWidth="1"/>
    <col min="12" max="12" width="2.25" style="5" customWidth="1"/>
    <col min="13" max="13" width="3.75" style="5" customWidth="1"/>
    <col min="14" max="14" width="1.25" style="5" customWidth="1"/>
    <col min="15" max="16" width="8.625" style="5"/>
    <col min="17" max="17" width="10.625" style="5" bestFit="1" customWidth="1"/>
    <col min="18" max="16384" width="8.625" style="5"/>
  </cols>
  <sheetData>
    <row r="1" spans="1:18">
      <c r="B1" s="46"/>
      <c r="C1" s="47"/>
      <c r="D1" s="46"/>
      <c r="E1" s="47"/>
      <c r="F1" s="46"/>
      <c r="G1" s="47"/>
      <c r="H1" s="11"/>
      <c r="I1" s="11"/>
      <c r="J1" s="7"/>
      <c r="K1" s="7"/>
    </row>
    <row r="2" spans="1:18">
      <c r="A2" s="3" t="s">
        <v>291</v>
      </c>
      <c r="B2" s="3" t="s">
        <v>1250</v>
      </c>
      <c r="C2" s="3"/>
      <c r="D2" s="3" t="s">
        <v>1251</v>
      </c>
      <c r="E2" s="3"/>
      <c r="F2" s="3" t="s">
        <v>1252</v>
      </c>
      <c r="G2" s="3"/>
      <c r="H2" s="3" t="s">
        <v>1253</v>
      </c>
      <c r="I2" s="3"/>
      <c r="J2" s="3" t="s">
        <v>4</v>
      </c>
      <c r="K2" s="3" t="s">
        <v>5</v>
      </c>
      <c r="L2" s="3" t="s">
        <v>294</v>
      </c>
      <c r="M2" s="3" t="s">
        <v>294</v>
      </c>
      <c r="N2" s="3" t="s">
        <v>990</v>
      </c>
      <c r="O2" s="3" t="s">
        <v>991</v>
      </c>
      <c r="P2" s="3" t="s">
        <v>992</v>
      </c>
      <c r="Q2" s="3" t="s">
        <v>296</v>
      </c>
    </row>
    <row r="3" spans="1:18" ht="12.75" thickBot="1">
      <c r="A3" s="28" t="s">
        <v>290</v>
      </c>
      <c r="B3" s="30" t="s">
        <v>983</v>
      </c>
      <c r="C3" s="31" t="s">
        <v>984</v>
      </c>
      <c r="D3" s="31" t="s">
        <v>985</v>
      </c>
      <c r="E3" s="31" t="s">
        <v>986</v>
      </c>
      <c r="F3" s="31" t="s">
        <v>987</v>
      </c>
      <c r="G3" s="31" t="s">
        <v>988</v>
      </c>
      <c r="H3" s="31" t="s">
        <v>1248</v>
      </c>
      <c r="I3" s="31" t="s">
        <v>1249</v>
      </c>
      <c r="J3" s="31" t="s">
        <v>1245</v>
      </c>
      <c r="K3" s="31" t="s">
        <v>1672</v>
      </c>
      <c r="L3" s="31" t="s">
        <v>989</v>
      </c>
      <c r="M3" s="31" t="s">
        <v>298</v>
      </c>
      <c r="N3" s="31" t="s">
        <v>990</v>
      </c>
      <c r="O3" s="31" t="s">
        <v>991</v>
      </c>
      <c r="P3" s="31" t="s">
        <v>992</v>
      </c>
      <c r="Q3" s="31" t="s">
        <v>993</v>
      </c>
    </row>
    <row r="4" spans="1:18" ht="17.25" thickBot="1">
      <c r="A4" s="29" t="s">
        <v>292</v>
      </c>
      <c r="B4" s="26" t="s">
        <v>1211</v>
      </c>
      <c r="C4" s="26" t="s">
        <v>10</v>
      </c>
      <c r="D4" s="26" t="s">
        <v>1212</v>
      </c>
      <c r="E4" s="26" t="s">
        <v>994</v>
      </c>
      <c r="F4" s="26" t="s">
        <v>1213</v>
      </c>
      <c r="G4" s="26" t="s">
        <v>995</v>
      </c>
      <c r="H4" s="26" t="s">
        <v>1213</v>
      </c>
      <c r="I4" s="26" t="s">
        <v>995</v>
      </c>
      <c r="J4" s="39">
        <v>31798</v>
      </c>
      <c r="K4" s="26"/>
      <c r="L4" s="26"/>
      <c r="M4" s="26"/>
      <c r="N4" s="26"/>
      <c r="O4" s="39">
        <v>1524</v>
      </c>
      <c r="P4" s="39">
        <v>31</v>
      </c>
      <c r="Q4" s="39" t="str">
        <f>10 &amp; "*" &amp; O4 &amp; "*" &amp; P4</f>
        <v>10*1524*31</v>
      </c>
      <c r="R4" s="39"/>
    </row>
    <row r="5" spans="1:18" ht="17.25" thickBot="1">
      <c r="B5" s="26" t="s">
        <v>1211</v>
      </c>
      <c r="C5" s="26" t="s">
        <v>10</v>
      </c>
      <c r="D5" s="26" t="s">
        <v>1212</v>
      </c>
      <c r="E5" s="26" t="s">
        <v>994</v>
      </c>
      <c r="F5" s="26" t="s">
        <v>1213</v>
      </c>
      <c r="G5" s="26" t="s">
        <v>995</v>
      </c>
      <c r="H5" s="26" t="s">
        <v>1213</v>
      </c>
      <c r="I5" s="26" t="s">
        <v>995</v>
      </c>
      <c r="J5" s="39">
        <v>31800</v>
      </c>
      <c r="K5" s="26"/>
      <c r="L5" s="26"/>
      <c r="M5" s="26"/>
      <c r="N5" s="26"/>
      <c r="O5" s="39">
        <v>1524</v>
      </c>
      <c r="P5" s="39">
        <v>31</v>
      </c>
      <c r="Q5" s="39" t="str">
        <f t="shared" ref="Q5:Q15" si="0">10 &amp; "*" &amp; O5 &amp; "*" &amp; P5</f>
        <v>10*1524*31</v>
      </c>
    </row>
    <row r="6" spans="1:18" ht="17.25" thickBot="1">
      <c r="B6" s="26" t="s">
        <v>1211</v>
      </c>
      <c r="C6" s="26" t="s">
        <v>10</v>
      </c>
      <c r="D6" s="26" t="s">
        <v>1212</v>
      </c>
      <c r="E6" s="26" t="s">
        <v>994</v>
      </c>
      <c r="F6" s="26" t="s">
        <v>1213</v>
      </c>
      <c r="G6" s="26" t="s">
        <v>995</v>
      </c>
      <c r="H6" s="26" t="s">
        <v>1213</v>
      </c>
      <c r="I6" s="26" t="s">
        <v>995</v>
      </c>
      <c r="J6" s="39">
        <v>31802</v>
      </c>
      <c r="K6" s="26"/>
      <c r="L6" s="26"/>
      <c r="M6" s="26"/>
      <c r="N6" s="26"/>
      <c r="O6" s="39">
        <v>1524</v>
      </c>
      <c r="P6" s="39">
        <v>31</v>
      </c>
      <c r="Q6" s="39" t="str">
        <f t="shared" si="0"/>
        <v>10*1524*31</v>
      </c>
    </row>
    <row r="7" spans="1:18" ht="17.25" thickBot="1">
      <c r="B7" s="26" t="s">
        <v>1211</v>
      </c>
      <c r="C7" s="26" t="s">
        <v>10</v>
      </c>
      <c r="D7" s="26" t="s">
        <v>1212</v>
      </c>
      <c r="E7" s="26" t="s">
        <v>994</v>
      </c>
      <c r="F7" s="26" t="s">
        <v>1213</v>
      </c>
      <c r="G7" s="26" t="s">
        <v>995</v>
      </c>
      <c r="H7" s="26" t="s">
        <v>1213</v>
      </c>
      <c r="I7" s="26" t="s">
        <v>995</v>
      </c>
      <c r="J7" s="39">
        <v>31540</v>
      </c>
      <c r="K7" s="26"/>
      <c r="L7" s="26"/>
      <c r="M7" s="26"/>
      <c r="N7" s="26"/>
      <c r="O7" s="39">
        <v>508</v>
      </c>
      <c r="P7" s="39">
        <v>31</v>
      </c>
      <c r="Q7" s="39" t="str">
        <f t="shared" si="0"/>
        <v>10*508*31</v>
      </c>
    </row>
    <row r="8" spans="1:18" ht="17.25" thickBot="1">
      <c r="B8" s="26" t="s">
        <v>1211</v>
      </c>
      <c r="C8" s="26" t="s">
        <v>10</v>
      </c>
      <c r="D8" s="26" t="s">
        <v>1212</v>
      </c>
      <c r="E8" s="26" t="s">
        <v>994</v>
      </c>
      <c r="F8" s="26" t="s">
        <v>1213</v>
      </c>
      <c r="G8" s="26" t="s">
        <v>995</v>
      </c>
      <c r="H8" s="26" t="s">
        <v>1213</v>
      </c>
      <c r="I8" s="26" t="s">
        <v>995</v>
      </c>
      <c r="J8" s="39">
        <v>31540</v>
      </c>
      <c r="K8" s="26"/>
      <c r="L8" s="26"/>
      <c r="M8" s="26"/>
      <c r="N8" s="26"/>
      <c r="O8" s="39">
        <v>609</v>
      </c>
      <c r="P8" s="39">
        <v>31</v>
      </c>
      <c r="Q8" s="39" t="str">
        <f t="shared" si="0"/>
        <v>10*609*31</v>
      </c>
    </row>
    <row r="9" spans="1:18" ht="17.25" thickBot="1">
      <c r="B9" s="26" t="s">
        <v>1211</v>
      </c>
      <c r="C9" s="26" t="s">
        <v>10</v>
      </c>
      <c r="D9" s="26" t="s">
        <v>1212</v>
      </c>
      <c r="E9" s="26" t="s">
        <v>994</v>
      </c>
      <c r="F9" s="26" t="s">
        <v>1213</v>
      </c>
      <c r="G9" s="26" t="s">
        <v>995</v>
      </c>
      <c r="H9" s="26" t="s">
        <v>1213</v>
      </c>
      <c r="I9" s="26" t="s">
        <v>995</v>
      </c>
      <c r="J9" s="39">
        <v>31540</v>
      </c>
      <c r="K9" s="26"/>
      <c r="L9" s="26"/>
      <c r="M9" s="26"/>
      <c r="N9" s="26"/>
      <c r="O9" s="39">
        <v>914</v>
      </c>
      <c r="P9" s="39">
        <v>31</v>
      </c>
      <c r="Q9" s="39" t="str">
        <f t="shared" si="0"/>
        <v>10*914*31</v>
      </c>
    </row>
    <row r="10" spans="1:18" ht="17.25" thickBot="1">
      <c r="B10" s="26" t="s">
        <v>1211</v>
      </c>
      <c r="C10" s="26" t="s">
        <v>10</v>
      </c>
      <c r="D10" s="26" t="s">
        <v>1212</v>
      </c>
      <c r="E10" s="26" t="s">
        <v>994</v>
      </c>
      <c r="F10" s="26" t="s">
        <v>1213</v>
      </c>
      <c r="G10" s="26" t="s">
        <v>995</v>
      </c>
      <c r="H10" s="26" t="s">
        <v>1213</v>
      </c>
      <c r="I10" s="26" t="s">
        <v>995</v>
      </c>
      <c r="J10" s="39">
        <v>31540</v>
      </c>
      <c r="K10" s="26"/>
      <c r="L10" s="26"/>
      <c r="M10" s="26"/>
      <c r="N10" s="26"/>
      <c r="O10" s="39">
        <v>1016</v>
      </c>
      <c r="P10" s="39">
        <v>31</v>
      </c>
      <c r="Q10" s="39" t="str">
        <f t="shared" si="0"/>
        <v>10*1016*31</v>
      </c>
    </row>
    <row r="11" spans="1:18" ht="17.25" thickBot="1">
      <c r="B11" s="26" t="s">
        <v>1211</v>
      </c>
      <c r="C11" s="26" t="s">
        <v>10</v>
      </c>
      <c r="D11" s="26" t="s">
        <v>1212</v>
      </c>
      <c r="E11" s="26" t="s">
        <v>994</v>
      </c>
      <c r="F11" s="26" t="s">
        <v>1213</v>
      </c>
      <c r="G11" s="26" t="s">
        <v>995</v>
      </c>
      <c r="H11" s="26" t="s">
        <v>1213</v>
      </c>
      <c r="I11" s="26" t="s">
        <v>995</v>
      </c>
      <c r="J11" s="39">
        <v>31864</v>
      </c>
      <c r="K11" s="26"/>
      <c r="L11" s="26"/>
      <c r="M11" s="26"/>
      <c r="N11" s="26"/>
      <c r="O11" s="39">
        <v>508</v>
      </c>
      <c r="P11" s="39">
        <v>31</v>
      </c>
      <c r="Q11" s="39" t="str">
        <f t="shared" si="0"/>
        <v>10*508*31</v>
      </c>
    </row>
    <row r="12" spans="1:18" ht="17.25" thickBot="1">
      <c r="B12" s="26" t="s">
        <v>1211</v>
      </c>
      <c r="C12" s="26" t="s">
        <v>10</v>
      </c>
      <c r="D12" s="26" t="s">
        <v>1212</v>
      </c>
      <c r="E12" s="26" t="s">
        <v>994</v>
      </c>
      <c r="F12" s="26" t="s">
        <v>1213</v>
      </c>
      <c r="G12" s="26" t="s">
        <v>995</v>
      </c>
      <c r="H12" s="26" t="s">
        <v>1213</v>
      </c>
      <c r="I12" s="26" t="s">
        <v>995</v>
      </c>
      <c r="J12" s="39">
        <v>31864</v>
      </c>
      <c r="K12" s="26"/>
      <c r="L12" s="26"/>
      <c r="M12" s="26"/>
      <c r="N12" s="26"/>
      <c r="O12" s="39">
        <v>609</v>
      </c>
      <c r="P12" s="39">
        <v>31</v>
      </c>
      <c r="Q12" s="39" t="str">
        <f t="shared" si="0"/>
        <v>10*609*31</v>
      </c>
    </row>
    <row r="13" spans="1:18" ht="17.25" thickBot="1">
      <c r="B13" s="26" t="s">
        <v>1211</v>
      </c>
      <c r="C13" s="26" t="s">
        <v>10</v>
      </c>
      <c r="D13" s="26" t="s">
        <v>1212</v>
      </c>
      <c r="E13" s="26" t="s">
        <v>994</v>
      </c>
      <c r="F13" s="26" t="s">
        <v>1213</v>
      </c>
      <c r="G13" s="26" t="s">
        <v>995</v>
      </c>
      <c r="H13" s="26" t="s">
        <v>1213</v>
      </c>
      <c r="I13" s="26" t="s">
        <v>995</v>
      </c>
      <c r="J13" s="39">
        <v>31864</v>
      </c>
      <c r="K13" s="26"/>
      <c r="L13" s="26"/>
      <c r="M13" s="26"/>
      <c r="N13" s="26"/>
      <c r="O13" s="39">
        <v>914</v>
      </c>
      <c r="P13" s="39">
        <v>31</v>
      </c>
      <c r="Q13" s="39" t="str">
        <f t="shared" si="0"/>
        <v>10*914*31</v>
      </c>
    </row>
    <row r="14" spans="1:18" ht="17.25" thickBot="1">
      <c r="B14" s="26" t="s">
        <v>1211</v>
      </c>
      <c r="C14" s="26" t="s">
        <v>10</v>
      </c>
      <c r="D14" s="26" t="s">
        <v>1212</v>
      </c>
      <c r="E14" s="26" t="s">
        <v>994</v>
      </c>
      <c r="F14" s="26" t="s">
        <v>1213</v>
      </c>
      <c r="G14" s="26" t="s">
        <v>995</v>
      </c>
      <c r="H14" s="26" t="s">
        <v>1213</v>
      </c>
      <c r="I14" s="26" t="s">
        <v>995</v>
      </c>
      <c r="J14" s="39">
        <v>31864</v>
      </c>
      <c r="K14" s="26"/>
      <c r="L14" s="26"/>
      <c r="M14" s="26"/>
      <c r="N14" s="26"/>
      <c r="O14" s="39">
        <v>1016</v>
      </c>
      <c r="P14" s="39">
        <v>31</v>
      </c>
      <c r="Q14" s="39" t="str">
        <f t="shared" si="0"/>
        <v>10*1016*31</v>
      </c>
    </row>
    <row r="15" spans="1:18" ht="21" customHeight="1" thickBot="1">
      <c r="B15" s="26" t="s">
        <v>1211</v>
      </c>
      <c r="C15" s="26" t="s">
        <v>10</v>
      </c>
      <c r="D15" s="26" t="s">
        <v>1212</v>
      </c>
      <c r="E15" s="26" t="s">
        <v>994</v>
      </c>
      <c r="F15" s="26" t="s">
        <v>1213</v>
      </c>
      <c r="G15" s="26" t="s">
        <v>995</v>
      </c>
      <c r="H15" s="26" t="s">
        <v>1213</v>
      </c>
      <c r="I15" s="26" t="s">
        <v>995</v>
      </c>
      <c r="J15" s="39">
        <v>31704</v>
      </c>
      <c r="K15" s="26"/>
      <c r="L15" s="26"/>
      <c r="M15" s="26"/>
      <c r="N15" s="26"/>
      <c r="O15" s="39">
        <v>1524</v>
      </c>
      <c r="P15" s="39">
        <v>15</v>
      </c>
      <c r="Q15" s="39" t="str">
        <f t="shared" si="0"/>
        <v>10*1524*15</v>
      </c>
    </row>
    <row r="16" spans="1:18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17" spans="2:17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</row>
    <row r="18" spans="2:17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</row>
    <row r="19" spans="2:17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</row>
    <row r="20" spans="2:17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</row>
    <row r="21" spans="2:17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</row>
    <row r="22" spans="2:17"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</row>
    <row r="23" spans="2:17"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</row>
    <row r="24" spans="2:17"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</row>
    <row r="25" spans="2:17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</row>
    <row r="26" spans="2:17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17"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</row>
    <row r="28" spans="2:17"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</row>
    <row r="29" spans="2:17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</row>
    <row r="30" spans="2:17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</row>
    <row r="31" spans="2:17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</row>
    <row r="32" spans="2:17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</row>
    <row r="33" spans="2:17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</row>
    <row r="34" spans="2:17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</row>
    <row r="35" spans="2:17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spans="2:17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spans="2:17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spans="2:17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</row>
  </sheetData>
  <mergeCells count="3">
    <mergeCell ref="B1:C1"/>
    <mergeCell ref="D1:E1"/>
    <mergeCell ref="F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G20"/>
  <sheetViews>
    <sheetView workbookViewId="0">
      <selection activeCell="B2" sqref="B2"/>
    </sheetView>
  </sheetViews>
  <sheetFormatPr defaultColWidth="8.625" defaultRowHeight="12"/>
  <cols>
    <col min="1" max="1" width="8.625" style="5"/>
    <col min="2" max="2" width="9.875" style="5" customWidth="1"/>
    <col min="3" max="3" width="13.625" style="5" bestFit="1" customWidth="1"/>
    <col min="4" max="4" width="9.5" style="5" bestFit="1" customWidth="1"/>
    <col min="5" max="5" width="10" style="5" bestFit="1" customWidth="1"/>
    <col min="6" max="6" width="8.25" style="5" bestFit="1" customWidth="1"/>
    <col min="7" max="16384" width="8.625" style="5"/>
  </cols>
  <sheetData>
    <row r="1" spans="1:7">
      <c r="A1" s="3" t="s">
        <v>291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267</v>
      </c>
      <c r="G1" s="3" t="s">
        <v>930</v>
      </c>
    </row>
    <row r="2" spans="1:7" ht="12.75" thickBot="1">
      <c r="A2" s="3" t="s">
        <v>290</v>
      </c>
      <c r="B2" s="32" t="s">
        <v>1245</v>
      </c>
      <c r="C2" s="32" t="s">
        <v>1672</v>
      </c>
      <c r="D2" s="32" t="s">
        <v>1215</v>
      </c>
      <c r="E2" s="32" t="s">
        <v>1216</v>
      </c>
      <c r="F2" s="32" t="s">
        <v>1217</v>
      </c>
      <c r="G2" s="32" t="s">
        <v>1243</v>
      </c>
    </row>
    <row r="3" spans="1:7" ht="17.25" thickBot="1">
      <c r="A3" s="6" t="s">
        <v>292</v>
      </c>
      <c r="B3" s="40">
        <v>31540</v>
      </c>
      <c r="C3" s="40"/>
      <c r="D3" s="40">
        <v>20300</v>
      </c>
      <c r="E3" t="s">
        <v>12</v>
      </c>
      <c r="F3" s="6">
        <v>1</v>
      </c>
      <c r="G3" t="s">
        <v>1665</v>
      </c>
    </row>
    <row r="4" spans="1:7" ht="17.25" thickBot="1">
      <c r="B4" s="41">
        <v>31540</v>
      </c>
      <c r="C4" s="41"/>
      <c r="D4" s="41">
        <v>20700</v>
      </c>
      <c r="E4" t="s">
        <v>1667</v>
      </c>
      <c r="F4" s="6">
        <v>2</v>
      </c>
      <c r="G4" t="s">
        <v>1666</v>
      </c>
    </row>
    <row r="5" spans="1:7" ht="17.25" thickBot="1">
      <c r="B5" s="41">
        <v>31704</v>
      </c>
      <c r="C5" s="41"/>
      <c r="D5" s="41">
        <v>12400</v>
      </c>
      <c r="E5" t="s">
        <v>217</v>
      </c>
      <c r="F5" s="6">
        <v>2</v>
      </c>
      <c r="G5" t="s">
        <v>1666</v>
      </c>
    </row>
    <row r="6" spans="1:7" ht="17.25" thickBot="1">
      <c r="B6" s="41">
        <v>31704</v>
      </c>
      <c r="C6" s="41"/>
      <c r="D6" s="41">
        <v>23311</v>
      </c>
      <c r="E6" t="s">
        <v>221</v>
      </c>
      <c r="F6" s="6">
        <v>1</v>
      </c>
      <c r="G6" s="45" t="s">
        <v>1668</v>
      </c>
    </row>
    <row r="7" spans="1:7" ht="17.25" thickBot="1">
      <c r="B7" s="41">
        <v>31798</v>
      </c>
      <c r="C7" s="41"/>
      <c r="D7" s="41">
        <v>20500</v>
      </c>
      <c r="E7" t="s">
        <v>1669</v>
      </c>
      <c r="F7" s="6">
        <v>3</v>
      </c>
      <c r="G7" t="s">
        <v>1668</v>
      </c>
    </row>
    <row r="8" spans="1:7" ht="17.25" thickBot="1">
      <c r="B8" s="41">
        <v>31798</v>
      </c>
      <c r="C8" s="41"/>
      <c r="D8" s="41">
        <v>20706</v>
      </c>
      <c r="E8" t="s">
        <v>1670</v>
      </c>
      <c r="F8" s="6">
        <v>2</v>
      </c>
      <c r="G8" t="s">
        <v>1666</v>
      </c>
    </row>
    <row r="9" spans="1:7" ht="17.25" thickBot="1">
      <c r="B9" s="41">
        <v>31798</v>
      </c>
      <c r="C9" s="41"/>
      <c r="D9" s="41">
        <v>20902</v>
      </c>
      <c r="E9" t="s">
        <v>53</v>
      </c>
      <c r="F9" s="6">
        <v>1</v>
      </c>
      <c r="G9" t="s">
        <v>1671</v>
      </c>
    </row>
    <row r="10" spans="1:7" ht="17.25" thickBot="1">
      <c r="B10" s="41">
        <v>31798</v>
      </c>
      <c r="C10" s="41"/>
      <c r="D10" s="41">
        <v>20906</v>
      </c>
      <c r="E10" t="s">
        <v>48</v>
      </c>
      <c r="F10" s="6">
        <v>4</v>
      </c>
      <c r="G10" t="s">
        <v>48</v>
      </c>
    </row>
    <row r="11" spans="1:7" ht="17.25" thickBot="1">
      <c r="B11" s="41">
        <v>31800</v>
      </c>
      <c r="C11" s="41"/>
      <c r="D11" s="41">
        <v>20500</v>
      </c>
      <c r="E11" t="s">
        <v>31</v>
      </c>
      <c r="F11" s="6">
        <v>3</v>
      </c>
      <c r="G11" s="45" t="s">
        <v>1668</v>
      </c>
    </row>
    <row r="12" spans="1:7" ht="17.25" thickBot="1">
      <c r="B12" s="41">
        <v>31800</v>
      </c>
      <c r="C12" s="41"/>
      <c r="D12" s="41">
        <v>20706</v>
      </c>
      <c r="E12" t="s">
        <v>52</v>
      </c>
      <c r="F12" s="6">
        <v>2</v>
      </c>
      <c r="G12" t="s">
        <v>1666</v>
      </c>
    </row>
    <row r="13" spans="1:7" ht="17.25" thickBot="1">
      <c r="B13" s="41">
        <v>31800</v>
      </c>
      <c r="C13" s="41"/>
      <c r="D13" s="41">
        <v>20902</v>
      </c>
      <c r="E13" t="s">
        <v>53</v>
      </c>
      <c r="F13" s="6">
        <v>1</v>
      </c>
      <c r="G13" t="s">
        <v>1671</v>
      </c>
    </row>
    <row r="14" spans="1:7" ht="17.25" thickBot="1">
      <c r="B14" s="41">
        <v>31800</v>
      </c>
      <c r="C14" s="41"/>
      <c r="D14" s="41">
        <v>20906</v>
      </c>
      <c r="E14" t="s">
        <v>48</v>
      </c>
      <c r="F14" s="6">
        <v>4</v>
      </c>
      <c r="G14" t="s">
        <v>48</v>
      </c>
    </row>
    <row r="15" spans="1:7" ht="17.25" thickBot="1">
      <c r="B15" s="41">
        <v>31864</v>
      </c>
      <c r="C15" s="41"/>
      <c r="D15" s="41">
        <v>20300</v>
      </c>
      <c r="E15" t="s">
        <v>12</v>
      </c>
      <c r="F15" s="6">
        <v>1</v>
      </c>
      <c r="G15" t="s">
        <v>1665</v>
      </c>
    </row>
    <row r="16" spans="1:7" ht="17.25" thickBot="1">
      <c r="B16" s="41">
        <v>31864</v>
      </c>
      <c r="C16" s="41"/>
      <c r="D16" s="41">
        <v>20700</v>
      </c>
      <c r="E16" t="s">
        <v>1667</v>
      </c>
      <c r="F16" s="6">
        <v>2</v>
      </c>
      <c r="G16" t="s">
        <v>1666</v>
      </c>
    </row>
    <row r="17" spans="2:7" ht="17.25" thickBot="1">
      <c r="B17" s="5">
        <v>31802</v>
      </c>
      <c r="D17" s="41">
        <v>20902</v>
      </c>
      <c r="E17" t="s">
        <v>53</v>
      </c>
      <c r="F17" s="6">
        <v>1</v>
      </c>
      <c r="G17" t="s">
        <v>1671</v>
      </c>
    </row>
    <row r="18" spans="2:7" ht="17.25" thickBot="1">
      <c r="B18" s="5">
        <v>31802</v>
      </c>
      <c r="D18" s="41">
        <v>20906</v>
      </c>
      <c r="E18" t="s">
        <v>48</v>
      </c>
      <c r="F18" s="6">
        <v>4</v>
      </c>
      <c r="G18" t="s">
        <v>48</v>
      </c>
    </row>
    <row r="19" spans="2:7" ht="17.25" thickBot="1">
      <c r="B19" s="5">
        <v>31802</v>
      </c>
      <c r="D19" s="41">
        <v>20500</v>
      </c>
      <c r="E19" t="s">
        <v>31</v>
      </c>
      <c r="F19" s="6">
        <v>3</v>
      </c>
      <c r="G19" s="45" t="s">
        <v>1668</v>
      </c>
    </row>
    <row r="20" spans="2:7" ht="17.25" thickBot="1">
      <c r="B20" s="5">
        <v>31802</v>
      </c>
      <c r="D20" s="41">
        <v>20706</v>
      </c>
      <c r="E20" t="s">
        <v>52</v>
      </c>
      <c r="F20" s="6">
        <v>2</v>
      </c>
      <c r="G20" t="s">
        <v>1666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D39"/>
  <sheetViews>
    <sheetView workbookViewId="0">
      <selection activeCell="C28" sqref="C28"/>
    </sheetView>
  </sheetViews>
  <sheetFormatPr defaultColWidth="8.625" defaultRowHeight="12"/>
  <cols>
    <col min="1" max="1" width="8.625" style="5"/>
    <col min="2" max="2" width="9.25" style="5" bestFit="1" customWidth="1"/>
    <col min="3" max="3" width="16.5" style="5" bestFit="1" customWidth="1"/>
    <col min="4" max="4" width="9.25" style="5" bestFit="1" customWidth="1"/>
    <col min="5" max="16384" width="8.625" style="5"/>
  </cols>
  <sheetData>
    <row r="1" spans="1:4">
      <c r="A1" s="3" t="s">
        <v>291</v>
      </c>
      <c r="B1" s="13" t="s">
        <v>268</v>
      </c>
      <c r="C1" s="13" t="s">
        <v>269</v>
      </c>
      <c r="D1" s="13" t="s">
        <v>270</v>
      </c>
    </row>
    <row r="2" spans="1:4">
      <c r="A2" s="3" t="s">
        <v>290</v>
      </c>
      <c r="B2" s="13" t="s">
        <v>1242</v>
      </c>
      <c r="C2" s="13"/>
      <c r="D2" s="13"/>
    </row>
    <row r="3" spans="1:4">
      <c r="A3" s="6" t="s">
        <v>292</v>
      </c>
      <c r="B3" s="12">
        <v>20920</v>
      </c>
      <c r="C3" s="12" t="s">
        <v>231</v>
      </c>
      <c r="D3" s="12" t="s">
        <v>271</v>
      </c>
    </row>
    <row r="4" spans="1:4">
      <c r="B4" s="12">
        <v>23312</v>
      </c>
      <c r="C4" s="12" t="s">
        <v>215</v>
      </c>
      <c r="D4" s="12" t="s">
        <v>271</v>
      </c>
    </row>
    <row r="5" spans="1:4">
      <c r="B5" s="12">
        <v>23320</v>
      </c>
      <c r="C5" s="12" t="s">
        <v>265</v>
      </c>
      <c r="D5" s="12" t="s">
        <v>271</v>
      </c>
    </row>
    <row r="6" spans="1:4">
      <c r="B6" s="12">
        <v>23315</v>
      </c>
      <c r="C6" s="12" t="s">
        <v>246</v>
      </c>
      <c r="D6" s="12" t="s">
        <v>271</v>
      </c>
    </row>
    <row r="7" spans="1:4">
      <c r="B7" s="12">
        <v>23316</v>
      </c>
      <c r="C7" s="12" t="s">
        <v>260</v>
      </c>
      <c r="D7" s="12" t="s">
        <v>271</v>
      </c>
    </row>
    <row r="8" spans="1:4">
      <c r="B8" s="12">
        <v>20703</v>
      </c>
      <c r="C8" s="12" t="s">
        <v>272</v>
      </c>
      <c r="D8" s="12" t="s">
        <v>273</v>
      </c>
    </row>
    <row r="9" spans="1:4">
      <c r="B9" s="12">
        <v>20711</v>
      </c>
      <c r="C9" s="12" t="s">
        <v>274</v>
      </c>
      <c r="D9" s="12" t="s">
        <v>273</v>
      </c>
    </row>
    <row r="10" spans="1:4">
      <c r="B10" s="12">
        <v>20708</v>
      </c>
      <c r="C10" s="12" t="s">
        <v>275</v>
      </c>
      <c r="D10" s="12" t="s">
        <v>273</v>
      </c>
    </row>
    <row r="11" spans="1:4">
      <c r="B11" s="12">
        <v>20710</v>
      </c>
      <c r="C11" s="12" t="s">
        <v>214</v>
      </c>
      <c r="D11" s="12" t="s">
        <v>273</v>
      </c>
    </row>
    <row r="12" spans="1:4">
      <c r="B12" s="12">
        <v>21000</v>
      </c>
      <c r="C12" s="12" t="s">
        <v>276</v>
      </c>
      <c r="D12" s="12" t="s">
        <v>273</v>
      </c>
    </row>
    <row r="13" spans="1:4">
      <c r="B13" s="12">
        <v>20900</v>
      </c>
      <c r="C13" s="12" t="s">
        <v>277</v>
      </c>
      <c r="D13" s="12" t="s">
        <v>273</v>
      </c>
    </row>
    <row r="14" spans="1:4">
      <c r="B14" s="12">
        <v>20702</v>
      </c>
      <c r="C14" s="12" t="s">
        <v>44</v>
      </c>
      <c r="D14" s="12" t="s">
        <v>273</v>
      </c>
    </row>
    <row r="15" spans="1:4">
      <c r="B15" s="12">
        <v>20713</v>
      </c>
      <c r="C15" s="12" t="s">
        <v>147</v>
      </c>
      <c r="D15" s="12" t="s">
        <v>273</v>
      </c>
    </row>
    <row r="16" spans="1:4">
      <c r="B16" s="12">
        <v>20706</v>
      </c>
      <c r="C16" s="12" t="s">
        <v>52</v>
      </c>
      <c r="D16" s="12" t="s">
        <v>273</v>
      </c>
    </row>
    <row r="17" spans="2:4">
      <c r="B17" s="12">
        <v>20714</v>
      </c>
      <c r="C17" s="12" t="s">
        <v>188</v>
      </c>
      <c r="D17" s="12" t="s">
        <v>273</v>
      </c>
    </row>
    <row r="18" spans="2:4">
      <c r="B18" s="12">
        <v>20704</v>
      </c>
      <c r="C18" s="12" t="s">
        <v>47</v>
      </c>
      <c r="D18" s="12" t="s">
        <v>273</v>
      </c>
    </row>
    <row r="19" spans="2:4">
      <c r="B19" s="12">
        <v>20707</v>
      </c>
      <c r="C19" s="12" t="s">
        <v>278</v>
      </c>
      <c r="D19" s="12" t="s">
        <v>273</v>
      </c>
    </row>
    <row r="20" spans="2:4">
      <c r="B20" s="12">
        <v>12400</v>
      </c>
      <c r="C20" s="12" t="s">
        <v>217</v>
      </c>
      <c r="D20" s="12" t="s">
        <v>273</v>
      </c>
    </row>
    <row r="21" spans="2:4">
      <c r="B21" s="12">
        <v>20709</v>
      </c>
      <c r="C21" s="12" t="s">
        <v>279</v>
      </c>
      <c r="D21" s="12" t="s">
        <v>273</v>
      </c>
    </row>
    <row r="22" spans="2:4">
      <c r="B22" s="12">
        <v>20705</v>
      </c>
      <c r="C22" s="12" t="s">
        <v>59</v>
      </c>
      <c r="D22" s="12" t="s">
        <v>273</v>
      </c>
    </row>
    <row r="23" spans="2:4">
      <c r="B23" s="12">
        <v>20700</v>
      </c>
      <c r="C23" s="12" t="s">
        <v>15</v>
      </c>
      <c r="D23" s="12" t="s">
        <v>273</v>
      </c>
    </row>
    <row r="24" spans="2:4">
      <c r="B24" s="12">
        <v>20601</v>
      </c>
      <c r="C24" s="12" t="s">
        <v>43</v>
      </c>
      <c r="D24" s="12" t="s">
        <v>280</v>
      </c>
    </row>
    <row r="25" spans="2:4">
      <c r="B25" s="12">
        <v>20904</v>
      </c>
      <c r="C25" s="12" t="s">
        <v>156</v>
      </c>
      <c r="D25" s="12" t="s">
        <v>280</v>
      </c>
    </row>
    <row r="26" spans="2:4">
      <c r="B26" s="12">
        <v>23119</v>
      </c>
      <c r="C26" s="12" t="s">
        <v>281</v>
      </c>
      <c r="D26" s="12" t="s">
        <v>280</v>
      </c>
    </row>
    <row r="27" spans="2:4">
      <c r="B27" s="12">
        <v>23118</v>
      </c>
      <c r="C27" s="12" t="s">
        <v>252</v>
      </c>
      <c r="D27" s="12" t="s">
        <v>280</v>
      </c>
    </row>
    <row r="28" spans="2:4">
      <c r="B28" s="12">
        <v>20902</v>
      </c>
      <c r="C28" s="12" t="s">
        <v>53</v>
      </c>
      <c r="D28" s="12" t="s">
        <v>280</v>
      </c>
    </row>
    <row r="29" spans="2:4">
      <c r="B29" s="12">
        <v>20300</v>
      </c>
      <c r="C29" s="12" t="s">
        <v>12</v>
      </c>
      <c r="D29" s="12" t="s">
        <v>282</v>
      </c>
    </row>
    <row r="30" spans="2:4">
      <c r="B30" s="12">
        <v>20400</v>
      </c>
      <c r="C30" s="12" t="s">
        <v>34</v>
      </c>
      <c r="D30" s="12" t="s">
        <v>282</v>
      </c>
    </row>
    <row r="31" spans="2:4">
      <c r="B31" s="12">
        <v>23311</v>
      </c>
      <c r="C31" s="12" t="s">
        <v>221</v>
      </c>
      <c r="D31" s="12" t="s">
        <v>283</v>
      </c>
    </row>
    <row r="32" spans="2:4">
      <c r="B32" s="12">
        <v>23100</v>
      </c>
      <c r="C32" s="12" t="s">
        <v>54</v>
      </c>
      <c r="D32" s="12" t="s">
        <v>283</v>
      </c>
    </row>
    <row r="33" spans="2:4">
      <c r="B33" s="12">
        <v>23200</v>
      </c>
      <c r="C33" s="12" t="s">
        <v>63</v>
      </c>
      <c r="D33" s="12" t="s">
        <v>283</v>
      </c>
    </row>
    <row r="34" spans="2:4">
      <c r="B34" s="12">
        <v>23300</v>
      </c>
      <c r="C34" s="12" t="s">
        <v>65</v>
      </c>
      <c r="D34" s="12" t="s">
        <v>283</v>
      </c>
    </row>
    <row r="35" spans="2:4">
      <c r="B35" s="12">
        <v>20500</v>
      </c>
      <c r="C35" s="12" t="s">
        <v>31</v>
      </c>
      <c r="D35" s="12" t="s">
        <v>283</v>
      </c>
    </row>
    <row r="36" spans="2:4">
      <c r="B36" s="12">
        <v>20600</v>
      </c>
      <c r="C36" s="12" t="s">
        <v>32</v>
      </c>
      <c r="D36" s="12" t="s">
        <v>283</v>
      </c>
    </row>
    <row r="37" spans="2:4">
      <c r="B37" s="12">
        <v>80013</v>
      </c>
      <c r="C37" s="12" t="s">
        <v>250</v>
      </c>
      <c r="D37" s="12" t="s">
        <v>284</v>
      </c>
    </row>
    <row r="38" spans="2:4">
      <c r="B38" s="12">
        <v>25005</v>
      </c>
      <c r="C38" s="12" t="s">
        <v>232</v>
      </c>
      <c r="D38" s="12" t="s">
        <v>284</v>
      </c>
    </row>
    <row r="39" spans="2:4">
      <c r="B39" s="12">
        <v>20906</v>
      </c>
      <c r="C39" s="12" t="s">
        <v>48</v>
      </c>
      <c r="D39" s="12" t="s">
        <v>285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C301"/>
  <sheetViews>
    <sheetView workbookViewId="0">
      <selection activeCell="A3" sqref="A3"/>
    </sheetView>
  </sheetViews>
  <sheetFormatPr defaultColWidth="9" defaultRowHeight="13.5"/>
  <cols>
    <col min="1" max="1" width="9" style="14"/>
    <col min="2" max="2" width="37" style="14" customWidth="1"/>
    <col min="3" max="3" width="12.125" style="14" bestFit="1" customWidth="1"/>
    <col min="4" max="4" width="8.375" style="14" customWidth="1"/>
    <col min="5" max="5" width="8" style="15" bestFit="1" customWidth="1"/>
    <col min="6" max="6" width="15.875" style="14" customWidth="1"/>
    <col min="7" max="7" width="18.125" style="14" bestFit="1" customWidth="1"/>
    <col min="8" max="8" width="9.75" style="14" bestFit="1" customWidth="1"/>
    <col min="9" max="9" width="9.75" style="17" bestFit="1" customWidth="1"/>
    <col min="10" max="10" width="16.625" style="14" customWidth="1"/>
    <col min="11" max="11" width="9.75" style="14" bestFit="1" customWidth="1"/>
    <col min="12" max="12" width="23.25" style="14" customWidth="1"/>
    <col min="13" max="13" width="22.875" style="14" customWidth="1"/>
    <col min="14" max="14" width="9.75" style="14" bestFit="1" customWidth="1"/>
    <col min="15" max="15" width="13.5" style="14" bestFit="1" customWidth="1"/>
    <col min="16" max="16" width="8" style="15" bestFit="1" customWidth="1"/>
    <col min="17" max="17" width="15.25" style="14" bestFit="1" customWidth="1"/>
    <col min="18" max="18" width="12.25" style="14" bestFit="1" customWidth="1"/>
    <col min="19" max="19" width="9.75" style="14" bestFit="1" customWidth="1"/>
    <col min="20" max="20" width="9.75" style="16" bestFit="1" customWidth="1"/>
    <col min="21" max="21" width="27.25" style="14" bestFit="1" customWidth="1"/>
    <col min="22" max="22" width="9.75" style="14" bestFit="1" customWidth="1"/>
    <col min="23" max="23" width="47.125" style="14" bestFit="1" customWidth="1"/>
    <col min="24" max="24" width="23.25" style="14" bestFit="1" customWidth="1"/>
    <col min="25" max="25" width="9.75" style="14" bestFit="1" customWidth="1"/>
    <col min="26" max="26" width="13.5" style="14" bestFit="1" customWidth="1"/>
    <col min="27" max="27" width="8" style="15" bestFit="1" customWidth="1"/>
    <col min="28" max="28" width="12.875" style="14" customWidth="1"/>
    <col min="29" max="29" width="13.25" style="14" customWidth="1"/>
    <col min="30" max="30" width="10.625" style="14" customWidth="1"/>
    <col min="31" max="31" width="11.25" style="16" customWidth="1"/>
    <col min="32" max="32" width="14" style="14" bestFit="1" customWidth="1"/>
    <col min="33" max="33" width="9.75" style="14" bestFit="1" customWidth="1"/>
    <col min="34" max="34" width="35.25" style="14" bestFit="1" customWidth="1"/>
    <col min="35" max="35" width="23.25" style="14" bestFit="1" customWidth="1"/>
    <col min="36" max="36" width="9.75" style="14" bestFit="1" customWidth="1"/>
    <col min="37" max="37" width="13.5" style="14" bestFit="1" customWidth="1"/>
    <col min="38" max="38" width="8" style="15" bestFit="1" customWidth="1"/>
    <col min="39" max="39" width="15.625" style="14" bestFit="1" customWidth="1"/>
    <col min="40" max="40" width="11.875" style="14" bestFit="1" customWidth="1"/>
    <col min="41" max="41" width="9.75" style="14" bestFit="1" customWidth="1"/>
    <col min="42" max="42" width="9.75" style="16" bestFit="1" customWidth="1"/>
    <col min="43" max="43" width="12.125" style="14" bestFit="1" customWidth="1"/>
    <col min="44" max="44" width="9.75" style="14" bestFit="1" customWidth="1"/>
    <col min="45" max="45" width="29.25" style="14" bestFit="1" customWidth="1"/>
    <col min="46" max="47" width="9.75" style="14" bestFit="1" customWidth="1"/>
    <col min="48" max="48" width="13.5" style="14" bestFit="1" customWidth="1"/>
    <col min="49" max="49" width="8" style="15" bestFit="1" customWidth="1"/>
    <col min="50" max="50" width="14.75" style="14" bestFit="1" customWidth="1"/>
    <col min="51" max="51" width="12.25" style="14" bestFit="1" customWidth="1"/>
    <col min="52" max="53" width="9.75" style="14" bestFit="1" customWidth="1"/>
    <col min="54" max="54" width="12.125" style="14" bestFit="1" customWidth="1"/>
    <col min="55" max="58" width="9.75" style="14" bestFit="1" customWidth="1"/>
    <col min="59" max="59" width="13.5" style="14" bestFit="1" customWidth="1"/>
    <col min="60" max="60" width="8" style="14" bestFit="1" customWidth="1"/>
    <col min="61" max="64" width="9.75" style="14" bestFit="1" customWidth="1"/>
    <col min="65" max="65" width="12.125" style="14" bestFit="1" customWidth="1"/>
    <col min="66" max="69" width="9.75" style="14" bestFit="1" customWidth="1"/>
    <col min="70" max="70" width="13.5" style="14" bestFit="1" customWidth="1"/>
    <col min="71" max="71" width="8" style="14" bestFit="1" customWidth="1"/>
    <col min="72" max="75" width="9.75" style="14" bestFit="1" customWidth="1"/>
    <col min="76" max="76" width="12.125" style="14" bestFit="1" customWidth="1"/>
    <col min="77" max="80" width="9.75" style="14" bestFit="1" customWidth="1"/>
    <col min="81" max="81" width="13.5" style="14" bestFit="1" customWidth="1"/>
    <col min="82" max="16384" width="9" style="14"/>
  </cols>
  <sheetData>
    <row r="1" spans="1:81">
      <c r="A1" s="14" t="s">
        <v>297</v>
      </c>
      <c r="B1" s="14" t="s">
        <v>298</v>
      </c>
      <c r="C1" s="14" t="s">
        <v>299</v>
      </c>
      <c r="D1" s="14" t="s">
        <v>300</v>
      </c>
      <c r="E1" s="15" t="s">
        <v>301</v>
      </c>
      <c r="F1" s="14" t="s">
        <v>298</v>
      </c>
      <c r="G1" s="14" t="s">
        <v>298</v>
      </c>
      <c r="H1" s="14" t="s">
        <v>298</v>
      </c>
      <c r="I1" s="17" t="s">
        <v>298</v>
      </c>
      <c r="J1" s="14" t="s">
        <v>298</v>
      </c>
      <c r="K1" s="14" t="s">
        <v>298</v>
      </c>
      <c r="L1" s="14" t="s">
        <v>298</v>
      </c>
      <c r="M1" s="14" t="s">
        <v>298</v>
      </c>
      <c r="N1" s="14" t="s">
        <v>298</v>
      </c>
      <c r="O1" s="14" t="s">
        <v>298</v>
      </c>
      <c r="P1" s="15" t="s">
        <v>302</v>
      </c>
      <c r="Q1" s="14" t="s">
        <v>298</v>
      </c>
      <c r="R1" s="14" t="s">
        <v>298</v>
      </c>
      <c r="S1" s="14" t="s">
        <v>298</v>
      </c>
      <c r="T1" s="16" t="s">
        <v>298</v>
      </c>
      <c r="U1" s="14" t="s">
        <v>298</v>
      </c>
      <c r="V1" s="14" t="s">
        <v>298</v>
      </c>
      <c r="W1" s="14" t="s">
        <v>298</v>
      </c>
      <c r="X1" s="14" t="s">
        <v>298</v>
      </c>
      <c r="Y1" s="14" t="s">
        <v>298</v>
      </c>
      <c r="Z1" s="14" t="s">
        <v>298</v>
      </c>
      <c r="AA1" s="15" t="s">
        <v>303</v>
      </c>
      <c r="AB1" s="14" t="s">
        <v>298</v>
      </c>
      <c r="AC1" s="14" t="s">
        <v>298</v>
      </c>
      <c r="AD1" s="14" t="s">
        <v>298</v>
      </c>
      <c r="AE1" s="16" t="s">
        <v>298</v>
      </c>
      <c r="AF1" s="14" t="s">
        <v>298</v>
      </c>
      <c r="AG1" s="14" t="s">
        <v>298</v>
      </c>
      <c r="AH1" s="14" t="s">
        <v>298</v>
      </c>
      <c r="AI1" s="14" t="s">
        <v>298</v>
      </c>
      <c r="AJ1" s="14" t="s">
        <v>298</v>
      </c>
      <c r="AK1" s="14" t="s">
        <v>298</v>
      </c>
      <c r="AL1" s="15" t="s">
        <v>304</v>
      </c>
      <c r="AM1" s="14" t="s">
        <v>298</v>
      </c>
      <c r="AN1" s="14" t="s">
        <v>298</v>
      </c>
      <c r="AO1" s="14" t="s">
        <v>298</v>
      </c>
      <c r="AP1" s="16" t="s">
        <v>298</v>
      </c>
      <c r="AQ1" s="14" t="s">
        <v>298</v>
      </c>
      <c r="AR1" s="14" t="s">
        <v>298</v>
      </c>
      <c r="AS1" s="14" t="s">
        <v>298</v>
      </c>
      <c r="AT1" s="14" t="s">
        <v>298</v>
      </c>
      <c r="AU1" s="14" t="s">
        <v>298</v>
      </c>
      <c r="AV1" s="14" t="s">
        <v>298</v>
      </c>
      <c r="AW1" s="15" t="s">
        <v>305</v>
      </c>
      <c r="AX1" s="14" t="s">
        <v>298</v>
      </c>
      <c r="AY1" s="14" t="s">
        <v>298</v>
      </c>
      <c r="AZ1" s="14" t="s">
        <v>298</v>
      </c>
      <c r="BA1" s="14" t="s">
        <v>298</v>
      </c>
      <c r="BB1" s="14" t="s">
        <v>298</v>
      </c>
      <c r="BC1" s="14" t="s">
        <v>298</v>
      </c>
      <c r="BD1" s="14" t="s">
        <v>298</v>
      </c>
      <c r="BE1" s="14" t="s">
        <v>298</v>
      </c>
      <c r="BF1" s="14" t="s">
        <v>298</v>
      </c>
      <c r="BG1" s="14" t="s">
        <v>298</v>
      </c>
      <c r="BH1" s="14" t="s">
        <v>306</v>
      </c>
      <c r="BI1" s="14" t="s">
        <v>298</v>
      </c>
      <c r="BJ1" s="14" t="s">
        <v>298</v>
      </c>
      <c r="BK1" s="14" t="s">
        <v>298</v>
      </c>
      <c r="BL1" s="14" t="s">
        <v>298</v>
      </c>
      <c r="BM1" s="14" t="s">
        <v>298</v>
      </c>
      <c r="BN1" s="14" t="s">
        <v>298</v>
      </c>
      <c r="BO1" s="14" t="s">
        <v>298</v>
      </c>
      <c r="BP1" s="14" t="s">
        <v>298</v>
      </c>
      <c r="BQ1" s="14" t="s">
        <v>298</v>
      </c>
      <c r="BR1" s="14" t="s">
        <v>298</v>
      </c>
      <c r="BS1" s="14" t="s">
        <v>307</v>
      </c>
      <c r="BT1" s="14" t="s">
        <v>298</v>
      </c>
      <c r="BU1" s="14" t="s">
        <v>298</v>
      </c>
      <c r="BV1" s="14" t="s">
        <v>298</v>
      </c>
      <c r="BW1" s="14" t="s">
        <v>298</v>
      </c>
      <c r="BX1" s="14" t="s">
        <v>298</v>
      </c>
      <c r="BY1" s="14" t="s">
        <v>298</v>
      </c>
      <c r="BZ1" s="14" t="s">
        <v>298</v>
      </c>
      <c r="CA1" s="14" t="s">
        <v>298</v>
      </c>
      <c r="CB1" s="14" t="s">
        <v>298</v>
      </c>
      <c r="CC1" s="14" t="s">
        <v>298</v>
      </c>
    </row>
    <row r="2" spans="1:81">
      <c r="A2" s="14" t="s">
        <v>308</v>
      </c>
      <c r="B2" s="14" t="s">
        <v>309</v>
      </c>
      <c r="C2" s="14" t="s">
        <v>299</v>
      </c>
      <c r="D2" s="14" t="s">
        <v>300</v>
      </c>
      <c r="E2" s="15" t="s">
        <v>268</v>
      </c>
      <c r="F2" s="14" t="s">
        <v>269</v>
      </c>
      <c r="G2" s="14" t="s">
        <v>310</v>
      </c>
      <c r="H2" s="14" t="s">
        <v>311</v>
      </c>
      <c r="I2" s="17" t="s">
        <v>312</v>
      </c>
      <c r="J2" s="14" t="s">
        <v>313</v>
      </c>
      <c r="K2" s="14" t="s">
        <v>314</v>
      </c>
      <c r="L2" s="14" t="s">
        <v>315</v>
      </c>
      <c r="M2" s="14" t="s">
        <v>316</v>
      </c>
      <c r="N2" s="14" t="s">
        <v>317</v>
      </c>
      <c r="O2" s="14" t="s">
        <v>318</v>
      </c>
      <c r="P2" s="15" t="s">
        <v>268</v>
      </c>
      <c r="Q2" s="14" t="s">
        <v>269</v>
      </c>
      <c r="R2" s="14" t="s">
        <v>310</v>
      </c>
      <c r="S2" s="14" t="s">
        <v>311</v>
      </c>
      <c r="T2" s="16" t="s">
        <v>312</v>
      </c>
      <c r="U2" s="14" t="s">
        <v>313</v>
      </c>
      <c r="V2" s="14" t="s">
        <v>314</v>
      </c>
      <c r="W2" s="14" t="s">
        <v>315</v>
      </c>
      <c r="X2" s="14" t="s">
        <v>316</v>
      </c>
      <c r="Y2" s="14" t="s">
        <v>317</v>
      </c>
      <c r="Z2" s="14" t="s">
        <v>318</v>
      </c>
      <c r="AA2" s="15" t="s">
        <v>268</v>
      </c>
      <c r="AB2" s="14" t="s">
        <v>269</v>
      </c>
      <c r="AC2" s="14" t="s">
        <v>310</v>
      </c>
      <c r="AD2" s="14" t="s">
        <v>311</v>
      </c>
      <c r="AE2" s="16" t="s">
        <v>312</v>
      </c>
      <c r="AF2" s="14" t="s">
        <v>313</v>
      </c>
      <c r="AG2" s="14" t="s">
        <v>314</v>
      </c>
      <c r="AH2" s="14" t="s">
        <v>315</v>
      </c>
      <c r="AI2" s="14" t="s">
        <v>316</v>
      </c>
      <c r="AJ2" s="14" t="s">
        <v>317</v>
      </c>
      <c r="AK2" s="14" t="s">
        <v>318</v>
      </c>
      <c r="AL2" s="15" t="s">
        <v>268</v>
      </c>
      <c r="AM2" s="14" t="s">
        <v>269</v>
      </c>
      <c r="AN2" s="14" t="s">
        <v>310</v>
      </c>
      <c r="AO2" s="14" t="s">
        <v>311</v>
      </c>
      <c r="AP2" s="16" t="s">
        <v>312</v>
      </c>
      <c r="AQ2" s="14" t="s">
        <v>313</v>
      </c>
      <c r="AR2" s="14" t="s">
        <v>314</v>
      </c>
      <c r="AS2" s="14" t="s">
        <v>315</v>
      </c>
      <c r="AT2" s="14" t="s">
        <v>316</v>
      </c>
      <c r="AU2" s="14" t="s">
        <v>317</v>
      </c>
      <c r="AV2" s="14" t="s">
        <v>318</v>
      </c>
      <c r="AW2" s="15" t="s">
        <v>268</v>
      </c>
      <c r="AX2" s="14" t="s">
        <v>269</v>
      </c>
      <c r="AY2" s="14" t="s">
        <v>310</v>
      </c>
      <c r="AZ2" s="14" t="s">
        <v>311</v>
      </c>
      <c r="BA2" s="14" t="s">
        <v>312</v>
      </c>
      <c r="BB2" s="14" t="s">
        <v>313</v>
      </c>
      <c r="BC2" s="14" t="s">
        <v>314</v>
      </c>
      <c r="BD2" s="14" t="s">
        <v>315</v>
      </c>
      <c r="BE2" s="14" t="s">
        <v>316</v>
      </c>
      <c r="BF2" s="14" t="s">
        <v>317</v>
      </c>
      <c r="BG2" s="14" t="s">
        <v>318</v>
      </c>
      <c r="BH2" s="14" t="s">
        <v>268</v>
      </c>
      <c r="BI2" s="14" t="s">
        <v>269</v>
      </c>
      <c r="BJ2" s="14" t="s">
        <v>310</v>
      </c>
      <c r="BK2" s="14" t="s">
        <v>311</v>
      </c>
      <c r="BL2" s="14" t="s">
        <v>312</v>
      </c>
      <c r="BM2" s="14" t="s">
        <v>313</v>
      </c>
      <c r="BN2" s="14" t="s">
        <v>314</v>
      </c>
      <c r="BO2" s="14" t="s">
        <v>315</v>
      </c>
      <c r="BP2" s="14" t="s">
        <v>316</v>
      </c>
      <c r="BQ2" s="14" t="s">
        <v>317</v>
      </c>
      <c r="BR2" s="14" t="s">
        <v>318</v>
      </c>
      <c r="BS2" s="14" t="s">
        <v>268</v>
      </c>
      <c r="BT2" s="14" t="s">
        <v>269</v>
      </c>
      <c r="BU2" s="14" t="s">
        <v>310</v>
      </c>
      <c r="BV2" s="14" t="s">
        <v>311</v>
      </c>
      <c r="BW2" s="14" t="s">
        <v>312</v>
      </c>
      <c r="BX2" s="14" t="s">
        <v>313</v>
      </c>
      <c r="BY2" s="14" t="s">
        <v>314</v>
      </c>
      <c r="BZ2" s="14" t="s">
        <v>315</v>
      </c>
      <c r="CA2" s="14" t="s">
        <v>316</v>
      </c>
      <c r="CB2" s="14" t="s">
        <v>317</v>
      </c>
      <c r="CC2" s="14" t="s">
        <v>318</v>
      </c>
    </row>
    <row r="3" spans="1:81">
      <c r="A3" s="14">
        <v>31940</v>
      </c>
      <c r="B3" s="14" t="s">
        <v>230</v>
      </c>
      <c r="C3" s="14" t="str">
        <f>VLOOKUP(A3,[1]Sheet1!$A:$F,5,FALSE)</f>
        <v>HIGH-END</v>
      </c>
      <c r="D3" s="14" t="str">
        <f>VLOOKUP(A3,[1]Sheet1!$A:$F,6,FALSE)</f>
        <v>C-PPF</v>
      </c>
      <c r="E3" s="15">
        <v>23500</v>
      </c>
      <c r="F3" s="14" t="s">
        <v>37</v>
      </c>
      <c r="G3" s="14" t="s">
        <v>319</v>
      </c>
      <c r="H3" s="14">
        <v>83.26</v>
      </c>
      <c r="I3" s="17">
        <v>14772</v>
      </c>
      <c r="K3" s="14">
        <v>8.6</v>
      </c>
      <c r="L3" s="14" t="s">
        <v>320</v>
      </c>
      <c r="P3" s="15">
        <v>20500</v>
      </c>
      <c r="Q3" s="14" t="s">
        <v>31</v>
      </c>
      <c r="R3" s="14" t="s">
        <v>16</v>
      </c>
      <c r="S3" s="14">
        <v>97.98</v>
      </c>
      <c r="T3" s="16" t="s">
        <v>321</v>
      </c>
      <c r="U3" s="14" t="s">
        <v>321</v>
      </c>
      <c r="V3" s="14">
        <v>10</v>
      </c>
      <c r="W3" s="14">
        <v>23352</v>
      </c>
      <c r="AE3" s="14"/>
      <c r="AG3" s="14">
        <v>0</v>
      </c>
      <c r="AP3" s="14"/>
      <c r="AR3" s="14">
        <v>0</v>
      </c>
      <c r="BC3" s="14">
        <v>0</v>
      </c>
      <c r="BN3" s="14">
        <v>0</v>
      </c>
      <c r="BY3" s="14">
        <v>0</v>
      </c>
    </row>
    <row r="4" spans="1:81">
      <c r="A4" s="14">
        <v>32452</v>
      </c>
      <c r="B4" s="14" t="s">
        <v>253</v>
      </c>
      <c r="C4" s="14" t="str">
        <f>VLOOKUP(A4,[1]Sheet1!$A:$F,5,FALSE)</f>
        <v>HIGH-END</v>
      </c>
      <c r="D4" s="14" t="str">
        <f>VLOOKUP(A4,[1]Sheet1!$A:$F,6,FALSE)</f>
        <v>C-PPF</v>
      </c>
      <c r="E4" s="15">
        <v>23313</v>
      </c>
      <c r="F4" s="14" t="s">
        <v>254</v>
      </c>
      <c r="G4" s="14" t="s">
        <v>38</v>
      </c>
      <c r="H4" s="14">
        <v>85.71</v>
      </c>
      <c r="I4" s="17">
        <v>14772</v>
      </c>
      <c r="K4" s="14">
        <v>9</v>
      </c>
      <c r="L4" s="14">
        <v>24670</v>
      </c>
      <c r="T4" s="14"/>
      <c r="V4" s="14">
        <v>0</v>
      </c>
      <c r="AE4" s="14"/>
      <c r="AG4" s="14">
        <v>0</v>
      </c>
      <c r="AP4" s="14"/>
      <c r="AR4" s="14">
        <v>0</v>
      </c>
      <c r="BC4" s="14">
        <v>0</v>
      </c>
      <c r="BN4" s="14">
        <v>0</v>
      </c>
      <c r="BY4" s="14">
        <v>0</v>
      </c>
    </row>
    <row r="5" spans="1:81">
      <c r="A5" s="14">
        <v>32540</v>
      </c>
      <c r="B5" s="14" t="s">
        <v>205</v>
      </c>
      <c r="C5" s="14" t="str">
        <f>VLOOKUP(A5,[1]Sheet1!$A:$F,5,FALSE)</f>
        <v>전략</v>
      </c>
      <c r="D5" s="14" t="str">
        <f>VLOOKUP(A5,[1]Sheet1!$A:$F,6,FALSE)</f>
        <v>SP</v>
      </c>
      <c r="E5" s="15">
        <v>20902</v>
      </c>
      <c r="F5" s="14" t="s">
        <v>53</v>
      </c>
      <c r="G5" s="14" t="s">
        <v>13</v>
      </c>
      <c r="H5" s="14">
        <v>87.34</v>
      </c>
      <c r="I5" s="17" t="s">
        <v>322</v>
      </c>
      <c r="J5" s="14" t="s">
        <v>323</v>
      </c>
      <c r="K5" s="14">
        <v>15</v>
      </c>
      <c r="L5" s="14">
        <v>20807</v>
      </c>
      <c r="M5" s="14" t="s">
        <v>324</v>
      </c>
      <c r="P5" s="15">
        <v>20706</v>
      </c>
      <c r="Q5" s="14" t="s">
        <v>52</v>
      </c>
      <c r="R5" s="14" t="s">
        <v>17</v>
      </c>
      <c r="S5" s="14">
        <v>89.86</v>
      </c>
      <c r="T5" s="16" t="s">
        <v>325</v>
      </c>
      <c r="V5" s="14">
        <v>40</v>
      </c>
      <c r="W5" s="14">
        <v>20807</v>
      </c>
      <c r="AA5" s="15">
        <v>20500</v>
      </c>
      <c r="AB5" s="14" t="s">
        <v>31</v>
      </c>
      <c r="AC5" s="14" t="s">
        <v>17</v>
      </c>
      <c r="AD5" s="14">
        <v>93.55</v>
      </c>
      <c r="AE5" s="14" t="s">
        <v>326</v>
      </c>
      <c r="AG5" s="14">
        <v>25</v>
      </c>
      <c r="AH5" s="14">
        <v>20807</v>
      </c>
      <c r="AI5" s="14">
        <v>23352</v>
      </c>
      <c r="AL5" s="15">
        <v>20906</v>
      </c>
      <c r="AM5" s="14" t="s">
        <v>48</v>
      </c>
      <c r="AN5" s="14" t="s">
        <v>49</v>
      </c>
      <c r="AO5" s="14">
        <v>93.1</v>
      </c>
      <c r="AP5" s="16" t="s">
        <v>327</v>
      </c>
      <c r="AR5" s="14">
        <v>17</v>
      </c>
      <c r="AS5" s="14">
        <v>20807</v>
      </c>
      <c r="BC5" s="14">
        <v>0</v>
      </c>
      <c r="BN5" s="14">
        <v>0</v>
      </c>
      <c r="BY5" s="14">
        <v>0</v>
      </c>
    </row>
    <row r="6" spans="1:81">
      <c r="A6" s="14">
        <v>32405</v>
      </c>
      <c r="B6" s="14" t="s">
        <v>216</v>
      </c>
      <c r="C6" s="14" t="str">
        <f>VLOOKUP(A6,[1]Sheet1!$A:$F,5,FALSE)</f>
        <v>전략</v>
      </c>
      <c r="D6" s="14" t="str">
        <f>VLOOKUP(A6,[1]Sheet1!$A:$F,6,FALSE)</f>
        <v>WP4</v>
      </c>
      <c r="E6" s="15">
        <v>12400</v>
      </c>
      <c r="F6" s="14" t="s">
        <v>217</v>
      </c>
      <c r="G6" s="14" t="s">
        <v>16</v>
      </c>
      <c r="H6" s="14">
        <v>87.65</v>
      </c>
      <c r="I6" s="17" t="s">
        <v>328</v>
      </c>
      <c r="J6" s="14" t="s">
        <v>328</v>
      </c>
      <c r="K6" s="14">
        <v>7</v>
      </c>
      <c r="L6" s="14">
        <v>24884</v>
      </c>
      <c r="P6" s="15">
        <v>20600</v>
      </c>
      <c r="Q6" s="14" t="s">
        <v>32</v>
      </c>
      <c r="R6" s="14" t="s">
        <v>16</v>
      </c>
      <c r="S6" s="14">
        <v>98.59</v>
      </c>
      <c r="T6" s="16" t="s">
        <v>329</v>
      </c>
      <c r="U6" s="14" t="s">
        <v>329</v>
      </c>
      <c r="V6" s="14">
        <v>15</v>
      </c>
      <c r="W6" s="14">
        <v>24884</v>
      </c>
      <c r="X6" s="14">
        <v>24884</v>
      </c>
      <c r="AA6" s="15">
        <v>20500</v>
      </c>
      <c r="AB6" s="14" t="s">
        <v>31</v>
      </c>
      <c r="AC6" s="14" t="s">
        <v>16</v>
      </c>
      <c r="AD6" s="14">
        <v>97.14</v>
      </c>
      <c r="AE6" s="16" t="s">
        <v>330</v>
      </c>
      <c r="AF6" s="14" t="s">
        <v>330</v>
      </c>
      <c r="AG6" s="14">
        <v>15</v>
      </c>
      <c r="AH6" s="14">
        <v>24884</v>
      </c>
      <c r="AI6" s="14">
        <v>26119</v>
      </c>
      <c r="AP6" s="14"/>
      <c r="AR6" s="14">
        <v>0</v>
      </c>
      <c r="BC6" s="14">
        <v>0</v>
      </c>
      <c r="BN6" s="14">
        <v>0</v>
      </c>
      <c r="BY6" s="14">
        <v>0</v>
      </c>
    </row>
    <row r="7" spans="1:81">
      <c r="A7" s="14">
        <v>32746</v>
      </c>
      <c r="B7" s="14" t="s">
        <v>331</v>
      </c>
      <c r="C7" s="14" t="str">
        <f>VLOOKUP(A7,[1]Sheet1!$A:$F,5,FALSE)</f>
        <v>HIGH-END</v>
      </c>
      <c r="D7" s="14" t="str">
        <f>VLOOKUP(A7,[1]Sheet1!$A:$F,6,FALSE)</f>
        <v>C-PPF</v>
      </c>
      <c r="E7" s="15">
        <v>23315</v>
      </c>
      <c r="F7" s="14" t="s">
        <v>246</v>
      </c>
      <c r="G7" s="14" t="s">
        <v>16</v>
      </c>
      <c r="H7" s="14">
        <v>89.78</v>
      </c>
      <c r="I7" s="17" t="s">
        <v>332</v>
      </c>
      <c r="J7" s="14" t="s">
        <v>332</v>
      </c>
      <c r="K7" s="14">
        <v>10</v>
      </c>
      <c r="L7" s="14">
        <v>25628</v>
      </c>
      <c r="M7" s="14">
        <v>26386</v>
      </c>
      <c r="P7" s="15">
        <v>20920</v>
      </c>
      <c r="Q7" s="14" t="s">
        <v>231</v>
      </c>
      <c r="R7" s="14" t="s">
        <v>16</v>
      </c>
      <c r="S7" s="14">
        <v>95.12</v>
      </c>
      <c r="T7" s="16" t="s">
        <v>333</v>
      </c>
      <c r="U7" s="14" t="s">
        <v>333</v>
      </c>
      <c r="V7" s="14">
        <v>10</v>
      </c>
      <c r="W7" s="14">
        <v>25628</v>
      </c>
      <c r="X7" s="14">
        <v>26386</v>
      </c>
      <c r="AA7" s="15">
        <v>23311</v>
      </c>
      <c r="AB7" s="14" t="s">
        <v>221</v>
      </c>
      <c r="AC7" s="14" t="s">
        <v>16</v>
      </c>
      <c r="AD7" s="14">
        <v>50.43</v>
      </c>
      <c r="AE7" s="16" t="s">
        <v>321</v>
      </c>
      <c r="AF7" s="14" t="s">
        <v>321</v>
      </c>
      <c r="AG7" s="14">
        <v>10</v>
      </c>
      <c r="AH7" s="14">
        <v>25628</v>
      </c>
      <c r="AI7" s="14">
        <v>25800</v>
      </c>
      <c r="AL7" s="15">
        <v>12400</v>
      </c>
      <c r="AM7" s="14" t="s">
        <v>217</v>
      </c>
      <c r="AN7" s="14" t="s">
        <v>16</v>
      </c>
      <c r="AO7" s="14">
        <v>84.75</v>
      </c>
      <c r="AP7" s="16" t="s">
        <v>334</v>
      </c>
      <c r="AQ7" s="14" t="s">
        <v>334</v>
      </c>
      <c r="AR7" s="14">
        <v>10</v>
      </c>
      <c r="AS7" s="14">
        <v>25628</v>
      </c>
      <c r="AV7" s="14">
        <v>31729</v>
      </c>
      <c r="BC7" s="14">
        <v>0</v>
      </c>
      <c r="BN7" s="14">
        <v>0</v>
      </c>
      <c r="BY7" s="14">
        <v>0</v>
      </c>
    </row>
    <row r="8" spans="1:81">
      <c r="A8" s="14">
        <v>32089</v>
      </c>
      <c r="B8" s="14" t="s">
        <v>240</v>
      </c>
      <c r="C8" s="14" t="str">
        <f>VLOOKUP(A8,[1]Sheet1!$A:$F,5,FALSE)</f>
        <v>HIGH-END</v>
      </c>
      <c r="D8" s="14" t="str">
        <f>VLOOKUP(A8,[1]Sheet1!$A:$F,6,FALSE)</f>
        <v>C-PPF</v>
      </c>
      <c r="E8" s="15">
        <v>23500</v>
      </c>
      <c r="F8" s="14" t="s">
        <v>37</v>
      </c>
      <c r="G8" s="14" t="s">
        <v>38</v>
      </c>
      <c r="H8" s="14">
        <v>91.44</v>
      </c>
      <c r="I8" s="17">
        <v>14772</v>
      </c>
      <c r="J8" s="14" t="s">
        <v>335</v>
      </c>
      <c r="K8" s="14">
        <v>9</v>
      </c>
      <c r="L8" s="14">
        <v>24670</v>
      </c>
      <c r="T8" s="14"/>
      <c r="V8" s="14">
        <v>0</v>
      </c>
      <c r="AE8" s="14"/>
      <c r="AG8" s="14">
        <v>0</v>
      </c>
      <c r="AP8" s="14"/>
      <c r="AR8" s="14">
        <v>0</v>
      </c>
      <c r="BC8" s="14">
        <v>0</v>
      </c>
      <c r="BN8" s="14">
        <v>0</v>
      </c>
      <c r="BY8" s="14">
        <v>0</v>
      </c>
    </row>
    <row r="9" spans="1:81">
      <c r="A9" s="14">
        <v>32252</v>
      </c>
      <c r="B9" s="14" t="s">
        <v>336</v>
      </c>
      <c r="C9" s="14" t="str">
        <f>VLOOKUP(A9,[1]Sheet1!$A:$F,5,FALSE)</f>
        <v>HIGH-END</v>
      </c>
      <c r="D9" s="14" t="str">
        <f>VLOOKUP(A9,[1]Sheet1!$A:$F,6,FALSE)</f>
        <v>C-PPF</v>
      </c>
      <c r="E9" s="15">
        <v>23315</v>
      </c>
      <c r="F9" s="14" t="s">
        <v>246</v>
      </c>
      <c r="G9" s="14" t="s">
        <v>16</v>
      </c>
      <c r="H9" s="14">
        <v>91.53</v>
      </c>
      <c r="I9" s="17" t="s">
        <v>337</v>
      </c>
      <c r="J9" s="14" t="s">
        <v>337</v>
      </c>
      <c r="K9" s="14">
        <v>10</v>
      </c>
      <c r="L9" s="14">
        <v>25628</v>
      </c>
      <c r="M9" s="14">
        <v>26119</v>
      </c>
      <c r="P9" s="15">
        <v>20920</v>
      </c>
      <c r="Q9" s="14" t="s">
        <v>231</v>
      </c>
      <c r="R9" s="14" t="s">
        <v>16</v>
      </c>
      <c r="S9" s="14">
        <v>98.15</v>
      </c>
      <c r="T9" s="16" t="s">
        <v>333</v>
      </c>
      <c r="U9" s="14" t="s">
        <v>333</v>
      </c>
      <c r="V9" s="14">
        <v>7</v>
      </c>
      <c r="W9" s="14">
        <v>25628</v>
      </c>
      <c r="X9" s="14">
        <v>26119</v>
      </c>
      <c r="AA9" s="15">
        <v>23311</v>
      </c>
      <c r="AB9" s="14" t="s">
        <v>221</v>
      </c>
      <c r="AC9" s="14" t="s">
        <v>16</v>
      </c>
      <c r="AD9" s="14">
        <v>90.57</v>
      </c>
      <c r="AE9" s="16" t="s">
        <v>321</v>
      </c>
      <c r="AF9" s="14" t="s">
        <v>321</v>
      </c>
      <c r="AG9" s="14">
        <v>10</v>
      </c>
      <c r="AH9" s="14">
        <v>25628</v>
      </c>
      <c r="AK9" s="14">
        <v>32430</v>
      </c>
      <c r="AL9" s="15">
        <v>12400</v>
      </c>
      <c r="AM9" s="14" t="s">
        <v>217</v>
      </c>
      <c r="AN9" s="14" t="s">
        <v>16</v>
      </c>
      <c r="AO9" s="14">
        <v>97.92</v>
      </c>
      <c r="AP9" s="16" t="s">
        <v>338</v>
      </c>
      <c r="AQ9" s="14" t="s">
        <v>338</v>
      </c>
      <c r="AR9" s="14">
        <v>10</v>
      </c>
      <c r="AS9" s="14">
        <v>25628</v>
      </c>
      <c r="AV9" s="14">
        <v>32621</v>
      </c>
      <c r="BC9" s="14">
        <v>0</v>
      </c>
      <c r="BN9" s="14">
        <v>0</v>
      </c>
      <c r="BY9" s="14">
        <v>0</v>
      </c>
    </row>
    <row r="10" spans="1:81">
      <c r="A10" s="14">
        <v>32174</v>
      </c>
      <c r="B10" s="14" t="s">
        <v>242</v>
      </c>
      <c r="C10" s="14" t="str">
        <f>VLOOKUP(A10,[1]Sheet1!$A:$F,5,FALSE)</f>
        <v>HIGH-END</v>
      </c>
      <c r="D10" s="14" t="str">
        <f>VLOOKUP(A10,[1]Sheet1!$A:$F,6,FALSE)</f>
        <v>C-PPF</v>
      </c>
      <c r="E10" s="15">
        <v>20920</v>
      </c>
      <c r="F10" s="14" t="s">
        <v>217</v>
      </c>
      <c r="G10" s="14" t="s">
        <v>16</v>
      </c>
      <c r="H10" s="14">
        <v>91.82</v>
      </c>
      <c r="I10" s="17" t="s">
        <v>334</v>
      </c>
      <c r="J10" s="14" t="s">
        <v>339</v>
      </c>
      <c r="K10" s="14">
        <v>7.5</v>
      </c>
      <c r="L10" s="14" t="s">
        <v>340</v>
      </c>
      <c r="O10" s="14">
        <v>32621</v>
      </c>
      <c r="P10" s="15">
        <v>25005</v>
      </c>
      <c r="Q10" s="14" t="s">
        <v>221</v>
      </c>
      <c r="R10" s="14" t="s">
        <v>16</v>
      </c>
      <c r="S10" s="14">
        <v>97.72</v>
      </c>
      <c r="T10" s="16" t="s">
        <v>341</v>
      </c>
      <c r="V10" s="14">
        <v>10</v>
      </c>
      <c r="W10" s="14" t="s">
        <v>342</v>
      </c>
      <c r="Z10" s="14">
        <v>32174</v>
      </c>
      <c r="AE10" s="14"/>
      <c r="AG10" s="14">
        <v>0</v>
      </c>
      <c r="AP10" s="14"/>
      <c r="AR10" s="14">
        <v>0</v>
      </c>
      <c r="BC10" s="14">
        <v>0</v>
      </c>
      <c r="BN10" s="14">
        <v>0</v>
      </c>
      <c r="BY10" s="14">
        <v>0</v>
      </c>
    </row>
    <row r="11" spans="1:81">
      <c r="A11" s="14">
        <v>32090</v>
      </c>
      <c r="B11" s="14" t="s">
        <v>36</v>
      </c>
      <c r="C11" s="14" t="str">
        <f>VLOOKUP(A11,[1]Sheet1!$A:$F,5,FALSE)</f>
        <v>염료</v>
      </c>
      <c r="D11" s="14" t="str">
        <f>VLOOKUP(A11,[1]Sheet1!$A:$F,6,FALSE)</f>
        <v>COLEX</v>
      </c>
      <c r="E11" s="15">
        <v>23500</v>
      </c>
      <c r="F11" s="14" t="s">
        <v>37</v>
      </c>
      <c r="G11" s="14" t="s">
        <v>38</v>
      </c>
      <c r="H11" s="14">
        <v>92</v>
      </c>
      <c r="I11" s="17">
        <v>14772</v>
      </c>
      <c r="J11" s="14" t="s">
        <v>335</v>
      </c>
      <c r="K11" s="14">
        <v>12</v>
      </c>
      <c r="L11" s="14">
        <v>24670</v>
      </c>
      <c r="T11" s="14"/>
      <c r="V11" s="14">
        <v>0</v>
      </c>
      <c r="AE11" s="14"/>
      <c r="AG11" s="14">
        <v>0</v>
      </c>
      <c r="AP11" s="14"/>
      <c r="AR11" s="14">
        <v>0</v>
      </c>
      <c r="BC11" s="14">
        <v>0</v>
      </c>
      <c r="BN11" s="14">
        <v>0</v>
      </c>
      <c r="BY11" s="14">
        <v>0</v>
      </c>
    </row>
    <row r="12" spans="1:81">
      <c r="A12" s="14">
        <v>31363</v>
      </c>
      <c r="B12" s="14" t="s">
        <v>112</v>
      </c>
      <c r="C12" s="14" t="str">
        <f>VLOOKUP(A12,[1]Sheet1!$A:$F,5,FALSE)</f>
        <v>전략</v>
      </c>
      <c r="D12" s="14" t="str">
        <f>VLOOKUP(A12,[1]Sheet1!$A:$F,6,FALSE)</f>
        <v>SP</v>
      </c>
      <c r="E12" s="15">
        <v>20902</v>
      </c>
      <c r="F12" s="14" t="s">
        <v>53</v>
      </c>
      <c r="G12" s="14" t="s">
        <v>343</v>
      </c>
      <c r="H12" s="14">
        <v>93.38</v>
      </c>
      <c r="I12" s="17" t="s">
        <v>344</v>
      </c>
      <c r="J12" s="14" t="s">
        <v>344</v>
      </c>
      <c r="K12" s="14">
        <v>20.7</v>
      </c>
      <c r="L12" s="14" t="s">
        <v>345</v>
      </c>
      <c r="M12" s="14" t="s">
        <v>346</v>
      </c>
      <c r="P12" s="15">
        <v>20702</v>
      </c>
      <c r="Q12" s="14" t="s">
        <v>44</v>
      </c>
      <c r="R12" s="14" t="s">
        <v>17</v>
      </c>
      <c r="S12" s="14">
        <v>98.1</v>
      </c>
      <c r="T12" s="16" t="s">
        <v>347</v>
      </c>
      <c r="U12" s="14" t="s">
        <v>347</v>
      </c>
      <c r="V12" s="14">
        <v>35</v>
      </c>
      <c r="W12" s="14" t="s">
        <v>348</v>
      </c>
      <c r="AA12" s="15">
        <v>20500</v>
      </c>
      <c r="AB12" s="14" t="s">
        <v>31</v>
      </c>
      <c r="AC12" s="14" t="s">
        <v>349</v>
      </c>
      <c r="AD12" s="14">
        <v>95.17</v>
      </c>
      <c r="AE12" s="16" t="s">
        <v>350</v>
      </c>
      <c r="AF12" s="14" t="s">
        <v>351</v>
      </c>
      <c r="AG12" s="14">
        <v>21.7</v>
      </c>
      <c r="AH12" s="14" t="s">
        <v>352</v>
      </c>
      <c r="AI12" s="14" t="s">
        <v>353</v>
      </c>
      <c r="AL12" s="15">
        <v>20906</v>
      </c>
      <c r="AM12" s="14" t="s">
        <v>48</v>
      </c>
      <c r="AN12" s="14" t="s">
        <v>49</v>
      </c>
      <c r="AO12" s="14">
        <v>96.12</v>
      </c>
      <c r="AP12" s="16" t="s">
        <v>327</v>
      </c>
      <c r="AR12" s="14">
        <v>17</v>
      </c>
      <c r="AS12" s="14" t="s">
        <v>348</v>
      </c>
      <c r="BC12" s="14">
        <v>0</v>
      </c>
      <c r="BN12" s="14">
        <v>0</v>
      </c>
      <c r="BY12" s="14">
        <v>0</v>
      </c>
    </row>
    <row r="13" spans="1:81">
      <c r="A13" s="14">
        <v>32716</v>
      </c>
      <c r="B13" s="14" t="s">
        <v>354</v>
      </c>
      <c r="C13" s="14" t="str">
        <f>VLOOKUP(A13,[1]Sheet1!$A:$F,5,FALSE)</f>
        <v>HIGH-END</v>
      </c>
      <c r="D13" s="14" t="str">
        <f>VLOOKUP(A13,[1]Sheet1!$A:$F,6,FALSE)</f>
        <v>C-PPF</v>
      </c>
      <c r="E13" s="15">
        <v>23311</v>
      </c>
      <c r="F13" s="14" t="s">
        <v>221</v>
      </c>
      <c r="G13" s="14" t="s">
        <v>16</v>
      </c>
      <c r="H13" s="14">
        <v>93.4</v>
      </c>
      <c r="I13" s="17" t="s">
        <v>355</v>
      </c>
      <c r="J13" s="14" t="s">
        <v>355</v>
      </c>
      <c r="K13" s="14">
        <v>10</v>
      </c>
      <c r="L13" s="14">
        <v>26305</v>
      </c>
      <c r="M13" s="14">
        <v>25800</v>
      </c>
      <c r="P13" s="15">
        <v>12400</v>
      </c>
      <c r="Q13" s="14" t="s">
        <v>217</v>
      </c>
      <c r="R13" s="14" t="s">
        <v>16</v>
      </c>
      <c r="S13" s="14">
        <v>88.65</v>
      </c>
      <c r="T13" s="16" t="s">
        <v>334</v>
      </c>
      <c r="U13" s="14" t="s">
        <v>334</v>
      </c>
      <c r="V13" s="14">
        <v>8.8000000000000007</v>
      </c>
      <c r="W13" s="14">
        <v>26305</v>
      </c>
      <c r="Z13" s="14">
        <v>31729</v>
      </c>
      <c r="AE13" s="14"/>
      <c r="AG13" s="14">
        <v>0</v>
      </c>
      <c r="AP13" s="14"/>
      <c r="AR13" s="14">
        <v>0</v>
      </c>
      <c r="BC13" s="14">
        <v>0</v>
      </c>
      <c r="BN13" s="14">
        <v>0</v>
      </c>
      <c r="BY13" s="14">
        <v>0</v>
      </c>
    </row>
    <row r="14" spans="1:81">
      <c r="A14" s="14">
        <v>32454</v>
      </c>
      <c r="B14" s="14" t="s">
        <v>356</v>
      </c>
      <c r="C14" s="14" t="str">
        <f>VLOOKUP(A14,[1]Sheet1!$A:$F,5,FALSE)</f>
        <v>전략</v>
      </c>
      <c r="D14" s="14" t="str">
        <f>VLOOKUP(A14,[1]Sheet1!$A:$F,6,FALSE)</f>
        <v>IR</v>
      </c>
      <c r="E14" s="15">
        <v>20601</v>
      </c>
      <c r="F14" s="14" t="s">
        <v>43</v>
      </c>
      <c r="G14" s="14" t="s">
        <v>13</v>
      </c>
      <c r="H14" s="14">
        <v>93.67</v>
      </c>
      <c r="I14" s="17" t="s">
        <v>357</v>
      </c>
      <c r="J14" s="14" t="s">
        <v>357</v>
      </c>
      <c r="K14" s="14">
        <v>20</v>
      </c>
      <c r="L14" s="14">
        <v>25101</v>
      </c>
      <c r="M14" s="14">
        <v>26215</v>
      </c>
      <c r="P14" s="15">
        <v>20702</v>
      </c>
      <c r="Q14" s="14" t="s">
        <v>44</v>
      </c>
      <c r="R14" s="14" t="s">
        <v>17</v>
      </c>
      <c r="S14" s="14">
        <v>98.65</v>
      </c>
      <c r="T14" s="16" t="s">
        <v>358</v>
      </c>
      <c r="V14" s="14">
        <v>35</v>
      </c>
      <c r="W14" s="14">
        <v>25101</v>
      </c>
      <c r="AA14" s="15">
        <v>23100</v>
      </c>
      <c r="AB14" s="14" t="s">
        <v>54</v>
      </c>
      <c r="AC14" s="14" t="s">
        <v>13</v>
      </c>
      <c r="AD14" s="14">
        <v>94.86</v>
      </c>
      <c r="AE14" s="16" t="s">
        <v>359</v>
      </c>
      <c r="AG14" s="14">
        <v>15</v>
      </c>
      <c r="AH14" s="14">
        <v>25101</v>
      </c>
      <c r="AI14" s="14">
        <v>23352</v>
      </c>
      <c r="AP14" s="14"/>
      <c r="AR14" s="14">
        <v>0</v>
      </c>
      <c r="BC14" s="14">
        <v>0</v>
      </c>
      <c r="BN14" s="14">
        <v>0</v>
      </c>
      <c r="BY14" s="14">
        <v>0</v>
      </c>
    </row>
    <row r="15" spans="1:81">
      <c r="A15" s="14">
        <v>31995</v>
      </c>
      <c r="B15" s="14" t="s">
        <v>139</v>
      </c>
      <c r="C15" s="14" t="str">
        <f>VLOOKUP(A15,[1]Sheet1!$A:$F,5,FALSE)</f>
        <v>전략</v>
      </c>
      <c r="D15" s="14" t="str">
        <f>VLOOKUP(A15,[1]Sheet1!$A:$F,6,FALSE)</f>
        <v>SP</v>
      </c>
      <c r="E15" s="15">
        <v>20902</v>
      </c>
      <c r="F15" s="14" t="s">
        <v>53</v>
      </c>
      <c r="G15" s="14" t="s">
        <v>16</v>
      </c>
      <c r="H15" s="14">
        <v>93.94</v>
      </c>
      <c r="I15" s="17" t="s">
        <v>360</v>
      </c>
      <c r="J15" s="14" t="s">
        <v>360</v>
      </c>
      <c r="K15" s="14">
        <v>30</v>
      </c>
      <c r="L15" s="14">
        <v>20807</v>
      </c>
      <c r="M15" s="14">
        <v>20808</v>
      </c>
      <c r="P15" s="15">
        <v>20702</v>
      </c>
      <c r="Q15" s="14" t="s">
        <v>44</v>
      </c>
      <c r="R15" s="14" t="s">
        <v>17</v>
      </c>
      <c r="S15" s="14">
        <v>98.39</v>
      </c>
      <c r="T15" s="16" t="s">
        <v>358</v>
      </c>
      <c r="V15" s="14">
        <v>35</v>
      </c>
      <c r="W15" s="14">
        <v>20807</v>
      </c>
      <c r="AA15" s="15">
        <v>20500</v>
      </c>
      <c r="AB15" s="14" t="s">
        <v>31</v>
      </c>
      <c r="AC15" s="14" t="s">
        <v>17</v>
      </c>
      <c r="AD15" s="14">
        <v>97.05</v>
      </c>
      <c r="AE15" s="16" t="s">
        <v>326</v>
      </c>
      <c r="AF15" s="14" t="s">
        <v>326</v>
      </c>
      <c r="AG15" s="14">
        <v>27</v>
      </c>
      <c r="AH15" s="14">
        <v>20807</v>
      </c>
      <c r="AI15" s="14">
        <v>23352</v>
      </c>
      <c r="AL15" s="15">
        <v>20906</v>
      </c>
      <c r="AM15" s="14" t="s">
        <v>48</v>
      </c>
      <c r="AN15" s="14" t="s">
        <v>49</v>
      </c>
      <c r="AO15" s="14">
        <v>97.64</v>
      </c>
      <c r="AP15" s="16" t="s">
        <v>327</v>
      </c>
      <c r="AR15" s="14">
        <v>17</v>
      </c>
      <c r="AS15" s="14">
        <v>20807</v>
      </c>
      <c r="BC15" s="14">
        <v>0</v>
      </c>
      <c r="BN15" s="14">
        <v>0</v>
      </c>
      <c r="BY15" s="14">
        <v>0</v>
      </c>
    </row>
    <row r="16" spans="1:81">
      <c r="A16" s="14">
        <v>31981</v>
      </c>
      <c r="B16" s="14" t="s">
        <v>57</v>
      </c>
      <c r="C16" s="14" t="str">
        <f>VLOOKUP(A16,[1]Sheet1!$A:$F,5,FALSE)</f>
        <v>전략</v>
      </c>
      <c r="D16" s="14" t="str">
        <f>VLOOKUP(A16,[1]Sheet1!$A:$F,6,FALSE)</f>
        <v>IR</v>
      </c>
      <c r="E16" s="15">
        <v>20902</v>
      </c>
      <c r="F16" s="14" t="s">
        <v>53</v>
      </c>
      <c r="G16" s="14" t="s">
        <v>13</v>
      </c>
      <c r="H16" s="14">
        <v>94.32</v>
      </c>
      <c r="I16" s="17" t="s">
        <v>361</v>
      </c>
      <c r="J16" s="14" t="s">
        <v>361</v>
      </c>
      <c r="K16" s="14">
        <v>20</v>
      </c>
      <c r="L16" s="14">
        <v>20807</v>
      </c>
      <c r="M16" s="14">
        <v>20808</v>
      </c>
      <c r="P16" s="15">
        <v>20706</v>
      </c>
      <c r="Q16" s="14" t="s">
        <v>52</v>
      </c>
      <c r="R16" s="14" t="s">
        <v>17</v>
      </c>
      <c r="S16" s="14">
        <v>100</v>
      </c>
      <c r="T16" s="16" t="s">
        <v>325</v>
      </c>
      <c r="V16" s="14">
        <v>40</v>
      </c>
      <c r="W16" s="14">
        <v>20807</v>
      </c>
      <c r="AA16" s="15">
        <v>20500</v>
      </c>
      <c r="AB16" s="14" t="s">
        <v>31</v>
      </c>
      <c r="AC16" s="14" t="s">
        <v>17</v>
      </c>
      <c r="AD16" s="14">
        <v>100</v>
      </c>
      <c r="AE16" s="14" t="s">
        <v>347</v>
      </c>
      <c r="AG16" s="14">
        <v>27</v>
      </c>
      <c r="AH16" s="14">
        <v>20807</v>
      </c>
      <c r="AI16" s="14">
        <v>23352</v>
      </c>
      <c r="AL16" s="15">
        <v>20906</v>
      </c>
      <c r="AM16" s="14" t="s">
        <v>48</v>
      </c>
      <c r="AN16" s="14" t="s">
        <v>49</v>
      </c>
      <c r="AO16" s="14">
        <v>100</v>
      </c>
      <c r="AP16" s="16" t="s">
        <v>327</v>
      </c>
      <c r="AR16" s="14">
        <v>20</v>
      </c>
      <c r="AS16" s="14">
        <v>20807</v>
      </c>
      <c r="BC16" s="14">
        <v>0</v>
      </c>
      <c r="BN16" s="14">
        <v>0</v>
      </c>
      <c r="BY16" s="14">
        <v>0</v>
      </c>
    </row>
    <row r="17" spans="1:77">
      <c r="A17" s="14">
        <v>32472</v>
      </c>
      <c r="B17" s="14" t="s">
        <v>258</v>
      </c>
      <c r="C17" s="14" t="str">
        <f>VLOOKUP(A17,[1]Sheet1!$A:$F,5,FALSE)</f>
        <v>HIGH-END</v>
      </c>
      <c r="D17" s="14" t="str">
        <f>VLOOKUP(A17,[1]Sheet1!$A:$F,6,FALSE)</f>
        <v>C-PPF</v>
      </c>
      <c r="E17" s="15">
        <v>25005</v>
      </c>
      <c r="F17" s="14" t="s">
        <v>231</v>
      </c>
      <c r="G17" s="14" t="s">
        <v>16</v>
      </c>
      <c r="H17" s="14">
        <v>94.41</v>
      </c>
      <c r="I17" s="17">
        <v>14774</v>
      </c>
      <c r="J17" s="14" t="s">
        <v>362</v>
      </c>
      <c r="K17" s="14">
        <v>8.5</v>
      </c>
      <c r="L17" s="14" t="s">
        <v>342</v>
      </c>
      <c r="O17" s="14" t="s">
        <v>363</v>
      </c>
      <c r="P17" s="15">
        <v>23311</v>
      </c>
      <c r="Q17" s="14" t="s">
        <v>217</v>
      </c>
      <c r="R17" s="14" t="s">
        <v>16</v>
      </c>
      <c r="S17" s="14">
        <v>94.38</v>
      </c>
      <c r="T17" s="16" t="s">
        <v>321</v>
      </c>
      <c r="U17" s="14" t="s">
        <v>364</v>
      </c>
      <c r="V17" s="14">
        <v>10</v>
      </c>
      <c r="W17" s="14" t="s">
        <v>342</v>
      </c>
      <c r="Z17" s="14" t="s">
        <v>365</v>
      </c>
      <c r="AE17" s="14"/>
      <c r="AG17" s="14">
        <v>0</v>
      </c>
      <c r="AP17" s="14"/>
      <c r="AR17" s="14">
        <v>0</v>
      </c>
      <c r="BC17" s="14">
        <v>0</v>
      </c>
      <c r="BN17" s="14">
        <v>0</v>
      </c>
      <c r="BY17" s="14">
        <v>0</v>
      </c>
    </row>
    <row r="18" spans="1:77">
      <c r="A18" s="14">
        <v>32638</v>
      </c>
      <c r="B18" s="14" t="s">
        <v>209</v>
      </c>
      <c r="C18" s="14" t="str">
        <f>VLOOKUP(A18,[1]Sheet1!$A:$F,5,FALSE)</f>
        <v>전략</v>
      </c>
      <c r="D18" s="14" t="str">
        <f>VLOOKUP(A18,[1]Sheet1!$A:$F,6,FALSE)</f>
        <v>SP</v>
      </c>
      <c r="E18" s="15">
        <v>20902</v>
      </c>
      <c r="F18" s="14" t="s">
        <v>53</v>
      </c>
      <c r="G18" s="14" t="s">
        <v>13</v>
      </c>
      <c r="H18" s="14">
        <v>94.48</v>
      </c>
      <c r="I18" s="17" t="s">
        <v>366</v>
      </c>
      <c r="J18" s="14" t="s">
        <v>366</v>
      </c>
      <c r="K18" s="14">
        <v>20</v>
      </c>
      <c r="L18" s="14">
        <v>20807</v>
      </c>
      <c r="M18" s="14">
        <v>20808</v>
      </c>
      <c r="P18" s="15">
        <v>20706</v>
      </c>
      <c r="Q18" s="14" t="s">
        <v>52</v>
      </c>
      <c r="R18" s="14" t="s">
        <v>17</v>
      </c>
      <c r="S18" s="14">
        <v>97.66</v>
      </c>
      <c r="T18" s="16" t="s">
        <v>325</v>
      </c>
      <c r="V18" s="14">
        <v>40</v>
      </c>
      <c r="W18" s="14">
        <v>20807</v>
      </c>
      <c r="AA18" s="15">
        <v>20500</v>
      </c>
      <c r="AB18" s="14" t="s">
        <v>31</v>
      </c>
      <c r="AC18" s="14" t="s">
        <v>17</v>
      </c>
      <c r="AD18" s="14">
        <v>95.21</v>
      </c>
      <c r="AE18" s="16" t="s">
        <v>326</v>
      </c>
      <c r="AF18" s="14" t="s">
        <v>326</v>
      </c>
      <c r="AG18" s="14">
        <v>20</v>
      </c>
      <c r="AH18" s="14">
        <v>20807</v>
      </c>
      <c r="AI18" s="14">
        <v>23352</v>
      </c>
      <c r="AL18" s="15">
        <v>20906</v>
      </c>
      <c r="AM18" s="14" t="s">
        <v>48</v>
      </c>
      <c r="AN18" s="14" t="s">
        <v>49</v>
      </c>
      <c r="AO18" s="14">
        <v>97.48</v>
      </c>
      <c r="AP18" s="16" t="s">
        <v>327</v>
      </c>
      <c r="AR18" s="14">
        <v>20</v>
      </c>
      <c r="AS18" s="14">
        <v>20807</v>
      </c>
      <c r="BC18" s="14">
        <v>0</v>
      </c>
      <c r="BN18" s="14">
        <v>0</v>
      </c>
      <c r="BY18" s="14">
        <v>0</v>
      </c>
    </row>
    <row r="19" spans="1:77">
      <c r="A19" s="14">
        <v>32507</v>
      </c>
      <c r="B19" s="14" t="s">
        <v>218</v>
      </c>
      <c r="C19" s="14" t="str">
        <f>VLOOKUP(A19,[1]Sheet1!$A:$F,5,FALSE)</f>
        <v>전략</v>
      </c>
      <c r="D19" s="14" t="str">
        <f>VLOOKUP(A19,[1]Sheet1!$A:$F,6,FALSE)</f>
        <v>WP4</v>
      </c>
      <c r="E19" s="15">
        <v>12400</v>
      </c>
      <c r="F19" s="14" t="s">
        <v>217</v>
      </c>
      <c r="G19" s="14" t="s">
        <v>16</v>
      </c>
      <c r="H19" s="14">
        <v>94.53</v>
      </c>
      <c r="I19" s="17" t="s">
        <v>367</v>
      </c>
      <c r="J19" s="14" t="s">
        <v>368</v>
      </c>
      <c r="K19" s="14">
        <v>5</v>
      </c>
      <c r="L19" s="14">
        <v>25861</v>
      </c>
      <c r="M19" s="14" t="s">
        <v>369</v>
      </c>
      <c r="P19" s="15">
        <v>20500</v>
      </c>
      <c r="Q19" s="14" t="s">
        <v>31</v>
      </c>
      <c r="R19" s="14" t="s">
        <v>16</v>
      </c>
      <c r="S19" s="14">
        <v>98.16</v>
      </c>
      <c r="T19" s="16" t="s">
        <v>370</v>
      </c>
      <c r="U19" s="14" t="s">
        <v>370</v>
      </c>
      <c r="V19" s="14">
        <v>15</v>
      </c>
      <c r="W19" s="14">
        <v>25861</v>
      </c>
      <c r="X19" s="14">
        <v>23352</v>
      </c>
      <c r="AE19" s="14"/>
      <c r="AG19" s="14">
        <v>0</v>
      </c>
      <c r="AP19" s="14"/>
      <c r="AR19" s="14">
        <v>0</v>
      </c>
      <c r="BC19" s="14">
        <v>0</v>
      </c>
      <c r="BN19" s="14">
        <v>0</v>
      </c>
      <c r="BY19" s="14">
        <v>0</v>
      </c>
    </row>
    <row r="20" spans="1:77">
      <c r="A20" s="14">
        <v>31922</v>
      </c>
      <c r="B20" s="14" t="s">
        <v>137</v>
      </c>
      <c r="C20" s="14" t="str">
        <f>VLOOKUP(A20,[1]Sheet1!$A:$F,5,FALSE)</f>
        <v>전략</v>
      </c>
      <c r="D20" s="14" t="str">
        <f>VLOOKUP(A20,[1]Sheet1!$A:$F,6,FALSE)</f>
        <v>SP</v>
      </c>
      <c r="E20" s="15">
        <v>20902</v>
      </c>
      <c r="F20" s="14" t="s">
        <v>53</v>
      </c>
      <c r="G20" s="14" t="s">
        <v>16</v>
      </c>
      <c r="H20" s="14">
        <v>94.57</v>
      </c>
      <c r="I20" s="17" t="s">
        <v>371</v>
      </c>
      <c r="J20" s="14" t="s">
        <v>371</v>
      </c>
      <c r="K20" s="14">
        <v>20</v>
      </c>
      <c r="L20" s="14">
        <v>25101</v>
      </c>
      <c r="M20" s="14">
        <v>22485</v>
      </c>
      <c r="P20" s="15">
        <v>20706</v>
      </c>
      <c r="Q20" s="14" t="s">
        <v>52</v>
      </c>
      <c r="R20" s="14" t="s">
        <v>17</v>
      </c>
      <c r="S20" s="14">
        <v>98.56</v>
      </c>
      <c r="T20" s="16" t="s">
        <v>325</v>
      </c>
      <c r="V20" s="14">
        <v>40</v>
      </c>
      <c r="W20" s="14">
        <v>25101</v>
      </c>
      <c r="AA20" s="15">
        <v>20500</v>
      </c>
      <c r="AB20" s="14" t="s">
        <v>31</v>
      </c>
      <c r="AC20" s="14" t="s">
        <v>17</v>
      </c>
      <c r="AD20" s="14">
        <v>97.96</v>
      </c>
      <c r="AE20" s="14" t="s">
        <v>347</v>
      </c>
      <c r="AG20" s="14">
        <v>25</v>
      </c>
      <c r="AH20" s="14">
        <v>25101</v>
      </c>
      <c r="AI20" s="14">
        <v>23352</v>
      </c>
      <c r="AL20" s="15">
        <v>20906</v>
      </c>
      <c r="AM20" s="14" t="s">
        <v>48</v>
      </c>
      <c r="AN20" s="14" t="s">
        <v>49</v>
      </c>
      <c r="AO20" s="14">
        <v>97.62</v>
      </c>
      <c r="AP20" s="16" t="s">
        <v>327</v>
      </c>
      <c r="AR20" s="14">
        <v>17</v>
      </c>
      <c r="AS20" s="14">
        <v>25101</v>
      </c>
      <c r="BC20" s="14">
        <v>0</v>
      </c>
      <c r="BN20" s="14">
        <v>0</v>
      </c>
      <c r="BY20" s="14">
        <v>0</v>
      </c>
    </row>
    <row r="21" spans="1:77">
      <c r="A21" s="14">
        <v>32532</v>
      </c>
      <c r="B21" s="14" t="s">
        <v>218</v>
      </c>
      <c r="C21" s="14" t="str">
        <f>VLOOKUP(A21,[1]Sheet1!$A:$F,5,FALSE)</f>
        <v>전략</v>
      </c>
      <c r="D21" s="14" t="str">
        <f>VLOOKUP(A21,[1]Sheet1!$A:$F,6,FALSE)</f>
        <v>WP4</v>
      </c>
      <c r="E21" s="15">
        <v>12400</v>
      </c>
      <c r="F21" s="14" t="s">
        <v>217</v>
      </c>
      <c r="G21" s="14" t="s">
        <v>16</v>
      </c>
      <c r="H21" s="14">
        <v>94.61</v>
      </c>
      <c r="I21" s="17" t="s">
        <v>372</v>
      </c>
      <c r="J21" s="14" t="s">
        <v>372</v>
      </c>
      <c r="K21" s="14">
        <v>5</v>
      </c>
      <c r="L21" s="14">
        <v>25861</v>
      </c>
      <c r="M21" s="14" t="s">
        <v>373</v>
      </c>
      <c r="P21" s="15">
        <v>20500</v>
      </c>
      <c r="Q21" s="14" t="s">
        <v>31</v>
      </c>
      <c r="R21" s="14" t="s">
        <v>16</v>
      </c>
      <c r="S21" s="14">
        <v>94.31</v>
      </c>
      <c r="T21" s="16" t="s">
        <v>370</v>
      </c>
      <c r="U21" s="14" t="s">
        <v>370</v>
      </c>
      <c r="V21" s="14">
        <v>15</v>
      </c>
      <c r="W21" s="14">
        <v>25861</v>
      </c>
      <c r="X21" s="14">
        <v>23352</v>
      </c>
      <c r="AE21" s="14"/>
      <c r="AG21" s="14">
        <v>0</v>
      </c>
      <c r="AP21" s="14"/>
      <c r="AR21" s="14">
        <v>0</v>
      </c>
      <c r="BC21" s="14">
        <v>0</v>
      </c>
      <c r="BN21" s="14">
        <v>0</v>
      </c>
      <c r="BY21" s="14">
        <v>0</v>
      </c>
    </row>
    <row r="22" spans="1:77">
      <c r="A22" s="14">
        <v>32691</v>
      </c>
      <c r="B22" s="14" t="s">
        <v>374</v>
      </c>
      <c r="C22" s="14" t="str">
        <f>VLOOKUP(A22,[1]Sheet1!$A:$F,5,FALSE)</f>
        <v>전략</v>
      </c>
      <c r="D22" s="14" t="str">
        <f>VLOOKUP(A22,[1]Sheet1!$A:$F,6,FALSE)</f>
        <v>SP</v>
      </c>
      <c r="E22" s="15">
        <v>20902</v>
      </c>
      <c r="F22" s="14" t="s">
        <v>53</v>
      </c>
      <c r="G22" s="14" t="s">
        <v>16</v>
      </c>
      <c r="H22" s="14">
        <v>94.85</v>
      </c>
      <c r="I22" s="17" t="s">
        <v>375</v>
      </c>
      <c r="K22" s="14">
        <v>30</v>
      </c>
      <c r="L22" s="14">
        <v>25101</v>
      </c>
      <c r="M22" s="14">
        <v>20808</v>
      </c>
      <c r="P22" s="15">
        <v>20713</v>
      </c>
      <c r="Q22" s="14" t="s">
        <v>147</v>
      </c>
      <c r="R22" s="14" t="s">
        <v>17</v>
      </c>
      <c r="S22" s="14">
        <v>98.91</v>
      </c>
      <c r="T22" s="16" t="s">
        <v>376</v>
      </c>
      <c r="U22" s="14" t="s">
        <v>376</v>
      </c>
      <c r="V22" s="14">
        <v>25</v>
      </c>
      <c r="W22" s="14">
        <v>25101</v>
      </c>
      <c r="AA22" s="15">
        <v>20500</v>
      </c>
      <c r="AB22" s="14" t="s">
        <v>31</v>
      </c>
      <c r="AC22" s="14" t="s">
        <v>17</v>
      </c>
      <c r="AD22" s="14">
        <v>98.9</v>
      </c>
      <c r="AE22" s="16" t="s">
        <v>326</v>
      </c>
      <c r="AF22" s="14" t="s">
        <v>326</v>
      </c>
      <c r="AG22" s="14">
        <v>27</v>
      </c>
      <c r="AH22" s="14">
        <v>25101</v>
      </c>
      <c r="AI22" s="14">
        <v>23352</v>
      </c>
      <c r="AL22" s="15">
        <v>20906</v>
      </c>
      <c r="AM22" s="14" t="s">
        <v>48</v>
      </c>
      <c r="AN22" s="14" t="s">
        <v>49</v>
      </c>
      <c r="AO22" s="14">
        <v>97.22</v>
      </c>
      <c r="AP22" s="16" t="s">
        <v>327</v>
      </c>
      <c r="AR22" s="14">
        <v>17</v>
      </c>
      <c r="AS22" s="14">
        <v>25101</v>
      </c>
      <c r="BC22" s="14">
        <v>0</v>
      </c>
      <c r="BN22" s="14">
        <v>0</v>
      </c>
      <c r="BY22" s="14">
        <v>0</v>
      </c>
    </row>
    <row r="23" spans="1:77">
      <c r="A23" s="14">
        <v>30466</v>
      </c>
      <c r="B23" s="14" t="s">
        <v>95</v>
      </c>
      <c r="C23" s="14" t="str">
        <f>VLOOKUP(A23,[1]Sheet1!$A:$F,5,FALSE)</f>
        <v>전략</v>
      </c>
      <c r="D23" s="14" t="str">
        <f>VLOOKUP(A23,[1]Sheet1!$A:$F,6,FALSE)</f>
        <v>SP</v>
      </c>
      <c r="E23" s="15">
        <v>20902</v>
      </c>
      <c r="F23" s="14" t="s">
        <v>53</v>
      </c>
      <c r="G23" s="14" t="s">
        <v>343</v>
      </c>
      <c r="H23" s="14">
        <v>94.86</v>
      </c>
      <c r="I23" s="17" t="s">
        <v>377</v>
      </c>
      <c r="J23" s="14" t="s">
        <v>378</v>
      </c>
      <c r="K23" s="14">
        <v>23.3</v>
      </c>
      <c r="L23" s="14" t="s">
        <v>379</v>
      </c>
      <c r="M23" s="14" t="s">
        <v>380</v>
      </c>
      <c r="P23" s="15">
        <v>20702</v>
      </c>
      <c r="Q23" s="14" t="s">
        <v>44</v>
      </c>
      <c r="R23" s="14" t="s">
        <v>17</v>
      </c>
      <c r="S23" s="14">
        <v>98.32</v>
      </c>
      <c r="T23" s="16" t="s">
        <v>381</v>
      </c>
      <c r="U23" s="14" t="s">
        <v>381</v>
      </c>
      <c r="V23" s="14">
        <v>35</v>
      </c>
      <c r="W23" s="14" t="s">
        <v>379</v>
      </c>
      <c r="AA23" s="15">
        <v>20500</v>
      </c>
      <c r="AB23" s="14" t="s">
        <v>31</v>
      </c>
      <c r="AC23" s="14" t="s">
        <v>17</v>
      </c>
      <c r="AD23" s="14">
        <v>97.3</v>
      </c>
      <c r="AE23" s="16" t="s">
        <v>382</v>
      </c>
      <c r="AG23" s="14">
        <v>23.7</v>
      </c>
      <c r="AH23" s="14" t="s">
        <v>383</v>
      </c>
      <c r="AI23" s="14" t="s">
        <v>384</v>
      </c>
      <c r="AL23" s="15">
        <v>20906</v>
      </c>
      <c r="AM23" s="14" t="s">
        <v>48</v>
      </c>
      <c r="AN23" s="14" t="s">
        <v>49</v>
      </c>
      <c r="AO23" s="14">
        <v>97.61</v>
      </c>
      <c r="AP23" s="16" t="s">
        <v>327</v>
      </c>
      <c r="AR23" s="14">
        <v>18</v>
      </c>
      <c r="AS23" s="14" t="s">
        <v>379</v>
      </c>
      <c r="BC23" s="14">
        <v>0</v>
      </c>
      <c r="BN23" s="14">
        <v>0</v>
      </c>
      <c r="BY23" s="14">
        <v>0</v>
      </c>
    </row>
    <row r="24" spans="1:77">
      <c r="A24" s="14">
        <v>30742</v>
      </c>
      <c r="B24" s="14" t="s">
        <v>99</v>
      </c>
      <c r="C24" s="14" t="str">
        <f>VLOOKUP(A24,[1]Sheet1!$A:$F,5,FALSE)</f>
        <v>전략</v>
      </c>
      <c r="D24" s="14" t="str">
        <f>VLOOKUP(A24,[1]Sheet1!$A:$F,6,FALSE)</f>
        <v>SP</v>
      </c>
      <c r="E24" s="15">
        <v>20902</v>
      </c>
      <c r="F24" s="14" t="s">
        <v>53</v>
      </c>
      <c r="G24" s="14" t="s">
        <v>16</v>
      </c>
      <c r="H24" s="14">
        <v>94.87</v>
      </c>
      <c r="I24" s="17" t="s">
        <v>385</v>
      </c>
      <c r="J24" s="14" t="s">
        <v>385</v>
      </c>
      <c r="K24" s="14">
        <v>30</v>
      </c>
      <c r="L24" s="14">
        <v>20807</v>
      </c>
      <c r="M24" s="14">
        <v>20808</v>
      </c>
      <c r="P24" s="15">
        <v>20702</v>
      </c>
      <c r="Q24" s="14" t="s">
        <v>44</v>
      </c>
      <c r="R24" s="14" t="s">
        <v>17</v>
      </c>
      <c r="S24" s="14">
        <v>98.92</v>
      </c>
      <c r="T24" s="16" t="s">
        <v>347</v>
      </c>
      <c r="U24" s="14" t="s">
        <v>347</v>
      </c>
      <c r="V24" s="14">
        <v>35</v>
      </c>
      <c r="W24" s="14">
        <v>20807</v>
      </c>
      <c r="AA24" s="15">
        <v>20500</v>
      </c>
      <c r="AB24" s="14" t="s">
        <v>31</v>
      </c>
      <c r="AC24" s="14" t="s">
        <v>17</v>
      </c>
      <c r="AD24" s="14">
        <v>98.91</v>
      </c>
      <c r="AE24" s="14" t="s">
        <v>347</v>
      </c>
      <c r="AG24" s="14">
        <v>27</v>
      </c>
      <c r="AH24" s="14">
        <v>20807</v>
      </c>
      <c r="AI24" s="14">
        <v>23352</v>
      </c>
      <c r="AL24" s="15">
        <v>20906</v>
      </c>
      <c r="AM24" s="14" t="s">
        <v>48</v>
      </c>
      <c r="AN24" s="14" t="s">
        <v>49</v>
      </c>
      <c r="AO24" s="14">
        <v>97.79</v>
      </c>
      <c r="AP24" s="16" t="s">
        <v>327</v>
      </c>
      <c r="AR24" s="14">
        <v>17</v>
      </c>
      <c r="AS24" s="14">
        <v>20807</v>
      </c>
      <c r="BC24" s="14">
        <v>0</v>
      </c>
      <c r="BN24" s="14">
        <v>0</v>
      </c>
      <c r="BY24" s="14">
        <v>0</v>
      </c>
    </row>
    <row r="25" spans="1:77">
      <c r="A25" s="14">
        <v>32461</v>
      </c>
      <c r="B25" s="14" t="s">
        <v>192</v>
      </c>
      <c r="C25" s="14" t="str">
        <f>VLOOKUP(A25,[1]Sheet1!$A:$F,5,FALSE)</f>
        <v>전략</v>
      </c>
      <c r="D25" s="14" t="str">
        <f>VLOOKUP(A25,[1]Sheet1!$A:$F,6,FALSE)</f>
        <v>SP</v>
      </c>
      <c r="E25" s="15">
        <v>20902</v>
      </c>
      <c r="F25" s="14" t="s">
        <v>53</v>
      </c>
      <c r="G25" s="14" t="s">
        <v>13</v>
      </c>
      <c r="H25" s="14">
        <v>94.9</v>
      </c>
      <c r="I25" s="17" t="s">
        <v>386</v>
      </c>
      <c r="J25" s="14" t="s">
        <v>386</v>
      </c>
      <c r="K25" s="14">
        <v>20</v>
      </c>
      <c r="L25" s="14">
        <v>20807</v>
      </c>
      <c r="M25" s="14">
        <v>25101</v>
      </c>
      <c r="P25" s="15">
        <v>20706</v>
      </c>
      <c r="Q25" s="14" t="s">
        <v>52</v>
      </c>
      <c r="R25" s="14" t="s">
        <v>17</v>
      </c>
      <c r="S25" s="14">
        <v>97.85</v>
      </c>
      <c r="T25" s="16" t="s">
        <v>325</v>
      </c>
      <c r="V25" s="14">
        <v>40</v>
      </c>
      <c r="W25" s="14">
        <v>20807</v>
      </c>
      <c r="AA25" s="15">
        <v>20500</v>
      </c>
      <c r="AB25" s="14" t="s">
        <v>31</v>
      </c>
      <c r="AC25" s="14" t="s">
        <v>17</v>
      </c>
      <c r="AD25" s="14">
        <v>97.8</v>
      </c>
      <c r="AE25" s="16" t="s">
        <v>326</v>
      </c>
      <c r="AF25" s="14" t="s">
        <v>326</v>
      </c>
      <c r="AG25" s="14">
        <v>27</v>
      </c>
      <c r="AH25" s="14">
        <v>20807</v>
      </c>
      <c r="AI25" s="14">
        <v>23352</v>
      </c>
      <c r="AL25" s="15">
        <v>20906</v>
      </c>
      <c r="AM25" s="14" t="s">
        <v>48</v>
      </c>
      <c r="AN25" s="14" t="s">
        <v>49</v>
      </c>
      <c r="AO25" s="14">
        <v>97.75</v>
      </c>
      <c r="AP25" s="16" t="s">
        <v>327</v>
      </c>
      <c r="AR25" s="14">
        <v>17</v>
      </c>
      <c r="AS25" s="14">
        <v>20807</v>
      </c>
      <c r="BC25" s="14">
        <v>0</v>
      </c>
      <c r="BN25" s="14">
        <v>0</v>
      </c>
      <c r="BY25" s="14">
        <v>0</v>
      </c>
    </row>
    <row r="26" spans="1:77">
      <c r="A26" s="14">
        <v>30568</v>
      </c>
      <c r="B26" s="14" t="s">
        <v>97</v>
      </c>
      <c r="C26" s="14" t="str">
        <f>VLOOKUP(A26,[1]Sheet1!$A:$F,5,FALSE)</f>
        <v>전략</v>
      </c>
      <c r="D26" s="14" t="str">
        <f>VLOOKUP(A26,[1]Sheet1!$A:$F,6,FALSE)</f>
        <v>SP</v>
      </c>
      <c r="E26" s="15">
        <v>20902</v>
      </c>
      <c r="F26" s="14" t="s">
        <v>53</v>
      </c>
      <c r="G26" s="14" t="s">
        <v>16</v>
      </c>
      <c r="H26" s="14">
        <v>95</v>
      </c>
      <c r="I26" s="17" t="s">
        <v>387</v>
      </c>
      <c r="J26" s="14" t="s">
        <v>387</v>
      </c>
      <c r="K26" s="14">
        <v>30</v>
      </c>
      <c r="L26" s="14">
        <v>20807</v>
      </c>
      <c r="M26" s="14">
        <v>25101</v>
      </c>
      <c r="P26" s="15">
        <v>20702</v>
      </c>
      <c r="Q26" s="14" t="s">
        <v>44</v>
      </c>
      <c r="R26" s="14" t="s">
        <v>17</v>
      </c>
      <c r="S26" s="14">
        <v>98.95</v>
      </c>
      <c r="T26" s="16" t="s">
        <v>358</v>
      </c>
      <c r="V26" s="14">
        <v>35</v>
      </c>
      <c r="W26" s="14">
        <v>20807</v>
      </c>
      <c r="AA26" s="15">
        <v>20500</v>
      </c>
      <c r="AB26" s="14" t="s">
        <v>31</v>
      </c>
      <c r="AC26" s="14" t="s">
        <v>17</v>
      </c>
      <c r="AD26" s="14">
        <v>98.94</v>
      </c>
      <c r="AE26" s="14" t="s">
        <v>347</v>
      </c>
      <c r="AG26" s="14">
        <v>27</v>
      </c>
      <c r="AH26" s="14">
        <v>20807</v>
      </c>
      <c r="AI26" s="14">
        <v>23352</v>
      </c>
      <c r="AL26" s="15">
        <v>20906</v>
      </c>
      <c r="AM26" s="14" t="s">
        <v>48</v>
      </c>
      <c r="AN26" s="14" t="s">
        <v>49</v>
      </c>
      <c r="AO26" s="14">
        <v>98.92</v>
      </c>
      <c r="AP26" s="16" t="s">
        <v>327</v>
      </c>
      <c r="AR26" s="14">
        <v>20</v>
      </c>
      <c r="AS26" s="14">
        <v>20807</v>
      </c>
      <c r="BC26" s="14">
        <v>0</v>
      </c>
      <c r="BN26" s="14">
        <v>0</v>
      </c>
      <c r="BY26" s="14">
        <v>0</v>
      </c>
    </row>
    <row r="27" spans="1:77">
      <c r="A27" s="14">
        <v>30566</v>
      </c>
      <c r="B27" s="14" t="s">
        <v>388</v>
      </c>
      <c r="C27" s="14" t="str">
        <f>VLOOKUP(A27,[1]Sheet1!$A:$F,5,FALSE)</f>
        <v>전략</v>
      </c>
      <c r="D27" s="14" t="str">
        <f>VLOOKUP(A27,[1]Sheet1!$A:$F,6,FALSE)</f>
        <v>SP</v>
      </c>
      <c r="E27" s="15">
        <v>20902</v>
      </c>
      <c r="F27" s="14" t="s">
        <v>53</v>
      </c>
      <c r="G27" s="14" t="s">
        <v>16</v>
      </c>
      <c r="H27" s="14">
        <v>95.17</v>
      </c>
      <c r="I27" s="17" t="s">
        <v>381</v>
      </c>
      <c r="J27" s="14" t="s">
        <v>389</v>
      </c>
      <c r="K27" s="14">
        <v>20</v>
      </c>
      <c r="L27" s="14">
        <v>25101</v>
      </c>
      <c r="M27" s="14">
        <v>20808</v>
      </c>
      <c r="P27" s="15">
        <v>20702</v>
      </c>
      <c r="Q27" s="14" t="s">
        <v>44</v>
      </c>
      <c r="R27" s="14" t="s">
        <v>17</v>
      </c>
      <c r="S27" s="14">
        <v>98.98</v>
      </c>
      <c r="T27" s="16" t="s">
        <v>358</v>
      </c>
      <c r="V27" s="14">
        <v>35</v>
      </c>
      <c r="W27" s="14">
        <v>25101</v>
      </c>
      <c r="AA27" s="15">
        <v>20500</v>
      </c>
      <c r="AB27" s="14" t="s">
        <v>31</v>
      </c>
      <c r="AC27" s="14" t="s">
        <v>17</v>
      </c>
      <c r="AD27" s="14">
        <v>98.97</v>
      </c>
      <c r="AE27" s="14" t="s">
        <v>347</v>
      </c>
      <c r="AG27" s="14">
        <v>27</v>
      </c>
      <c r="AH27" s="14">
        <v>25101</v>
      </c>
      <c r="AI27" s="14">
        <v>23352</v>
      </c>
      <c r="AL27" s="15">
        <v>20906</v>
      </c>
      <c r="AM27" s="14" t="s">
        <v>48</v>
      </c>
      <c r="AN27" s="14" t="s">
        <v>49</v>
      </c>
      <c r="AO27" s="14">
        <v>98.96</v>
      </c>
      <c r="AP27" s="16" t="s">
        <v>327</v>
      </c>
      <c r="AR27" s="14">
        <v>17</v>
      </c>
      <c r="AS27" s="14">
        <v>25101</v>
      </c>
      <c r="BC27" s="14">
        <v>0</v>
      </c>
      <c r="BN27" s="14">
        <v>0</v>
      </c>
      <c r="BY27" s="14">
        <v>0</v>
      </c>
    </row>
    <row r="28" spans="1:77">
      <c r="A28" s="14">
        <v>31686</v>
      </c>
      <c r="B28" s="14" t="s">
        <v>125</v>
      </c>
      <c r="C28" s="14" t="str">
        <f>VLOOKUP(A28,[1]Sheet1!$A:$F,5,FALSE)</f>
        <v>전략</v>
      </c>
      <c r="D28" s="14" t="str">
        <f>VLOOKUP(A28,[1]Sheet1!$A:$F,6,FALSE)</f>
        <v>SP</v>
      </c>
      <c r="E28" s="15">
        <v>20902</v>
      </c>
      <c r="F28" s="14" t="s">
        <v>53</v>
      </c>
      <c r="G28" s="14" t="s">
        <v>343</v>
      </c>
      <c r="H28" s="14">
        <v>95.3</v>
      </c>
      <c r="I28" s="17" t="s">
        <v>390</v>
      </c>
      <c r="J28" s="14" t="s">
        <v>390</v>
      </c>
      <c r="K28" s="14">
        <v>20</v>
      </c>
      <c r="L28" s="14" t="s">
        <v>391</v>
      </c>
      <c r="M28" s="14" t="s">
        <v>346</v>
      </c>
      <c r="P28" s="15">
        <v>20702</v>
      </c>
      <c r="Q28" s="14" t="s">
        <v>44</v>
      </c>
      <c r="R28" s="14" t="s">
        <v>17</v>
      </c>
      <c r="S28" s="14">
        <v>99.34</v>
      </c>
      <c r="T28" s="16" t="s">
        <v>358</v>
      </c>
      <c r="V28" s="14">
        <v>35</v>
      </c>
      <c r="W28" s="14" t="s">
        <v>392</v>
      </c>
      <c r="AA28" s="15">
        <v>20500</v>
      </c>
      <c r="AB28" s="14" t="s">
        <v>31</v>
      </c>
      <c r="AC28" s="14" t="s">
        <v>17</v>
      </c>
      <c r="AD28" s="14">
        <v>99.34</v>
      </c>
      <c r="AE28" s="14" t="s">
        <v>347</v>
      </c>
      <c r="AG28" s="14">
        <v>27</v>
      </c>
      <c r="AH28" s="14" t="s">
        <v>391</v>
      </c>
      <c r="AI28" s="14" t="s">
        <v>393</v>
      </c>
      <c r="AL28" s="15">
        <v>20906</v>
      </c>
      <c r="AM28" s="14" t="s">
        <v>48</v>
      </c>
      <c r="AN28" s="14" t="s">
        <v>49</v>
      </c>
      <c r="AO28" s="14">
        <v>94.83</v>
      </c>
      <c r="AP28" s="16" t="s">
        <v>327</v>
      </c>
      <c r="AR28" s="14">
        <v>18.5</v>
      </c>
      <c r="AS28" s="14" t="s">
        <v>392</v>
      </c>
      <c r="BC28" s="14">
        <v>0</v>
      </c>
      <c r="BN28" s="14">
        <v>0</v>
      </c>
      <c r="BY28" s="14">
        <v>0</v>
      </c>
    </row>
    <row r="29" spans="1:77">
      <c r="A29" s="14">
        <v>30740</v>
      </c>
      <c r="B29" s="14" t="s">
        <v>98</v>
      </c>
      <c r="C29" s="14" t="str">
        <f>VLOOKUP(A29,[1]Sheet1!$A:$F,5,FALSE)</f>
        <v>전략</v>
      </c>
      <c r="D29" s="14" t="str">
        <f>VLOOKUP(A29,[1]Sheet1!$A:$F,6,FALSE)</f>
        <v>SP</v>
      </c>
      <c r="E29" s="15">
        <v>20902</v>
      </c>
      <c r="F29" s="14" t="s">
        <v>53</v>
      </c>
      <c r="G29" s="14" t="s">
        <v>16</v>
      </c>
      <c r="H29" s="14">
        <v>95.41</v>
      </c>
      <c r="I29" s="17" t="s">
        <v>394</v>
      </c>
      <c r="J29" s="14" t="s">
        <v>394</v>
      </c>
      <c r="K29" s="14">
        <v>30</v>
      </c>
      <c r="L29" s="14">
        <v>25101</v>
      </c>
      <c r="M29" s="14">
        <v>20808</v>
      </c>
      <c r="P29" s="15">
        <v>20702</v>
      </c>
      <c r="Q29" s="14" t="s">
        <v>44</v>
      </c>
      <c r="R29" s="14" t="s">
        <v>17</v>
      </c>
      <c r="S29" s="14">
        <v>99.04</v>
      </c>
      <c r="T29" s="16" t="s">
        <v>358</v>
      </c>
      <c r="V29" s="14">
        <v>35</v>
      </c>
      <c r="W29" s="14">
        <v>25101</v>
      </c>
      <c r="AA29" s="15">
        <v>20500</v>
      </c>
      <c r="AB29" s="14" t="s">
        <v>31</v>
      </c>
      <c r="AC29" s="14" t="s">
        <v>17</v>
      </c>
      <c r="AD29" s="14">
        <v>99.03</v>
      </c>
      <c r="AE29" s="14" t="s">
        <v>347</v>
      </c>
      <c r="AG29" s="14">
        <v>27</v>
      </c>
      <c r="AH29" s="14">
        <v>25101</v>
      </c>
      <c r="AI29" s="14">
        <v>23352</v>
      </c>
      <c r="AL29" s="15">
        <v>20906</v>
      </c>
      <c r="AM29" s="14" t="s">
        <v>48</v>
      </c>
      <c r="AN29" s="14" t="s">
        <v>49</v>
      </c>
      <c r="AO29" s="14">
        <v>99.02</v>
      </c>
      <c r="AP29" s="16" t="s">
        <v>327</v>
      </c>
      <c r="AR29" s="14">
        <v>17</v>
      </c>
      <c r="AS29" s="14">
        <v>25101</v>
      </c>
      <c r="BC29" s="14">
        <v>0</v>
      </c>
      <c r="BN29" s="14">
        <v>0</v>
      </c>
      <c r="BY29" s="14">
        <v>0</v>
      </c>
    </row>
    <row r="30" spans="1:77">
      <c r="A30" s="14">
        <v>32471</v>
      </c>
      <c r="B30" s="14" t="s">
        <v>193</v>
      </c>
      <c r="C30" s="14" t="str">
        <f>VLOOKUP(A30,[1]Sheet1!$A:$F,5,FALSE)</f>
        <v>전략</v>
      </c>
      <c r="D30" s="14" t="str">
        <f>VLOOKUP(A30,[1]Sheet1!$A:$F,6,FALSE)</f>
        <v>SP</v>
      </c>
      <c r="E30" s="15">
        <v>20902</v>
      </c>
      <c r="F30" s="14" t="s">
        <v>53</v>
      </c>
      <c r="G30" s="14" t="s">
        <v>13</v>
      </c>
      <c r="H30" s="14">
        <v>95.44</v>
      </c>
      <c r="I30" s="17" t="s">
        <v>395</v>
      </c>
      <c r="J30" s="14" t="s">
        <v>395</v>
      </c>
      <c r="K30" s="14">
        <v>13.5</v>
      </c>
      <c r="L30" s="14">
        <v>20807</v>
      </c>
      <c r="M30" s="14" t="s">
        <v>346</v>
      </c>
      <c r="P30" s="15">
        <v>20702</v>
      </c>
      <c r="Q30" s="14" t="s">
        <v>44</v>
      </c>
      <c r="R30" s="14" t="s">
        <v>17</v>
      </c>
      <c r="S30" s="14">
        <v>98.29</v>
      </c>
      <c r="T30" s="16" t="s">
        <v>347</v>
      </c>
      <c r="U30" s="14" t="s">
        <v>347</v>
      </c>
      <c r="V30" s="14">
        <v>35</v>
      </c>
      <c r="W30" s="14">
        <v>20807</v>
      </c>
      <c r="AA30" s="15">
        <v>20500</v>
      </c>
      <c r="AB30" s="14" t="s">
        <v>31</v>
      </c>
      <c r="AC30" s="14" t="s">
        <v>17</v>
      </c>
      <c r="AD30" s="14">
        <v>97.57</v>
      </c>
      <c r="AE30" s="16" t="s">
        <v>326</v>
      </c>
      <c r="AF30" s="14" t="s">
        <v>326</v>
      </c>
      <c r="AG30" s="14">
        <v>27</v>
      </c>
      <c r="AH30" s="14">
        <v>20807</v>
      </c>
      <c r="AI30" s="14">
        <v>25382</v>
      </c>
      <c r="AL30" s="15">
        <v>20906</v>
      </c>
      <c r="AM30" s="14" t="s">
        <v>48</v>
      </c>
      <c r="AN30" s="14" t="s">
        <v>49</v>
      </c>
      <c r="AO30" s="14">
        <v>97.51</v>
      </c>
      <c r="AP30" s="16" t="s">
        <v>327</v>
      </c>
      <c r="AR30" s="14">
        <v>18</v>
      </c>
      <c r="AS30" s="14">
        <v>20807</v>
      </c>
      <c r="BC30" s="14">
        <v>0</v>
      </c>
      <c r="BN30" s="14">
        <v>0</v>
      </c>
      <c r="BY30" s="14">
        <v>0</v>
      </c>
    </row>
    <row r="31" spans="1:77">
      <c r="A31" s="14">
        <v>32118</v>
      </c>
      <c r="B31" s="14" t="s">
        <v>148</v>
      </c>
      <c r="C31" s="14" t="str">
        <f>VLOOKUP(A31,[1]Sheet1!$A:$F,5,FALSE)</f>
        <v>전략</v>
      </c>
      <c r="D31" s="14" t="str">
        <f>VLOOKUP(A31,[1]Sheet1!$A:$F,6,FALSE)</f>
        <v>SP</v>
      </c>
      <c r="E31" s="15">
        <v>20902</v>
      </c>
      <c r="F31" s="14" t="s">
        <v>53</v>
      </c>
      <c r="G31" s="14" t="s">
        <v>13</v>
      </c>
      <c r="H31" s="14">
        <v>95.45</v>
      </c>
      <c r="I31" s="17" t="s">
        <v>396</v>
      </c>
      <c r="J31" s="14" t="s">
        <v>396</v>
      </c>
      <c r="K31" s="14">
        <v>20</v>
      </c>
      <c r="L31" s="14">
        <v>20807</v>
      </c>
      <c r="M31" s="14">
        <v>24884</v>
      </c>
      <c r="P31" s="15">
        <v>20713</v>
      </c>
      <c r="Q31" s="14" t="s">
        <v>147</v>
      </c>
      <c r="R31" s="14" t="s">
        <v>17</v>
      </c>
      <c r="S31" s="14">
        <v>98.1</v>
      </c>
      <c r="T31" s="16" t="s">
        <v>397</v>
      </c>
      <c r="V31" s="14">
        <v>25</v>
      </c>
      <c r="W31" s="14">
        <v>20807</v>
      </c>
      <c r="AA31" s="15">
        <v>20500</v>
      </c>
      <c r="AB31" s="14" t="s">
        <v>31</v>
      </c>
      <c r="AC31" s="14" t="s">
        <v>17</v>
      </c>
      <c r="AD31" s="14">
        <v>98.06</v>
      </c>
      <c r="AE31" s="14" t="s">
        <v>326</v>
      </c>
      <c r="AG31" s="14">
        <v>27</v>
      </c>
      <c r="AH31" s="14">
        <v>20807</v>
      </c>
      <c r="AI31" s="14">
        <v>23352</v>
      </c>
      <c r="AL31" s="15">
        <v>20906</v>
      </c>
      <c r="AM31" s="14" t="s">
        <v>48</v>
      </c>
      <c r="AN31" s="14" t="s">
        <v>49</v>
      </c>
      <c r="AO31" s="14">
        <v>98.02</v>
      </c>
      <c r="AP31" s="16" t="s">
        <v>327</v>
      </c>
      <c r="AR31" s="14">
        <v>17</v>
      </c>
      <c r="AS31" s="14">
        <v>20807</v>
      </c>
      <c r="BC31" s="14">
        <v>0</v>
      </c>
      <c r="BN31" s="14">
        <v>0</v>
      </c>
      <c r="BY31" s="14">
        <v>0</v>
      </c>
    </row>
    <row r="32" spans="1:77">
      <c r="A32" s="14">
        <v>32064</v>
      </c>
      <c r="B32" s="14" t="s">
        <v>239</v>
      </c>
      <c r="C32" s="14" t="str">
        <f>VLOOKUP(A32,[1]Sheet1!$A:$F,5,FALSE)</f>
        <v>HIGH-END</v>
      </c>
      <c r="D32" s="14" t="str">
        <f>VLOOKUP(A32,[1]Sheet1!$A:$F,6,FALSE)</f>
        <v>C-PPF</v>
      </c>
      <c r="E32" s="15">
        <v>20500</v>
      </c>
      <c r="F32" s="14" t="s">
        <v>31</v>
      </c>
      <c r="G32" s="14" t="s">
        <v>17</v>
      </c>
      <c r="H32" s="14">
        <v>95.45</v>
      </c>
      <c r="I32" s="17" t="s">
        <v>398</v>
      </c>
      <c r="K32" s="14">
        <v>16</v>
      </c>
      <c r="L32" s="14">
        <v>24670</v>
      </c>
      <c r="M32" s="14">
        <v>24405</v>
      </c>
      <c r="T32" s="14"/>
      <c r="V32" s="14">
        <v>0</v>
      </c>
      <c r="AE32" s="14"/>
      <c r="AG32" s="14">
        <v>0</v>
      </c>
      <c r="AP32" s="14"/>
      <c r="AR32" s="14">
        <v>0</v>
      </c>
      <c r="BC32" s="14">
        <v>0</v>
      </c>
      <c r="BN32" s="14">
        <v>0</v>
      </c>
      <c r="BY32" s="14">
        <v>0</v>
      </c>
    </row>
    <row r="33" spans="1:77">
      <c r="A33" s="14">
        <v>32708</v>
      </c>
      <c r="B33" s="14" t="s">
        <v>399</v>
      </c>
      <c r="C33" s="14" t="str">
        <f>VLOOKUP(A33,[1]Sheet1!$A:$F,5,FALSE)</f>
        <v>전략</v>
      </c>
      <c r="D33" s="14" t="str">
        <f>VLOOKUP(A33,[1]Sheet1!$A:$F,6,FALSE)</f>
        <v>SP</v>
      </c>
      <c r="E33" s="15">
        <v>20902</v>
      </c>
      <c r="F33" s="14" t="s">
        <v>53</v>
      </c>
      <c r="G33" s="14" t="s">
        <v>16</v>
      </c>
      <c r="H33" s="14">
        <v>95.45</v>
      </c>
      <c r="I33" s="17" t="s">
        <v>400</v>
      </c>
      <c r="J33" s="14" t="s">
        <v>400</v>
      </c>
      <c r="K33" s="14">
        <v>30</v>
      </c>
      <c r="L33" s="14">
        <v>25101</v>
      </c>
      <c r="M33" s="14">
        <v>20808</v>
      </c>
      <c r="P33" s="15">
        <v>20706</v>
      </c>
      <c r="Q33" s="14" t="s">
        <v>52</v>
      </c>
      <c r="R33" s="14" t="s">
        <v>17</v>
      </c>
      <c r="S33" s="14">
        <v>99.05</v>
      </c>
      <c r="T33" s="16" t="s">
        <v>325</v>
      </c>
      <c r="V33" s="14">
        <v>40</v>
      </c>
      <c r="W33" s="14">
        <v>25101</v>
      </c>
      <c r="AA33" s="15">
        <v>20500</v>
      </c>
      <c r="AB33" s="14" t="s">
        <v>31</v>
      </c>
      <c r="AC33" s="14" t="s">
        <v>17</v>
      </c>
      <c r="AD33" s="14">
        <v>99.04</v>
      </c>
      <c r="AE33" s="14" t="s">
        <v>326</v>
      </c>
      <c r="AG33" s="14">
        <v>27</v>
      </c>
      <c r="AH33" s="14">
        <v>25101</v>
      </c>
      <c r="AI33" s="14">
        <v>25382</v>
      </c>
      <c r="AL33" s="15">
        <v>20906</v>
      </c>
      <c r="AM33" s="14" t="s">
        <v>48</v>
      </c>
      <c r="AN33" s="14" t="s">
        <v>49</v>
      </c>
      <c r="AO33" s="14">
        <v>99.03</v>
      </c>
      <c r="AP33" s="16" t="s">
        <v>327</v>
      </c>
      <c r="AR33" s="14">
        <v>17</v>
      </c>
      <c r="AS33" s="14">
        <v>25101</v>
      </c>
      <c r="BC33" s="14">
        <v>0</v>
      </c>
      <c r="BN33" s="14">
        <v>0</v>
      </c>
      <c r="BY33" s="14">
        <v>0</v>
      </c>
    </row>
    <row r="34" spans="1:77">
      <c r="A34" s="14">
        <v>32631</v>
      </c>
      <c r="B34" s="14" t="s">
        <v>401</v>
      </c>
      <c r="C34" s="14" t="str">
        <f>VLOOKUP(A34,[1]Sheet1!$A:$F,5,FALSE)</f>
        <v>전략</v>
      </c>
      <c r="D34" s="14" t="str">
        <f>VLOOKUP(A34,[1]Sheet1!$A:$F,6,FALSE)</f>
        <v>SP</v>
      </c>
      <c r="E34" s="15">
        <v>20902</v>
      </c>
      <c r="F34" s="14" t="s">
        <v>53</v>
      </c>
      <c r="G34" s="14" t="s">
        <v>13</v>
      </c>
      <c r="H34" s="14">
        <v>95.56</v>
      </c>
      <c r="I34" s="17" t="s">
        <v>402</v>
      </c>
      <c r="K34" s="14">
        <v>20</v>
      </c>
      <c r="L34" s="14">
        <v>20807</v>
      </c>
      <c r="M34" s="14">
        <v>25101</v>
      </c>
      <c r="P34" s="15">
        <v>20706</v>
      </c>
      <c r="Q34" s="14" t="s">
        <v>52</v>
      </c>
      <c r="R34" s="14" t="s">
        <v>17</v>
      </c>
      <c r="S34" s="14">
        <v>100</v>
      </c>
      <c r="T34" s="16" t="s">
        <v>325</v>
      </c>
      <c r="V34" s="14">
        <v>40</v>
      </c>
      <c r="W34" s="14">
        <v>20807</v>
      </c>
      <c r="AA34" s="15">
        <v>20500</v>
      </c>
      <c r="AB34" s="14" t="s">
        <v>31</v>
      </c>
      <c r="AC34" s="14" t="s">
        <v>17</v>
      </c>
      <c r="AD34" s="14">
        <v>100</v>
      </c>
      <c r="AE34" s="14" t="s">
        <v>326</v>
      </c>
      <c r="AG34" s="14">
        <v>27</v>
      </c>
      <c r="AH34" s="14">
        <v>20807</v>
      </c>
      <c r="AL34" s="15">
        <v>20906</v>
      </c>
      <c r="AM34" s="14" t="s">
        <v>48</v>
      </c>
      <c r="AN34" s="14" t="s">
        <v>49</v>
      </c>
      <c r="AO34" s="14">
        <v>100</v>
      </c>
      <c r="AP34" s="16" t="s">
        <v>327</v>
      </c>
      <c r="AR34" s="14">
        <v>20</v>
      </c>
      <c r="AS34" s="14">
        <v>20807</v>
      </c>
      <c r="BC34" s="14">
        <v>0</v>
      </c>
      <c r="BN34" s="14">
        <v>0</v>
      </c>
      <c r="BY34" s="14">
        <v>0</v>
      </c>
    </row>
    <row r="35" spans="1:77">
      <c r="A35" s="14">
        <v>32707</v>
      </c>
      <c r="B35" s="14" t="s">
        <v>403</v>
      </c>
      <c r="C35" s="14" t="str">
        <f>VLOOKUP(A35,[1]Sheet1!$A:$F,5,FALSE)</f>
        <v>전략</v>
      </c>
      <c r="D35" s="14" t="str">
        <f>VLOOKUP(A35,[1]Sheet1!$A:$F,6,FALSE)</f>
        <v>SP</v>
      </c>
      <c r="E35" s="15">
        <v>20902</v>
      </c>
      <c r="F35" s="14" t="s">
        <v>53</v>
      </c>
      <c r="G35" s="14" t="s">
        <v>16</v>
      </c>
      <c r="H35" s="14">
        <v>95.6</v>
      </c>
      <c r="I35" s="17" t="s">
        <v>404</v>
      </c>
      <c r="J35" s="14" t="s">
        <v>404</v>
      </c>
      <c r="K35" s="14">
        <v>20</v>
      </c>
      <c r="L35" s="14">
        <v>25101</v>
      </c>
      <c r="M35" s="14">
        <v>20808</v>
      </c>
      <c r="P35" s="15">
        <v>20706</v>
      </c>
      <c r="Q35" s="14" t="s">
        <v>52</v>
      </c>
      <c r="R35" s="14" t="s">
        <v>17</v>
      </c>
      <c r="S35" s="14">
        <v>99.16</v>
      </c>
      <c r="T35" s="16" t="s">
        <v>325</v>
      </c>
      <c r="V35" s="14">
        <v>40</v>
      </c>
      <c r="W35" s="14">
        <v>25101</v>
      </c>
      <c r="AA35" s="15">
        <v>20500</v>
      </c>
      <c r="AB35" s="14" t="s">
        <v>31</v>
      </c>
      <c r="AC35" s="14" t="s">
        <v>17</v>
      </c>
      <c r="AD35" s="14">
        <v>98.31</v>
      </c>
      <c r="AE35" s="16" t="s">
        <v>326</v>
      </c>
      <c r="AF35" s="14" t="s">
        <v>326</v>
      </c>
      <c r="AG35" s="14">
        <v>27</v>
      </c>
      <c r="AH35" s="14">
        <v>25101</v>
      </c>
      <c r="AI35" s="14">
        <v>25382</v>
      </c>
      <c r="AL35" s="15">
        <v>20906</v>
      </c>
      <c r="AM35" s="14" t="s">
        <v>48</v>
      </c>
      <c r="AN35" s="14" t="s">
        <v>49</v>
      </c>
      <c r="AO35" s="14">
        <v>97.42</v>
      </c>
      <c r="AP35" s="16" t="s">
        <v>327</v>
      </c>
      <c r="AR35" s="14">
        <v>17</v>
      </c>
      <c r="AS35" s="14">
        <v>25101</v>
      </c>
      <c r="BC35" s="14">
        <v>0</v>
      </c>
      <c r="BN35" s="14">
        <v>0</v>
      </c>
      <c r="BY35" s="14">
        <v>0</v>
      </c>
    </row>
    <row r="36" spans="1:77">
      <c r="A36" s="14">
        <v>32642</v>
      </c>
      <c r="B36" s="14" t="s">
        <v>211</v>
      </c>
      <c r="C36" s="14" t="str">
        <f>VLOOKUP(A36,[1]Sheet1!$A:$F,5,FALSE)</f>
        <v>전략</v>
      </c>
      <c r="D36" s="14" t="str">
        <f>VLOOKUP(A36,[1]Sheet1!$A:$F,6,FALSE)</f>
        <v>SP</v>
      </c>
      <c r="E36" s="15">
        <v>20902</v>
      </c>
      <c r="F36" s="14" t="s">
        <v>53</v>
      </c>
      <c r="G36" s="14" t="s">
        <v>13</v>
      </c>
      <c r="H36" s="14">
        <v>95.65</v>
      </c>
      <c r="I36" s="17" t="s">
        <v>405</v>
      </c>
      <c r="J36" s="14" t="s">
        <v>405</v>
      </c>
      <c r="K36" s="14">
        <v>20</v>
      </c>
      <c r="L36" s="14">
        <v>20807</v>
      </c>
      <c r="M36" s="14">
        <v>20808</v>
      </c>
      <c r="P36" s="15">
        <v>20702</v>
      </c>
      <c r="Q36" s="14" t="s">
        <v>44</v>
      </c>
      <c r="R36" s="14" t="s">
        <v>17</v>
      </c>
      <c r="S36" s="14">
        <v>98.18</v>
      </c>
      <c r="T36" s="16" t="s">
        <v>358</v>
      </c>
      <c r="V36" s="14">
        <v>35</v>
      </c>
      <c r="W36" s="14">
        <v>20807</v>
      </c>
      <c r="AA36" s="15">
        <v>20500</v>
      </c>
      <c r="AB36" s="14" t="s">
        <v>31</v>
      </c>
      <c r="AC36" s="14" t="s">
        <v>17</v>
      </c>
      <c r="AD36" s="14">
        <v>98.15</v>
      </c>
      <c r="AE36" s="14" t="s">
        <v>326</v>
      </c>
      <c r="AG36" s="14">
        <v>27</v>
      </c>
      <c r="AH36" s="14">
        <v>20807</v>
      </c>
      <c r="AI36" s="14">
        <v>23352</v>
      </c>
      <c r="AL36" s="15">
        <v>20906</v>
      </c>
      <c r="AM36" s="14" t="s">
        <v>48</v>
      </c>
      <c r="AN36" s="14" t="s">
        <v>49</v>
      </c>
      <c r="AO36" s="14">
        <v>98.11</v>
      </c>
      <c r="AP36" s="16" t="s">
        <v>327</v>
      </c>
      <c r="AR36" s="14">
        <v>17</v>
      </c>
      <c r="AS36" s="14">
        <v>20807</v>
      </c>
      <c r="BC36" s="14">
        <v>0</v>
      </c>
      <c r="BN36" s="14">
        <v>0</v>
      </c>
      <c r="BY36" s="14">
        <v>0</v>
      </c>
    </row>
    <row r="37" spans="1:77">
      <c r="A37" s="14">
        <v>32662</v>
      </c>
      <c r="B37" s="14" t="s">
        <v>406</v>
      </c>
      <c r="C37" s="14" t="str">
        <f>VLOOKUP(A37,[1]Sheet1!$A:$F,5,FALSE)</f>
        <v>전략</v>
      </c>
      <c r="D37" s="14" t="str">
        <f>VLOOKUP(A37,[1]Sheet1!$A:$F,6,FALSE)</f>
        <v>SP</v>
      </c>
      <c r="E37" s="15">
        <v>20902</v>
      </c>
      <c r="F37" s="14" t="s">
        <v>53</v>
      </c>
      <c r="G37" s="14" t="s">
        <v>16</v>
      </c>
      <c r="H37" s="14">
        <v>95.67</v>
      </c>
      <c r="I37" s="17" t="s">
        <v>407</v>
      </c>
      <c r="J37" s="14" t="s">
        <v>407</v>
      </c>
      <c r="K37" s="14">
        <v>30</v>
      </c>
      <c r="L37" s="14">
        <v>20807</v>
      </c>
      <c r="M37" s="14">
        <v>20808</v>
      </c>
      <c r="P37" s="15">
        <v>20706</v>
      </c>
      <c r="Q37" s="14" t="s">
        <v>52</v>
      </c>
      <c r="R37" s="14" t="s">
        <v>17</v>
      </c>
      <c r="S37" s="14">
        <v>99.09</v>
      </c>
      <c r="T37" s="16" t="s">
        <v>325</v>
      </c>
      <c r="V37" s="14">
        <v>40</v>
      </c>
      <c r="W37" s="14">
        <v>20807</v>
      </c>
      <c r="AA37" s="15">
        <v>20500</v>
      </c>
      <c r="AB37" s="14" t="s">
        <v>31</v>
      </c>
      <c r="AC37" s="14" t="s">
        <v>17</v>
      </c>
      <c r="AD37" s="14">
        <v>99.09</v>
      </c>
      <c r="AE37" s="16" t="s">
        <v>326</v>
      </c>
      <c r="AF37" s="14" t="s">
        <v>326</v>
      </c>
      <c r="AG37" s="14">
        <v>27</v>
      </c>
      <c r="AH37" s="14">
        <v>20807</v>
      </c>
      <c r="AI37" s="14">
        <v>23352</v>
      </c>
      <c r="AL37" s="15">
        <v>20906</v>
      </c>
      <c r="AM37" s="14" t="s">
        <v>48</v>
      </c>
      <c r="AN37" s="14" t="s">
        <v>49</v>
      </c>
      <c r="AO37" s="14">
        <v>99.08</v>
      </c>
      <c r="AP37" s="16" t="s">
        <v>327</v>
      </c>
      <c r="AR37" s="14">
        <v>18</v>
      </c>
      <c r="AS37" s="14">
        <v>20807</v>
      </c>
      <c r="BC37" s="14">
        <v>0</v>
      </c>
      <c r="BN37" s="14">
        <v>0</v>
      </c>
      <c r="BY37" s="14">
        <v>0</v>
      </c>
    </row>
    <row r="38" spans="1:77">
      <c r="A38" s="14">
        <v>32661</v>
      </c>
      <c r="B38" s="14" t="s">
        <v>408</v>
      </c>
      <c r="C38" s="14" t="str">
        <f>VLOOKUP(A38,[1]Sheet1!$A:$F,5,FALSE)</f>
        <v>전략</v>
      </c>
      <c r="D38" s="14" t="str">
        <f>VLOOKUP(A38,[1]Sheet1!$A:$F,6,FALSE)</f>
        <v>SP</v>
      </c>
      <c r="E38" s="15">
        <v>20902</v>
      </c>
      <c r="F38" s="14" t="s">
        <v>53</v>
      </c>
      <c r="G38" s="14" t="s">
        <v>16</v>
      </c>
      <c r="H38" s="14">
        <v>95.71</v>
      </c>
      <c r="I38" s="17" t="s">
        <v>409</v>
      </c>
      <c r="J38" s="14" t="s">
        <v>409</v>
      </c>
      <c r="K38" s="14">
        <v>30</v>
      </c>
      <c r="L38" s="14">
        <v>20807</v>
      </c>
      <c r="M38" s="14">
        <v>20808</v>
      </c>
      <c r="P38" s="15">
        <v>20706</v>
      </c>
      <c r="Q38" s="14" t="s">
        <v>52</v>
      </c>
      <c r="R38" s="14" t="s">
        <v>17</v>
      </c>
      <c r="S38" s="14">
        <v>99.1</v>
      </c>
      <c r="T38" s="16" t="s">
        <v>410</v>
      </c>
      <c r="U38" s="14" t="s">
        <v>410</v>
      </c>
      <c r="V38" s="14">
        <v>40</v>
      </c>
      <c r="W38" s="14">
        <v>20807</v>
      </c>
      <c r="AA38" s="15">
        <v>20500</v>
      </c>
      <c r="AB38" s="14" t="s">
        <v>31</v>
      </c>
      <c r="AC38" s="14" t="s">
        <v>17</v>
      </c>
      <c r="AD38" s="14">
        <v>99.09</v>
      </c>
      <c r="AE38" s="16" t="s">
        <v>326</v>
      </c>
      <c r="AF38" s="14" t="s">
        <v>326</v>
      </c>
      <c r="AG38" s="14">
        <v>27</v>
      </c>
      <c r="AH38" s="14">
        <v>20807</v>
      </c>
      <c r="AI38" s="14">
        <v>23352</v>
      </c>
      <c r="AL38" s="15">
        <v>20906</v>
      </c>
      <c r="AM38" s="14" t="s">
        <v>48</v>
      </c>
      <c r="AN38" s="14" t="s">
        <v>49</v>
      </c>
      <c r="AO38" s="14">
        <v>99.09</v>
      </c>
      <c r="AP38" s="16" t="s">
        <v>327</v>
      </c>
      <c r="AR38" s="14">
        <v>18</v>
      </c>
      <c r="AS38" s="14">
        <v>20807</v>
      </c>
      <c r="BC38" s="14">
        <v>0</v>
      </c>
      <c r="BN38" s="14">
        <v>0</v>
      </c>
      <c r="BY38" s="14">
        <v>0</v>
      </c>
    </row>
    <row r="39" spans="1:77">
      <c r="A39" s="14">
        <v>30262</v>
      </c>
      <c r="B39" s="14" t="s">
        <v>85</v>
      </c>
      <c r="C39" s="14" t="str">
        <f>VLOOKUP(A39,[1]Sheet1!$A:$F,5,FALSE)</f>
        <v>전략</v>
      </c>
      <c r="D39" s="14" t="str">
        <f>VLOOKUP(A39,[1]Sheet1!$A:$F,6,FALSE)</f>
        <v>SP</v>
      </c>
      <c r="E39" s="15">
        <v>20902</v>
      </c>
      <c r="F39" s="14" t="s">
        <v>53</v>
      </c>
      <c r="G39" s="14" t="s">
        <v>343</v>
      </c>
      <c r="H39" s="14">
        <v>95.77</v>
      </c>
      <c r="I39" s="17" t="s">
        <v>411</v>
      </c>
      <c r="J39" s="14" t="s">
        <v>411</v>
      </c>
      <c r="K39" s="14">
        <v>23.3</v>
      </c>
      <c r="L39" s="14" t="s">
        <v>412</v>
      </c>
      <c r="M39" s="14" t="s">
        <v>413</v>
      </c>
      <c r="P39" s="15">
        <v>20702</v>
      </c>
      <c r="Q39" s="14" t="s">
        <v>44</v>
      </c>
      <c r="R39" s="14" t="s">
        <v>17</v>
      </c>
      <c r="S39" s="14">
        <v>98.67</v>
      </c>
      <c r="T39" s="16" t="s">
        <v>381</v>
      </c>
      <c r="U39" s="14" t="s">
        <v>381</v>
      </c>
      <c r="V39" s="14">
        <v>35</v>
      </c>
      <c r="W39" s="14" t="s">
        <v>414</v>
      </c>
      <c r="AA39" s="15">
        <v>20500</v>
      </c>
      <c r="AB39" s="14" t="s">
        <v>31</v>
      </c>
      <c r="AC39" s="14" t="s">
        <v>17</v>
      </c>
      <c r="AD39" s="14">
        <v>98.02</v>
      </c>
      <c r="AE39" s="16" t="s">
        <v>350</v>
      </c>
      <c r="AF39" s="14" t="s">
        <v>350</v>
      </c>
      <c r="AG39" s="14">
        <v>22</v>
      </c>
      <c r="AH39" s="14" t="s">
        <v>414</v>
      </c>
      <c r="AI39" s="14" t="s">
        <v>415</v>
      </c>
      <c r="AL39" s="15">
        <v>20906</v>
      </c>
      <c r="AM39" s="14" t="s">
        <v>48</v>
      </c>
      <c r="AN39" s="14" t="s">
        <v>49</v>
      </c>
      <c r="AO39" s="14">
        <v>98.06</v>
      </c>
      <c r="AP39" s="16" t="s">
        <v>327</v>
      </c>
      <c r="AR39" s="14">
        <v>17</v>
      </c>
      <c r="AS39" s="14" t="s">
        <v>416</v>
      </c>
      <c r="BC39" s="14">
        <v>0</v>
      </c>
      <c r="BN39" s="14">
        <v>0</v>
      </c>
      <c r="BY39" s="14">
        <v>0</v>
      </c>
    </row>
    <row r="40" spans="1:77">
      <c r="A40" s="14">
        <v>32609</v>
      </c>
      <c r="B40" s="14" t="s">
        <v>264</v>
      </c>
      <c r="C40" s="14" t="str">
        <f>VLOOKUP(A40,[1]Sheet1!$A:$F,5,FALSE)</f>
        <v>HIGH-END</v>
      </c>
      <c r="D40" s="14" t="str">
        <f>VLOOKUP(A40,[1]Sheet1!$A:$F,6,FALSE)</f>
        <v>C-PPF</v>
      </c>
      <c r="E40" s="15">
        <v>20920</v>
      </c>
      <c r="F40" s="14" t="s">
        <v>217</v>
      </c>
      <c r="G40" s="14" t="s">
        <v>16</v>
      </c>
      <c r="H40" s="14">
        <v>95.81</v>
      </c>
      <c r="I40" s="17" t="s">
        <v>333</v>
      </c>
      <c r="J40" s="14" t="s">
        <v>417</v>
      </c>
      <c r="K40" s="14">
        <v>9</v>
      </c>
      <c r="L40" s="14" t="s">
        <v>418</v>
      </c>
      <c r="M40" s="14">
        <v>23352</v>
      </c>
      <c r="O40" s="14">
        <v>32621</v>
      </c>
      <c r="P40" s="15">
        <v>23320</v>
      </c>
      <c r="Q40" s="14" t="s">
        <v>265</v>
      </c>
      <c r="R40" s="14" t="s">
        <v>16</v>
      </c>
      <c r="S40" s="14">
        <v>94.77</v>
      </c>
      <c r="T40" s="16" t="s">
        <v>419</v>
      </c>
      <c r="U40" s="14" t="s">
        <v>420</v>
      </c>
      <c r="V40" s="14">
        <v>10</v>
      </c>
      <c r="W40" s="14" t="s">
        <v>421</v>
      </c>
      <c r="Z40" s="14">
        <v>32089</v>
      </c>
      <c r="AA40" s="15">
        <v>25005</v>
      </c>
      <c r="AB40" s="14" t="s">
        <v>232</v>
      </c>
      <c r="AC40" s="14" t="s">
        <v>16</v>
      </c>
      <c r="AD40" s="14">
        <v>97.74</v>
      </c>
      <c r="AE40" s="16" t="s">
        <v>422</v>
      </c>
      <c r="AG40" s="14">
        <v>10</v>
      </c>
      <c r="AH40" s="14">
        <v>25628</v>
      </c>
      <c r="AK40" s="14">
        <v>32609</v>
      </c>
      <c r="AP40" s="14"/>
      <c r="AR40" s="14">
        <v>0</v>
      </c>
      <c r="BC40" s="14">
        <v>0</v>
      </c>
      <c r="BN40" s="14">
        <v>0</v>
      </c>
      <c r="BY40" s="14">
        <v>0</v>
      </c>
    </row>
    <row r="41" spans="1:77">
      <c r="A41" s="14">
        <v>31023</v>
      </c>
      <c r="B41" s="14" t="s">
        <v>106</v>
      </c>
      <c r="C41" s="14" t="str">
        <f>VLOOKUP(A41,[1]Sheet1!$A:$F,5,FALSE)</f>
        <v>전략</v>
      </c>
      <c r="D41" s="14" t="str">
        <f>VLOOKUP(A41,[1]Sheet1!$A:$F,6,FALSE)</f>
        <v>SP</v>
      </c>
      <c r="E41" s="15">
        <v>20902</v>
      </c>
      <c r="F41" s="14" t="s">
        <v>53</v>
      </c>
      <c r="G41" s="14" t="s">
        <v>343</v>
      </c>
      <c r="H41" s="14">
        <v>95.88</v>
      </c>
      <c r="I41" s="17" t="s">
        <v>390</v>
      </c>
      <c r="J41" s="14" t="s">
        <v>390</v>
      </c>
      <c r="K41" s="14">
        <v>20</v>
      </c>
      <c r="L41" s="14" t="s">
        <v>391</v>
      </c>
      <c r="M41" s="14">
        <v>20808</v>
      </c>
      <c r="P41" s="15">
        <v>20702</v>
      </c>
      <c r="Q41" s="14" t="s">
        <v>44</v>
      </c>
      <c r="R41" s="14" t="s">
        <v>17</v>
      </c>
      <c r="S41" s="14">
        <v>98.84</v>
      </c>
      <c r="T41" s="16" t="s">
        <v>347</v>
      </c>
      <c r="U41" s="14" t="s">
        <v>347</v>
      </c>
      <c r="V41" s="14">
        <v>35</v>
      </c>
      <c r="W41" s="14" t="s">
        <v>392</v>
      </c>
      <c r="AA41" s="15">
        <v>20500</v>
      </c>
      <c r="AB41" s="14" t="s">
        <v>31</v>
      </c>
      <c r="AC41" s="14" t="s">
        <v>17</v>
      </c>
      <c r="AD41" s="14">
        <v>98.82</v>
      </c>
      <c r="AE41" s="16" t="s">
        <v>423</v>
      </c>
      <c r="AF41" s="14" t="s">
        <v>423</v>
      </c>
      <c r="AG41" s="14">
        <v>27</v>
      </c>
      <c r="AH41" s="14" t="s">
        <v>391</v>
      </c>
      <c r="AI41" s="14" t="s">
        <v>393</v>
      </c>
      <c r="AL41" s="15">
        <v>20906</v>
      </c>
      <c r="AM41" s="14" t="s">
        <v>48</v>
      </c>
      <c r="AN41" s="14" t="s">
        <v>49</v>
      </c>
      <c r="AO41" s="14">
        <v>98.81</v>
      </c>
      <c r="AP41" s="16" t="s">
        <v>327</v>
      </c>
      <c r="AR41" s="14">
        <v>18</v>
      </c>
      <c r="AS41" s="14" t="s">
        <v>391</v>
      </c>
      <c r="BC41" s="14">
        <v>0</v>
      </c>
      <c r="BN41" s="14">
        <v>0</v>
      </c>
      <c r="BY41" s="14">
        <v>0</v>
      </c>
    </row>
    <row r="42" spans="1:77">
      <c r="A42" s="14">
        <v>30260</v>
      </c>
      <c r="B42" s="14" t="s">
        <v>83</v>
      </c>
      <c r="C42" s="14" t="str">
        <f>VLOOKUP(A42,[1]Sheet1!$A:$F,5,FALSE)</f>
        <v>전략</v>
      </c>
      <c r="D42" s="14" t="str">
        <f>VLOOKUP(A42,[1]Sheet1!$A:$F,6,FALSE)</f>
        <v>SP</v>
      </c>
      <c r="E42" s="15">
        <v>20902</v>
      </c>
      <c r="F42" s="14" t="s">
        <v>53</v>
      </c>
      <c r="G42" s="14" t="s">
        <v>343</v>
      </c>
      <c r="H42" s="14">
        <v>95.91</v>
      </c>
      <c r="I42" s="17" t="s">
        <v>424</v>
      </c>
      <c r="J42" s="14" t="s">
        <v>424</v>
      </c>
      <c r="K42" s="14">
        <v>23.8</v>
      </c>
      <c r="L42" s="14" t="s">
        <v>425</v>
      </c>
      <c r="M42" s="14" t="s">
        <v>380</v>
      </c>
      <c r="P42" s="15">
        <v>20702</v>
      </c>
      <c r="Q42" s="14" t="s">
        <v>44</v>
      </c>
      <c r="R42" s="14" t="s">
        <v>17</v>
      </c>
      <c r="S42" s="14">
        <v>98.37</v>
      </c>
      <c r="T42" s="16" t="s">
        <v>347</v>
      </c>
      <c r="U42" s="14" t="s">
        <v>426</v>
      </c>
      <c r="V42" s="14">
        <v>35</v>
      </c>
      <c r="W42" s="14" t="s">
        <v>427</v>
      </c>
      <c r="AA42" s="15">
        <v>20500</v>
      </c>
      <c r="AB42" s="14" t="s">
        <v>31</v>
      </c>
      <c r="AC42" s="14" t="s">
        <v>17</v>
      </c>
      <c r="AD42" s="14">
        <v>98.3</v>
      </c>
      <c r="AE42" s="16" t="s">
        <v>350</v>
      </c>
      <c r="AF42" s="14" t="s">
        <v>351</v>
      </c>
      <c r="AG42" s="14">
        <v>23.3</v>
      </c>
      <c r="AH42" s="14" t="s">
        <v>428</v>
      </c>
      <c r="AI42" s="14" t="s">
        <v>429</v>
      </c>
      <c r="AL42" s="15">
        <v>20906</v>
      </c>
      <c r="AM42" s="14" t="s">
        <v>48</v>
      </c>
      <c r="AN42" s="14" t="s">
        <v>49</v>
      </c>
      <c r="AO42" s="14">
        <v>97.5</v>
      </c>
      <c r="AP42" s="16" t="s">
        <v>327</v>
      </c>
      <c r="AR42" s="14">
        <v>17</v>
      </c>
      <c r="AS42" s="14" t="s">
        <v>430</v>
      </c>
      <c r="BC42" s="14">
        <v>0</v>
      </c>
      <c r="BN42" s="14">
        <v>0</v>
      </c>
      <c r="BY42" s="14">
        <v>0</v>
      </c>
    </row>
    <row r="43" spans="1:77">
      <c r="A43" s="14">
        <v>32276</v>
      </c>
      <c r="B43" s="14" t="s">
        <v>168</v>
      </c>
      <c r="C43" s="14" t="str">
        <f>VLOOKUP(A43,[1]Sheet1!$A:$F,5,FALSE)</f>
        <v>전략</v>
      </c>
      <c r="D43" s="14" t="str">
        <f>VLOOKUP(A43,[1]Sheet1!$A:$F,6,FALSE)</f>
        <v>SP</v>
      </c>
      <c r="E43" s="15">
        <v>20902</v>
      </c>
      <c r="F43" s="14" t="s">
        <v>53</v>
      </c>
      <c r="G43" s="14" t="s">
        <v>16</v>
      </c>
      <c r="H43" s="14">
        <v>95.92</v>
      </c>
      <c r="I43" s="17" t="s">
        <v>431</v>
      </c>
      <c r="J43" s="14" t="s">
        <v>431</v>
      </c>
      <c r="K43" s="14">
        <v>30</v>
      </c>
      <c r="L43" s="14" t="s">
        <v>392</v>
      </c>
      <c r="M43" s="14">
        <v>20808</v>
      </c>
      <c r="P43" s="15">
        <v>20706</v>
      </c>
      <c r="Q43" s="14" t="s">
        <v>52</v>
      </c>
      <c r="R43" s="14" t="s">
        <v>17</v>
      </c>
      <c r="S43" s="14">
        <v>98.87</v>
      </c>
      <c r="T43" s="16" t="s">
        <v>432</v>
      </c>
      <c r="U43" s="14" t="s">
        <v>432</v>
      </c>
      <c r="V43" s="14">
        <v>40</v>
      </c>
      <c r="W43" s="14" t="s">
        <v>391</v>
      </c>
      <c r="AA43" s="15">
        <v>20500</v>
      </c>
      <c r="AB43" s="14" t="s">
        <v>31</v>
      </c>
      <c r="AC43" s="14" t="s">
        <v>17</v>
      </c>
      <c r="AD43" s="14">
        <v>98.28</v>
      </c>
      <c r="AE43" s="16" t="s">
        <v>326</v>
      </c>
      <c r="AF43" s="14" t="s">
        <v>326</v>
      </c>
      <c r="AG43" s="14">
        <v>27</v>
      </c>
      <c r="AH43" s="14" t="s">
        <v>391</v>
      </c>
      <c r="AI43" s="14">
        <v>23352</v>
      </c>
      <c r="AL43" s="15">
        <v>20906</v>
      </c>
      <c r="AM43" s="14" t="s">
        <v>48</v>
      </c>
      <c r="AN43" s="14" t="s">
        <v>49</v>
      </c>
      <c r="AO43" s="14">
        <v>98.83</v>
      </c>
      <c r="AP43" s="16" t="s">
        <v>327</v>
      </c>
      <c r="AR43" s="14">
        <v>17</v>
      </c>
      <c r="AS43" s="14" t="s">
        <v>392</v>
      </c>
      <c r="BC43" s="14">
        <v>0</v>
      </c>
      <c r="BN43" s="14">
        <v>0</v>
      </c>
      <c r="BY43" s="14">
        <v>0</v>
      </c>
    </row>
    <row r="44" spans="1:77">
      <c r="A44" s="14">
        <v>32469</v>
      </c>
      <c r="B44" s="14" t="s">
        <v>256</v>
      </c>
      <c r="C44" s="14" t="str">
        <f>VLOOKUP(A44,[1]Sheet1!$A:$F,5,FALSE)</f>
        <v>HIGH-END</v>
      </c>
      <c r="D44" s="14" t="str">
        <f>VLOOKUP(A44,[1]Sheet1!$A:$F,6,FALSE)</f>
        <v>C-PPF</v>
      </c>
      <c r="E44" s="15">
        <v>20904</v>
      </c>
      <c r="F44" s="14" t="s">
        <v>156</v>
      </c>
      <c r="G44" s="14" t="s">
        <v>16</v>
      </c>
      <c r="H44" s="14">
        <v>95.92</v>
      </c>
      <c r="I44" s="17" t="s">
        <v>433</v>
      </c>
      <c r="J44" s="14" t="s">
        <v>433</v>
      </c>
      <c r="K44" s="14">
        <v>7</v>
      </c>
      <c r="L44" s="14">
        <v>25628</v>
      </c>
      <c r="M44" s="14">
        <v>26119</v>
      </c>
      <c r="P44" s="15">
        <v>23118</v>
      </c>
      <c r="Q44" s="14" t="s">
        <v>252</v>
      </c>
      <c r="R44" s="14" t="s">
        <v>16</v>
      </c>
      <c r="S44" s="14">
        <v>97.87</v>
      </c>
      <c r="T44" s="16" t="s">
        <v>434</v>
      </c>
      <c r="U44" s="14" t="s">
        <v>434</v>
      </c>
      <c r="V44" s="14">
        <v>10</v>
      </c>
      <c r="W44" s="14">
        <v>25628</v>
      </c>
      <c r="X44" s="14">
        <v>26119</v>
      </c>
      <c r="AA44" s="15">
        <v>23311</v>
      </c>
      <c r="AB44" s="14" t="s">
        <v>221</v>
      </c>
      <c r="AC44" s="14" t="s">
        <v>16</v>
      </c>
      <c r="AD44" s="14">
        <v>97.83</v>
      </c>
      <c r="AE44" s="16" t="s">
        <v>435</v>
      </c>
      <c r="AF44" s="14" t="s">
        <v>435</v>
      </c>
      <c r="AG44" s="14">
        <v>10</v>
      </c>
      <c r="AH44" s="14">
        <v>25628</v>
      </c>
      <c r="AL44" s="15">
        <v>12400</v>
      </c>
      <c r="AM44" s="14" t="s">
        <v>217</v>
      </c>
      <c r="AN44" s="14" t="s">
        <v>16</v>
      </c>
      <c r="AO44" s="14">
        <v>48.89</v>
      </c>
      <c r="AP44" s="16" t="s">
        <v>338</v>
      </c>
      <c r="AQ44" s="14" t="s">
        <v>338</v>
      </c>
      <c r="AR44" s="14">
        <v>10</v>
      </c>
      <c r="AS44" s="14">
        <v>25628</v>
      </c>
      <c r="AV44" s="14">
        <v>32090</v>
      </c>
      <c r="BC44" s="14">
        <v>0</v>
      </c>
      <c r="BN44" s="14">
        <v>0</v>
      </c>
      <c r="BY44" s="14">
        <v>0</v>
      </c>
    </row>
    <row r="45" spans="1:77">
      <c r="A45" s="14">
        <v>31925</v>
      </c>
      <c r="B45" s="14" t="s">
        <v>138</v>
      </c>
      <c r="C45" s="14" t="str">
        <f>VLOOKUP(A45,[1]Sheet1!$A:$F,5,FALSE)</f>
        <v>전략</v>
      </c>
      <c r="D45" s="14" t="str">
        <f>VLOOKUP(A45,[1]Sheet1!$A:$F,6,FALSE)</f>
        <v>SP</v>
      </c>
      <c r="E45" s="15">
        <v>20902</v>
      </c>
      <c r="F45" s="14" t="s">
        <v>53</v>
      </c>
      <c r="G45" s="14" t="s">
        <v>343</v>
      </c>
      <c r="H45" s="14">
        <v>95.95</v>
      </c>
      <c r="I45" s="17" t="s">
        <v>436</v>
      </c>
      <c r="J45" s="14" t="s">
        <v>436</v>
      </c>
      <c r="K45" s="14">
        <v>17.5</v>
      </c>
      <c r="L45" s="14" t="s">
        <v>391</v>
      </c>
      <c r="M45" s="14" t="s">
        <v>437</v>
      </c>
      <c r="P45" s="15">
        <v>20706</v>
      </c>
      <c r="Q45" s="14" t="s">
        <v>52</v>
      </c>
      <c r="R45" s="14" t="s">
        <v>17</v>
      </c>
      <c r="S45" s="14">
        <v>98.87</v>
      </c>
      <c r="T45" s="16" t="s">
        <v>432</v>
      </c>
      <c r="U45" s="14" t="s">
        <v>432</v>
      </c>
      <c r="V45" s="14">
        <v>40</v>
      </c>
      <c r="W45" s="14" t="s">
        <v>392</v>
      </c>
      <c r="AA45" s="15">
        <v>20500</v>
      </c>
      <c r="AB45" s="14" t="s">
        <v>31</v>
      </c>
      <c r="AC45" s="14" t="s">
        <v>17</v>
      </c>
      <c r="AD45" s="14">
        <v>98.86</v>
      </c>
      <c r="AE45" s="16" t="s">
        <v>423</v>
      </c>
      <c r="AF45" s="14" t="s">
        <v>423</v>
      </c>
      <c r="AG45" s="14">
        <v>25</v>
      </c>
      <c r="AH45" s="14" t="s">
        <v>392</v>
      </c>
      <c r="AI45" s="14">
        <v>23352</v>
      </c>
      <c r="AL45" s="15">
        <v>20906</v>
      </c>
      <c r="AM45" s="14" t="s">
        <v>48</v>
      </c>
      <c r="AN45" s="14" t="s">
        <v>49</v>
      </c>
      <c r="AO45" s="14">
        <v>97.26</v>
      </c>
      <c r="AP45" s="16" t="s">
        <v>327</v>
      </c>
      <c r="AR45" s="14">
        <v>17</v>
      </c>
      <c r="AS45" s="14" t="s">
        <v>391</v>
      </c>
      <c r="BC45" s="14">
        <v>0</v>
      </c>
      <c r="BN45" s="14">
        <v>0</v>
      </c>
      <c r="BY45" s="14">
        <v>0</v>
      </c>
    </row>
    <row r="46" spans="1:77">
      <c r="A46" s="14">
        <v>32663</v>
      </c>
      <c r="B46" s="14" t="s">
        <v>438</v>
      </c>
      <c r="C46" s="14" t="str">
        <f>VLOOKUP(A46,[1]Sheet1!$A:$F,5,FALSE)</f>
        <v>전략</v>
      </c>
      <c r="D46" s="14" t="str">
        <f>VLOOKUP(A46,[1]Sheet1!$A:$F,6,FALSE)</f>
        <v>SP</v>
      </c>
      <c r="E46" s="15">
        <v>20902</v>
      </c>
      <c r="F46" s="14" t="s">
        <v>53</v>
      </c>
      <c r="G46" s="14" t="s">
        <v>16</v>
      </c>
      <c r="H46" s="14">
        <v>96</v>
      </c>
      <c r="I46" s="17" t="s">
        <v>439</v>
      </c>
      <c r="J46" s="14" t="s">
        <v>439</v>
      </c>
      <c r="K46" s="14">
        <v>30</v>
      </c>
      <c r="L46" s="14">
        <v>20807</v>
      </c>
      <c r="M46" s="14">
        <v>20808</v>
      </c>
      <c r="P46" s="15">
        <v>20706</v>
      </c>
      <c r="Q46" s="14" t="s">
        <v>52</v>
      </c>
      <c r="R46" s="14" t="s">
        <v>17</v>
      </c>
      <c r="S46" s="14">
        <v>99.17</v>
      </c>
      <c r="T46" s="16" t="s">
        <v>325</v>
      </c>
      <c r="V46" s="14">
        <v>40</v>
      </c>
      <c r="W46" s="14">
        <v>20807</v>
      </c>
      <c r="AA46" s="15">
        <v>20500</v>
      </c>
      <c r="AB46" s="14" t="s">
        <v>31</v>
      </c>
      <c r="AC46" s="14" t="s">
        <v>17</v>
      </c>
      <c r="AD46" s="14">
        <v>99.16</v>
      </c>
      <c r="AE46" s="14" t="s">
        <v>326</v>
      </c>
      <c r="AG46" s="14">
        <v>27</v>
      </c>
      <c r="AH46" s="14">
        <v>20807</v>
      </c>
      <c r="AI46" s="14">
        <v>23352</v>
      </c>
      <c r="AL46" s="15">
        <v>20906</v>
      </c>
      <c r="AM46" s="14" t="s">
        <v>48</v>
      </c>
      <c r="AN46" s="14" t="s">
        <v>49</v>
      </c>
      <c r="AO46" s="14">
        <v>98.31</v>
      </c>
      <c r="AP46" s="16" t="s">
        <v>327</v>
      </c>
      <c r="AR46" s="14">
        <v>17.3</v>
      </c>
      <c r="AS46" s="14">
        <v>20807</v>
      </c>
      <c r="BC46" s="14">
        <v>0</v>
      </c>
      <c r="BN46" s="14">
        <v>0</v>
      </c>
      <c r="BY46" s="14">
        <v>0</v>
      </c>
    </row>
    <row r="47" spans="1:77">
      <c r="A47" s="14">
        <v>32711</v>
      </c>
      <c r="B47" s="14" t="s">
        <v>440</v>
      </c>
      <c r="C47" s="14" t="str">
        <f>VLOOKUP(A47,[1]Sheet1!$A:$F,5,FALSE)</f>
        <v>전략</v>
      </c>
      <c r="D47" s="14" t="str">
        <f>VLOOKUP(A47,[1]Sheet1!$A:$F,6,FALSE)</f>
        <v>SP</v>
      </c>
      <c r="E47" s="15">
        <v>20902</v>
      </c>
      <c r="F47" s="14" t="s">
        <v>53</v>
      </c>
      <c r="G47" s="14" t="s">
        <v>13</v>
      </c>
      <c r="H47" s="14">
        <v>96</v>
      </c>
      <c r="I47" s="17" t="s">
        <v>441</v>
      </c>
      <c r="J47" s="14" t="s">
        <v>441</v>
      </c>
      <c r="K47" s="14">
        <v>20</v>
      </c>
      <c r="L47" s="14">
        <v>20807</v>
      </c>
      <c r="M47" s="14">
        <v>20808</v>
      </c>
      <c r="P47" s="15">
        <v>20706</v>
      </c>
      <c r="Q47" s="14" t="s">
        <v>52</v>
      </c>
      <c r="R47" s="14" t="s">
        <v>17</v>
      </c>
      <c r="S47" s="14">
        <v>98.33</v>
      </c>
      <c r="T47" s="16" t="s">
        <v>325</v>
      </c>
      <c r="V47" s="14">
        <v>40</v>
      </c>
      <c r="W47" s="14">
        <v>20807</v>
      </c>
      <c r="AA47" s="15">
        <v>20500</v>
      </c>
      <c r="AB47" s="14" t="s">
        <v>31</v>
      </c>
      <c r="AC47" s="14" t="s">
        <v>17</v>
      </c>
      <c r="AD47" s="14">
        <v>95.76</v>
      </c>
      <c r="AE47" s="16" t="s">
        <v>326</v>
      </c>
      <c r="AF47" s="14" t="s">
        <v>326</v>
      </c>
      <c r="AG47" s="14">
        <v>27</v>
      </c>
      <c r="AH47" s="14">
        <v>20807</v>
      </c>
      <c r="AI47" s="14">
        <v>25382</v>
      </c>
      <c r="AL47" s="15">
        <v>20906</v>
      </c>
      <c r="AM47" s="14" t="s">
        <v>48</v>
      </c>
      <c r="AN47" s="14" t="s">
        <v>49</v>
      </c>
      <c r="AO47" s="14">
        <v>98.23</v>
      </c>
      <c r="AP47" s="16" t="s">
        <v>327</v>
      </c>
      <c r="AR47" s="14">
        <v>17</v>
      </c>
      <c r="AS47" s="14">
        <v>20807</v>
      </c>
      <c r="BC47" s="14">
        <v>0</v>
      </c>
      <c r="BN47" s="14">
        <v>0</v>
      </c>
      <c r="BY47" s="14">
        <v>0</v>
      </c>
    </row>
    <row r="48" spans="1:77">
      <c r="A48" s="14">
        <v>32700</v>
      </c>
      <c r="B48" s="14" t="s">
        <v>442</v>
      </c>
      <c r="C48" s="14" t="str">
        <f>VLOOKUP(A48,[1]Sheet1!$A:$F,5,FALSE)</f>
        <v>전략</v>
      </c>
      <c r="D48" s="14" t="str">
        <f>VLOOKUP(A48,[1]Sheet1!$A:$F,6,FALSE)</f>
        <v>SP</v>
      </c>
      <c r="E48" s="15">
        <v>20902</v>
      </c>
      <c r="F48" s="14" t="s">
        <v>53</v>
      </c>
      <c r="G48" s="14" t="s">
        <v>343</v>
      </c>
      <c r="H48" s="14">
        <v>96.09</v>
      </c>
      <c r="I48" s="17" t="s">
        <v>396</v>
      </c>
      <c r="J48" s="14" t="s">
        <v>396</v>
      </c>
      <c r="K48" s="14">
        <v>24.4</v>
      </c>
      <c r="L48" s="14" t="s">
        <v>443</v>
      </c>
      <c r="M48" s="14" t="s">
        <v>413</v>
      </c>
      <c r="P48" s="15">
        <v>20713</v>
      </c>
      <c r="Q48" s="14" t="s">
        <v>147</v>
      </c>
      <c r="R48" s="14" t="s">
        <v>17</v>
      </c>
      <c r="S48" s="14">
        <v>98.67</v>
      </c>
      <c r="T48" s="16" t="s">
        <v>444</v>
      </c>
      <c r="U48" s="14" t="s">
        <v>444</v>
      </c>
      <c r="V48" s="14">
        <v>27.2</v>
      </c>
      <c r="W48" s="14" t="s">
        <v>445</v>
      </c>
      <c r="AA48" s="15">
        <v>20500</v>
      </c>
      <c r="AB48" s="14" t="s">
        <v>31</v>
      </c>
      <c r="AC48" s="14" t="s">
        <v>17</v>
      </c>
      <c r="AD48" s="14">
        <v>98.61</v>
      </c>
      <c r="AE48" s="16" t="s">
        <v>326</v>
      </c>
      <c r="AF48" s="14" t="s">
        <v>326</v>
      </c>
      <c r="AG48" s="14">
        <v>27</v>
      </c>
      <c r="AH48" s="14" t="s">
        <v>446</v>
      </c>
      <c r="AI48" s="14" t="s">
        <v>415</v>
      </c>
      <c r="AL48" s="15">
        <v>20906</v>
      </c>
      <c r="AM48" s="14" t="s">
        <v>48</v>
      </c>
      <c r="AN48" s="14" t="s">
        <v>49</v>
      </c>
      <c r="AO48" s="14">
        <v>97.61</v>
      </c>
      <c r="AP48" s="16" t="s">
        <v>327</v>
      </c>
      <c r="AR48" s="14">
        <v>17.7</v>
      </c>
      <c r="AS48" s="14" t="s">
        <v>443</v>
      </c>
      <c r="BC48" s="14">
        <v>0</v>
      </c>
      <c r="BN48" s="14">
        <v>0</v>
      </c>
      <c r="BY48" s="14">
        <v>0</v>
      </c>
    </row>
    <row r="49" spans="1:77">
      <c r="A49" s="14">
        <v>32315</v>
      </c>
      <c r="B49" s="14" t="s">
        <v>178</v>
      </c>
      <c r="C49" s="14" t="str">
        <f>VLOOKUP(A49,[1]Sheet1!$A:$F,5,FALSE)</f>
        <v>전략</v>
      </c>
      <c r="D49" s="14" t="str">
        <f>VLOOKUP(A49,[1]Sheet1!$A:$F,6,FALSE)</f>
        <v>SP</v>
      </c>
      <c r="E49" s="15">
        <v>20902</v>
      </c>
      <c r="F49" s="14" t="s">
        <v>53</v>
      </c>
      <c r="G49" s="14" t="s">
        <v>16</v>
      </c>
      <c r="H49" s="14">
        <v>96.11</v>
      </c>
      <c r="I49" s="17" t="s">
        <v>447</v>
      </c>
      <c r="J49" s="14" t="s">
        <v>447</v>
      </c>
      <c r="K49" s="14">
        <v>20</v>
      </c>
      <c r="L49" s="14">
        <v>25101</v>
      </c>
      <c r="M49" s="14">
        <v>20808</v>
      </c>
      <c r="P49" s="15">
        <v>20702</v>
      </c>
      <c r="Q49" s="14" t="s">
        <v>44</v>
      </c>
      <c r="R49" s="14" t="s">
        <v>17</v>
      </c>
      <c r="S49" s="14">
        <v>99.19</v>
      </c>
      <c r="T49" s="16" t="s">
        <v>347</v>
      </c>
      <c r="U49" s="14" t="s">
        <v>347</v>
      </c>
      <c r="V49" s="14">
        <v>35</v>
      </c>
      <c r="W49" s="14">
        <v>25101</v>
      </c>
      <c r="AA49" s="15">
        <v>20500</v>
      </c>
      <c r="AB49" s="14" t="s">
        <v>31</v>
      </c>
      <c r="AC49" s="14" t="s">
        <v>17</v>
      </c>
      <c r="AD49" s="14">
        <v>98.78</v>
      </c>
      <c r="AE49" s="14" t="s">
        <v>326</v>
      </c>
      <c r="AG49" s="14">
        <v>27</v>
      </c>
      <c r="AH49" s="14">
        <v>25101</v>
      </c>
      <c r="AI49" s="14">
        <v>25382</v>
      </c>
      <c r="AL49" s="15">
        <v>20906</v>
      </c>
      <c r="AM49" s="14" t="s">
        <v>48</v>
      </c>
      <c r="AN49" s="14" t="s">
        <v>49</v>
      </c>
      <c r="AO49" s="14">
        <v>95.04</v>
      </c>
      <c r="AP49" s="16" t="s">
        <v>327</v>
      </c>
      <c r="AR49" s="14">
        <v>15</v>
      </c>
      <c r="AS49" s="14">
        <v>25101</v>
      </c>
      <c r="BC49" s="14">
        <v>0</v>
      </c>
      <c r="BN49" s="14">
        <v>0</v>
      </c>
      <c r="BY49" s="14">
        <v>0</v>
      </c>
    </row>
    <row r="50" spans="1:77">
      <c r="A50" s="14">
        <v>32376</v>
      </c>
      <c r="B50" s="14" t="s">
        <v>187</v>
      </c>
      <c r="C50" s="14" t="str">
        <f>VLOOKUP(A50,[1]Sheet1!$A:$F,5,FALSE)</f>
        <v>전략</v>
      </c>
      <c r="D50" s="14" t="str">
        <f>VLOOKUP(A50,[1]Sheet1!$A:$F,6,FALSE)</f>
        <v>SP</v>
      </c>
      <c r="E50" s="15">
        <v>20902</v>
      </c>
      <c r="F50" s="14" t="s">
        <v>53</v>
      </c>
      <c r="G50" s="14" t="s">
        <v>343</v>
      </c>
      <c r="H50" s="14">
        <v>96.14</v>
      </c>
      <c r="I50" s="17" t="s">
        <v>448</v>
      </c>
      <c r="J50" s="14" t="s">
        <v>448</v>
      </c>
      <c r="K50" s="14">
        <v>26.7</v>
      </c>
      <c r="L50" s="14" t="s">
        <v>391</v>
      </c>
      <c r="M50" s="14" t="s">
        <v>449</v>
      </c>
      <c r="P50" s="15">
        <v>20714</v>
      </c>
      <c r="Q50" s="14" t="s">
        <v>188</v>
      </c>
      <c r="R50" s="14" t="s">
        <v>17</v>
      </c>
      <c r="S50" s="14">
        <v>96.44</v>
      </c>
      <c r="T50" s="16" t="s">
        <v>450</v>
      </c>
      <c r="U50" s="14" t="s">
        <v>450</v>
      </c>
      <c r="V50" s="14">
        <v>40</v>
      </c>
      <c r="W50" s="14" t="s">
        <v>392</v>
      </c>
      <c r="AA50" s="15">
        <v>20500</v>
      </c>
      <c r="AB50" s="14" t="s">
        <v>31</v>
      </c>
      <c r="AC50" s="14" t="s">
        <v>17</v>
      </c>
      <c r="AD50" s="14">
        <v>98.1</v>
      </c>
      <c r="AE50" s="14" t="s">
        <v>326</v>
      </c>
      <c r="AG50" s="14">
        <v>27</v>
      </c>
      <c r="AH50" s="14" t="s">
        <v>392</v>
      </c>
      <c r="AI50" s="14" t="s">
        <v>393</v>
      </c>
      <c r="AL50" s="15">
        <v>20906</v>
      </c>
      <c r="AM50" s="14" t="s">
        <v>48</v>
      </c>
      <c r="AN50" s="14" t="s">
        <v>49</v>
      </c>
      <c r="AO50" s="14">
        <v>96.48</v>
      </c>
      <c r="AP50" s="16" t="s">
        <v>327</v>
      </c>
      <c r="AR50" s="14">
        <v>17</v>
      </c>
      <c r="AS50" s="14" t="s">
        <v>391</v>
      </c>
      <c r="BC50" s="14">
        <v>0</v>
      </c>
      <c r="BN50" s="14">
        <v>0</v>
      </c>
      <c r="BY50" s="14">
        <v>0</v>
      </c>
    </row>
    <row r="51" spans="1:77">
      <c r="A51" s="14">
        <v>30464</v>
      </c>
      <c r="B51" s="14" t="s">
        <v>93</v>
      </c>
      <c r="C51" s="14" t="str">
        <f>VLOOKUP(A51,[1]Sheet1!$A:$F,5,FALSE)</f>
        <v>전략</v>
      </c>
      <c r="D51" s="14" t="str">
        <f>VLOOKUP(A51,[1]Sheet1!$A:$F,6,FALSE)</f>
        <v>SP</v>
      </c>
      <c r="E51" s="15">
        <v>20902</v>
      </c>
      <c r="F51" s="14" t="s">
        <v>53</v>
      </c>
      <c r="G51" s="14" t="s">
        <v>343</v>
      </c>
      <c r="H51" s="14">
        <v>96.24</v>
      </c>
      <c r="I51" s="17" t="s">
        <v>451</v>
      </c>
      <c r="J51" s="14" t="s">
        <v>451</v>
      </c>
      <c r="K51" s="14">
        <v>21.3</v>
      </c>
      <c r="L51" s="14" t="s">
        <v>452</v>
      </c>
      <c r="M51" s="14" t="s">
        <v>453</v>
      </c>
      <c r="P51" s="15">
        <v>20702</v>
      </c>
      <c r="Q51" s="14" t="s">
        <v>44</v>
      </c>
      <c r="R51" s="14" t="s">
        <v>17</v>
      </c>
      <c r="S51" s="14">
        <v>98.39</v>
      </c>
      <c r="T51" s="16" t="s">
        <v>358</v>
      </c>
      <c r="V51" s="14">
        <v>35</v>
      </c>
      <c r="W51" s="14" t="s">
        <v>454</v>
      </c>
      <c r="AA51" s="15">
        <v>20500</v>
      </c>
      <c r="AB51" s="14" t="s">
        <v>31</v>
      </c>
      <c r="AC51" s="14" t="s">
        <v>17</v>
      </c>
      <c r="AD51" s="14">
        <v>98.37</v>
      </c>
      <c r="AE51" s="16" t="s">
        <v>326</v>
      </c>
      <c r="AF51" s="14" t="s">
        <v>326</v>
      </c>
      <c r="AG51" s="14">
        <v>25.1</v>
      </c>
      <c r="AH51" s="14" t="s">
        <v>455</v>
      </c>
      <c r="AI51" s="14" t="s">
        <v>393</v>
      </c>
      <c r="AL51" s="15">
        <v>20906</v>
      </c>
      <c r="AM51" s="14" t="s">
        <v>48</v>
      </c>
      <c r="AN51" s="14" t="s">
        <v>49</v>
      </c>
      <c r="AO51" s="14">
        <v>97.26</v>
      </c>
      <c r="AP51" s="16" t="s">
        <v>327</v>
      </c>
      <c r="AR51" s="14">
        <v>17</v>
      </c>
      <c r="AS51" s="14" t="s">
        <v>454</v>
      </c>
      <c r="BC51" s="14">
        <v>0</v>
      </c>
      <c r="BN51" s="14">
        <v>0</v>
      </c>
      <c r="BY51" s="14">
        <v>0</v>
      </c>
    </row>
    <row r="52" spans="1:77">
      <c r="A52" s="14">
        <v>30152</v>
      </c>
      <c r="B52" s="14" t="s">
        <v>79</v>
      </c>
      <c r="C52" s="14" t="str">
        <f>VLOOKUP(A52,[1]Sheet1!$A:$F,5,FALSE)</f>
        <v>전략</v>
      </c>
      <c r="D52" s="14" t="str">
        <f>VLOOKUP(A52,[1]Sheet1!$A:$F,6,FALSE)</f>
        <v>SP</v>
      </c>
      <c r="E52" s="15">
        <v>20902</v>
      </c>
      <c r="F52" s="14" t="s">
        <v>53</v>
      </c>
      <c r="G52" s="14" t="s">
        <v>343</v>
      </c>
      <c r="H52" s="14">
        <v>96.26</v>
      </c>
      <c r="I52" s="17" t="s">
        <v>456</v>
      </c>
      <c r="J52" s="14" t="s">
        <v>456</v>
      </c>
      <c r="K52" s="14">
        <v>23.3</v>
      </c>
      <c r="L52" s="14" t="s">
        <v>457</v>
      </c>
      <c r="M52" s="14" t="s">
        <v>453</v>
      </c>
      <c r="P52" s="15">
        <v>20706</v>
      </c>
      <c r="Q52" s="14" t="s">
        <v>52</v>
      </c>
      <c r="R52" s="14" t="s">
        <v>17</v>
      </c>
      <c r="S52" s="14">
        <v>97.99</v>
      </c>
      <c r="T52" s="16" t="s">
        <v>432</v>
      </c>
      <c r="U52" s="14" t="s">
        <v>432</v>
      </c>
      <c r="V52" s="14">
        <v>40</v>
      </c>
      <c r="W52" s="14" t="s">
        <v>457</v>
      </c>
      <c r="AA52" s="15">
        <v>20500</v>
      </c>
      <c r="AB52" s="14" t="s">
        <v>31</v>
      </c>
      <c r="AC52" s="14" t="s">
        <v>349</v>
      </c>
      <c r="AD52" s="14">
        <v>97.95</v>
      </c>
      <c r="AE52" s="16" t="s">
        <v>326</v>
      </c>
      <c r="AF52" s="14" t="s">
        <v>458</v>
      </c>
      <c r="AG52" s="14">
        <v>25.1</v>
      </c>
      <c r="AH52" s="14" t="s">
        <v>457</v>
      </c>
      <c r="AI52" s="14" t="s">
        <v>459</v>
      </c>
      <c r="AL52" s="15">
        <v>20906</v>
      </c>
      <c r="AM52" s="14" t="s">
        <v>48</v>
      </c>
      <c r="AN52" s="14" t="s">
        <v>460</v>
      </c>
      <c r="AO52" s="14">
        <v>96.62</v>
      </c>
      <c r="AP52" s="16" t="s">
        <v>327</v>
      </c>
      <c r="AR52" s="14">
        <v>18.399999999999999</v>
      </c>
      <c r="AS52" s="14">
        <v>20807</v>
      </c>
      <c r="BC52" s="14">
        <v>0</v>
      </c>
      <c r="BN52" s="14">
        <v>0</v>
      </c>
      <c r="BY52" s="14">
        <v>0</v>
      </c>
    </row>
    <row r="53" spans="1:77">
      <c r="A53" s="14">
        <v>32640</v>
      </c>
      <c r="B53" s="14" t="s">
        <v>210</v>
      </c>
      <c r="C53" s="14" t="str">
        <f>VLOOKUP(A53,[1]Sheet1!$A:$F,5,FALSE)</f>
        <v>전략</v>
      </c>
      <c r="D53" s="14" t="str">
        <f>VLOOKUP(A53,[1]Sheet1!$A:$F,6,FALSE)</f>
        <v>SP</v>
      </c>
      <c r="E53" s="15">
        <v>20902</v>
      </c>
      <c r="F53" s="14" t="s">
        <v>53</v>
      </c>
      <c r="G53" s="14" t="s">
        <v>13</v>
      </c>
      <c r="H53" s="14">
        <v>96.3</v>
      </c>
      <c r="I53" s="17" t="s">
        <v>461</v>
      </c>
      <c r="J53" s="14" t="s">
        <v>461</v>
      </c>
      <c r="K53" s="14">
        <v>20</v>
      </c>
      <c r="L53" s="14">
        <v>20807</v>
      </c>
      <c r="M53" s="14">
        <v>20808</v>
      </c>
      <c r="P53" s="15">
        <v>20702</v>
      </c>
      <c r="Q53" s="14" t="s">
        <v>44</v>
      </c>
      <c r="R53" s="14" t="s">
        <v>17</v>
      </c>
      <c r="S53" s="14">
        <v>98.46</v>
      </c>
      <c r="T53" s="16" t="s">
        <v>358</v>
      </c>
      <c r="V53" s="14">
        <v>35</v>
      </c>
      <c r="W53" s="14">
        <v>20807</v>
      </c>
      <c r="AA53" s="15">
        <v>20500</v>
      </c>
      <c r="AB53" s="14" t="s">
        <v>31</v>
      </c>
      <c r="AC53" s="14" t="s">
        <v>17</v>
      </c>
      <c r="AD53" s="14">
        <v>98.44</v>
      </c>
      <c r="AE53" s="14" t="s">
        <v>326</v>
      </c>
      <c r="AG53" s="14">
        <v>27</v>
      </c>
      <c r="AH53" s="14">
        <v>20807</v>
      </c>
      <c r="AI53" s="14">
        <v>23352</v>
      </c>
      <c r="AL53" s="15">
        <v>20906</v>
      </c>
      <c r="AM53" s="14" t="s">
        <v>48</v>
      </c>
      <c r="AN53" s="14" t="s">
        <v>49</v>
      </c>
      <c r="AO53" s="14">
        <v>96.03</v>
      </c>
      <c r="AP53" s="16" t="s">
        <v>327</v>
      </c>
      <c r="AR53" s="14">
        <v>17</v>
      </c>
      <c r="AS53" s="14">
        <v>20807</v>
      </c>
      <c r="BC53" s="14">
        <v>0</v>
      </c>
      <c r="BN53" s="14">
        <v>0</v>
      </c>
      <c r="BY53" s="14">
        <v>0</v>
      </c>
    </row>
    <row r="54" spans="1:77">
      <c r="A54" s="14">
        <v>32160</v>
      </c>
      <c r="B54" s="14" t="s">
        <v>462</v>
      </c>
      <c r="C54" s="14" t="str">
        <f>VLOOKUP(A54,[1]Sheet1!$A:$F,5,FALSE)</f>
        <v>전략</v>
      </c>
      <c r="D54" s="14" t="str">
        <f>VLOOKUP(A54,[1]Sheet1!$A:$F,6,FALSE)</f>
        <v>IR</v>
      </c>
      <c r="E54" s="15">
        <v>20902</v>
      </c>
      <c r="F54" s="14" t="s">
        <v>53</v>
      </c>
      <c r="G54" s="14" t="s">
        <v>16</v>
      </c>
      <c r="H54" s="14">
        <v>96.3</v>
      </c>
      <c r="I54" s="17" t="s">
        <v>463</v>
      </c>
      <c r="J54" s="14" t="s">
        <v>463</v>
      </c>
      <c r="K54" s="14">
        <v>20</v>
      </c>
      <c r="L54" s="14">
        <v>25101</v>
      </c>
      <c r="M54" s="14">
        <v>22485</v>
      </c>
      <c r="P54" s="15">
        <v>20702</v>
      </c>
      <c r="Q54" s="14" t="s">
        <v>44</v>
      </c>
      <c r="R54" s="14" t="s">
        <v>17</v>
      </c>
      <c r="S54" s="14">
        <v>97.69</v>
      </c>
      <c r="T54" s="16" t="s">
        <v>358</v>
      </c>
      <c r="V54" s="14">
        <v>35</v>
      </c>
      <c r="W54" s="14">
        <v>25101</v>
      </c>
      <c r="AA54" s="15">
        <v>23100</v>
      </c>
      <c r="AB54" s="14" t="s">
        <v>54</v>
      </c>
      <c r="AC54" s="14" t="s">
        <v>13</v>
      </c>
      <c r="AD54" s="14">
        <v>92.91</v>
      </c>
      <c r="AE54" s="16" t="s">
        <v>359</v>
      </c>
      <c r="AF54" s="14" t="s">
        <v>359</v>
      </c>
      <c r="AG54" s="14">
        <v>15</v>
      </c>
      <c r="AH54" s="14">
        <v>25101</v>
      </c>
      <c r="AI54" s="14">
        <v>23352</v>
      </c>
      <c r="AP54" s="14"/>
      <c r="AR54" s="14">
        <v>0</v>
      </c>
      <c r="BC54" s="14">
        <v>0</v>
      </c>
      <c r="BN54" s="14">
        <v>0</v>
      </c>
      <c r="BY54" s="14">
        <v>0</v>
      </c>
    </row>
    <row r="55" spans="1:77">
      <c r="A55" s="14">
        <v>31216</v>
      </c>
      <c r="B55" s="14" t="s">
        <v>464</v>
      </c>
      <c r="C55" s="14" t="str">
        <f>VLOOKUP(A55,[1]Sheet1!$A:$F,5,FALSE)</f>
        <v>전략</v>
      </c>
      <c r="D55" s="14" t="str">
        <f>VLOOKUP(A55,[1]Sheet1!$A:$F,6,FALSE)</f>
        <v>IR</v>
      </c>
      <c r="E55" s="15">
        <v>20601</v>
      </c>
      <c r="F55" s="14" t="s">
        <v>43</v>
      </c>
      <c r="G55" s="14" t="s">
        <v>13</v>
      </c>
      <c r="H55" s="14">
        <v>96.43</v>
      </c>
      <c r="I55" s="17" t="s">
        <v>465</v>
      </c>
      <c r="J55" s="14" t="s">
        <v>465</v>
      </c>
      <c r="K55" s="14">
        <v>20</v>
      </c>
      <c r="L55" s="14">
        <v>20807</v>
      </c>
      <c r="M55" s="14">
        <v>20808</v>
      </c>
      <c r="P55" s="15">
        <v>20700</v>
      </c>
      <c r="Q55" s="14" t="s">
        <v>15</v>
      </c>
      <c r="R55" s="14" t="s">
        <v>17</v>
      </c>
      <c r="S55" s="14">
        <v>99.26</v>
      </c>
      <c r="T55" s="16" t="s">
        <v>432</v>
      </c>
      <c r="V55" s="14">
        <v>40</v>
      </c>
      <c r="W55" s="14">
        <v>20807</v>
      </c>
      <c r="AA55" s="15">
        <v>20500</v>
      </c>
      <c r="AB55" s="14" t="s">
        <v>31</v>
      </c>
      <c r="AC55" s="14" t="s">
        <v>17</v>
      </c>
      <c r="AD55" s="14">
        <v>99.25</v>
      </c>
      <c r="AE55" s="14" t="s">
        <v>347</v>
      </c>
      <c r="AG55" s="14">
        <v>22</v>
      </c>
      <c r="AH55" s="14">
        <v>20807</v>
      </c>
      <c r="AI55" s="14">
        <v>23352</v>
      </c>
      <c r="AP55" s="14"/>
      <c r="AR55" s="14">
        <v>0</v>
      </c>
      <c r="BC55" s="14">
        <v>0</v>
      </c>
      <c r="BN55" s="14">
        <v>0</v>
      </c>
      <c r="BY55" s="14">
        <v>0</v>
      </c>
    </row>
    <row r="56" spans="1:77">
      <c r="A56" s="14">
        <v>32686</v>
      </c>
      <c r="B56" s="14" t="s">
        <v>466</v>
      </c>
      <c r="C56" s="14" t="str">
        <f>VLOOKUP(A56,[1]Sheet1!$A:$F,5,FALSE)</f>
        <v>HIGH-END</v>
      </c>
      <c r="D56" s="14" t="str">
        <f>VLOOKUP(A56,[1]Sheet1!$A:$F,6,FALSE)</f>
        <v>C-PPF</v>
      </c>
      <c r="E56" s="15">
        <v>23315</v>
      </c>
      <c r="F56" s="14" t="s">
        <v>246</v>
      </c>
      <c r="G56" s="14" t="s">
        <v>16</v>
      </c>
      <c r="H56" s="14">
        <v>96.47</v>
      </c>
      <c r="I56" s="17" t="s">
        <v>467</v>
      </c>
      <c r="K56" s="14">
        <v>10</v>
      </c>
      <c r="L56" s="14">
        <v>25628</v>
      </c>
      <c r="M56" s="14">
        <v>26261</v>
      </c>
      <c r="P56" s="15">
        <v>23119</v>
      </c>
      <c r="Q56" s="14" t="s">
        <v>281</v>
      </c>
      <c r="R56" s="14" t="s">
        <v>16</v>
      </c>
      <c r="S56" s="14">
        <v>97.56</v>
      </c>
      <c r="T56" s="16" t="s">
        <v>468</v>
      </c>
      <c r="V56" s="14">
        <v>10</v>
      </c>
      <c r="W56" s="14">
        <v>25628</v>
      </c>
      <c r="X56" s="14">
        <v>26261</v>
      </c>
      <c r="AA56" s="15">
        <v>23311</v>
      </c>
      <c r="AB56" s="14" t="s">
        <v>221</v>
      </c>
      <c r="AC56" s="14" t="s">
        <v>16</v>
      </c>
      <c r="AD56" s="14">
        <v>96.25</v>
      </c>
      <c r="AE56" s="16" t="s">
        <v>321</v>
      </c>
      <c r="AG56" s="14">
        <v>10</v>
      </c>
      <c r="AH56" s="14">
        <v>25628</v>
      </c>
      <c r="AI56" s="14">
        <v>25800</v>
      </c>
      <c r="AL56" s="15">
        <v>12400</v>
      </c>
      <c r="AM56" s="14" t="s">
        <v>217</v>
      </c>
      <c r="AN56" s="14" t="s">
        <v>16</v>
      </c>
      <c r="AO56" s="14">
        <v>83.12</v>
      </c>
      <c r="AP56" s="16" t="s">
        <v>469</v>
      </c>
      <c r="AR56" s="14">
        <v>10</v>
      </c>
      <c r="AS56" s="14">
        <v>25628</v>
      </c>
      <c r="AV56" s="14">
        <v>32090</v>
      </c>
      <c r="BC56" s="14">
        <v>0</v>
      </c>
      <c r="BN56" s="14">
        <v>0</v>
      </c>
      <c r="BY56" s="14">
        <v>0</v>
      </c>
    </row>
    <row r="57" spans="1:77">
      <c r="A57" s="14">
        <v>32360</v>
      </c>
      <c r="B57" s="14" t="s">
        <v>183</v>
      </c>
      <c r="C57" s="14" t="str">
        <f>VLOOKUP(A57,[1]Sheet1!$A:$F,5,FALSE)</f>
        <v>전략</v>
      </c>
      <c r="D57" s="14" t="str">
        <f>VLOOKUP(A57,[1]Sheet1!$A:$F,6,FALSE)</f>
        <v>SP</v>
      </c>
      <c r="E57" s="15">
        <v>20902</v>
      </c>
      <c r="F57" s="14" t="s">
        <v>53</v>
      </c>
      <c r="G57" s="14" t="s">
        <v>343</v>
      </c>
      <c r="H57" s="14">
        <v>96.51</v>
      </c>
      <c r="I57" s="17" t="s">
        <v>470</v>
      </c>
      <c r="J57" s="14" t="s">
        <v>471</v>
      </c>
      <c r="K57" s="14">
        <v>17.5</v>
      </c>
      <c r="L57" s="14" t="s">
        <v>392</v>
      </c>
      <c r="M57" s="14">
        <v>25889</v>
      </c>
      <c r="P57" s="15">
        <v>20706</v>
      </c>
      <c r="Q57" s="14" t="s">
        <v>52</v>
      </c>
      <c r="R57" s="14" t="s">
        <v>17</v>
      </c>
      <c r="S57" s="14">
        <v>98.65</v>
      </c>
      <c r="T57" s="16" t="s">
        <v>325</v>
      </c>
      <c r="V57" s="14">
        <v>40</v>
      </c>
      <c r="W57" s="14" t="s">
        <v>392</v>
      </c>
      <c r="AA57" s="15">
        <v>20500</v>
      </c>
      <c r="AB57" s="14" t="s">
        <v>31</v>
      </c>
      <c r="AC57" s="14" t="s">
        <v>17</v>
      </c>
      <c r="AD57" s="14">
        <v>98.63</v>
      </c>
      <c r="AE57" s="14" t="s">
        <v>326</v>
      </c>
      <c r="AG57" s="14">
        <v>25</v>
      </c>
      <c r="AH57" s="14" t="s">
        <v>391</v>
      </c>
      <c r="AI57" s="14">
        <v>23352</v>
      </c>
      <c r="AL57" s="15">
        <v>20906</v>
      </c>
      <c r="AM57" s="14" t="s">
        <v>48</v>
      </c>
      <c r="AN57" s="14" t="s">
        <v>49</v>
      </c>
      <c r="AO57" s="14">
        <v>97.33</v>
      </c>
      <c r="AP57" s="16" t="s">
        <v>327</v>
      </c>
      <c r="AR57" s="14">
        <v>17</v>
      </c>
      <c r="AS57" s="14" t="s">
        <v>392</v>
      </c>
      <c r="BC57" s="14">
        <v>0</v>
      </c>
      <c r="BN57" s="14">
        <v>0</v>
      </c>
      <c r="BY57" s="14">
        <v>0</v>
      </c>
    </row>
    <row r="58" spans="1:77">
      <c r="A58" s="14">
        <v>30027</v>
      </c>
      <c r="B58" s="14" t="s">
        <v>76</v>
      </c>
      <c r="C58" s="14" t="str">
        <f>VLOOKUP(A58,[1]Sheet1!$A:$F,5,FALSE)</f>
        <v>전략</v>
      </c>
      <c r="D58" s="14" t="str">
        <f>VLOOKUP(A58,[1]Sheet1!$A:$F,6,FALSE)</f>
        <v>SP</v>
      </c>
      <c r="E58" s="15">
        <v>20902</v>
      </c>
      <c r="F58" s="14" t="s">
        <v>53</v>
      </c>
      <c r="G58" s="14" t="s">
        <v>343</v>
      </c>
      <c r="H58" s="14">
        <v>96.57</v>
      </c>
      <c r="I58" s="17" t="s">
        <v>472</v>
      </c>
      <c r="J58" s="14" t="s">
        <v>472</v>
      </c>
      <c r="K58" s="14">
        <v>21</v>
      </c>
      <c r="L58" s="14" t="s">
        <v>392</v>
      </c>
      <c r="M58" s="14">
        <v>20808</v>
      </c>
      <c r="P58" s="15">
        <v>20702</v>
      </c>
      <c r="Q58" s="14" t="s">
        <v>44</v>
      </c>
      <c r="R58" s="14" t="s">
        <v>17</v>
      </c>
      <c r="S58" s="14">
        <v>98.93</v>
      </c>
      <c r="T58" s="16" t="s">
        <v>381</v>
      </c>
      <c r="U58" s="14" t="s">
        <v>381</v>
      </c>
      <c r="V58" s="14">
        <v>35</v>
      </c>
      <c r="W58" s="14" t="s">
        <v>392</v>
      </c>
      <c r="AA58" s="15">
        <v>20500</v>
      </c>
      <c r="AB58" s="14" t="s">
        <v>31</v>
      </c>
      <c r="AC58" s="14" t="s">
        <v>349</v>
      </c>
      <c r="AD58" s="14">
        <v>98.74</v>
      </c>
      <c r="AE58" s="14" t="s">
        <v>326</v>
      </c>
      <c r="AG58" s="14">
        <v>25.6</v>
      </c>
      <c r="AH58" s="14" t="s">
        <v>391</v>
      </c>
      <c r="AI58" s="14">
        <v>23352</v>
      </c>
      <c r="AL58" s="15">
        <v>20906</v>
      </c>
      <c r="AM58" s="14" t="s">
        <v>48</v>
      </c>
      <c r="AN58" s="14" t="s">
        <v>49</v>
      </c>
      <c r="AO58" s="14">
        <v>98.55</v>
      </c>
      <c r="AP58" s="16" t="s">
        <v>327</v>
      </c>
      <c r="AR58" s="14">
        <v>17.600000000000001</v>
      </c>
      <c r="AS58" s="14" t="s">
        <v>392</v>
      </c>
      <c r="BC58" s="14">
        <v>0</v>
      </c>
      <c r="BN58" s="14">
        <v>0</v>
      </c>
      <c r="BY58" s="14">
        <v>0</v>
      </c>
    </row>
    <row r="59" spans="1:77">
      <c r="A59" s="14">
        <v>32495</v>
      </c>
      <c r="B59" s="14" t="s">
        <v>195</v>
      </c>
      <c r="C59" s="14" t="str">
        <f>VLOOKUP(A59,[1]Sheet1!$A:$F,5,FALSE)</f>
        <v>전략</v>
      </c>
      <c r="D59" s="14" t="str">
        <f>VLOOKUP(A59,[1]Sheet1!$A:$F,6,FALSE)</f>
        <v>SP</v>
      </c>
      <c r="E59" s="15">
        <v>20902</v>
      </c>
      <c r="F59" s="14" t="s">
        <v>53</v>
      </c>
      <c r="G59" s="14" t="s">
        <v>343</v>
      </c>
      <c r="H59" s="14">
        <v>96.59</v>
      </c>
      <c r="I59" s="17" t="s">
        <v>473</v>
      </c>
      <c r="J59" s="14" t="s">
        <v>473</v>
      </c>
      <c r="K59" s="14">
        <v>22.5</v>
      </c>
      <c r="L59" s="14">
        <v>20807</v>
      </c>
      <c r="M59" s="14">
        <v>20808</v>
      </c>
      <c r="P59" s="15">
        <v>20714</v>
      </c>
      <c r="Q59" s="14" t="s">
        <v>188</v>
      </c>
      <c r="R59" s="14" t="s">
        <v>17</v>
      </c>
      <c r="S59" s="14">
        <v>98.68</v>
      </c>
      <c r="T59" s="16" t="s">
        <v>474</v>
      </c>
      <c r="V59" s="14">
        <v>40</v>
      </c>
      <c r="W59" s="14">
        <v>20807</v>
      </c>
      <c r="AA59" s="15">
        <v>20500</v>
      </c>
      <c r="AB59" s="14" t="s">
        <v>31</v>
      </c>
      <c r="AC59" s="14" t="s">
        <v>17</v>
      </c>
      <c r="AD59" s="14">
        <v>98.21</v>
      </c>
      <c r="AE59" s="16" t="s">
        <v>326</v>
      </c>
      <c r="AF59" s="14" t="s">
        <v>326</v>
      </c>
      <c r="AG59" s="14">
        <v>27</v>
      </c>
      <c r="AH59" s="14">
        <v>20807</v>
      </c>
      <c r="AI59" s="14" t="s">
        <v>393</v>
      </c>
      <c r="AL59" s="15">
        <v>20906</v>
      </c>
      <c r="AM59" s="14" t="s">
        <v>48</v>
      </c>
      <c r="AN59" s="14" t="s">
        <v>49</v>
      </c>
      <c r="AO59" s="14">
        <v>99.09</v>
      </c>
      <c r="AP59" s="16" t="s">
        <v>327</v>
      </c>
      <c r="AR59" s="14">
        <v>17</v>
      </c>
      <c r="AS59" s="14">
        <v>20807</v>
      </c>
      <c r="BC59" s="14">
        <v>0</v>
      </c>
      <c r="BN59" s="14">
        <v>0</v>
      </c>
      <c r="BY59" s="14">
        <v>0</v>
      </c>
    </row>
    <row r="60" spans="1:77">
      <c r="A60" s="14">
        <v>32016</v>
      </c>
      <c r="B60" s="14" t="s">
        <v>143</v>
      </c>
      <c r="C60" s="14" t="str">
        <f>VLOOKUP(A60,[1]Sheet1!$A:$F,5,FALSE)</f>
        <v>전략</v>
      </c>
      <c r="D60" s="14" t="str">
        <f>VLOOKUP(A60,[1]Sheet1!$A:$F,6,FALSE)</f>
        <v>SP</v>
      </c>
      <c r="E60" s="15">
        <v>20902</v>
      </c>
      <c r="F60" s="14" t="s">
        <v>53</v>
      </c>
      <c r="G60" s="14" t="s">
        <v>343</v>
      </c>
      <c r="H60" s="14">
        <v>96.6</v>
      </c>
      <c r="I60" s="17" t="s">
        <v>475</v>
      </c>
      <c r="J60" s="14" t="s">
        <v>476</v>
      </c>
      <c r="K60" s="14">
        <v>17.899999999999999</v>
      </c>
      <c r="L60" s="14" t="s">
        <v>392</v>
      </c>
      <c r="M60" s="14">
        <v>25889</v>
      </c>
      <c r="P60" s="15">
        <v>20706</v>
      </c>
      <c r="Q60" s="14" t="s">
        <v>52</v>
      </c>
      <c r="R60" s="14" t="s">
        <v>17</v>
      </c>
      <c r="S60" s="14">
        <v>97.2</v>
      </c>
      <c r="T60" s="16" t="s">
        <v>432</v>
      </c>
      <c r="U60" s="14" t="s">
        <v>432</v>
      </c>
      <c r="V60" s="14">
        <v>40</v>
      </c>
      <c r="W60" s="14" t="s">
        <v>392</v>
      </c>
      <c r="AA60" s="15">
        <v>20500</v>
      </c>
      <c r="AB60" s="14" t="s">
        <v>31</v>
      </c>
      <c r="AC60" s="14" t="s">
        <v>17</v>
      </c>
      <c r="AD60" s="14">
        <v>97.7</v>
      </c>
      <c r="AE60" s="16" t="s">
        <v>326</v>
      </c>
      <c r="AF60" s="14" t="s">
        <v>326</v>
      </c>
      <c r="AG60" s="14">
        <v>25.3</v>
      </c>
      <c r="AH60" s="14" t="s">
        <v>392</v>
      </c>
      <c r="AI60" s="14" t="s">
        <v>393</v>
      </c>
      <c r="AL60" s="15">
        <v>20906</v>
      </c>
      <c r="AM60" s="14" t="s">
        <v>48</v>
      </c>
      <c r="AN60" s="14" t="s">
        <v>49</v>
      </c>
      <c r="AO60" s="14">
        <v>97.38</v>
      </c>
      <c r="AP60" s="16" t="s">
        <v>327</v>
      </c>
      <c r="AR60" s="14">
        <v>17.5</v>
      </c>
      <c r="AS60" s="14" t="s">
        <v>392</v>
      </c>
      <c r="BC60" s="14">
        <v>0</v>
      </c>
      <c r="BN60" s="14">
        <v>0</v>
      </c>
      <c r="BY60" s="14">
        <v>0</v>
      </c>
    </row>
    <row r="61" spans="1:77">
      <c r="A61" s="14">
        <v>32536</v>
      </c>
      <c r="B61" s="14" t="s">
        <v>203</v>
      </c>
      <c r="C61" s="14" t="str">
        <f>VLOOKUP(A61,[1]Sheet1!$A:$F,5,FALSE)</f>
        <v>전략</v>
      </c>
      <c r="D61" s="14" t="str">
        <f>VLOOKUP(A61,[1]Sheet1!$A:$F,6,FALSE)</f>
        <v>SP</v>
      </c>
      <c r="E61" s="15">
        <v>20902</v>
      </c>
      <c r="F61" s="14" t="s">
        <v>53</v>
      </c>
      <c r="G61" s="14" t="s">
        <v>13</v>
      </c>
      <c r="H61" s="14">
        <v>96.6</v>
      </c>
      <c r="I61" s="17" t="s">
        <v>477</v>
      </c>
      <c r="K61" s="14">
        <v>15</v>
      </c>
      <c r="L61" s="14">
        <v>20807</v>
      </c>
      <c r="M61" s="14">
        <v>25891</v>
      </c>
      <c r="P61" s="15">
        <v>20702</v>
      </c>
      <c r="Q61" s="14" t="s">
        <v>44</v>
      </c>
      <c r="R61" s="14" t="s">
        <v>17</v>
      </c>
      <c r="S61" s="14">
        <v>94.59</v>
      </c>
      <c r="T61" s="16" t="s">
        <v>358</v>
      </c>
      <c r="V61" s="14">
        <v>35</v>
      </c>
      <c r="W61" s="14">
        <v>20807</v>
      </c>
      <c r="AA61" s="15">
        <v>20500</v>
      </c>
      <c r="AB61" s="14" t="s">
        <v>31</v>
      </c>
      <c r="AC61" s="14" t="s">
        <v>17</v>
      </c>
      <c r="AD61" s="14">
        <v>84.76</v>
      </c>
      <c r="AE61" s="14" t="s">
        <v>326</v>
      </c>
      <c r="AG61" s="14">
        <v>23.8</v>
      </c>
      <c r="AH61" s="14">
        <v>20807</v>
      </c>
      <c r="AI61" s="14">
        <v>23352</v>
      </c>
      <c r="AL61" s="15">
        <v>20906</v>
      </c>
      <c r="AM61" s="14" t="s">
        <v>48</v>
      </c>
      <c r="AN61" s="14" t="s">
        <v>49</v>
      </c>
      <c r="AO61" s="14">
        <v>90.45</v>
      </c>
      <c r="AP61" s="16" t="s">
        <v>327</v>
      </c>
      <c r="AR61" s="14">
        <v>17</v>
      </c>
      <c r="AS61" s="14">
        <v>20807</v>
      </c>
      <c r="BC61" s="14">
        <v>0</v>
      </c>
      <c r="BN61" s="14">
        <v>0</v>
      </c>
      <c r="BY61" s="14">
        <v>0</v>
      </c>
    </row>
    <row r="62" spans="1:77">
      <c r="A62" s="14">
        <v>31362</v>
      </c>
      <c r="B62" s="14" t="s">
        <v>111</v>
      </c>
      <c r="C62" s="14" t="str">
        <f>VLOOKUP(A62,[1]Sheet1!$A:$F,5,FALSE)</f>
        <v>전략</v>
      </c>
      <c r="D62" s="14" t="str">
        <f>VLOOKUP(A62,[1]Sheet1!$A:$F,6,FALSE)</f>
        <v>SP</v>
      </c>
      <c r="E62" s="15">
        <v>20902</v>
      </c>
      <c r="F62" s="14" t="s">
        <v>53</v>
      </c>
      <c r="G62" s="14" t="s">
        <v>343</v>
      </c>
      <c r="H62" s="14">
        <v>96.62</v>
      </c>
      <c r="I62" s="17" t="s">
        <v>478</v>
      </c>
      <c r="J62" s="14" t="s">
        <v>478</v>
      </c>
      <c r="K62" s="14">
        <v>20</v>
      </c>
      <c r="L62" s="14" t="s">
        <v>479</v>
      </c>
      <c r="M62" s="14" t="s">
        <v>480</v>
      </c>
      <c r="P62" s="15">
        <v>20702</v>
      </c>
      <c r="Q62" s="14" t="s">
        <v>44</v>
      </c>
      <c r="R62" s="14" t="s">
        <v>17</v>
      </c>
      <c r="S62" s="14">
        <v>98.78</v>
      </c>
      <c r="T62" s="16" t="s">
        <v>347</v>
      </c>
      <c r="U62" s="14" t="s">
        <v>347</v>
      </c>
      <c r="V62" s="14">
        <v>35</v>
      </c>
      <c r="W62" s="14" t="s">
        <v>481</v>
      </c>
      <c r="AA62" s="15">
        <v>20500</v>
      </c>
      <c r="AB62" s="14" t="s">
        <v>31</v>
      </c>
      <c r="AC62" s="14" t="s">
        <v>17</v>
      </c>
      <c r="AD62" s="14">
        <v>98.1</v>
      </c>
      <c r="AE62" s="16" t="s">
        <v>350</v>
      </c>
      <c r="AF62" s="14" t="s">
        <v>350</v>
      </c>
      <c r="AG62" s="14">
        <v>23.2</v>
      </c>
      <c r="AH62" s="14" t="s">
        <v>482</v>
      </c>
      <c r="AI62" s="14" t="s">
        <v>415</v>
      </c>
      <c r="AL62" s="15">
        <v>20906</v>
      </c>
      <c r="AM62" s="14" t="s">
        <v>48</v>
      </c>
      <c r="AN62" s="14" t="s">
        <v>49</v>
      </c>
      <c r="AO62" s="14">
        <v>97.57</v>
      </c>
      <c r="AP62" s="16" t="s">
        <v>327</v>
      </c>
      <c r="AR62" s="14">
        <v>18.3</v>
      </c>
      <c r="AS62" s="14" t="s">
        <v>483</v>
      </c>
      <c r="BC62" s="14">
        <v>0</v>
      </c>
      <c r="BN62" s="14">
        <v>0</v>
      </c>
      <c r="BY62" s="14">
        <v>0</v>
      </c>
    </row>
    <row r="63" spans="1:77">
      <c r="A63" s="14">
        <v>31930</v>
      </c>
      <c r="B63" s="14" t="s">
        <v>484</v>
      </c>
      <c r="C63" s="14" t="str">
        <f>VLOOKUP(A63,[1]Sheet1!$A:$F,5,FALSE)</f>
        <v>전략</v>
      </c>
      <c r="D63" s="14" t="str">
        <f>VLOOKUP(A63,[1]Sheet1!$A:$F,6,FALSE)</f>
        <v>SP</v>
      </c>
      <c r="E63" s="15">
        <v>20902</v>
      </c>
      <c r="F63" s="14" t="s">
        <v>53</v>
      </c>
      <c r="G63" s="14" t="s">
        <v>13</v>
      </c>
      <c r="H63" s="14">
        <v>96.67</v>
      </c>
      <c r="I63" s="17" t="s">
        <v>485</v>
      </c>
      <c r="K63" s="14">
        <v>15</v>
      </c>
      <c r="L63" s="14">
        <v>20807</v>
      </c>
      <c r="M63" s="14">
        <v>22485</v>
      </c>
      <c r="P63" s="15">
        <v>20706</v>
      </c>
      <c r="Q63" s="14" t="s">
        <v>52</v>
      </c>
      <c r="R63" s="14" t="s">
        <v>17</v>
      </c>
      <c r="S63" s="14">
        <v>97.24</v>
      </c>
      <c r="T63" s="16" t="s">
        <v>325</v>
      </c>
      <c r="V63" s="14">
        <v>40</v>
      </c>
      <c r="W63" s="14">
        <v>20807</v>
      </c>
      <c r="AA63" s="15">
        <v>20500</v>
      </c>
      <c r="AB63" s="14" t="s">
        <v>31</v>
      </c>
      <c r="AC63" s="14" t="s">
        <v>17</v>
      </c>
      <c r="AD63" s="14">
        <v>96.81</v>
      </c>
      <c r="AE63" s="16" t="s">
        <v>423</v>
      </c>
      <c r="AF63" s="14" t="s">
        <v>423</v>
      </c>
      <c r="AG63" s="14">
        <v>25</v>
      </c>
      <c r="AH63" s="14">
        <v>20807</v>
      </c>
      <c r="AI63" s="14">
        <v>25382</v>
      </c>
      <c r="AL63" s="15">
        <v>20906</v>
      </c>
      <c r="AM63" s="14" t="s">
        <v>48</v>
      </c>
      <c r="AN63" s="14" t="s">
        <v>49</v>
      </c>
      <c r="AO63" s="14">
        <v>95.6</v>
      </c>
      <c r="AP63" s="16" t="s">
        <v>327</v>
      </c>
      <c r="AR63" s="14">
        <v>17</v>
      </c>
      <c r="AS63" s="14">
        <v>20807</v>
      </c>
      <c r="BC63" s="14">
        <v>0</v>
      </c>
      <c r="BN63" s="14">
        <v>0</v>
      </c>
      <c r="BY63" s="14">
        <v>0</v>
      </c>
    </row>
    <row r="64" spans="1:77">
      <c r="A64" s="14">
        <v>25279</v>
      </c>
      <c r="B64" s="14" t="s">
        <v>62</v>
      </c>
      <c r="C64" s="14" t="str">
        <f>VLOOKUP(A64,[1]Sheet1!$A:$F,5,FALSE)</f>
        <v>전략</v>
      </c>
      <c r="D64" s="14" t="str">
        <f>VLOOKUP(A64,[1]Sheet1!$A:$F,6,FALSE)</f>
        <v>SAFETY</v>
      </c>
      <c r="E64" s="15">
        <v>23100</v>
      </c>
      <c r="F64" s="14" t="s">
        <v>54</v>
      </c>
      <c r="G64" s="14" t="s">
        <v>13</v>
      </c>
      <c r="H64" s="14">
        <v>96.68</v>
      </c>
      <c r="I64" s="17" t="s">
        <v>486</v>
      </c>
      <c r="K64" s="14">
        <v>15</v>
      </c>
      <c r="L64" s="14">
        <v>26215</v>
      </c>
      <c r="M64" s="14">
        <v>23652</v>
      </c>
      <c r="P64" s="15">
        <v>23200</v>
      </c>
      <c r="Q64" s="14" t="s">
        <v>63</v>
      </c>
      <c r="R64" s="14" t="s">
        <v>13</v>
      </c>
      <c r="S64" s="14">
        <v>95.88</v>
      </c>
      <c r="T64" s="16" t="s">
        <v>486</v>
      </c>
      <c r="U64" s="14" t="s">
        <v>486</v>
      </c>
      <c r="V64" s="14">
        <v>15</v>
      </c>
      <c r="W64" s="14">
        <v>26215</v>
      </c>
      <c r="Z64" s="14">
        <v>25495</v>
      </c>
      <c r="AE64" s="14"/>
      <c r="AG64" s="14">
        <v>0</v>
      </c>
      <c r="AP64" s="14"/>
      <c r="AR64" s="14">
        <v>0</v>
      </c>
      <c r="BC64" s="14">
        <v>0</v>
      </c>
      <c r="BN64" s="14">
        <v>0</v>
      </c>
      <c r="BY64" s="14">
        <v>0</v>
      </c>
    </row>
    <row r="65" spans="1:77">
      <c r="A65" s="14">
        <v>32304</v>
      </c>
      <c r="B65" s="14" t="s">
        <v>172</v>
      </c>
      <c r="C65" s="14" t="str">
        <f>VLOOKUP(A65,[1]Sheet1!$A:$F,5,FALSE)</f>
        <v>전략</v>
      </c>
      <c r="D65" s="14" t="str">
        <f>VLOOKUP(A65,[1]Sheet1!$A:$F,6,FALSE)</f>
        <v>SP</v>
      </c>
      <c r="E65" s="15">
        <v>20902</v>
      </c>
      <c r="F65" s="14" t="s">
        <v>53</v>
      </c>
      <c r="G65" s="14" t="s">
        <v>487</v>
      </c>
      <c r="H65" s="14">
        <v>96.68</v>
      </c>
      <c r="I65" s="17" t="s">
        <v>488</v>
      </c>
      <c r="J65" s="14" t="s">
        <v>488</v>
      </c>
      <c r="K65" s="14">
        <v>27.5</v>
      </c>
      <c r="L65" s="14" t="s">
        <v>391</v>
      </c>
      <c r="M65" s="14">
        <v>20808</v>
      </c>
      <c r="P65" s="15">
        <v>20702</v>
      </c>
      <c r="Q65" s="14" t="s">
        <v>44</v>
      </c>
      <c r="R65" s="14" t="s">
        <v>17</v>
      </c>
      <c r="S65" s="14">
        <v>99.18</v>
      </c>
      <c r="T65" s="16" t="s">
        <v>358</v>
      </c>
      <c r="V65" s="14">
        <v>35</v>
      </c>
      <c r="W65" s="14" t="s">
        <v>391</v>
      </c>
      <c r="AA65" s="15">
        <v>20500</v>
      </c>
      <c r="AB65" s="14" t="s">
        <v>31</v>
      </c>
      <c r="AC65" s="14" t="s">
        <v>17</v>
      </c>
      <c r="AD65" s="14">
        <v>98.48</v>
      </c>
      <c r="AE65" s="16" t="s">
        <v>326</v>
      </c>
      <c r="AF65" s="14" t="s">
        <v>326</v>
      </c>
      <c r="AG65" s="14">
        <v>27</v>
      </c>
      <c r="AH65" s="14" t="s">
        <v>391</v>
      </c>
      <c r="AI65" s="14">
        <v>25382</v>
      </c>
      <c r="AL65" s="15">
        <v>20906</v>
      </c>
      <c r="AM65" s="14" t="s">
        <v>48</v>
      </c>
      <c r="AN65" s="14" t="s">
        <v>49</v>
      </c>
      <c r="AO65" s="14">
        <v>98.38</v>
      </c>
      <c r="AP65" s="16" t="s">
        <v>327</v>
      </c>
      <c r="AR65" s="14">
        <v>17.100000000000001</v>
      </c>
      <c r="AS65" s="14" t="s">
        <v>391</v>
      </c>
      <c r="BC65" s="14">
        <v>0</v>
      </c>
      <c r="BN65" s="14">
        <v>0</v>
      </c>
      <c r="BY65" s="14">
        <v>0</v>
      </c>
    </row>
    <row r="66" spans="1:77">
      <c r="A66" s="14">
        <v>32743</v>
      </c>
      <c r="B66" s="14" t="s">
        <v>489</v>
      </c>
      <c r="C66" s="14" t="str">
        <f>VLOOKUP(A66,[1]Sheet1!$A:$F,5,FALSE)</f>
        <v>전략</v>
      </c>
      <c r="D66" s="14" t="str">
        <f>VLOOKUP(A66,[1]Sheet1!$A:$F,6,FALSE)</f>
        <v>SP</v>
      </c>
      <c r="E66" s="15">
        <v>20902</v>
      </c>
      <c r="F66" s="14" t="s">
        <v>53</v>
      </c>
      <c r="G66" s="14" t="s">
        <v>487</v>
      </c>
      <c r="H66" s="14">
        <v>96.75</v>
      </c>
      <c r="I66" s="17" t="s">
        <v>490</v>
      </c>
      <c r="J66" s="14" t="s">
        <v>490</v>
      </c>
      <c r="K66" s="14">
        <v>21.7</v>
      </c>
      <c r="L66" s="14" t="s">
        <v>491</v>
      </c>
      <c r="M66" s="14" t="s">
        <v>380</v>
      </c>
      <c r="P66" s="15">
        <v>20702</v>
      </c>
      <c r="Q66" s="14" t="s">
        <v>44</v>
      </c>
      <c r="R66" s="14" t="s">
        <v>17</v>
      </c>
      <c r="S66" s="14">
        <v>97.88</v>
      </c>
      <c r="T66" s="16" t="s">
        <v>381</v>
      </c>
      <c r="U66" s="14" t="s">
        <v>381</v>
      </c>
      <c r="V66" s="14">
        <v>35</v>
      </c>
      <c r="W66" s="14" t="s">
        <v>492</v>
      </c>
      <c r="AA66" s="15">
        <v>20500</v>
      </c>
      <c r="AB66" s="14" t="s">
        <v>31</v>
      </c>
      <c r="AC66" s="14" t="s">
        <v>17</v>
      </c>
      <c r="AD66" s="14">
        <v>97.83</v>
      </c>
      <c r="AE66" s="14" t="s">
        <v>326</v>
      </c>
      <c r="AG66" s="14">
        <v>27</v>
      </c>
      <c r="AH66" s="14" t="s">
        <v>492</v>
      </c>
      <c r="AI66" s="14" t="s">
        <v>493</v>
      </c>
      <c r="AL66" s="15">
        <v>20906</v>
      </c>
      <c r="AM66" s="14" t="s">
        <v>48</v>
      </c>
      <c r="AN66" s="14" t="s">
        <v>49</v>
      </c>
      <c r="AO66" s="14">
        <v>97.63</v>
      </c>
      <c r="AP66" s="16" t="s">
        <v>327</v>
      </c>
      <c r="AR66" s="14">
        <v>15</v>
      </c>
      <c r="AS66" s="14" t="s">
        <v>491</v>
      </c>
      <c r="BC66" s="14">
        <v>0</v>
      </c>
      <c r="BN66" s="14">
        <v>0</v>
      </c>
      <c r="BY66" s="14">
        <v>0</v>
      </c>
    </row>
    <row r="67" spans="1:77">
      <c r="A67" s="14">
        <v>31217</v>
      </c>
      <c r="B67" s="14" t="s">
        <v>494</v>
      </c>
      <c r="C67" s="14" t="str">
        <f>VLOOKUP(A67,[1]Sheet1!$A:$F,5,FALSE)</f>
        <v>전략</v>
      </c>
      <c r="D67" s="14" t="str">
        <f>VLOOKUP(A67,[1]Sheet1!$A:$F,6,FALSE)</f>
        <v>IR</v>
      </c>
      <c r="E67" s="15">
        <v>20601</v>
      </c>
      <c r="F67" s="14" t="s">
        <v>43</v>
      </c>
      <c r="G67" s="14" t="s">
        <v>13</v>
      </c>
      <c r="H67" s="14">
        <v>96.77</v>
      </c>
      <c r="I67" s="17" t="s">
        <v>495</v>
      </c>
      <c r="J67" s="14" t="s">
        <v>495</v>
      </c>
      <c r="K67" s="14">
        <v>20</v>
      </c>
      <c r="L67" s="14">
        <v>20807</v>
      </c>
      <c r="M67" s="14">
        <v>20808</v>
      </c>
      <c r="P67" s="15">
        <v>20702</v>
      </c>
      <c r="Q67" s="14" t="s">
        <v>44</v>
      </c>
      <c r="R67" s="14" t="s">
        <v>17</v>
      </c>
      <c r="S67" s="14">
        <v>93.33</v>
      </c>
      <c r="T67" s="16" t="s">
        <v>358</v>
      </c>
      <c r="V67" s="14">
        <v>35</v>
      </c>
      <c r="W67" s="14">
        <v>20807</v>
      </c>
      <c r="AA67" s="15">
        <v>20500</v>
      </c>
      <c r="AB67" s="14" t="s">
        <v>31</v>
      </c>
      <c r="AC67" s="14" t="s">
        <v>17</v>
      </c>
      <c r="AD67" s="14">
        <v>96.43</v>
      </c>
      <c r="AE67" s="16" t="s">
        <v>350</v>
      </c>
      <c r="AF67" s="14" t="s">
        <v>350</v>
      </c>
      <c r="AG67" s="14">
        <v>22</v>
      </c>
      <c r="AH67" s="14">
        <v>20807</v>
      </c>
      <c r="AI67" s="14">
        <v>23352</v>
      </c>
      <c r="AP67" s="14"/>
      <c r="AR67" s="14">
        <v>0</v>
      </c>
      <c r="BC67" s="14">
        <v>0</v>
      </c>
      <c r="BN67" s="14">
        <v>0</v>
      </c>
      <c r="BY67" s="14">
        <v>0</v>
      </c>
    </row>
    <row r="68" spans="1:77">
      <c r="A68" s="14">
        <v>32541</v>
      </c>
      <c r="B68" s="14" t="s">
        <v>206</v>
      </c>
      <c r="C68" s="14" t="str">
        <f>VLOOKUP(A68,[1]Sheet1!$A:$F,5,FALSE)</f>
        <v>전략</v>
      </c>
      <c r="D68" s="14" t="str">
        <f>VLOOKUP(A68,[1]Sheet1!$A:$F,6,FALSE)</f>
        <v>SP</v>
      </c>
      <c r="E68" s="15">
        <v>20902</v>
      </c>
      <c r="F68" s="14" t="s">
        <v>53</v>
      </c>
      <c r="G68" s="14" t="s">
        <v>13</v>
      </c>
      <c r="H68" s="14">
        <v>96.77</v>
      </c>
      <c r="I68" s="17" t="s">
        <v>496</v>
      </c>
      <c r="J68" s="14" t="s">
        <v>496</v>
      </c>
      <c r="K68" s="14">
        <v>15</v>
      </c>
      <c r="L68" s="14">
        <v>20807</v>
      </c>
      <c r="M68" s="14">
        <v>25889</v>
      </c>
      <c r="P68" s="15">
        <v>20705</v>
      </c>
      <c r="Q68" s="14" t="s">
        <v>59</v>
      </c>
      <c r="R68" s="14" t="s">
        <v>17</v>
      </c>
      <c r="S68" s="14">
        <v>98.67</v>
      </c>
      <c r="T68" s="16" t="s">
        <v>497</v>
      </c>
      <c r="U68" s="14" t="s">
        <v>497</v>
      </c>
      <c r="V68" s="14">
        <v>30</v>
      </c>
      <c r="W68" s="14">
        <v>20807</v>
      </c>
      <c r="AA68" s="15">
        <v>20500</v>
      </c>
      <c r="AB68" s="14" t="s">
        <v>31</v>
      </c>
      <c r="AC68" s="14" t="s">
        <v>17</v>
      </c>
      <c r="AD68" s="14">
        <v>98.65</v>
      </c>
      <c r="AE68" s="16" t="s">
        <v>326</v>
      </c>
      <c r="AF68" s="14" t="s">
        <v>326</v>
      </c>
      <c r="AG68" s="14">
        <v>25</v>
      </c>
      <c r="AH68" s="14">
        <v>20807</v>
      </c>
      <c r="AI68" s="14">
        <v>23352</v>
      </c>
      <c r="AL68" s="15">
        <v>20906</v>
      </c>
      <c r="AM68" s="14" t="s">
        <v>48</v>
      </c>
      <c r="AN68" s="14" t="s">
        <v>49</v>
      </c>
      <c r="AO68" s="14">
        <v>98.63</v>
      </c>
      <c r="AP68" s="16" t="s">
        <v>327</v>
      </c>
      <c r="AR68" s="14">
        <v>17</v>
      </c>
      <c r="AS68" s="14">
        <v>20807</v>
      </c>
      <c r="BC68" s="14">
        <v>0</v>
      </c>
      <c r="BN68" s="14">
        <v>0</v>
      </c>
      <c r="BY68" s="14">
        <v>0</v>
      </c>
    </row>
    <row r="69" spans="1:77">
      <c r="A69" s="14">
        <v>32539</v>
      </c>
      <c r="B69" s="14" t="s">
        <v>204</v>
      </c>
      <c r="C69" s="14" t="str">
        <f>VLOOKUP(A69,[1]Sheet1!$A:$F,5,FALSE)</f>
        <v>전략</v>
      </c>
      <c r="D69" s="14" t="str">
        <f>VLOOKUP(A69,[1]Sheet1!$A:$F,6,FALSE)</f>
        <v>SP</v>
      </c>
      <c r="E69" s="15">
        <v>20902</v>
      </c>
      <c r="F69" s="14" t="s">
        <v>53</v>
      </c>
      <c r="G69" s="14" t="s">
        <v>13</v>
      </c>
      <c r="H69" s="14">
        <v>96.77</v>
      </c>
      <c r="I69" s="17" t="s">
        <v>498</v>
      </c>
      <c r="J69" s="14" t="s">
        <v>498</v>
      </c>
      <c r="K69" s="14">
        <v>15</v>
      </c>
      <c r="L69" s="14">
        <v>20807</v>
      </c>
      <c r="M69" s="14">
        <v>25889</v>
      </c>
      <c r="P69" s="15">
        <v>20705</v>
      </c>
      <c r="Q69" s="14" t="s">
        <v>59</v>
      </c>
      <c r="R69" s="14" t="s">
        <v>17</v>
      </c>
      <c r="S69" s="14">
        <v>98.67</v>
      </c>
      <c r="T69" s="16" t="s">
        <v>499</v>
      </c>
      <c r="V69" s="14">
        <v>30</v>
      </c>
      <c r="W69" s="14">
        <v>20807</v>
      </c>
      <c r="AA69" s="15">
        <v>20500</v>
      </c>
      <c r="AB69" s="14" t="s">
        <v>31</v>
      </c>
      <c r="AC69" s="14" t="s">
        <v>17</v>
      </c>
      <c r="AD69" s="14">
        <v>98.65</v>
      </c>
      <c r="AE69" s="14" t="s">
        <v>326</v>
      </c>
      <c r="AG69" s="14">
        <v>25</v>
      </c>
      <c r="AH69" s="14">
        <v>20807</v>
      </c>
      <c r="AI69" s="14">
        <v>23352</v>
      </c>
      <c r="AL69" s="15">
        <v>20906</v>
      </c>
      <c r="AM69" s="14" t="s">
        <v>48</v>
      </c>
      <c r="AN69" s="14" t="s">
        <v>49</v>
      </c>
      <c r="AO69" s="14">
        <v>98.63</v>
      </c>
      <c r="AP69" s="16" t="s">
        <v>327</v>
      </c>
      <c r="AR69" s="14">
        <v>17</v>
      </c>
      <c r="AS69" s="14">
        <v>20807</v>
      </c>
      <c r="BC69" s="14">
        <v>0</v>
      </c>
      <c r="BN69" s="14">
        <v>0</v>
      </c>
      <c r="BY69" s="14">
        <v>0</v>
      </c>
    </row>
    <row r="70" spans="1:77">
      <c r="A70" s="14">
        <v>32727</v>
      </c>
      <c r="B70" s="14" t="s">
        <v>500</v>
      </c>
      <c r="C70" s="14" t="str">
        <f>VLOOKUP(A70,[1]Sheet1!$A:$F,5,FALSE)</f>
        <v>전략</v>
      </c>
      <c r="D70" s="14" t="str">
        <f>VLOOKUP(A70,[1]Sheet1!$A:$F,6,FALSE)</f>
        <v>SP</v>
      </c>
      <c r="E70" s="15">
        <v>23312</v>
      </c>
      <c r="F70" s="14" t="s">
        <v>215</v>
      </c>
      <c r="G70" s="14" t="s">
        <v>13</v>
      </c>
      <c r="H70" s="14">
        <v>96.77</v>
      </c>
      <c r="I70" s="17" t="s">
        <v>501</v>
      </c>
      <c r="K70" s="14">
        <v>20</v>
      </c>
      <c r="L70" s="14">
        <v>20807</v>
      </c>
      <c r="M70" s="14">
        <v>26119</v>
      </c>
      <c r="T70" s="14"/>
      <c r="V70" s="14">
        <v>0</v>
      </c>
      <c r="AE70" s="14"/>
      <c r="AG70" s="14">
        <v>0</v>
      </c>
      <c r="AP70" s="14"/>
      <c r="AR70" s="14">
        <v>0</v>
      </c>
      <c r="BC70" s="14">
        <v>0</v>
      </c>
      <c r="BN70" s="14">
        <v>0</v>
      </c>
      <c r="BY70" s="14">
        <v>0</v>
      </c>
    </row>
    <row r="71" spans="1:77">
      <c r="A71" s="14">
        <v>31383</v>
      </c>
      <c r="B71" s="14" t="s">
        <v>115</v>
      </c>
      <c r="C71" s="14" t="str">
        <f>VLOOKUP(A71,[1]Sheet1!$A:$F,5,FALSE)</f>
        <v>전략</v>
      </c>
      <c r="D71" s="14" t="str">
        <f>VLOOKUP(A71,[1]Sheet1!$A:$F,6,FALSE)</f>
        <v>SP</v>
      </c>
      <c r="E71" s="15">
        <v>20902</v>
      </c>
      <c r="F71" s="14" t="s">
        <v>53</v>
      </c>
      <c r="G71" s="14" t="s">
        <v>343</v>
      </c>
      <c r="H71" s="14">
        <v>96.78</v>
      </c>
      <c r="I71" s="17" t="s">
        <v>502</v>
      </c>
      <c r="J71" s="14" t="s">
        <v>502</v>
      </c>
      <c r="K71" s="14">
        <v>26</v>
      </c>
      <c r="L71" s="14">
        <v>25101</v>
      </c>
      <c r="M71" s="14">
        <v>20808</v>
      </c>
      <c r="P71" s="15">
        <v>20706</v>
      </c>
      <c r="Q71" s="14" t="s">
        <v>52</v>
      </c>
      <c r="R71" s="14" t="s">
        <v>17</v>
      </c>
      <c r="S71" s="14">
        <v>99.22</v>
      </c>
      <c r="T71" s="16" t="s">
        <v>410</v>
      </c>
      <c r="U71" s="14" t="s">
        <v>503</v>
      </c>
      <c r="V71" s="14">
        <v>40</v>
      </c>
      <c r="W71" s="14">
        <v>25101</v>
      </c>
      <c r="AA71" s="15">
        <v>20500</v>
      </c>
      <c r="AB71" s="14" t="s">
        <v>31</v>
      </c>
      <c r="AC71" s="14" t="s">
        <v>17</v>
      </c>
      <c r="AD71" s="14">
        <v>98.83</v>
      </c>
      <c r="AE71" s="16" t="s">
        <v>350</v>
      </c>
      <c r="AF71" s="14" t="s">
        <v>350</v>
      </c>
      <c r="AG71" s="14">
        <v>22</v>
      </c>
      <c r="AH71" s="14">
        <v>25101</v>
      </c>
      <c r="AI71" s="14">
        <v>23352</v>
      </c>
      <c r="AL71" s="15">
        <v>20906</v>
      </c>
      <c r="AM71" s="14" t="s">
        <v>48</v>
      </c>
      <c r="AN71" s="14" t="s">
        <v>49</v>
      </c>
      <c r="AO71" s="14">
        <v>98.81</v>
      </c>
      <c r="AP71" s="16" t="s">
        <v>327</v>
      </c>
      <c r="AR71" s="14">
        <v>17</v>
      </c>
      <c r="AS71" s="14">
        <v>25101</v>
      </c>
      <c r="BC71" s="14">
        <v>0</v>
      </c>
      <c r="BN71" s="14">
        <v>0</v>
      </c>
      <c r="BY71" s="14">
        <v>0</v>
      </c>
    </row>
    <row r="72" spans="1:77">
      <c r="A72" s="14">
        <v>31382</v>
      </c>
      <c r="B72" s="14" t="s">
        <v>114</v>
      </c>
      <c r="C72" s="14" t="str">
        <f>VLOOKUP(A72,[1]Sheet1!$A:$F,5,FALSE)</f>
        <v>전략</v>
      </c>
      <c r="D72" s="14" t="str">
        <f>VLOOKUP(A72,[1]Sheet1!$A:$F,6,FALSE)</f>
        <v>SP</v>
      </c>
      <c r="E72" s="15">
        <v>20902</v>
      </c>
      <c r="F72" s="14" t="s">
        <v>53</v>
      </c>
      <c r="G72" s="14" t="s">
        <v>343</v>
      </c>
      <c r="H72" s="14">
        <v>96.79</v>
      </c>
      <c r="I72" s="17" t="s">
        <v>504</v>
      </c>
      <c r="J72" s="14" t="s">
        <v>504</v>
      </c>
      <c r="K72" s="14">
        <v>23.3</v>
      </c>
      <c r="L72" s="14" t="s">
        <v>392</v>
      </c>
      <c r="M72" s="14">
        <v>20808</v>
      </c>
      <c r="P72" s="15">
        <v>20706</v>
      </c>
      <c r="Q72" s="14" t="s">
        <v>52</v>
      </c>
      <c r="R72" s="14" t="s">
        <v>17</v>
      </c>
      <c r="S72" s="14">
        <v>98.95</v>
      </c>
      <c r="T72" s="16" t="s">
        <v>410</v>
      </c>
      <c r="U72" s="14" t="s">
        <v>410</v>
      </c>
      <c r="V72" s="14">
        <v>40</v>
      </c>
      <c r="W72" s="14" t="s">
        <v>391</v>
      </c>
      <c r="AA72" s="15">
        <v>20500</v>
      </c>
      <c r="AB72" s="14" t="s">
        <v>31</v>
      </c>
      <c r="AC72" s="14" t="s">
        <v>17</v>
      </c>
      <c r="AD72" s="14">
        <v>98.23</v>
      </c>
      <c r="AE72" s="16" t="s">
        <v>350</v>
      </c>
      <c r="AF72" s="14" t="s">
        <v>350</v>
      </c>
      <c r="AG72" s="14">
        <v>25.3</v>
      </c>
      <c r="AH72" s="14" t="s">
        <v>392</v>
      </c>
      <c r="AI72" s="14" t="s">
        <v>393</v>
      </c>
      <c r="AL72" s="15">
        <v>20906</v>
      </c>
      <c r="AM72" s="14" t="s">
        <v>48</v>
      </c>
      <c r="AN72" s="14" t="s">
        <v>49</v>
      </c>
      <c r="AO72" s="14">
        <v>98.56</v>
      </c>
      <c r="AP72" s="16" t="s">
        <v>327</v>
      </c>
      <c r="AR72" s="14">
        <v>17</v>
      </c>
      <c r="AS72" s="14" t="s">
        <v>391</v>
      </c>
      <c r="BC72" s="14">
        <v>0</v>
      </c>
      <c r="BN72" s="14">
        <v>0</v>
      </c>
      <c r="BY72" s="14">
        <v>0</v>
      </c>
    </row>
    <row r="73" spans="1:77">
      <c r="A73" s="14">
        <v>32696</v>
      </c>
      <c r="B73" s="14" t="s">
        <v>505</v>
      </c>
      <c r="C73" s="14" t="str">
        <f>VLOOKUP(A73,[1]Sheet1!$A:$F,5,FALSE)</f>
        <v>전략</v>
      </c>
      <c r="D73" s="14" t="str">
        <f>VLOOKUP(A73,[1]Sheet1!$A:$F,6,FALSE)</f>
        <v>SP</v>
      </c>
      <c r="E73" s="15">
        <v>20902</v>
      </c>
      <c r="F73" s="14" t="s">
        <v>53</v>
      </c>
      <c r="G73" s="14" t="s">
        <v>13</v>
      </c>
      <c r="H73" s="14">
        <v>96.82</v>
      </c>
      <c r="I73" s="17" t="s">
        <v>506</v>
      </c>
      <c r="J73" s="14" t="s">
        <v>506</v>
      </c>
      <c r="K73" s="14">
        <v>20</v>
      </c>
      <c r="L73" s="14">
        <v>20807</v>
      </c>
      <c r="M73" s="14">
        <v>20808</v>
      </c>
      <c r="P73" s="15">
        <v>20713</v>
      </c>
      <c r="Q73" s="14" t="s">
        <v>147</v>
      </c>
      <c r="R73" s="14" t="s">
        <v>17</v>
      </c>
      <c r="S73" s="14">
        <v>98.68</v>
      </c>
      <c r="T73" s="16" t="s">
        <v>397</v>
      </c>
      <c r="V73" s="14">
        <v>25</v>
      </c>
      <c r="W73" s="14">
        <v>20807</v>
      </c>
      <c r="AA73" s="15">
        <v>20500</v>
      </c>
      <c r="AB73" s="14" t="s">
        <v>31</v>
      </c>
      <c r="AC73" s="14" t="s">
        <v>17</v>
      </c>
      <c r="AD73" s="14">
        <v>94</v>
      </c>
      <c r="AE73" s="14" t="s">
        <v>326</v>
      </c>
      <c r="AG73" s="14">
        <v>27</v>
      </c>
      <c r="AH73" s="14">
        <v>20807</v>
      </c>
      <c r="AI73" s="14">
        <v>23352</v>
      </c>
      <c r="AL73" s="15">
        <v>20906</v>
      </c>
      <c r="AM73" s="14" t="s">
        <v>48</v>
      </c>
      <c r="AN73" s="14" t="s">
        <v>49</v>
      </c>
      <c r="AO73" s="14">
        <v>98.58</v>
      </c>
      <c r="AP73" s="16" t="s">
        <v>327</v>
      </c>
      <c r="AR73" s="14">
        <v>17</v>
      </c>
      <c r="AS73" s="14">
        <v>20807</v>
      </c>
      <c r="BC73" s="14">
        <v>0</v>
      </c>
      <c r="BN73" s="14">
        <v>0</v>
      </c>
      <c r="BY73" s="14">
        <v>0</v>
      </c>
    </row>
    <row r="74" spans="1:77">
      <c r="A74" s="14">
        <v>32266</v>
      </c>
      <c r="B74" s="14" t="s">
        <v>166</v>
      </c>
      <c r="C74" s="14" t="str">
        <f>VLOOKUP(A74,[1]Sheet1!$A:$F,5,FALSE)</f>
        <v>전략</v>
      </c>
      <c r="D74" s="14" t="str">
        <f>VLOOKUP(A74,[1]Sheet1!$A:$F,6,FALSE)</f>
        <v>SP</v>
      </c>
      <c r="E74" s="15">
        <v>20902</v>
      </c>
      <c r="F74" s="14" t="s">
        <v>53</v>
      </c>
      <c r="G74" s="14" t="s">
        <v>13</v>
      </c>
      <c r="H74" s="14">
        <v>96.84</v>
      </c>
      <c r="I74" s="17" t="s">
        <v>507</v>
      </c>
      <c r="J74" s="14" t="s">
        <v>508</v>
      </c>
      <c r="K74" s="14">
        <v>20</v>
      </c>
      <c r="L74" s="14">
        <v>20807</v>
      </c>
      <c r="M74" s="14">
        <v>20808</v>
      </c>
      <c r="P74" s="15">
        <v>20702</v>
      </c>
      <c r="Q74" s="14" t="s">
        <v>44</v>
      </c>
      <c r="R74" s="14" t="s">
        <v>17</v>
      </c>
      <c r="S74" s="14">
        <v>98.44</v>
      </c>
      <c r="T74" s="16" t="s">
        <v>347</v>
      </c>
      <c r="U74" s="14" t="s">
        <v>426</v>
      </c>
      <c r="V74" s="14">
        <v>35</v>
      </c>
      <c r="W74" s="14">
        <v>20807</v>
      </c>
      <c r="AA74" s="15">
        <v>20500</v>
      </c>
      <c r="AB74" s="14" t="s">
        <v>31</v>
      </c>
      <c r="AC74" s="14" t="s">
        <v>17</v>
      </c>
      <c r="AD74" s="14">
        <v>98.18</v>
      </c>
      <c r="AE74" s="16" t="s">
        <v>326</v>
      </c>
      <c r="AF74" s="14" t="s">
        <v>326</v>
      </c>
      <c r="AG74" s="14">
        <v>27</v>
      </c>
      <c r="AH74" s="14">
        <v>20807</v>
      </c>
      <c r="AI74" s="14" t="s">
        <v>393</v>
      </c>
      <c r="AL74" s="15">
        <v>20906</v>
      </c>
      <c r="AM74" s="14" t="s">
        <v>48</v>
      </c>
      <c r="AN74" s="14" t="s">
        <v>49</v>
      </c>
      <c r="AO74" s="14">
        <v>97.59</v>
      </c>
      <c r="AP74" s="16" t="s">
        <v>327</v>
      </c>
      <c r="AR74" s="14">
        <v>17</v>
      </c>
      <c r="AS74" s="14">
        <v>20807</v>
      </c>
      <c r="BC74" s="14">
        <v>0</v>
      </c>
      <c r="BN74" s="14">
        <v>0</v>
      </c>
      <c r="BY74" s="14">
        <v>0</v>
      </c>
    </row>
    <row r="75" spans="1:77">
      <c r="A75" s="14">
        <v>31980</v>
      </c>
      <c r="B75" s="14" t="s">
        <v>56</v>
      </c>
      <c r="C75" s="14" t="str">
        <f>VLOOKUP(A75,[1]Sheet1!$A:$F,5,FALSE)</f>
        <v>전략</v>
      </c>
      <c r="D75" s="14" t="str">
        <f>VLOOKUP(A75,[1]Sheet1!$A:$F,6,FALSE)</f>
        <v>IR</v>
      </c>
      <c r="E75" s="15">
        <v>20902</v>
      </c>
      <c r="F75" s="14" t="s">
        <v>53</v>
      </c>
      <c r="G75" s="14" t="s">
        <v>13</v>
      </c>
      <c r="H75" s="14">
        <v>96.86</v>
      </c>
      <c r="I75" s="17" t="s">
        <v>509</v>
      </c>
      <c r="J75" s="14" t="s">
        <v>509</v>
      </c>
      <c r="K75" s="14">
        <v>20</v>
      </c>
      <c r="L75" s="14">
        <v>20807</v>
      </c>
      <c r="M75" s="14">
        <v>20808</v>
      </c>
      <c r="P75" s="15">
        <v>20702</v>
      </c>
      <c r="Q75" s="14" t="s">
        <v>44</v>
      </c>
      <c r="R75" s="14" t="s">
        <v>17</v>
      </c>
      <c r="S75" s="14">
        <v>98.7</v>
      </c>
      <c r="T75" s="16" t="s">
        <v>381</v>
      </c>
      <c r="U75" s="14" t="s">
        <v>381</v>
      </c>
      <c r="V75" s="14">
        <v>35</v>
      </c>
      <c r="W75" s="14">
        <v>20807</v>
      </c>
      <c r="AA75" s="15">
        <v>20500</v>
      </c>
      <c r="AB75" s="14" t="s">
        <v>31</v>
      </c>
      <c r="AC75" s="14" t="s">
        <v>17</v>
      </c>
      <c r="AD75" s="14">
        <v>97.04</v>
      </c>
      <c r="AE75" s="16" t="s">
        <v>326</v>
      </c>
      <c r="AF75" s="14" t="s">
        <v>326</v>
      </c>
      <c r="AG75" s="14">
        <v>27</v>
      </c>
      <c r="AH75" s="14">
        <v>20807</v>
      </c>
      <c r="AI75" s="14">
        <v>23352</v>
      </c>
      <c r="AL75" s="15">
        <v>20906</v>
      </c>
      <c r="AM75" s="14" t="s">
        <v>48</v>
      </c>
      <c r="AN75" s="14" t="s">
        <v>49</v>
      </c>
      <c r="AO75" s="14">
        <v>94.24</v>
      </c>
      <c r="AP75" s="16" t="s">
        <v>327</v>
      </c>
      <c r="AR75" s="14">
        <v>17</v>
      </c>
      <c r="AS75" s="14">
        <v>20807</v>
      </c>
      <c r="BC75" s="14">
        <v>0</v>
      </c>
      <c r="BN75" s="14">
        <v>0</v>
      </c>
      <c r="BY75" s="14">
        <v>0</v>
      </c>
    </row>
    <row r="76" spans="1:77">
      <c r="A76" s="14">
        <v>31652</v>
      </c>
      <c r="B76" s="14" t="s">
        <v>123</v>
      </c>
      <c r="C76" s="14" t="str">
        <f>VLOOKUP(A76,[1]Sheet1!$A:$F,5,FALSE)</f>
        <v>전략</v>
      </c>
      <c r="D76" s="14" t="str">
        <f>VLOOKUP(A76,[1]Sheet1!$A:$F,6,FALSE)</f>
        <v>SP</v>
      </c>
      <c r="E76" s="15">
        <v>20902</v>
      </c>
      <c r="F76" s="14" t="s">
        <v>53</v>
      </c>
      <c r="G76" s="14" t="s">
        <v>13</v>
      </c>
      <c r="H76" s="14">
        <v>96.86</v>
      </c>
      <c r="I76" s="17" t="s">
        <v>510</v>
      </c>
      <c r="J76" s="14" t="s">
        <v>510</v>
      </c>
      <c r="K76" s="14">
        <v>15</v>
      </c>
      <c r="L76" s="14">
        <v>20807</v>
      </c>
      <c r="M76" s="14" t="s">
        <v>511</v>
      </c>
      <c r="P76" s="15">
        <v>20706</v>
      </c>
      <c r="Q76" s="14" t="s">
        <v>52</v>
      </c>
      <c r="R76" s="14" t="s">
        <v>17</v>
      </c>
      <c r="S76" s="14">
        <v>98.7</v>
      </c>
      <c r="T76" s="16" t="s">
        <v>432</v>
      </c>
      <c r="U76" s="14" t="s">
        <v>432</v>
      </c>
      <c r="V76" s="14">
        <v>40</v>
      </c>
      <c r="W76" s="14">
        <v>20807</v>
      </c>
      <c r="AA76" s="15">
        <v>20500</v>
      </c>
      <c r="AB76" s="14" t="s">
        <v>31</v>
      </c>
      <c r="AC76" s="14" t="s">
        <v>17</v>
      </c>
      <c r="AD76" s="14">
        <v>98.68</v>
      </c>
      <c r="AE76" s="14" t="s">
        <v>326</v>
      </c>
      <c r="AG76" s="14">
        <v>25</v>
      </c>
      <c r="AH76" s="14">
        <v>20807</v>
      </c>
      <c r="AI76" s="14">
        <v>23352</v>
      </c>
      <c r="AL76" s="15">
        <v>20906</v>
      </c>
      <c r="AM76" s="14" t="s">
        <v>48</v>
      </c>
      <c r="AN76" s="14" t="s">
        <v>49</v>
      </c>
      <c r="AO76" s="14">
        <v>98.67</v>
      </c>
      <c r="AP76" s="16" t="s">
        <v>327</v>
      </c>
      <c r="AR76" s="14">
        <v>16.5</v>
      </c>
      <c r="AS76" s="14">
        <v>20807</v>
      </c>
      <c r="BC76" s="14">
        <v>0</v>
      </c>
      <c r="BN76" s="14">
        <v>0</v>
      </c>
      <c r="BY76" s="14">
        <v>0</v>
      </c>
    </row>
    <row r="77" spans="1:77">
      <c r="A77" s="14">
        <v>31653</v>
      </c>
      <c r="B77" s="14" t="s">
        <v>124</v>
      </c>
      <c r="C77" s="14" t="str">
        <f>VLOOKUP(A77,[1]Sheet1!$A:$F,5,FALSE)</f>
        <v>전략</v>
      </c>
      <c r="D77" s="14" t="str">
        <f>VLOOKUP(A77,[1]Sheet1!$A:$F,6,FALSE)</f>
        <v>SP</v>
      </c>
      <c r="E77" s="15">
        <v>20902</v>
      </c>
      <c r="F77" s="14" t="s">
        <v>53</v>
      </c>
      <c r="G77" s="14" t="s">
        <v>13</v>
      </c>
      <c r="H77" s="14">
        <v>96.88</v>
      </c>
      <c r="I77" s="17" t="s">
        <v>512</v>
      </c>
      <c r="J77" s="14" t="s">
        <v>512</v>
      </c>
      <c r="K77" s="14">
        <v>15</v>
      </c>
      <c r="L77" s="14">
        <v>20807</v>
      </c>
      <c r="M77" s="14">
        <v>25890</v>
      </c>
      <c r="P77" s="15">
        <v>20705</v>
      </c>
      <c r="Q77" s="14" t="s">
        <v>59</v>
      </c>
      <c r="R77" s="14" t="s">
        <v>17</v>
      </c>
      <c r="S77" s="14">
        <v>98.71</v>
      </c>
      <c r="T77" s="16" t="s">
        <v>513</v>
      </c>
      <c r="U77" s="14" t="s">
        <v>513</v>
      </c>
      <c r="V77" s="14">
        <v>30</v>
      </c>
      <c r="W77" s="14">
        <v>20807</v>
      </c>
      <c r="AA77" s="15">
        <v>20500</v>
      </c>
      <c r="AB77" s="14" t="s">
        <v>31</v>
      </c>
      <c r="AC77" s="14" t="s">
        <v>17</v>
      </c>
      <c r="AD77" s="14">
        <v>98.69</v>
      </c>
      <c r="AE77" s="16" t="s">
        <v>326</v>
      </c>
      <c r="AF77" s="14" t="s">
        <v>326</v>
      </c>
      <c r="AG77" s="14">
        <v>25</v>
      </c>
      <c r="AH77" s="14">
        <v>20807</v>
      </c>
      <c r="AI77" s="14">
        <v>23352</v>
      </c>
      <c r="AL77" s="15">
        <v>20906</v>
      </c>
      <c r="AM77" s="14" t="s">
        <v>48</v>
      </c>
      <c r="AN77" s="14" t="s">
        <v>49</v>
      </c>
      <c r="AO77" s="14">
        <v>97.02</v>
      </c>
      <c r="AP77" s="16" t="s">
        <v>327</v>
      </c>
      <c r="AR77" s="14">
        <v>17</v>
      </c>
      <c r="AS77" s="14">
        <v>20807</v>
      </c>
      <c r="BC77" s="14">
        <v>0</v>
      </c>
      <c r="BN77" s="14">
        <v>0</v>
      </c>
      <c r="BY77" s="14">
        <v>0</v>
      </c>
    </row>
    <row r="78" spans="1:77">
      <c r="A78" s="14">
        <v>32001</v>
      </c>
      <c r="B78" s="14" t="s">
        <v>141</v>
      </c>
      <c r="C78" s="14" t="str">
        <f>VLOOKUP(A78,[1]Sheet1!$A:$F,5,FALSE)</f>
        <v>전략</v>
      </c>
      <c r="D78" s="14" t="str">
        <f>VLOOKUP(A78,[1]Sheet1!$A:$F,6,FALSE)</f>
        <v>SP</v>
      </c>
      <c r="E78" s="15">
        <v>20902</v>
      </c>
      <c r="F78" s="14" t="s">
        <v>53</v>
      </c>
      <c r="G78" s="14" t="s">
        <v>16</v>
      </c>
      <c r="H78" s="14">
        <v>96.89</v>
      </c>
      <c r="I78" s="17" t="s">
        <v>514</v>
      </c>
      <c r="J78" s="14" t="s">
        <v>514</v>
      </c>
      <c r="K78" s="14">
        <v>22.5</v>
      </c>
      <c r="L78" s="14">
        <v>25101</v>
      </c>
      <c r="M78" s="14" t="s">
        <v>437</v>
      </c>
      <c r="P78" s="15">
        <v>20702</v>
      </c>
      <c r="Q78" s="14" t="s">
        <v>44</v>
      </c>
      <c r="R78" s="14" t="s">
        <v>17</v>
      </c>
      <c r="S78" s="14">
        <v>98.52</v>
      </c>
      <c r="T78" s="16" t="s">
        <v>358</v>
      </c>
      <c r="V78" s="14">
        <v>35</v>
      </c>
      <c r="W78" s="14">
        <v>25101</v>
      </c>
      <c r="AA78" s="15">
        <v>20500</v>
      </c>
      <c r="AB78" s="14" t="s">
        <v>31</v>
      </c>
      <c r="AC78" s="14" t="s">
        <v>17</v>
      </c>
      <c r="AD78" s="14">
        <v>97.62</v>
      </c>
      <c r="AE78" s="16" t="s">
        <v>423</v>
      </c>
      <c r="AF78" s="14" t="s">
        <v>423</v>
      </c>
      <c r="AG78" s="14">
        <v>25</v>
      </c>
      <c r="AH78" s="14">
        <v>25101</v>
      </c>
      <c r="AI78" s="14">
        <v>23352</v>
      </c>
      <c r="AL78" s="15">
        <v>20906</v>
      </c>
      <c r="AM78" s="14" t="s">
        <v>48</v>
      </c>
      <c r="AN78" s="14" t="s">
        <v>49</v>
      </c>
      <c r="AO78" s="14">
        <v>97.44</v>
      </c>
      <c r="AP78" s="16" t="s">
        <v>327</v>
      </c>
      <c r="AR78" s="14">
        <v>17</v>
      </c>
      <c r="AS78" s="14">
        <v>25101</v>
      </c>
      <c r="BC78" s="14">
        <v>0</v>
      </c>
      <c r="BN78" s="14">
        <v>0</v>
      </c>
      <c r="BY78" s="14">
        <v>0</v>
      </c>
    </row>
    <row r="79" spans="1:77">
      <c r="A79" s="14">
        <v>32259</v>
      </c>
      <c r="B79" s="14" t="s">
        <v>159</v>
      </c>
      <c r="C79" s="14" t="str">
        <f>VLOOKUP(A79,[1]Sheet1!$A:$F,5,FALSE)</f>
        <v>전략</v>
      </c>
      <c r="D79" s="14" t="str">
        <f>VLOOKUP(A79,[1]Sheet1!$A:$F,6,FALSE)</f>
        <v>SP</v>
      </c>
      <c r="E79" s="15">
        <v>20902</v>
      </c>
      <c r="F79" s="14" t="s">
        <v>53</v>
      </c>
      <c r="G79" s="14" t="s">
        <v>13</v>
      </c>
      <c r="H79" s="14">
        <v>96.89</v>
      </c>
      <c r="I79" s="17" t="s">
        <v>515</v>
      </c>
      <c r="J79" s="14" t="s">
        <v>515</v>
      </c>
      <c r="K79" s="14">
        <v>20</v>
      </c>
      <c r="L79" s="14">
        <v>20807</v>
      </c>
      <c r="M79" s="14">
        <v>20808</v>
      </c>
      <c r="P79" s="15">
        <v>20702</v>
      </c>
      <c r="Q79" s="14" t="s">
        <v>44</v>
      </c>
      <c r="R79" s="14" t="s">
        <v>17</v>
      </c>
      <c r="S79" s="14">
        <v>98.72</v>
      </c>
      <c r="T79" s="16" t="s">
        <v>358</v>
      </c>
      <c r="V79" s="14">
        <v>35</v>
      </c>
      <c r="W79" s="14">
        <v>20807</v>
      </c>
      <c r="AA79" s="15">
        <v>20500</v>
      </c>
      <c r="AB79" s="14" t="s">
        <v>31</v>
      </c>
      <c r="AC79" s="14" t="s">
        <v>17</v>
      </c>
      <c r="AD79" s="14">
        <v>98.7</v>
      </c>
      <c r="AE79" s="14" t="s">
        <v>326</v>
      </c>
      <c r="AG79" s="14">
        <v>27</v>
      </c>
      <c r="AH79" s="14">
        <v>20807</v>
      </c>
      <c r="AI79" s="14">
        <v>25382</v>
      </c>
      <c r="AL79" s="15">
        <v>20906</v>
      </c>
      <c r="AM79" s="14" t="s">
        <v>48</v>
      </c>
      <c r="AN79" s="14" t="s">
        <v>49</v>
      </c>
      <c r="AO79" s="14">
        <v>98.68</v>
      </c>
      <c r="AP79" s="16" t="s">
        <v>327</v>
      </c>
      <c r="AR79" s="14">
        <v>17</v>
      </c>
      <c r="AS79" s="14">
        <v>20807</v>
      </c>
      <c r="BC79" s="14">
        <v>0</v>
      </c>
      <c r="BN79" s="14">
        <v>0</v>
      </c>
      <c r="BY79" s="14">
        <v>0</v>
      </c>
    </row>
    <row r="80" spans="1:77">
      <c r="A80" s="14">
        <v>32693</v>
      </c>
      <c r="B80" s="14" t="s">
        <v>516</v>
      </c>
      <c r="C80" s="14" t="str">
        <f>VLOOKUP(A80,[1]Sheet1!$A:$F,5,FALSE)</f>
        <v>전략</v>
      </c>
      <c r="D80" s="14" t="str">
        <f>VLOOKUP(A80,[1]Sheet1!$A:$F,6,FALSE)</f>
        <v>SP</v>
      </c>
      <c r="E80" s="15">
        <v>20902</v>
      </c>
      <c r="F80" s="14" t="s">
        <v>53</v>
      </c>
      <c r="G80" s="14" t="s">
        <v>16</v>
      </c>
      <c r="H80" s="14">
        <v>96.9</v>
      </c>
      <c r="I80" s="17" t="s">
        <v>517</v>
      </c>
      <c r="J80" s="14" t="s">
        <v>517</v>
      </c>
      <c r="K80" s="14">
        <v>20</v>
      </c>
      <c r="L80" s="14">
        <v>25101</v>
      </c>
      <c r="M80" s="14">
        <v>20808</v>
      </c>
      <c r="P80" s="15">
        <v>20713</v>
      </c>
      <c r="Q80" s="14" t="s">
        <v>147</v>
      </c>
      <c r="R80" s="14" t="s">
        <v>17</v>
      </c>
      <c r="S80" s="14">
        <v>99.04</v>
      </c>
      <c r="T80" s="16" t="s">
        <v>376</v>
      </c>
      <c r="U80" s="14" t="s">
        <v>376</v>
      </c>
      <c r="V80" s="14">
        <v>25</v>
      </c>
      <c r="W80" s="14">
        <v>25101</v>
      </c>
      <c r="AA80" s="15">
        <v>20500</v>
      </c>
      <c r="AB80" s="14" t="s">
        <v>31</v>
      </c>
      <c r="AC80" s="14" t="s">
        <v>17</v>
      </c>
      <c r="AD80" s="14">
        <v>98.92</v>
      </c>
      <c r="AE80" s="16" t="s">
        <v>326</v>
      </c>
      <c r="AF80" s="14" t="s">
        <v>326</v>
      </c>
      <c r="AG80" s="14">
        <v>27</v>
      </c>
      <c r="AH80" s="14">
        <v>25101</v>
      </c>
      <c r="AI80" s="14" t="s">
        <v>393</v>
      </c>
      <c r="AL80" s="15">
        <v>20906</v>
      </c>
      <c r="AM80" s="14" t="s">
        <v>48</v>
      </c>
      <c r="AN80" s="14" t="s">
        <v>49</v>
      </c>
      <c r="AO80" s="14">
        <v>95.97</v>
      </c>
      <c r="AP80" s="16" t="s">
        <v>327</v>
      </c>
      <c r="AR80" s="14">
        <v>17</v>
      </c>
      <c r="AS80" s="14">
        <v>25101</v>
      </c>
      <c r="BC80" s="14">
        <v>0</v>
      </c>
      <c r="BN80" s="14">
        <v>0</v>
      </c>
      <c r="BY80" s="14">
        <v>0</v>
      </c>
    </row>
    <row r="81" spans="1:77">
      <c r="A81" s="14">
        <v>30461</v>
      </c>
      <c r="B81" s="14" t="s">
        <v>90</v>
      </c>
      <c r="C81" s="14" t="str">
        <f>VLOOKUP(A81,[1]Sheet1!$A:$F,5,FALSE)</f>
        <v>전략</v>
      </c>
      <c r="D81" s="14" t="str">
        <f>VLOOKUP(A81,[1]Sheet1!$A:$F,6,FALSE)</f>
        <v>SP</v>
      </c>
      <c r="E81" s="15">
        <v>20902</v>
      </c>
      <c r="F81" s="14" t="s">
        <v>53</v>
      </c>
      <c r="G81" s="14" t="s">
        <v>343</v>
      </c>
      <c r="H81" s="14">
        <v>96.96</v>
      </c>
      <c r="I81" s="17" t="s">
        <v>518</v>
      </c>
      <c r="J81" s="14" t="s">
        <v>518</v>
      </c>
      <c r="K81" s="14">
        <v>22</v>
      </c>
      <c r="L81" s="14" t="s">
        <v>519</v>
      </c>
      <c r="M81" s="14" t="s">
        <v>413</v>
      </c>
      <c r="P81" s="15">
        <v>20702</v>
      </c>
      <c r="Q81" s="14" t="s">
        <v>44</v>
      </c>
      <c r="R81" s="14" t="s">
        <v>17</v>
      </c>
      <c r="S81" s="14">
        <v>98.69</v>
      </c>
      <c r="T81" s="16" t="s">
        <v>381</v>
      </c>
      <c r="U81" s="14" t="s">
        <v>381</v>
      </c>
      <c r="V81" s="14">
        <v>35</v>
      </c>
      <c r="W81" s="14" t="s">
        <v>519</v>
      </c>
      <c r="AA81" s="15">
        <v>20500</v>
      </c>
      <c r="AB81" s="14" t="s">
        <v>31</v>
      </c>
      <c r="AC81" s="14" t="s">
        <v>17</v>
      </c>
      <c r="AD81" s="14">
        <v>98.16</v>
      </c>
      <c r="AE81" s="16" t="s">
        <v>350</v>
      </c>
      <c r="AF81" s="14" t="s">
        <v>350</v>
      </c>
      <c r="AG81" s="14">
        <v>24.2</v>
      </c>
      <c r="AH81" s="14" t="s">
        <v>520</v>
      </c>
      <c r="AI81" s="14" t="s">
        <v>521</v>
      </c>
      <c r="AL81" s="15">
        <v>20906</v>
      </c>
      <c r="AM81" s="14" t="s">
        <v>48</v>
      </c>
      <c r="AN81" s="14" t="s">
        <v>49</v>
      </c>
      <c r="AO81" s="14">
        <v>97.39</v>
      </c>
      <c r="AP81" s="16" t="s">
        <v>327</v>
      </c>
      <c r="AR81" s="14">
        <v>17</v>
      </c>
      <c r="AS81" s="14" t="s">
        <v>383</v>
      </c>
      <c r="BC81" s="14">
        <v>0</v>
      </c>
      <c r="BN81" s="14">
        <v>0</v>
      </c>
      <c r="BY81" s="14">
        <v>0</v>
      </c>
    </row>
    <row r="82" spans="1:77">
      <c r="A82" s="14">
        <v>31503</v>
      </c>
      <c r="B82" s="14" t="s">
        <v>117</v>
      </c>
      <c r="C82" s="14" t="str">
        <f>VLOOKUP(A82,[1]Sheet1!$A:$F,5,FALSE)</f>
        <v>전략</v>
      </c>
      <c r="D82" s="14" t="str">
        <f>VLOOKUP(A82,[1]Sheet1!$A:$F,6,FALSE)</f>
        <v>SP</v>
      </c>
      <c r="E82" s="15">
        <v>20902</v>
      </c>
      <c r="F82" s="14" t="s">
        <v>53</v>
      </c>
      <c r="G82" s="14" t="s">
        <v>343</v>
      </c>
      <c r="H82" s="14">
        <v>96.96</v>
      </c>
      <c r="I82" s="17" t="s">
        <v>522</v>
      </c>
      <c r="J82" s="14" t="s">
        <v>522</v>
      </c>
      <c r="K82" s="14">
        <v>24</v>
      </c>
      <c r="L82" s="14">
        <v>20807</v>
      </c>
      <c r="M82" s="14" t="s">
        <v>346</v>
      </c>
      <c r="P82" s="15">
        <v>20706</v>
      </c>
      <c r="Q82" s="14" t="s">
        <v>52</v>
      </c>
      <c r="R82" s="14" t="s">
        <v>523</v>
      </c>
      <c r="S82" s="14">
        <v>99.17</v>
      </c>
      <c r="T82" s="16" t="s">
        <v>325</v>
      </c>
      <c r="V82" s="14">
        <v>39.5</v>
      </c>
      <c r="W82" s="14">
        <v>20807</v>
      </c>
      <c r="AA82" s="15">
        <v>20500</v>
      </c>
      <c r="AB82" s="14" t="s">
        <v>31</v>
      </c>
      <c r="AC82" s="14" t="s">
        <v>17</v>
      </c>
      <c r="AD82" s="14">
        <v>98.27</v>
      </c>
      <c r="AE82" s="14" t="s">
        <v>326</v>
      </c>
      <c r="AG82" s="14">
        <v>25.6</v>
      </c>
      <c r="AH82" s="14">
        <v>20807</v>
      </c>
      <c r="AI82" s="14" t="s">
        <v>393</v>
      </c>
      <c r="AL82" s="15">
        <v>20906</v>
      </c>
      <c r="AM82" s="14" t="s">
        <v>48</v>
      </c>
      <c r="AN82" s="14" t="s">
        <v>49</v>
      </c>
      <c r="AO82" s="14">
        <v>95.74</v>
      </c>
      <c r="AP82" s="16" t="s">
        <v>327</v>
      </c>
      <c r="AR82" s="14">
        <v>16.899999999999999</v>
      </c>
      <c r="AS82" s="14">
        <v>20807</v>
      </c>
      <c r="BC82" s="14">
        <v>0</v>
      </c>
      <c r="BN82" s="14">
        <v>0</v>
      </c>
      <c r="BY82" s="14">
        <v>0</v>
      </c>
    </row>
    <row r="83" spans="1:77">
      <c r="A83" s="14">
        <v>31996</v>
      </c>
      <c r="B83" s="14" t="s">
        <v>140</v>
      </c>
      <c r="C83" s="14" t="str">
        <f>VLOOKUP(A83,[1]Sheet1!$A:$F,5,FALSE)</f>
        <v>전략</v>
      </c>
      <c r="D83" s="14" t="str">
        <f>VLOOKUP(A83,[1]Sheet1!$A:$F,6,FALSE)</f>
        <v>SP</v>
      </c>
      <c r="E83" s="15">
        <v>20902</v>
      </c>
      <c r="F83" s="14" t="s">
        <v>53</v>
      </c>
      <c r="G83" s="14" t="s">
        <v>13</v>
      </c>
      <c r="H83" s="14">
        <v>96.98</v>
      </c>
      <c r="I83" s="17" t="s">
        <v>524</v>
      </c>
      <c r="J83" s="14" t="s">
        <v>524</v>
      </c>
      <c r="K83" s="14">
        <v>20</v>
      </c>
      <c r="L83" s="14">
        <v>20807</v>
      </c>
      <c r="M83" s="14">
        <v>20808</v>
      </c>
      <c r="P83" s="15">
        <v>20702</v>
      </c>
      <c r="Q83" s="14" t="s">
        <v>44</v>
      </c>
      <c r="R83" s="14" t="s">
        <v>17</v>
      </c>
      <c r="S83" s="14">
        <v>98.94</v>
      </c>
      <c r="T83" s="16" t="s">
        <v>381</v>
      </c>
      <c r="U83" s="14" t="s">
        <v>381</v>
      </c>
      <c r="V83" s="14">
        <v>34.4</v>
      </c>
      <c r="W83" s="14" t="s">
        <v>392</v>
      </c>
      <c r="AA83" s="15">
        <v>20500</v>
      </c>
      <c r="AB83" s="14" t="s">
        <v>31</v>
      </c>
      <c r="AC83" s="14" t="s">
        <v>17</v>
      </c>
      <c r="AD83" s="14">
        <v>93.68</v>
      </c>
      <c r="AE83" s="14" t="s">
        <v>326</v>
      </c>
      <c r="AG83" s="14">
        <v>25.2</v>
      </c>
      <c r="AH83" s="14" t="s">
        <v>392</v>
      </c>
      <c r="AI83" s="14" t="s">
        <v>393</v>
      </c>
      <c r="AL83" s="15">
        <v>20906</v>
      </c>
      <c r="AM83" s="14" t="s">
        <v>48</v>
      </c>
      <c r="AN83" s="14" t="s">
        <v>49</v>
      </c>
      <c r="AO83" s="14">
        <v>97.94</v>
      </c>
      <c r="AP83" s="16" t="s">
        <v>327</v>
      </c>
      <c r="AR83" s="14">
        <v>17.3</v>
      </c>
      <c r="AS83" s="14" t="s">
        <v>391</v>
      </c>
      <c r="BC83" s="14">
        <v>0</v>
      </c>
      <c r="BN83" s="14">
        <v>0</v>
      </c>
      <c r="BY83" s="14">
        <v>0</v>
      </c>
    </row>
    <row r="84" spans="1:77">
      <c r="A84" s="14">
        <v>32522</v>
      </c>
      <c r="B84" s="14" t="s">
        <v>199</v>
      </c>
      <c r="C84" s="14" t="str">
        <f>VLOOKUP(A84,[1]Sheet1!$A:$F,5,FALSE)</f>
        <v>전략</v>
      </c>
      <c r="D84" s="14" t="str">
        <f>VLOOKUP(A84,[1]Sheet1!$A:$F,6,FALSE)</f>
        <v>SP</v>
      </c>
      <c r="E84" s="15">
        <v>20902</v>
      </c>
      <c r="F84" s="14" t="s">
        <v>53</v>
      </c>
      <c r="G84" s="14" t="s">
        <v>13</v>
      </c>
      <c r="H84" s="14">
        <v>97.05</v>
      </c>
      <c r="I84" s="17" t="s">
        <v>525</v>
      </c>
      <c r="J84" s="14" t="s">
        <v>526</v>
      </c>
      <c r="K84" s="14">
        <v>15</v>
      </c>
      <c r="L84" s="14" t="s">
        <v>391</v>
      </c>
      <c r="M84" s="14">
        <v>25891</v>
      </c>
      <c r="P84" s="15">
        <v>20706</v>
      </c>
      <c r="Q84" s="14" t="s">
        <v>52</v>
      </c>
      <c r="R84" s="14" t="s">
        <v>17</v>
      </c>
      <c r="S84" s="14">
        <v>98.25</v>
      </c>
      <c r="T84" s="16" t="s">
        <v>432</v>
      </c>
      <c r="U84" s="14" t="s">
        <v>527</v>
      </c>
      <c r="V84" s="14">
        <v>40</v>
      </c>
      <c r="W84" s="14" t="s">
        <v>391</v>
      </c>
      <c r="AA84" s="15">
        <v>20500</v>
      </c>
      <c r="AB84" s="14" t="s">
        <v>31</v>
      </c>
      <c r="AC84" s="14" t="s">
        <v>17</v>
      </c>
      <c r="AD84" s="14">
        <v>97.47</v>
      </c>
      <c r="AE84" s="16" t="s">
        <v>326</v>
      </c>
      <c r="AF84" s="14" t="s">
        <v>326</v>
      </c>
      <c r="AG84" s="14">
        <v>25</v>
      </c>
      <c r="AH84" s="14" t="s">
        <v>391</v>
      </c>
      <c r="AI84" s="14">
        <v>23352</v>
      </c>
      <c r="AL84" s="15">
        <v>20906</v>
      </c>
      <c r="AM84" s="14" t="s">
        <v>48</v>
      </c>
      <c r="AN84" s="14" t="s">
        <v>49</v>
      </c>
      <c r="AO84" s="14">
        <v>96.2</v>
      </c>
      <c r="AP84" s="16" t="s">
        <v>327</v>
      </c>
      <c r="AR84" s="14">
        <v>17.8</v>
      </c>
      <c r="AS84" s="14">
        <v>20807</v>
      </c>
      <c r="BC84" s="14">
        <v>0</v>
      </c>
      <c r="BN84" s="14">
        <v>0</v>
      </c>
      <c r="BY84" s="14">
        <v>0</v>
      </c>
    </row>
    <row r="85" spans="1:77">
      <c r="A85" s="14">
        <v>30888</v>
      </c>
      <c r="B85" s="14" t="s">
        <v>46</v>
      </c>
      <c r="C85" s="14" t="str">
        <f>VLOOKUP(A85,[1]Sheet1!$A:$F,5,FALSE)</f>
        <v>전략</v>
      </c>
      <c r="D85" s="14" t="str">
        <f>VLOOKUP(A85,[1]Sheet1!$A:$F,6,FALSE)</f>
        <v>IR</v>
      </c>
      <c r="E85" s="15">
        <v>20601</v>
      </c>
      <c r="F85" s="14" t="s">
        <v>43</v>
      </c>
      <c r="G85" s="14" t="s">
        <v>13</v>
      </c>
      <c r="H85" s="14">
        <v>97.06</v>
      </c>
      <c r="I85" s="17" t="s">
        <v>528</v>
      </c>
      <c r="J85" s="14" t="s">
        <v>528</v>
      </c>
      <c r="K85" s="14">
        <v>20</v>
      </c>
      <c r="L85" s="14">
        <v>20807</v>
      </c>
      <c r="M85" s="14">
        <v>20808</v>
      </c>
      <c r="P85" s="15">
        <v>20704</v>
      </c>
      <c r="Q85" s="14" t="s">
        <v>47</v>
      </c>
      <c r="R85" s="14" t="s">
        <v>17</v>
      </c>
      <c r="S85" s="14">
        <v>98.79</v>
      </c>
      <c r="T85" s="16" t="s">
        <v>529</v>
      </c>
      <c r="U85" s="14" t="s">
        <v>529</v>
      </c>
      <c r="V85" s="14">
        <v>30</v>
      </c>
      <c r="W85" s="14">
        <v>20807</v>
      </c>
      <c r="AA85" s="15">
        <v>20500</v>
      </c>
      <c r="AB85" s="14" t="s">
        <v>31</v>
      </c>
      <c r="AC85" s="14" t="s">
        <v>17</v>
      </c>
      <c r="AD85" s="14">
        <v>98.77</v>
      </c>
      <c r="AE85" s="14" t="s">
        <v>326</v>
      </c>
      <c r="AG85" s="14">
        <v>27</v>
      </c>
      <c r="AH85" s="14">
        <v>20807</v>
      </c>
      <c r="AI85" s="14">
        <v>23352</v>
      </c>
      <c r="AL85" s="15">
        <v>20906</v>
      </c>
      <c r="AM85" s="14" t="s">
        <v>48</v>
      </c>
      <c r="AN85" s="14" t="s">
        <v>49</v>
      </c>
      <c r="AO85" s="14">
        <v>96.89</v>
      </c>
      <c r="AP85" s="16" t="s">
        <v>327</v>
      </c>
      <c r="AR85" s="14">
        <v>17</v>
      </c>
      <c r="AS85" s="14">
        <v>20807</v>
      </c>
      <c r="BC85" s="14">
        <v>0</v>
      </c>
      <c r="BN85" s="14">
        <v>0</v>
      </c>
      <c r="BY85" s="14">
        <v>0</v>
      </c>
    </row>
    <row r="86" spans="1:77">
      <c r="A86" s="14">
        <v>30233</v>
      </c>
      <c r="B86" s="14" t="s">
        <v>80</v>
      </c>
      <c r="C86" s="14" t="str">
        <f>VLOOKUP(A86,[1]Sheet1!$A:$F,5,FALSE)</f>
        <v>전략</v>
      </c>
      <c r="D86" s="14" t="str">
        <f>VLOOKUP(A86,[1]Sheet1!$A:$F,6,FALSE)</f>
        <v>SP</v>
      </c>
      <c r="E86" s="15">
        <v>20902</v>
      </c>
      <c r="F86" s="14" t="s">
        <v>53</v>
      </c>
      <c r="G86" s="14" t="s">
        <v>487</v>
      </c>
      <c r="H86" s="14">
        <v>97.06</v>
      </c>
      <c r="I86" s="17" t="s">
        <v>530</v>
      </c>
      <c r="J86" s="14" t="s">
        <v>530</v>
      </c>
      <c r="K86" s="14">
        <v>23.3</v>
      </c>
      <c r="L86" s="14" t="s">
        <v>531</v>
      </c>
      <c r="M86" s="14" t="s">
        <v>413</v>
      </c>
      <c r="P86" s="15">
        <v>20702</v>
      </c>
      <c r="Q86" s="14" t="s">
        <v>44</v>
      </c>
      <c r="R86" s="14" t="s">
        <v>17</v>
      </c>
      <c r="S86" s="14">
        <v>96.6</v>
      </c>
      <c r="T86" s="16" t="s">
        <v>381</v>
      </c>
      <c r="U86" s="14" t="s">
        <v>381</v>
      </c>
      <c r="V86" s="14">
        <v>35</v>
      </c>
      <c r="W86" s="14" t="s">
        <v>532</v>
      </c>
      <c r="AA86" s="15">
        <v>20500</v>
      </c>
      <c r="AB86" s="14" t="s">
        <v>31</v>
      </c>
      <c r="AC86" s="14" t="s">
        <v>533</v>
      </c>
      <c r="AD86" s="14">
        <v>97.55</v>
      </c>
      <c r="AE86" s="16" t="s">
        <v>382</v>
      </c>
      <c r="AG86" s="14">
        <v>24.9</v>
      </c>
      <c r="AH86" s="14" t="s">
        <v>534</v>
      </c>
      <c r="AI86" s="14" t="s">
        <v>353</v>
      </c>
      <c r="AL86" s="15">
        <v>20906</v>
      </c>
      <c r="AM86" s="14" t="s">
        <v>48</v>
      </c>
      <c r="AN86" s="14" t="s">
        <v>49</v>
      </c>
      <c r="AO86" s="14">
        <v>96.8</v>
      </c>
      <c r="AP86" s="16" t="s">
        <v>327</v>
      </c>
      <c r="AR86" s="14">
        <v>19</v>
      </c>
      <c r="AS86" s="14" t="s">
        <v>392</v>
      </c>
      <c r="BC86" s="14">
        <v>0</v>
      </c>
      <c r="BN86" s="14">
        <v>0</v>
      </c>
      <c r="BY86" s="14">
        <v>0</v>
      </c>
    </row>
    <row r="87" spans="1:77">
      <c r="A87" s="14">
        <v>25280</v>
      </c>
      <c r="B87" s="14" t="s">
        <v>64</v>
      </c>
      <c r="C87" s="14" t="str">
        <f>VLOOKUP(A87,[1]Sheet1!$A:$F,5,FALSE)</f>
        <v>전략</v>
      </c>
      <c r="D87" s="14" t="str">
        <f>VLOOKUP(A87,[1]Sheet1!$A:$F,6,FALSE)</f>
        <v>SAFETY</v>
      </c>
      <c r="E87" s="15">
        <v>23100</v>
      </c>
      <c r="F87" s="14" t="s">
        <v>54</v>
      </c>
      <c r="G87" s="14" t="s">
        <v>13</v>
      </c>
      <c r="H87" s="14">
        <v>97.1</v>
      </c>
      <c r="I87" s="17" t="s">
        <v>486</v>
      </c>
      <c r="J87" s="14" t="s">
        <v>486</v>
      </c>
      <c r="K87" s="14">
        <v>15</v>
      </c>
      <c r="L87" s="14">
        <v>26215</v>
      </c>
      <c r="M87" s="14">
        <v>23652</v>
      </c>
      <c r="P87" s="15">
        <v>23200</v>
      </c>
      <c r="Q87" s="14" t="s">
        <v>63</v>
      </c>
      <c r="R87" s="14" t="s">
        <v>13</v>
      </c>
      <c r="S87" s="14">
        <v>97.01</v>
      </c>
      <c r="T87" s="16" t="s">
        <v>486</v>
      </c>
      <c r="V87" s="14">
        <v>15</v>
      </c>
      <c r="W87" s="14">
        <v>26215</v>
      </c>
      <c r="X87" s="14">
        <v>26215</v>
      </c>
      <c r="AA87" s="15">
        <v>23300</v>
      </c>
      <c r="AB87" s="14" t="s">
        <v>65</v>
      </c>
      <c r="AC87" s="14" t="s">
        <v>13</v>
      </c>
      <c r="AD87" s="14">
        <v>96.92</v>
      </c>
      <c r="AE87" s="16" t="s">
        <v>359</v>
      </c>
      <c r="AG87" s="14">
        <v>15</v>
      </c>
      <c r="AH87" s="14">
        <v>26215</v>
      </c>
      <c r="AI87" s="14">
        <v>26215</v>
      </c>
      <c r="AP87" s="14"/>
      <c r="AR87" s="14">
        <v>0</v>
      </c>
      <c r="BC87" s="14">
        <v>0</v>
      </c>
      <c r="BN87" s="14">
        <v>0</v>
      </c>
      <c r="BY87" s="14">
        <v>0</v>
      </c>
    </row>
    <row r="88" spans="1:77">
      <c r="A88" s="14">
        <v>32309</v>
      </c>
      <c r="B88" s="14" t="s">
        <v>176</v>
      </c>
      <c r="C88" s="14" t="str">
        <f>VLOOKUP(A88,[1]Sheet1!$A:$F,5,FALSE)</f>
        <v>전략</v>
      </c>
      <c r="D88" s="14" t="str">
        <f>VLOOKUP(A88,[1]Sheet1!$A:$F,6,FALSE)</f>
        <v>SP</v>
      </c>
      <c r="E88" s="15">
        <v>20902</v>
      </c>
      <c r="F88" s="14" t="s">
        <v>53</v>
      </c>
      <c r="G88" s="14" t="s">
        <v>16</v>
      </c>
      <c r="H88" s="14">
        <v>97.11</v>
      </c>
      <c r="I88" s="17" t="s">
        <v>535</v>
      </c>
      <c r="J88" s="14" t="s">
        <v>535</v>
      </c>
      <c r="K88" s="14">
        <v>20</v>
      </c>
      <c r="L88" s="14">
        <v>25101</v>
      </c>
      <c r="M88" s="14">
        <v>20808</v>
      </c>
      <c r="P88" s="15">
        <v>20702</v>
      </c>
      <c r="Q88" s="14" t="s">
        <v>44</v>
      </c>
      <c r="R88" s="14" t="s">
        <v>17</v>
      </c>
      <c r="S88" s="14">
        <v>98.92</v>
      </c>
      <c r="T88" s="16" t="s">
        <v>358</v>
      </c>
      <c r="V88" s="14">
        <v>35</v>
      </c>
      <c r="W88" s="14">
        <v>25101</v>
      </c>
      <c r="AA88" s="15">
        <v>20500</v>
      </c>
      <c r="AB88" s="14" t="s">
        <v>31</v>
      </c>
      <c r="AC88" s="14" t="s">
        <v>17</v>
      </c>
      <c r="AD88" s="14">
        <v>98.91</v>
      </c>
      <c r="AE88" s="16" t="s">
        <v>326</v>
      </c>
      <c r="AF88" s="14" t="s">
        <v>326</v>
      </c>
      <c r="AG88" s="14">
        <v>27</v>
      </c>
      <c r="AH88" s="14">
        <v>25101</v>
      </c>
      <c r="AI88" s="14">
        <v>25382</v>
      </c>
      <c r="AL88" s="15">
        <v>20906</v>
      </c>
      <c r="AM88" s="14" t="s">
        <v>48</v>
      </c>
      <c r="AN88" s="14" t="s">
        <v>49</v>
      </c>
      <c r="AO88" s="14">
        <v>96.69</v>
      </c>
      <c r="AP88" s="16" t="s">
        <v>327</v>
      </c>
      <c r="AR88" s="14">
        <v>16.3</v>
      </c>
      <c r="AS88" s="14">
        <v>25101</v>
      </c>
      <c r="BC88" s="14">
        <v>0</v>
      </c>
      <c r="BN88" s="14">
        <v>0</v>
      </c>
      <c r="BY88" s="14">
        <v>0</v>
      </c>
    </row>
    <row r="89" spans="1:77">
      <c r="A89" s="14">
        <v>32731</v>
      </c>
      <c r="B89" s="14" t="s">
        <v>536</v>
      </c>
      <c r="C89" s="14" t="str">
        <f>VLOOKUP(A89,[1]Sheet1!$A:$F,5,FALSE)</f>
        <v>전략</v>
      </c>
      <c r="D89" s="14" t="str">
        <f>VLOOKUP(A89,[1]Sheet1!$A:$F,6,FALSE)</f>
        <v>SP</v>
      </c>
      <c r="E89" s="15">
        <v>20902</v>
      </c>
      <c r="F89" s="14" t="s">
        <v>53</v>
      </c>
      <c r="G89" s="14" t="s">
        <v>13</v>
      </c>
      <c r="H89" s="14">
        <v>97.12</v>
      </c>
      <c r="I89" s="17" t="s">
        <v>537</v>
      </c>
      <c r="J89" s="14" t="s">
        <v>537</v>
      </c>
      <c r="K89" s="14">
        <v>15</v>
      </c>
      <c r="L89" s="14">
        <v>20807</v>
      </c>
      <c r="M89" s="14">
        <v>25889</v>
      </c>
      <c r="P89" s="15">
        <v>20705</v>
      </c>
      <c r="Q89" s="14" t="s">
        <v>59</v>
      </c>
      <c r="R89" s="14" t="s">
        <v>17</v>
      </c>
      <c r="S89" s="14">
        <v>98.03</v>
      </c>
      <c r="T89" s="16" t="s">
        <v>513</v>
      </c>
      <c r="U89" s="14" t="s">
        <v>513</v>
      </c>
      <c r="V89" s="14">
        <v>30</v>
      </c>
      <c r="W89" s="14">
        <v>20807</v>
      </c>
      <c r="AA89" s="15">
        <v>20500</v>
      </c>
      <c r="AB89" s="14" t="s">
        <v>31</v>
      </c>
      <c r="AC89" s="14" t="s">
        <v>17</v>
      </c>
      <c r="AD89" s="14">
        <v>97.99</v>
      </c>
      <c r="AE89" s="16" t="s">
        <v>423</v>
      </c>
      <c r="AF89" s="14" t="s">
        <v>423</v>
      </c>
      <c r="AG89" s="14">
        <v>25</v>
      </c>
      <c r="AH89" s="14">
        <v>20807</v>
      </c>
      <c r="AI89" s="14">
        <v>23352</v>
      </c>
      <c r="AL89" s="15">
        <v>20906</v>
      </c>
      <c r="AM89" s="14" t="s">
        <v>48</v>
      </c>
      <c r="AN89" s="14" t="s">
        <v>49</v>
      </c>
      <c r="AO89" s="14">
        <v>96.2</v>
      </c>
      <c r="AP89" s="16" t="s">
        <v>327</v>
      </c>
      <c r="AR89" s="14">
        <v>17</v>
      </c>
      <c r="AS89" s="14">
        <v>20807</v>
      </c>
      <c r="BC89" s="14">
        <v>0</v>
      </c>
      <c r="BN89" s="14">
        <v>0</v>
      </c>
      <c r="BY89" s="14">
        <v>0</v>
      </c>
    </row>
    <row r="90" spans="1:77">
      <c r="A90" s="14">
        <v>30459</v>
      </c>
      <c r="B90" s="14" t="s">
        <v>88</v>
      </c>
      <c r="C90" s="14" t="str">
        <f>VLOOKUP(A90,[1]Sheet1!$A:$F,5,FALSE)</f>
        <v>전략</v>
      </c>
      <c r="D90" s="14" t="str">
        <f>VLOOKUP(A90,[1]Sheet1!$A:$F,6,FALSE)</f>
        <v>SP</v>
      </c>
      <c r="E90" s="15">
        <v>20902</v>
      </c>
      <c r="F90" s="14" t="s">
        <v>53</v>
      </c>
      <c r="G90" s="14" t="s">
        <v>343</v>
      </c>
      <c r="H90" s="14">
        <v>97.13</v>
      </c>
      <c r="I90" s="17" t="s">
        <v>538</v>
      </c>
      <c r="J90" s="14" t="s">
        <v>538</v>
      </c>
      <c r="K90" s="14">
        <v>27.6</v>
      </c>
      <c r="L90" s="14" t="s">
        <v>539</v>
      </c>
      <c r="M90" s="14" t="s">
        <v>413</v>
      </c>
      <c r="P90" s="15">
        <v>20706</v>
      </c>
      <c r="Q90" s="14" t="s">
        <v>52</v>
      </c>
      <c r="R90" s="14" t="s">
        <v>17</v>
      </c>
      <c r="S90" s="14">
        <v>98.82</v>
      </c>
      <c r="T90" s="16" t="s">
        <v>432</v>
      </c>
      <c r="U90" s="14" t="s">
        <v>432</v>
      </c>
      <c r="V90" s="14">
        <v>40</v>
      </c>
      <c r="W90" s="14" t="s">
        <v>539</v>
      </c>
      <c r="AA90" s="15">
        <v>20500</v>
      </c>
      <c r="AB90" s="14" t="s">
        <v>31</v>
      </c>
      <c r="AC90" s="14" t="s">
        <v>17</v>
      </c>
      <c r="AD90" s="14">
        <v>97.76</v>
      </c>
      <c r="AE90" s="16" t="s">
        <v>350</v>
      </c>
      <c r="AF90" s="14" t="s">
        <v>350</v>
      </c>
      <c r="AG90" s="14">
        <v>22.3</v>
      </c>
      <c r="AH90" s="14" t="s">
        <v>539</v>
      </c>
      <c r="AI90" s="14" t="s">
        <v>415</v>
      </c>
      <c r="AL90" s="15">
        <v>20906</v>
      </c>
      <c r="AM90" s="14" t="s">
        <v>48</v>
      </c>
      <c r="AN90" s="14" t="s">
        <v>49</v>
      </c>
      <c r="AO90" s="14">
        <v>97.5</v>
      </c>
      <c r="AP90" s="16" t="s">
        <v>327</v>
      </c>
      <c r="AR90" s="14">
        <v>17</v>
      </c>
      <c r="AS90" s="14" t="s">
        <v>540</v>
      </c>
      <c r="BC90" s="14">
        <v>0</v>
      </c>
      <c r="BN90" s="14">
        <v>0</v>
      </c>
      <c r="BY90" s="14">
        <v>0</v>
      </c>
    </row>
    <row r="91" spans="1:77">
      <c r="A91" s="14">
        <v>31726</v>
      </c>
      <c r="B91" s="14" t="s">
        <v>127</v>
      </c>
      <c r="C91" s="14" t="str">
        <f>VLOOKUP(A91,[1]Sheet1!$A:$F,5,FALSE)</f>
        <v>전략</v>
      </c>
      <c r="D91" s="14" t="str">
        <f>VLOOKUP(A91,[1]Sheet1!$A:$F,6,FALSE)</f>
        <v>SP</v>
      </c>
      <c r="E91" s="15">
        <v>20902</v>
      </c>
      <c r="F91" s="14" t="s">
        <v>53</v>
      </c>
      <c r="G91" s="14" t="s">
        <v>13</v>
      </c>
      <c r="H91" s="14">
        <v>97.13</v>
      </c>
      <c r="I91" s="17" t="s">
        <v>541</v>
      </c>
      <c r="J91" s="14" t="s">
        <v>541</v>
      </c>
      <c r="K91" s="14">
        <v>15</v>
      </c>
      <c r="L91" s="14">
        <v>20807</v>
      </c>
      <c r="M91" s="14">
        <v>25889</v>
      </c>
      <c r="P91" s="15">
        <v>20706</v>
      </c>
      <c r="Q91" s="14" t="s">
        <v>52</v>
      </c>
      <c r="R91" s="14" t="s">
        <v>17</v>
      </c>
      <c r="S91" s="14">
        <v>98.03</v>
      </c>
      <c r="T91" s="16" t="s">
        <v>325</v>
      </c>
      <c r="V91" s="14">
        <v>40</v>
      </c>
      <c r="W91" s="14">
        <v>20807</v>
      </c>
      <c r="AA91" s="15">
        <v>20500</v>
      </c>
      <c r="AB91" s="14" t="s">
        <v>31</v>
      </c>
      <c r="AC91" s="14" t="s">
        <v>17</v>
      </c>
      <c r="AD91" s="14">
        <v>97.99</v>
      </c>
      <c r="AE91" s="16" t="s">
        <v>423</v>
      </c>
      <c r="AF91" s="14" t="s">
        <v>423</v>
      </c>
      <c r="AG91" s="14">
        <v>25</v>
      </c>
      <c r="AH91" s="14">
        <v>20807</v>
      </c>
      <c r="AI91" s="14">
        <v>23352</v>
      </c>
      <c r="AL91" s="15">
        <v>20906</v>
      </c>
      <c r="AM91" s="14" t="s">
        <v>48</v>
      </c>
      <c r="AN91" s="14" t="s">
        <v>49</v>
      </c>
      <c r="AO91" s="14">
        <v>97.95</v>
      </c>
      <c r="AP91" s="16" t="s">
        <v>327</v>
      </c>
      <c r="AR91" s="14">
        <v>17</v>
      </c>
      <c r="AS91" s="14">
        <v>20807</v>
      </c>
      <c r="BC91" s="14">
        <v>0</v>
      </c>
      <c r="BN91" s="14">
        <v>0</v>
      </c>
      <c r="BY91" s="14">
        <v>0</v>
      </c>
    </row>
    <row r="92" spans="1:77">
      <c r="A92" s="14">
        <v>30234</v>
      </c>
      <c r="B92" s="14" t="s">
        <v>81</v>
      </c>
      <c r="C92" s="14" t="str">
        <f>VLOOKUP(A92,[1]Sheet1!$A:$F,5,FALSE)</f>
        <v>전략</v>
      </c>
      <c r="D92" s="14" t="str">
        <f>VLOOKUP(A92,[1]Sheet1!$A:$F,6,FALSE)</f>
        <v>SP</v>
      </c>
      <c r="E92" s="15">
        <v>20902</v>
      </c>
      <c r="F92" s="14" t="s">
        <v>53</v>
      </c>
      <c r="G92" s="14" t="s">
        <v>487</v>
      </c>
      <c r="H92" s="14">
        <v>97.14</v>
      </c>
      <c r="I92" s="17" t="s">
        <v>542</v>
      </c>
      <c r="J92" s="14" t="s">
        <v>542</v>
      </c>
      <c r="K92" s="14">
        <v>25</v>
      </c>
      <c r="L92" s="14" t="s">
        <v>414</v>
      </c>
      <c r="M92" s="14" t="s">
        <v>413</v>
      </c>
      <c r="P92" s="15">
        <v>20702</v>
      </c>
      <c r="Q92" s="14" t="s">
        <v>44</v>
      </c>
      <c r="R92" s="14" t="s">
        <v>17</v>
      </c>
      <c r="S92" s="14">
        <v>99.07</v>
      </c>
      <c r="T92" s="16" t="s">
        <v>358</v>
      </c>
      <c r="V92" s="14">
        <v>35</v>
      </c>
      <c r="W92" s="14" t="s">
        <v>416</v>
      </c>
      <c r="AA92" s="15">
        <v>20500</v>
      </c>
      <c r="AB92" s="14" t="s">
        <v>31</v>
      </c>
      <c r="AC92" s="14" t="s">
        <v>17</v>
      </c>
      <c r="AD92" s="14">
        <v>98.46</v>
      </c>
      <c r="AE92" s="16" t="s">
        <v>350</v>
      </c>
      <c r="AF92" s="14" t="s">
        <v>350</v>
      </c>
      <c r="AG92" s="14">
        <v>22</v>
      </c>
      <c r="AH92" s="14" t="s">
        <v>543</v>
      </c>
      <c r="AI92" s="14" t="s">
        <v>353</v>
      </c>
      <c r="AL92" s="15">
        <v>20906</v>
      </c>
      <c r="AM92" s="14" t="s">
        <v>48</v>
      </c>
      <c r="AN92" s="14" t="s">
        <v>49</v>
      </c>
      <c r="AO92" s="14">
        <v>98.13</v>
      </c>
      <c r="AP92" s="16" t="s">
        <v>327</v>
      </c>
      <c r="AR92" s="14">
        <v>17</v>
      </c>
      <c r="AS92" s="14">
        <v>20807</v>
      </c>
      <c r="BC92" s="14">
        <v>0</v>
      </c>
      <c r="BN92" s="14">
        <v>0</v>
      </c>
      <c r="BY92" s="14">
        <v>0</v>
      </c>
    </row>
    <row r="93" spans="1:77">
      <c r="A93" s="14">
        <v>30463</v>
      </c>
      <c r="B93" s="14" t="s">
        <v>92</v>
      </c>
      <c r="C93" s="14" t="str">
        <f>VLOOKUP(A93,[1]Sheet1!$A:$F,5,FALSE)</f>
        <v>전략</v>
      </c>
      <c r="D93" s="14" t="str">
        <f>VLOOKUP(A93,[1]Sheet1!$A:$F,6,FALSE)</f>
        <v>SP</v>
      </c>
      <c r="E93" s="15">
        <v>20902</v>
      </c>
      <c r="F93" s="14" t="s">
        <v>53</v>
      </c>
      <c r="G93" s="14" t="s">
        <v>343</v>
      </c>
      <c r="H93" s="14">
        <v>97.17</v>
      </c>
      <c r="I93" s="17" t="s">
        <v>544</v>
      </c>
      <c r="J93" s="14" t="s">
        <v>544</v>
      </c>
      <c r="K93" s="14">
        <v>22</v>
      </c>
      <c r="L93" s="14" t="s">
        <v>414</v>
      </c>
      <c r="M93" s="14" t="s">
        <v>413</v>
      </c>
      <c r="P93" s="15">
        <v>20702</v>
      </c>
      <c r="Q93" s="14" t="s">
        <v>44</v>
      </c>
      <c r="R93" s="14" t="s">
        <v>17</v>
      </c>
      <c r="S93" s="14">
        <v>98.92</v>
      </c>
      <c r="T93" s="16" t="s">
        <v>381</v>
      </c>
      <c r="U93" s="14" t="s">
        <v>381</v>
      </c>
      <c r="V93" s="14">
        <v>35</v>
      </c>
      <c r="W93" s="14" t="s">
        <v>416</v>
      </c>
      <c r="AA93" s="15">
        <v>20500</v>
      </c>
      <c r="AB93" s="14" t="s">
        <v>31</v>
      </c>
      <c r="AC93" s="14" t="s">
        <v>17</v>
      </c>
      <c r="AD93" s="14">
        <v>98.74</v>
      </c>
      <c r="AE93" s="16" t="s">
        <v>350</v>
      </c>
      <c r="AF93" s="14" t="s">
        <v>350</v>
      </c>
      <c r="AG93" s="14">
        <v>23</v>
      </c>
      <c r="AH93" s="14" t="s">
        <v>540</v>
      </c>
      <c r="AI93" s="14" t="s">
        <v>415</v>
      </c>
      <c r="AL93" s="15">
        <v>20906</v>
      </c>
      <c r="AM93" s="14" t="s">
        <v>48</v>
      </c>
      <c r="AN93" s="14" t="s">
        <v>49</v>
      </c>
      <c r="AO93" s="14">
        <v>98.02</v>
      </c>
      <c r="AP93" s="16" t="s">
        <v>327</v>
      </c>
      <c r="AR93" s="14">
        <v>17</v>
      </c>
      <c r="AS93" s="14" t="s">
        <v>414</v>
      </c>
      <c r="BC93" s="14">
        <v>0</v>
      </c>
      <c r="BN93" s="14">
        <v>0</v>
      </c>
      <c r="BY93" s="14">
        <v>0</v>
      </c>
    </row>
    <row r="94" spans="1:77">
      <c r="A94" s="14">
        <v>32257</v>
      </c>
      <c r="B94" s="14" t="s">
        <v>545</v>
      </c>
      <c r="C94" s="14" t="str">
        <f>VLOOKUP(A94,[1]Sheet1!$A:$F,5,FALSE)</f>
        <v>전략</v>
      </c>
      <c r="D94" s="14" t="str">
        <f>VLOOKUP(A94,[1]Sheet1!$A:$F,6,FALSE)</f>
        <v>SP</v>
      </c>
      <c r="E94" s="15">
        <v>20902</v>
      </c>
      <c r="F94" s="14" t="s">
        <v>53</v>
      </c>
      <c r="G94" s="14" t="s">
        <v>13</v>
      </c>
      <c r="H94" s="14">
        <v>97.18</v>
      </c>
      <c r="I94" s="17" t="s">
        <v>546</v>
      </c>
      <c r="J94" s="14" t="s">
        <v>546</v>
      </c>
      <c r="K94" s="14">
        <v>20</v>
      </c>
      <c r="L94" s="14">
        <v>20807</v>
      </c>
      <c r="M94" s="14">
        <v>20808</v>
      </c>
      <c r="P94" s="15">
        <v>20702</v>
      </c>
      <c r="Q94" s="14" t="s">
        <v>44</v>
      </c>
      <c r="R94" s="14" t="s">
        <v>17</v>
      </c>
      <c r="S94" s="14">
        <v>98.84</v>
      </c>
      <c r="T94" s="16" t="s">
        <v>347</v>
      </c>
      <c r="U94" s="14" t="s">
        <v>347</v>
      </c>
      <c r="V94" s="14">
        <v>35</v>
      </c>
      <c r="W94" s="14">
        <v>20807</v>
      </c>
      <c r="AA94" s="15">
        <v>20500</v>
      </c>
      <c r="AB94" s="14" t="s">
        <v>31</v>
      </c>
      <c r="AC94" s="14" t="s">
        <v>17</v>
      </c>
      <c r="AD94" s="14">
        <v>96.47</v>
      </c>
      <c r="AE94" s="14" t="s">
        <v>326</v>
      </c>
      <c r="AG94" s="14">
        <v>27</v>
      </c>
      <c r="AH94" s="14">
        <v>20807</v>
      </c>
      <c r="AI94" s="14">
        <v>25382</v>
      </c>
      <c r="AL94" s="15">
        <v>20906</v>
      </c>
      <c r="AM94" s="14" t="s">
        <v>48</v>
      </c>
      <c r="AN94" s="14" t="s">
        <v>49</v>
      </c>
      <c r="AO94" s="14">
        <v>95.12</v>
      </c>
      <c r="AP94" s="16" t="s">
        <v>327</v>
      </c>
      <c r="AR94" s="14">
        <v>17</v>
      </c>
      <c r="AS94" s="14">
        <v>20807</v>
      </c>
      <c r="BC94" s="14">
        <v>0</v>
      </c>
      <c r="BN94" s="14">
        <v>0</v>
      </c>
      <c r="BY94" s="14">
        <v>0</v>
      </c>
    </row>
    <row r="95" spans="1:77">
      <c r="A95" s="14">
        <v>31739</v>
      </c>
      <c r="B95" s="14" t="s">
        <v>131</v>
      </c>
      <c r="C95" s="14" t="str">
        <f>VLOOKUP(A95,[1]Sheet1!$A:$F,5,FALSE)</f>
        <v>전략</v>
      </c>
      <c r="D95" s="14" t="str">
        <f>VLOOKUP(A95,[1]Sheet1!$A:$F,6,FALSE)</f>
        <v>SP</v>
      </c>
      <c r="E95" s="15">
        <v>20902</v>
      </c>
      <c r="F95" s="14" t="s">
        <v>53</v>
      </c>
      <c r="G95" s="14" t="s">
        <v>343</v>
      </c>
      <c r="H95" s="14">
        <v>97.19</v>
      </c>
      <c r="I95" s="17" t="s">
        <v>547</v>
      </c>
      <c r="J95" s="14" t="s">
        <v>547</v>
      </c>
      <c r="K95" s="14">
        <v>23.6</v>
      </c>
      <c r="L95" s="14" t="s">
        <v>391</v>
      </c>
      <c r="M95" s="14">
        <v>20808</v>
      </c>
      <c r="P95" s="15">
        <v>20702</v>
      </c>
      <c r="Q95" s="14" t="s">
        <v>44</v>
      </c>
      <c r="R95" s="14" t="s">
        <v>17</v>
      </c>
      <c r="S95" s="14">
        <v>98.88</v>
      </c>
      <c r="T95" s="16" t="s">
        <v>347</v>
      </c>
      <c r="U95" s="14" t="s">
        <v>347</v>
      </c>
      <c r="V95" s="14">
        <v>35</v>
      </c>
      <c r="W95" s="14" t="s">
        <v>392</v>
      </c>
      <c r="AA95" s="15">
        <v>20500</v>
      </c>
      <c r="AB95" s="14" t="s">
        <v>31</v>
      </c>
      <c r="AC95" s="14" t="s">
        <v>17</v>
      </c>
      <c r="AD95" s="14">
        <v>98.68</v>
      </c>
      <c r="AE95" s="16" t="s">
        <v>326</v>
      </c>
      <c r="AF95" s="14" t="s">
        <v>326</v>
      </c>
      <c r="AG95" s="14">
        <v>27</v>
      </c>
      <c r="AH95" s="14" t="s">
        <v>391</v>
      </c>
      <c r="AI95" s="14" t="s">
        <v>393</v>
      </c>
      <c r="AL95" s="15">
        <v>20906</v>
      </c>
      <c r="AM95" s="14" t="s">
        <v>48</v>
      </c>
      <c r="AN95" s="14" t="s">
        <v>49</v>
      </c>
      <c r="AO95" s="14">
        <v>98.09</v>
      </c>
      <c r="AP95" s="16" t="s">
        <v>327</v>
      </c>
      <c r="AR95" s="14">
        <v>17</v>
      </c>
      <c r="AS95" s="14" t="s">
        <v>392</v>
      </c>
      <c r="BC95" s="14">
        <v>0</v>
      </c>
      <c r="BN95" s="14">
        <v>0</v>
      </c>
      <c r="BY95" s="14">
        <v>0</v>
      </c>
    </row>
    <row r="96" spans="1:77">
      <c r="A96" s="14">
        <v>31798</v>
      </c>
      <c r="B96" s="14" t="s">
        <v>132</v>
      </c>
      <c r="C96" s="14" t="str">
        <f>VLOOKUP(A96,[1]Sheet1!$A:$F,5,FALSE)</f>
        <v>전략</v>
      </c>
      <c r="D96" s="14" t="str">
        <f>VLOOKUP(A96,[1]Sheet1!$A:$F,6,FALSE)</f>
        <v>SP</v>
      </c>
      <c r="E96" s="15">
        <v>20902</v>
      </c>
      <c r="F96" s="14" t="s">
        <v>53</v>
      </c>
      <c r="G96" s="14" t="s">
        <v>487</v>
      </c>
      <c r="H96" s="14">
        <v>97.2</v>
      </c>
      <c r="I96" s="17" t="s">
        <v>548</v>
      </c>
      <c r="J96" s="14" t="s">
        <v>548</v>
      </c>
      <c r="K96" s="14">
        <v>18</v>
      </c>
      <c r="L96" s="14" t="s">
        <v>391</v>
      </c>
      <c r="M96" s="14">
        <v>20808</v>
      </c>
      <c r="P96" s="15">
        <v>20706</v>
      </c>
      <c r="Q96" s="14" t="s">
        <v>52</v>
      </c>
      <c r="R96" s="14" t="s">
        <v>17</v>
      </c>
      <c r="S96" s="14">
        <v>98.96</v>
      </c>
      <c r="T96" s="16" t="s">
        <v>410</v>
      </c>
      <c r="U96" s="14" t="s">
        <v>503</v>
      </c>
      <c r="V96" s="14">
        <v>40</v>
      </c>
      <c r="W96" s="14" t="s">
        <v>392</v>
      </c>
      <c r="AA96" s="15">
        <v>20500</v>
      </c>
      <c r="AB96" s="14" t="s">
        <v>31</v>
      </c>
      <c r="AC96" s="14" t="s">
        <v>533</v>
      </c>
      <c r="AD96" s="14">
        <v>98.7</v>
      </c>
      <c r="AE96" s="16" t="s">
        <v>326</v>
      </c>
      <c r="AF96" s="14" t="s">
        <v>326</v>
      </c>
      <c r="AG96" s="14">
        <v>26.4</v>
      </c>
      <c r="AH96" s="14" t="s">
        <v>391</v>
      </c>
      <c r="AI96" s="14" t="s">
        <v>393</v>
      </c>
      <c r="AL96" s="15">
        <v>20906</v>
      </c>
      <c r="AM96" s="14" t="s">
        <v>48</v>
      </c>
      <c r="AN96" s="14" t="s">
        <v>49</v>
      </c>
      <c r="AO96" s="14">
        <v>97.78</v>
      </c>
      <c r="AP96" s="16" t="s">
        <v>327</v>
      </c>
      <c r="AR96" s="14">
        <v>17.3</v>
      </c>
      <c r="AS96" s="14" t="s">
        <v>391</v>
      </c>
      <c r="BC96" s="14">
        <v>0</v>
      </c>
      <c r="BN96" s="14">
        <v>0</v>
      </c>
      <c r="BY96" s="14">
        <v>0</v>
      </c>
    </row>
    <row r="97" spans="1:77">
      <c r="A97" s="14">
        <v>30311</v>
      </c>
      <c r="B97" s="14" t="s">
        <v>86</v>
      </c>
      <c r="C97" s="14" t="str">
        <f>VLOOKUP(A97,[1]Sheet1!$A:$F,5,FALSE)</f>
        <v>전략</v>
      </c>
      <c r="D97" s="14" t="str">
        <f>VLOOKUP(A97,[1]Sheet1!$A:$F,6,FALSE)</f>
        <v>SP</v>
      </c>
      <c r="E97" s="15">
        <v>20902</v>
      </c>
      <c r="F97" s="14" t="s">
        <v>53</v>
      </c>
      <c r="G97" s="14" t="s">
        <v>16</v>
      </c>
      <c r="H97" s="14">
        <v>97.21</v>
      </c>
      <c r="I97" s="17" t="s">
        <v>549</v>
      </c>
      <c r="J97" s="14" t="s">
        <v>549</v>
      </c>
      <c r="K97" s="14">
        <v>30</v>
      </c>
      <c r="L97" s="14">
        <v>20807</v>
      </c>
      <c r="M97" s="14">
        <v>20808</v>
      </c>
      <c r="P97" s="15">
        <v>20706</v>
      </c>
      <c r="Q97" s="14" t="s">
        <v>52</v>
      </c>
      <c r="R97" s="14" t="s">
        <v>17</v>
      </c>
      <c r="S97" s="14">
        <v>99.14</v>
      </c>
      <c r="T97" s="16" t="s">
        <v>325</v>
      </c>
      <c r="V97" s="14">
        <v>40</v>
      </c>
      <c r="W97" s="14">
        <v>20807</v>
      </c>
      <c r="AA97" s="15">
        <v>20500</v>
      </c>
      <c r="AB97" s="14" t="s">
        <v>31</v>
      </c>
      <c r="AC97" s="14" t="s">
        <v>17</v>
      </c>
      <c r="AD97" s="14">
        <v>98.84</v>
      </c>
      <c r="AE97" s="16" t="s">
        <v>423</v>
      </c>
      <c r="AF97" s="14" t="s">
        <v>423</v>
      </c>
      <c r="AG97" s="14">
        <v>27</v>
      </c>
      <c r="AH97" s="14">
        <v>20807</v>
      </c>
      <c r="AI97" s="14">
        <v>23352</v>
      </c>
      <c r="AL97" s="15">
        <v>20906</v>
      </c>
      <c r="AM97" s="14" t="s">
        <v>48</v>
      </c>
      <c r="AN97" s="14" t="s">
        <v>49</v>
      </c>
      <c r="AO97" s="14">
        <v>98.39</v>
      </c>
      <c r="AP97" s="16" t="s">
        <v>327</v>
      </c>
      <c r="AR97" s="14">
        <v>18</v>
      </c>
      <c r="AS97" s="14">
        <v>20807</v>
      </c>
      <c r="BC97" s="14">
        <v>0</v>
      </c>
      <c r="BN97" s="14">
        <v>0</v>
      </c>
      <c r="BY97" s="14">
        <v>0</v>
      </c>
    </row>
    <row r="98" spans="1:77">
      <c r="A98" s="14">
        <v>32000</v>
      </c>
      <c r="B98" s="14" t="s">
        <v>550</v>
      </c>
      <c r="C98" s="14" t="str">
        <f>VLOOKUP(A98,[1]Sheet1!$A:$F,5,FALSE)</f>
        <v>전략</v>
      </c>
      <c r="D98" s="14" t="str">
        <f>VLOOKUP(A98,[1]Sheet1!$A:$F,6,FALSE)</f>
        <v>SP</v>
      </c>
      <c r="E98" s="15">
        <v>20902</v>
      </c>
      <c r="F98" s="14" t="s">
        <v>53</v>
      </c>
      <c r="G98" s="14" t="s">
        <v>13</v>
      </c>
      <c r="H98" s="14">
        <v>97.21</v>
      </c>
      <c r="I98" s="17" t="s">
        <v>551</v>
      </c>
      <c r="J98" s="14" t="s">
        <v>551</v>
      </c>
      <c r="K98" s="14">
        <v>20</v>
      </c>
      <c r="L98" s="14">
        <v>20807</v>
      </c>
      <c r="M98" s="14">
        <v>20808</v>
      </c>
      <c r="P98" s="15">
        <v>20702</v>
      </c>
      <c r="Q98" s="14" t="s">
        <v>44</v>
      </c>
      <c r="R98" s="14" t="s">
        <v>17</v>
      </c>
      <c r="S98" s="14">
        <v>93.3</v>
      </c>
      <c r="T98" s="16" t="s">
        <v>358</v>
      </c>
      <c r="V98" s="14">
        <v>25</v>
      </c>
      <c r="W98" s="14">
        <v>20807</v>
      </c>
      <c r="AA98" s="15">
        <v>20500</v>
      </c>
      <c r="AB98" s="14" t="s">
        <v>31</v>
      </c>
      <c r="AC98" s="14" t="s">
        <v>17</v>
      </c>
      <c r="AD98" s="14">
        <v>92.82</v>
      </c>
      <c r="AE98" s="16" t="s">
        <v>326</v>
      </c>
      <c r="AF98" s="14" t="s">
        <v>326</v>
      </c>
      <c r="AG98" s="14">
        <v>27</v>
      </c>
      <c r="AH98" s="14">
        <v>20807</v>
      </c>
      <c r="AI98" s="14">
        <v>25382</v>
      </c>
      <c r="AL98" s="15">
        <v>20906</v>
      </c>
      <c r="AM98" s="14" t="s">
        <v>48</v>
      </c>
      <c r="AN98" s="14" t="s">
        <v>49</v>
      </c>
      <c r="AO98" s="14">
        <v>95.3</v>
      </c>
      <c r="AP98" s="16" t="s">
        <v>327</v>
      </c>
      <c r="AR98" s="14">
        <v>17</v>
      </c>
      <c r="AS98" s="14">
        <v>20807</v>
      </c>
      <c r="BC98" s="14">
        <v>0</v>
      </c>
      <c r="BN98" s="14">
        <v>0</v>
      </c>
      <c r="BY98" s="14">
        <v>0</v>
      </c>
    </row>
    <row r="99" spans="1:77">
      <c r="A99" s="14">
        <v>32745</v>
      </c>
      <c r="B99" s="14" t="s">
        <v>552</v>
      </c>
      <c r="C99" s="14" t="str">
        <f>VLOOKUP(A99,[1]Sheet1!$A:$F,5,FALSE)</f>
        <v>HIGH-END</v>
      </c>
      <c r="D99" s="14" t="str">
        <f>VLOOKUP(A99,[1]Sheet1!$A:$F,6,FALSE)</f>
        <v>C-PPF</v>
      </c>
      <c r="E99" s="15">
        <v>20904</v>
      </c>
      <c r="F99" s="14" t="s">
        <v>156</v>
      </c>
      <c r="G99" s="14" t="s">
        <v>16</v>
      </c>
      <c r="H99" s="14">
        <v>97.22</v>
      </c>
      <c r="I99" s="17" t="s">
        <v>553</v>
      </c>
      <c r="J99" s="14" t="s">
        <v>553</v>
      </c>
      <c r="K99" s="14">
        <v>10</v>
      </c>
      <c r="L99" s="14">
        <v>25178</v>
      </c>
      <c r="M99" s="14">
        <v>26386</v>
      </c>
      <c r="P99" s="15">
        <v>20904</v>
      </c>
      <c r="Q99" s="14" t="s">
        <v>156</v>
      </c>
      <c r="R99" s="14" t="s">
        <v>16</v>
      </c>
      <c r="S99" s="14">
        <v>96</v>
      </c>
      <c r="T99" s="16" t="s">
        <v>554</v>
      </c>
      <c r="U99" s="14" t="s">
        <v>554</v>
      </c>
      <c r="V99" s="14">
        <v>10</v>
      </c>
      <c r="W99" s="14">
        <v>25178</v>
      </c>
      <c r="X99" s="14">
        <v>26386</v>
      </c>
      <c r="AA99" s="15">
        <v>23311</v>
      </c>
      <c r="AB99" s="14" t="s">
        <v>221</v>
      </c>
      <c r="AC99" s="14" t="s">
        <v>16</v>
      </c>
      <c r="AD99" s="14">
        <v>98.81</v>
      </c>
      <c r="AE99" s="16" t="s">
        <v>435</v>
      </c>
      <c r="AF99" s="14" t="s">
        <v>435</v>
      </c>
      <c r="AG99" s="14">
        <v>10</v>
      </c>
      <c r="AH99" s="14">
        <v>25178</v>
      </c>
      <c r="AI99" s="14">
        <v>25800</v>
      </c>
      <c r="AL99" s="15">
        <v>12400</v>
      </c>
      <c r="AM99" s="14" t="s">
        <v>217</v>
      </c>
      <c r="AN99" s="14" t="s">
        <v>16</v>
      </c>
      <c r="AO99" s="14">
        <v>96.39</v>
      </c>
      <c r="AP99" s="16" t="s">
        <v>469</v>
      </c>
      <c r="AR99" s="14">
        <v>10</v>
      </c>
      <c r="AS99" s="14">
        <v>25178</v>
      </c>
      <c r="AV99" s="14">
        <v>31729</v>
      </c>
      <c r="BC99" s="14">
        <v>0</v>
      </c>
      <c r="BN99" s="14">
        <v>0</v>
      </c>
      <c r="BY99" s="14">
        <v>0</v>
      </c>
    </row>
    <row r="100" spans="1:77">
      <c r="A100" s="14">
        <v>32672</v>
      </c>
      <c r="B100" s="14" t="s">
        <v>555</v>
      </c>
      <c r="C100" s="14" t="str">
        <f>VLOOKUP(A100,[1]Sheet1!$A:$F,5,FALSE)</f>
        <v>전략</v>
      </c>
      <c r="D100" s="14" t="str">
        <f>VLOOKUP(A100,[1]Sheet1!$A:$F,6,FALSE)</f>
        <v>SP</v>
      </c>
      <c r="E100" s="15">
        <v>20902</v>
      </c>
      <c r="F100" s="14" t="s">
        <v>53</v>
      </c>
      <c r="G100" s="14" t="s">
        <v>487</v>
      </c>
      <c r="H100" s="14">
        <v>97.23</v>
      </c>
      <c r="I100" s="17" t="s">
        <v>556</v>
      </c>
      <c r="J100" s="14" t="s">
        <v>556</v>
      </c>
      <c r="K100" s="14">
        <v>20.399999999999999</v>
      </c>
      <c r="L100" s="14" t="s">
        <v>557</v>
      </c>
      <c r="M100" s="14" t="s">
        <v>346</v>
      </c>
      <c r="P100" s="15">
        <v>20713</v>
      </c>
      <c r="Q100" s="14" t="s">
        <v>147</v>
      </c>
      <c r="R100" s="14" t="s">
        <v>17</v>
      </c>
      <c r="S100" s="14">
        <v>98.64</v>
      </c>
      <c r="T100" s="16" t="s">
        <v>444</v>
      </c>
      <c r="U100" s="14" t="s">
        <v>558</v>
      </c>
      <c r="V100" s="14">
        <v>25</v>
      </c>
      <c r="W100" s="14" t="s">
        <v>559</v>
      </c>
      <c r="AA100" s="15">
        <v>20500</v>
      </c>
      <c r="AB100" s="14" t="s">
        <v>31</v>
      </c>
      <c r="AC100" s="14" t="s">
        <v>17</v>
      </c>
      <c r="AD100" s="14">
        <v>98.55</v>
      </c>
      <c r="AE100" s="16" t="s">
        <v>423</v>
      </c>
      <c r="AF100" s="14" t="s">
        <v>560</v>
      </c>
      <c r="AG100" s="14">
        <v>27</v>
      </c>
      <c r="AH100" s="14" t="s">
        <v>561</v>
      </c>
      <c r="AI100" s="14" t="s">
        <v>521</v>
      </c>
      <c r="AL100" s="15">
        <v>20906</v>
      </c>
      <c r="AM100" s="14" t="s">
        <v>48</v>
      </c>
      <c r="AN100" s="14" t="s">
        <v>49</v>
      </c>
      <c r="AO100" s="14">
        <v>97.84</v>
      </c>
      <c r="AP100" s="16" t="s">
        <v>327</v>
      </c>
      <c r="AR100" s="14">
        <v>17.399999999999999</v>
      </c>
      <c r="AS100" s="14" t="s">
        <v>562</v>
      </c>
      <c r="BC100" s="14">
        <v>0</v>
      </c>
      <c r="BN100" s="14">
        <v>0</v>
      </c>
      <c r="BY100" s="14">
        <v>0</v>
      </c>
    </row>
    <row r="101" spans="1:77">
      <c r="A101" s="14">
        <v>31504</v>
      </c>
      <c r="B101" s="14" t="s">
        <v>118</v>
      </c>
      <c r="C101" s="14" t="str">
        <f>VLOOKUP(A101,[1]Sheet1!$A:$F,5,FALSE)</f>
        <v>전략</v>
      </c>
      <c r="D101" s="14" t="str">
        <f>VLOOKUP(A101,[1]Sheet1!$A:$F,6,FALSE)</f>
        <v>SP</v>
      </c>
      <c r="E101" s="15">
        <v>20902</v>
      </c>
      <c r="F101" s="14" t="s">
        <v>53</v>
      </c>
      <c r="G101" s="14" t="s">
        <v>13</v>
      </c>
      <c r="H101" s="14">
        <v>97.29</v>
      </c>
      <c r="I101" s="17" t="s">
        <v>563</v>
      </c>
      <c r="J101" s="14" t="s">
        <v>563</v>
      </c>
      <c r="K101" s="14">
        <v>20</v>
      </c>
      <c r="L101" s="14">
        <v>20807</v>
      </c>
      <c r="M101" s="14">
        <v>20808</v>
      </c>
      <c r="P101" s="15">
        <v>20706</v>
      </c>
      <c r="Q101" s="14" t="s">
        <v>52</v>
      </c>
      <c r="R101" s="14" t="s">
        <v>564</v>
      </c>
      <c r="S101" s="14">
        <v>99.26</v>
      </c>
      <c r="T101" s="16" t="s">
        <v>325</v>
      </c>
      <c r="V101" s="14">
        <v>35</v>
      </c>
      <c r="W101" s="14">
        <v>20807</v>
      </c>
      <c r="AA101" s="15">
        <v>20500</v>
      </c>
      <c r="AB101" s="14" t="s">
        <v>31</v>
      </c>
      <c r="AC101" s="14" t="s">
        <v>17</v>
      </c>
      <c r="AD101" s="14">
        <v>98.13</v>
      </c>
      <c r="AE101" s="16" t="s">
        <v>326</v>
      </c>
      <c r="AF101" s="14" t="s">
        <v>326</v>
      </c>
      <c r="AG101" s="14">
        <v>30.4</v>
      </c>
      <c r="AH101" s="14">
        <v>20807</v>
      </c>
      <c r="AI101" s="14">
        <v>23352</v>
      </c>
      <c r="AL101" s="15">
        <v>20906</v>
      </c>
      <c r="AM101" s="14" t="s">
        <v>48</v>
      </c>
      <c r="AN101" s="14" t="s">
        <v>49</v>
      </c>
      <c r="AO101" s="14">
        <v>98.1</v>
      </c>
      <c r="AP101" s="16" t="s">
        <v>327</v>
      </c>
      <c r="AR101" s="14">
        <v>17</v>
      </c>
      <c r="AS101" s="14">
        <v>20807</v>
      </c>
      <c r="BC101" s="14">
        <v>0</v>
      </c>
      <c r="BN101" s="14">
        <v>0</v>
      </c>
      <c r="BY101" s="14">
        <v>0</v>
      </c>
    </row>
    <row r="102" spans="1:77">
      <c r="A102" s="14">
        <v>32305</v>
      </c>
      <c r="B102" s="14" t="s">
        <v>173</v>
      </c>
      <c r="C102" s="14" t="str">
        <f>VLOOKUP(A102,[1]Sheet1!$A:$F,5,FALSE)</f>
        <v>전략</v>
      </c>
      <c r="D102" s="14" t="str">
        <f>VLOOKUP(A102,[1]Sheet1!$A:$F,6,FALSE)</f>
        <v>SP</v>
      </c>
      <c r="E102" s="15">
        <v>20902</v>
      </c>
      <c r="F102" s="14" t="s">
        <v>53</v>
      </c>
      <c r="G102" s="14" t="s">
        <v>13</v>
      </c>
      <c r="H102" s="14">
        <v>97.29</v>
      </c>
      <c r="I102" s="17" t="s">
        <v>565</v>
      </c>
      <c r="J102" s="14" t="s">
        <v>566</v>
      </c>
      <c r="K102" s="14">
        <v>20</v>
      </c>
      <c r="L102" s="14" t="s">
        <v>391</v>
      </c>
      <c r="M102" s="14">
        <v>20808</v>
      </c>
      <c r="P102" s="15">
        <v>20702</v>
      </c>
      <c r="Q102" s="14" t="s">
        <v>44</v>
      </c>
      <c r="R102" s="14" t="s">
        <v>17</v>
      </c>
      <c r="S102" s="14">
        <v>98.69</v>
      </c>
      <c r="T102" s="16" t="s">
        <v>358</v>
      </c>
      <c r="V102" s="14">
        <v>35</v>
      </c>
      <c r="W102" s="14" t="s">
        <v>392</v>
      </c>
      <c r="AA102" s="15">
        <v>20500</v>
      </c>
      <c r="AB102" s="14" t="s">
        <v>31</v>
      </c>
      <c r="AC102" s="14" t="s">
        <v>17</v>
      </c>
      <c r="AD102" s="14">
        <v>98.34</v>
      </c>
      <c r="AE102" s="16" t="s">
        <v>326</v>
      </c>
      <c r="AF102" s="14" t="s">
        <v>326</v>
      </c>
      <c r="AG102" s="14">
        <v>27</v>
      </c>
      <c r="AH102" s="14" t="s">
        <v>392</v>
      </c>
      <c r="AI102" s="14">
        <v>25382</v>
      </c>
      <c r="AL102" s="15">
        <v>20906</v>
      </c>
      <c r="AM102" s="14" t="s">
        <v>48</v>
      </c>
      <c r="AN102" s="14" t="s">
        <v>49</v>
      </c>
      <c r="AO102" s="14">
        <v>98.3</v>
      </c>
      <c r="AP102" s="16" t="s">
        <v>327</v>
      </c>
      <c r="AR102" s="14">
        <v>15</v>
      </c>
      <c r="AS102" s="14">
        <v>20807</v>
      </c>
      <c r="BC102" s="14">
        <v>0</v>
      </c>
      <c r="BN102" s="14">
        <v>0</v>
      </c>
      <c r="BY102" s="14">
        <v>0</v>
      </c>
    </row>
    <row r="103" spans="1:77">
      <c r="A103" s="14">
        <v>31017</v>
      </c>
      <c r="B103" s="14" t="s">
        <v>102</v>
      </c>
      <c r="C103" s="14" t="str">
        <f>VLOOKUP(A103,[1]Sheet1!$A:$F,5,FALSE)</f>
        <v>전략</v>
      </c>
      <c r="D103" s="14" t="str">
        <f>VLOOKUP(A103,[1]Sheet1!$A:$F,6,FALSE)</f>
        <v>SP</v>
      </c>
      <c r="E103" s="15">
        <v>20902</v>
      </c>
      <c r="F103" s="14" t="s">
        <v>53</v>
      </c>
      <c r="G103" s="14" t="s">
        <v>13</v>
      </c>
      <c r="H103" s="14">
        <v>97.3</v>
      </c>
      <c r="I103" s="17" t="s">
        <v>567</v>
      </c>
      <c r="J103" s="14" t="s">
        <v>567</v>
      </c>
      <c r="K103" s="14">
        <v>20</v>
      </c>
      <c r="L103" s="14">
        <v>20807</v>
      </c>
      <c r="M103" s="14">
        <v>20808</v>
      </c>
      <c r="P103" s="15">
        <v>20706</v>
      </c>
      <c r="Q103" s="14" t="s">
        <v>52</v>
      </c>
      <c r="R103" s="14" t="s">
        <v>17</v>
      </c>
      <c r="S103" s="14">
        <v>98.89</v>
      </c>
      <c r="T103" s="16" t="s">
        <v>325</v>
      </c>
      <c r="V103" s="14">
        <v>40</v>
      </c>
      <c r="W103" s="14">
        <v>20807</v>
      </c>
      <c r="AA103" s="15">
        <v>20500</v>
      </c>
      <c r="AB103" s="14" t="s">
        <v>31</v>
      </c>
      <c r="AC103" s="14" t="s">
        <v>17</v>
      </c>
      <c r="AD103" s="14">
        <v>98.88</v>
      </c>
      <c r="AE103" s="14" t="s">
        <v>347</v>
      </c>
      <c r="AG103" s="14">
        <v>27</v>
      </c>
      <c r="AH103" s="14">
        <v>20807</v>
      </c>
      <c r="AI103" s="14">
        <v>25382</v>
      </c>
      <c r="AL103" s="15">
        <v>20906</v>
      </c>
      <c r="AM103" s="14" t="s">
        <v>48</v>
      </c>
      <c r="AN103" s="14" t="s">
        <v>49</v>
      </c>
      <c r="AO103" s="14">
        <v>98.86</v>
      </c>
      <c r="AP103" s="16" t="s">
        <v>327</v>
      </c>
      <c r="AR103" s="14">
        <v>17</v>
      </c>
      <c r="AS103" s="14">
        <v>20807</v>
      </c>
      <c r="BC103" s="14">
        <v>0</v>
      </c>
      <c r="BN103" s="14">
        <v>0</v>
      </c>
      <c r="BY103" s="14">
        <v>0</v>
      </c>
    </row>
    <row r="104" spans="1:77">
      <c r="A104" s="14">
        <v>32310</v>
      </c>
      <c r="B104" s="14" t="s">
        <v>568</v>
      </c>
      <c r="C104" s="14" t="str">
        <f>VLOOKUP(A104,[1]Sheet1!$A:$F,5,FALSE)</f>
        <v>전략</v>
      </c>
      <c r="D104" s="14" t="str">
        <f>VLOOKUP(A104,[1]Sheet1!$A:$F,6,FALSE)</f>
        <v>SP</v>
      </c>
      <c r="E104" s="15">
        <v>20902</v>
      </c>
      <c r="F104" s="14" t="s">
        <v>53</v>
      </c>
      <c r="G104" s="14" t="s">
        <v>343</v>
      </c>
      <c r="H104" s="14">
        <v>97.3</v>
      </c>
      <c r="I104" s="17" t="s">
        <v>569</v>
      </c>
      <c r="J104" s="14" t="s">
        <v>569</v>
      </c>
      <c r="K104" s="14">
        <v>21</v>
      </c>
      <c r="L104" s="14" t="s">
        <v>491</v>
      </c>
      <c r="M104" s="14" t="s">
        <v>380</v>
      </c>
      <c r="P104" s="15">
        <v>20702</v>
      </c>
      <c r="Q104" s="14" t="s">
        <v>44</v>
      </c>
      <c r="R104" s="14" t="s">
        <v>17</v>
      </c>
      <c r="S104" s="14">
        <v>95.78</v>
      </c>
      <c r="T104" s="16" t="s">
        <v>358</v>
      </c>
      <c r="V104" s="14">
        <v>35</v>
      </c>
      <c r="W104" s="14" t="s">
        <v>491</v>
      </c>
      <c r="AA104" s="15">
        <v>20500</v>
      </c>
      <c r="AB104" s="14" t="s">
        <v>31</v>
      </c>
      <c r="AC104" s="14" t="s">
        <v>17</v>
      </c>
      <c r="AD104" s="14">
        <v>98.12</v>
      </c>
      <c r="AE104" s="16" t="s">
        <v>326</v>
      </c>
      <c r="AF104" s="14" t="s">
        <v>326</v>
      </c>
      <c r="AG104" s="14">
        <v>27</v>
      </c>
      <c r="AH104" s="14" t="s">
        <v>492</v>
      </c>
      <c r="AI104" s="14" t="s">
        <v>493</v>
      </c>
      <c r="AL104" s="15">
        <v>20906</v>
      </c>
      <c r="AM104" s="14" t="s">
        <v>48</v>
      </c>
      <c r="AN104" s="14" t="s">
        <v>49</v>
      </c>
      <c r="AO104" s="14">
        <v>97.98</v>
      </c>
      <c r="AP104" s="16" t="s">
        <v>327</v>
      </c>
      <c r="AR104" s="14">
        <v>15</v>
      </c>
      <c r="AS104" s="14" t="s">
        <v>491</v>
      </c>
      <c r="BC104" s="14">
        <v>0</v>
      </c>
      <c r="BN104" s="14">
        <v>0</v>
      </c>
      <c r="BY104" s="14">
        <v>0</v>
      </c>
    </row>
    <row r="105" spans="1:77">
      <c r="A105" s="14">
        <v>26193</v>
      </c>
      <c r="B105" s="14" t="s">
        <v>35</v>
      </c>
      <c r="C105" s="14" t="str">
        <f>VLOOKUP(A105,[1]Sheet1!$A:$F,5,FALSE)</f>
        <v>염료</v>
      </c>
      <c r="D105" s="14" t="str">
        <f>VLOOKUP(A105,[1]Sheet1!$A:$F,6,FALSE)</f>
        <v>COLEX</v>
      </c>
      <c r="E105" s="15">
        <v>20500</v>
      </c>
      <c r="F105" s="14" t="s">
        <v>31</v>
      </c>
      <c r="G105" s="14" t="s">
        <v>13</v>
      </c>
      <c r="H105" s="14">
        <v>97.32</v>
      </c>
      <c r="I105" s="17" t="s">
        <v>570</v>
      </c>
      <c r="J105" s="14" t="s">
        <v>570</v>
      </c>
      <c r="K105" s="14">
        <v>30</v>
      </c>
      <c r="L105" s="14">
        <v>20378</v>
      </c>
      <c r="M105" s="14">
        <v>23352</v>
      </c>
      <c r="T105" s="14"/>
      <c r="V105" s="14">
        <v>0</v>
      </c>
      <c r="AE105" s="14"/>
      <c r="AG105" s="14">
        <v>0</v>
      </c>
      <c r="AP105" s="14"/>
      <c r="AR105" s="14">
        <v>0</v>
      </c>
      <c r="BC105" s="14">
        <v>0</v>
      </c>
      <c r="BN105" s="14">
        <v>0</v>
      </c>
      <c r="BY105" s="14">
        <v>0</v>
      </c>
    </row>
    <row r="106" spans="1:77">
      <c r="A106" s="14">
        <v>31243</v>
      </c>
      <c r="B106" s="14" t="s">
        <v>51</v>
      </c>
      <c r="C106" s="14" t="str">
        <f>VLOOKUP(A106,[1]Sheet1!$A:$F,5,FALSE)</f>
        <v>전략</v>
      </c>
      <c r="D106" s="14" t="str">
        <f>VLOOKUP(A106,[1]Sheet1!$A:$F,6,FALSE)</f>
        <v>IR</v>
      </c>
      <c r="E106" s="15">
        <v>20601</v>
      </c>
      <c r="F106" s="14" t="s">
        <v>43</v>
      </c>
      <c r="G106" s="14" t="s">
        <v>343</v>
      </c>
      <c r="H106" s="14">
        <v>97.32</v>
      </c>
      <c r="I106" s="17" t="s">
        <v>571</v>
      </c>
      <c r="J106" s="14" t="s">
        <v>571</v>
      </c>
      <c r="K106" s="14">
        <v>24</v>
      </c>
      <c r="L106" s="14" t="s">
        <v>572</v>
      </c>
      <c r="M106" s="14" t="s">
        <v>573</v>
      </c>
      <c r="P106" s="15">
        <v>20706</v>
      </c>
      <c r="Q106" s="14" t="s">
        <v>52</v>
      </c>
      <c r="R106" s="14" t="s">
        <v>17</v>
      </c>
      <c r="S106" s="14">
        <v>98.49</v>
      </c>
      <c r="T106" s="16" t="s">
        <v>432</v>
      </c>
      <c r="U106" s="14" t="s">
        <v>432</v>
      </c>
      <c r="V106" s="14">
        <v>40</v>
      </c>
      <c r="W106" s="14" t="s">
        <v>574</v>
      </c>
      <c r="AA106" s="15">
        <v>20500</v>
      </c>
      <c r="AB106" s="14" t="s">
        <v>31</v>
      </c>
      <c r="AC106" s="14" t="s">
        <v>349</v>
      </c>
      <c r="AD106" s="14">
        <v>97.6</v>
      </c>
      <c r="AE106" s="16" t="s">
        <v>350</v>
      </c>
      <c r="AF106" s="14" t="s">
        <v>351</v>
      </c>
      <c r="AG106" s="14">
        <v>22.6</v>
      </c>
      <c r="AH106" s="14" t="s">
        <v>575</v>
      </c>
      <c r="AI106" s="14" t="s">
        <v>459</v>
      </c>
      <c r="AL106" s="15">
        <v>20906</v>
      </c>
      <c r="AM106" s="14" t="s">
        <v>48</v>
      </c>
      <c r="AN106" s="14" t="s">
        <v>49</v>
      </c>
      <c r="AO106" s="14">
        <v>97.58</v>
      </c>
      <c r="AP106" s="16" t="s">
        <v>327</v>
      </c>
      <c r="AR106" s="14">
        <v>17.2</v>
      </c>
      <c r="AS106" s="14" t="s">
        <v>576</v>
      </c>
      <c r="BC106" s="14">
        <v>0</v>
      </c>
      <c r="BN106" s="14">
        <v>0</v>
      </c>
      <c r="BY106" s="14">
        <v>0</v>
      </c>
    </row>
    <row r="107" spans="1:77">
      <c r="A107" s="14">
        <v>30235</v>
      </c>
      <c r="B107" s="14" t="s">
        <v>82</v>
      </c>
      <c r="C107" s="14" t="str">
        <f>VLOOKUP(A107,[1]Sheet1!$A:$F,5,FALSE)</f>
        <v>전략</v>
      </c>
      <c r="D107" s="14" t="str">
        <f>VLOOKUP(A107,[1]Sheet1!$A:$F,6,FALSE)</f>
        <v>SP</v>
      </c>
      <c r="E107" s="15">
        <v>20902</v>
      </c>
      <c r="F107" s="14" t="s">
        <v>53</v>
      </c>
      <c r="G107" s="14" t="s">
        <v>487</v>
      </c>
      <c r="H107" s="14">
        <v>97.33</v>
      </c>
      <c r="I107" s="17" t="s">
        <v>577</v>
      </c>
      <c r="J107" s="14" t="s">
        <v>577</v>
      </c>
      <c r="K107" s="14">
        <v>25</v>
      </c>
      <c r="L107" s="14" t="s">
        <v>540</v>
      </c>
      <c r="M107" s="14" t="s">
        <v>413</v>
      </c>
      <c r="P107" s="15">
        <v>20702</v>
      </c>
      <c r="Q107" s="14" t="s">
        <v>44</v>
      </c>
      <c r="R107" s="14" t="s">
        <v>17</v>
      </c>
      <c r="S107" s="14">
        <v>99.15</v>
      </c>
      <c r="T107" s="16" t="s">
        <v>358</v>
      </c>
      <c r="V107" s="14">
        <v>35</v>
      </c>
      <c r="W107" s="14" t="s">
        <v>540</v>
      </c>
      <c r="AA107" s="15">
        <v>20500</v>
      </c>
      <c r="AB107" s="14" t="s">
        <v>31</v>
      </c>
      <c r="AC107" s="14" t="s">
        <v>17</v>
      </c>
      <c r="AD107" s="14">
        <v>99.69</v>
      </c>
      <c r="AE107" s="16" t="s">
        <v>350</v>
      </c>
      <c r="AF107" s="14" t="s">
        <v>350</v>
      </c>
      <c r="AG107" s="14">
        <v>22</v>
      </c>
      <c r="AH107" s="14" t="s">
        <v>543</v>
      </c>
      <c r="AI107" s="14" t="s">
        <v>353</v>
      </c>
      <c r="AL107" s="15">
        <v>20906</v>
      </c>
      <c r="AM107" s="14" t="s">
        <v>48</v>
      </c>
      <c r="AN107" s="14" t="s">
        <v>49</v>
      </c>
      <c r="AO107" s="14">
        <v>98.51</v>
      </c>
      <c r="AP107" s="16" t="s">
        <v>327</v>
      </c>
      <c r="AR107" s="14">
        <v>17</v>
      </c>
      <c r="AS107" s="14">
        <v>20807</v>
      </c>
      <c r="BC107" s="14">
        <v>0</v>
      </c>
      <c r="BN107" s="14">
        <v>0</v>
      </c>
      <c r="BY107" s="14">
        <v>0</v>
      </c>
    </row>
    <row r="108" spans="1:77">
      <c r="A108" s="14">
        <v>30462</v>
      </c>
      <c r="B108" s="14" t="s">
        <v>91</v>
      </c>
      <c r="C108" s="14" t="str">
        <f>VLOOKUP(A108,[1]Sheet1!$A:$F,5,FALSE)</f>
        <v>전략</v>
      </c>
      <c r="D108" s="14" t="str">
        <f>VLOOKUP(A108,[1]Sheet1!$A:$F,6,FALSE)</f>
        <v>SP</v>
      </c>
      <c r="E108" s="15">
        <v>20902</v>
      </c>
      <c r="F108" s="14" t="s">
        <v>53</v>
      </c>
      <c r="G108" s="14" t="s">
        <v>487</v>
      </c>
      <c r="H108" s="14">
        <v>97.33</v>
      </c>
      <c r="I108" s="17" t="s">
        <v>578</v>
      </c>
      <c r="J108" s="14" t="s">
        <v>578</v>
      </c>
      <c r="K108" s="14">
        <v>20.8</v>
      </c>
      <c r="L108" s="14" t="s">
        <v>457</v>
      </c>
      <c r="M108" s="14" t="s">
        <v>453</v>
      </c>
      <c r="P108" s="15">
        <v>20702</v>
      </c>
      <c r="Q108" s="14" t="s">
        <v>44</v>
      </c>
      <c r="R108" s="14" t="s">
        <v>17</v>
      </c>
      <c r="S108" s="14">
        <v>98.48</v>
      </c>
      <c r="T108" s="16" t="s">
        <v>381</v>
      </c>
      <c r="U108" s="14" t="s">
        <v>381</v>
      </c>
      <c r="V108" s="14">
        <v>35</v>
      </c>
      <c r="W108" s="14" t="s">
        <v>457</v>
      </c>
      <c r="AA108" s="15">
        <v>20500</v>
      </c>
      <c r="AB108" s="14" t="s">
        <v>31</v>
      </c>
      <c r="AC108" s="14" t="s">
        <v>533</v>
      </c>
      <c r="AD108" s="14">
        <v>97.21</v>
      </c>
      <c r="AE108" s="16" t="s">
        <v>326</v>
      </c>
      <c r="AF108" s="14" t="s">
        <v>458</v>
      </c>
      <c r="AG108" s="14">
        <v>24.2</v>
      </c>
      <c r="AH108" s="14" t="s">
        <v>543</v>
      </c>
      <c r="AI108" s="14" t="s">
        <v>353</v>
      </c>
      <c r="AL108" s="15">
        <v>20906</v>
      </c>
      <c r="AM108" s="14" t="s">
        <v>48</v>
      </c>
      <c r="AN108" s="14" t="s">
        <v>49</v>
      </c>
      <c r="AO108" s="14">
        <v>96.89</v>
      </c>
      <c r="AP108" s="16" t="s">
        <v>327</v>
      </c>
      <c r="AR108" s="14">
        <v>17.5</v>
      </c>
      <c r="AS108" s="14">
        <v>20807</v>
      </c>
      <c r="BC108" s="14">
        <v>0</v>
      </c>
      <c r="BN108" s="14">
        <v>0</v>
      </c>
      <c r="BY108" s="14">
        <v>0</v>
      </c>
    </row>
    <row r="109" spans="1:77">
      <c r="A109" s="14">
        <v>31600</v>
      </c>
      <c r="B109" s="14" t="s">
        <v>120</v>
      </c>
      <c r="C109" s="14" t="str">
        <f>VLOOKUP(A109,[1]Sheet1!$A:$F,5,FALSE)</f>
        <v>전략</v>
      </c>
      <c r="D109" s="14" t="str">
        <f>VLOOKUP(A109,[1]Sheet1!$A:$F,6,FALSE)</f>
        <v>SP</v>
      </c>
      <c r="E109" s="15">
        <v>20902</v>
      </c>
      <c r="F109" s="14" t="s">
        <v>53</v>
      </c>
      <c r="G109" s="14" t="s">
        <v>487</v>
      </c>
      <c r="H109" s="14">
        <v>97.33</v>
      </c>
      <c r="I109" s="17" t="s">
        <v>579</v>
      </c>
      <c r="J109" s="14" t="s">
        <v>579</v>
      </c>
      <c r="K109" s="14">
        <v>17.100000000000001</v>
      </c>
      <c r="L109" s="14" t="s">
        <v>392</v>
      </c>
      <c r="M109" s="14">
        <v>25889</v>
      </c>
      <c r="P109" s="15">
        <v>20705</v>
      </c>
      <c r="Q109" s="14" t="s">
        <v>59</v>
      </c>
      <c r="R109" s="14" t="s">
        <v>17</v>
      </c>
      <c r="S109" s="14">
        <v>98.9</v>
      </c>
      <c r="T109" s="16" t="s">
        <v>497</v>
      </c>
      <c r="U109" s="14" t="s">
        <v>497</v>
      </c>
      <c r="V109" s="14">
        <v>30</v>
      </c>
      <c r="W109" s="14" t="s">
        <v>391</v>
      </c>
      <c r="AA109" s="15">
        <v>20500</v>
      </c>
      <c r="AB109" s="14" t="s">
        <v>31</v>
      </c>
      <c r="AC109" s="14" t="s">
        <v>17</v>
      </c>
      <c r="AD109" s="14">
        <v>98.65</v>
      </c>
      <c r="AE109" s="16" t="s">
        <v>326</v>
      </c>
      <c r="AF109" s="14" t="s">
        <v>326</v>
      </c>
      <c r="AG109" s="14">
        <v>25</v>
      </c>
      <c r="AH109" s="14" t="s">
        <v>392</v>
      </c>
      <c r="AI109" s="14">
        <v>23352</v>
      </c>
      <c r="AL109" s="15">
        <v>20906</v>
      </c>
      <c r="AM109" s="14" t="s">
        <v>48</v>
      </c>
      <c r="AN109" s="14" t="s">
        <v>49</v>
      </c>
      <c r="AO109" s="14">
        <v>97.31</v>
      </c>
      <c r="AP109" s="16" t="s">
        <v>327</v>
      </c>
      <c r="AR109" s="14">
        <v>17</v>
      </c>
      <c r="AS109" s="14" t="s">
        <v>392</v>
      </c>
      <c r="BC109" s="14">
        <v>0</v>
      </c>
      <c r="BN109" s="14">
        <v>0</v>
      </c>
      <c r="BY109" s="14">
        <v>0</v>
      </c>
    </row>
    <row r="110" spans="1:77">
      <c r="A110" s="14">
        <v>32002</v>
      </c>
      <c r="B110" s="14" t="s">
        <v>142</v>
      </c>
      <c r="C110" s="14" t="str">
        <f>VLOOKUP(A110,[1]Sheet1!$A:$F,5,FALSE)</f>
        <v>전략</v>
      </c>
      <c r="D110" s="14" t="str">
        <f>VLOOKUP(A110,[1]Sheet1!$A:$F,6,FALSE)</f>
        <v>SP</v>
      </c>
      <c r="E110" s="15">
        <v>20902</v>
      </c>
      <c r="F110" s="14" t="s">
        <v>53</v>
      </c>
      <c r="G110" s="14" t="s">
        <v>13</v>
      </c>
      <c r="H110" s="14">
        <v>97.34</v>
      </c>
      <c r="I110" s="17" t="s">
        <v>580</v>
      </c>
      <c r="J110" s="14" t="s">
        <v>580</v>
      </c>
      <c r="K110" s="14">
        <v>15</v>
      </c>
      <c r="L110" s="14">
        <v>20807</v>
      </c>
      <c r="M110" s="14">
        <v>22485</v>
      </c>
      <c r="P110" s="15">
        <v>20702</v>
      </c>
      <c r="Q110" s="14" t="s">
        <v>44</v>
      </c>
      <c r="R110" s="14" t="s">
        <v>17</v>
      </c>
      <c r="S110" s="14">
        <v>96.51</v>
      </c>
      <c r="T110" s="16" t="s">
        <v>358</v>
      </c>
      <c r="V110" s="14">
        <v>35</v>
      </c>
      <c r="W110" s="14">
        <v>20807</v>
      </c>
      <c r="AA110" s="15">
        <v>20500</v>
      </c>
      <c r="AB110" s="14" t="s">
        <v>31</v>
      </c>
      <c r="AC110" s="14" t="s">
        <v>17</v>
      </c>
      <c r="AD110" s="14">
        <v>98.43</v>
      </c>
      <c r="AE110" s="16" t="s">
        <v>423</v>
      </c>
      <c r="AF110" s="14" t="s">
        <v>423</v>
      </c>
      <c r="AG110" s="14">
        <v>26.3</v>
      </c>
      <c r="AH110" s="14">
        <v>20807</v>
      </c>
      <c r="AI110" s="14" t="s">
        <v>393</v>
      </c>
      <c r="AL110" s="15">
        <v>20906</v>
      </c>
      <c r="AM110" s="14" t="s">
        <v>48</v>
      </c>
      <c r="AN110" s="14" t="s">
        <v>49</v>
      </c>
      <c r="AO110" s="14">
        <v>96.88</v>
      </c>
      <c r="AP110" s="16" t="s">
        <v>327</v>
      </c>
      <c r="AR110" s="14">
        <v>17</v>
      </c>
      <c r="AS110" s="14">
        <v>20807</v>
      </c>
      <c r="BC110" s="14">
        <v>0</v>
      </c>
      <c r="BN110" s="14">
        <v>0</v>
      </c>
      <c r="BY110" s="14">
        <v>0</v>
      </c>
    </row>
    <row r="111" spans="1:77">
      <c r="A111" s="14">
        <v>32281</v>
      </c>
      <c r="B111" s="14" t="s">
        <v>169</v>
      </c>
      <c r="C111" s="14" t="str">
        <f>VLOOKUP(A111,[1]Sheet1!$A:$F,5,FALSE)</f>
        <v>전략</v>
      </c>
      <c r="D111" s="14" t="str">
        <f>VLOOKUP(A111,[1]Sheet1!$A:$F,6,FALSE)</f>
        <v>SP</v>
      </c>
      <c r="E111" s="15">
        <v>20902</v>
      </c>
      <c r="F111" s="14" t="s">
        <v>53</v>
      </c>
      <c r="G111" s="14" t="s">
        <v>13</v>
      </c>
      <c r="H111" s="14">
        <v>97.34</v>
      </c>
      <c r="I111" s="17" t="s">
        <v>581</v>
      </c>
      <c r="J111" s="14" t="s">
        <v>581</v>
      </c>
      <c r="K111" s="14">
        <v>20</v>
      </c>
      <c r="L111" s="14">
        <v>20807</v>
      </c>
      <c r="M111" s="14">
        <v>20808</v>
      </c>
      <c r="P111" s="15">
        <v>20706</v>
      </c>
      <c r="Q111" s="14" t="s">
        <v>52</v>
      </c>
      <c r="R111" s="14" t="s">
        <v>564</v>
      </c>
      <c r="S111" s="14">
        <v>99.32</v>
      </c>
      <c r="T111" s="16" t="s">
        <v>432</v>
      </c>
      <c r="U111" s="14" t="s">
        <v>432</v>
      </c>
      <c r="V111" s="14">
        <v>34.299999999999997</v>
      </c>
      <c r="W111" s="14">
        <v>20807</v>
      </c>
      <c r="AA111" s="15">
        <v>20500</v>
      </c>
      <c r="AB111" s="14" t="s">
        <v>31</v>
      </c>
      <c r="AC111" s="14" t="s">
        <v>17</v>
      </c>
      <c r="AD111" s="14">
        <v>99.17</v>
      </c>
      <c r="AE111" s="16" t="s">
        <v>326</v>
      </c>
      <c r="AF111" s="14" t="s">
        <v>326</v>
      </c>
      <c r="AG111" s="14">
        <v>27</v>
      </c>
      <c r="AH111" s="14">
        <v>20807</v>
      </c>
      <c r="AI111" s="14">
        <v>23352</v>
      </c>
      <c r="AL111" s="15">
        <v>20906</v>
      </c>
      <c r="AM111" s="14" t="s">
        <v>48</v>
      </c>
      <c r="AN111" s="14" t="s">
        <v>49</v>
      </c>
      <c r="AO111" s="14">
        <v>98.06</v>
      </c>
      <c r="AP111" s="16" t="s">
        <v>327</v>
      </c>
      <c r="AR111" s="14">
        <v>17</v>
      </c>
      <c r="AS111" s="14">
        <v>20807</v>
      </c>
      <c r="BC111" s="14">
        <v>0</v>
      </c>
      <c r="BN111" s="14">
        <v>0</v>
      </c>
      <c r="BY111" s="14">
        <v>0</v>
      </c>
    </row>
    <row r="112" spans="1:77">
      <c r="A112" s="14">
        <v>31985</v>
      </c>
      <c r="B112" s="14" t="s">
        <v>235</v>
      </c>
      <c r="C112" s="14" t="str">
        <f>VLOOKUP(A112,[1]Sheet1!$A:$F,5,FALSE)</f>
        <v>HIGH-END</v>
      </c>
      <c r="D112" s="14" t="str">
        <f>VLOOKUP(A112,[1]Sheet1!$A:$F,6,FALSE)</f>
        <v>C-PPF</v>
      </c>
      <c r="E112" s="15">
        <v>25005</v>
      </c>
      <c r="F112" s="14" t="s">
        <v>231</v>
      </c>
      <c r="G112" s="14" t="s">
        <v>16</v>
      </c>
      <c r="H112" s="14">
        <v>97.35</v>
      </c>
      <c r="I112" s="17">
        <v>14774</v>
      </c>
      <c r="J112" s="14" t="s">
        <v>362</v>
      </c>
      <c r="K112" s="14">
        <v>8.9</v>
      </c>
      <c r="L112" s="14" t="s">
        <v>340</v>
      </c>
      <c r="O112" s="14" t="s">
        <v>582</v>
      </c>
      <c r="P112" s="15">
        <v>20500</v>
      </c>
      <c r="Q112" s="14" t="s">
        <v>217</v>
      </c>
      <c r="R112" s="14" t="s">
        <v>16</v>
      </c>
      <c r="S112" s="14">
        <v>93.74</v>
      </c>
      <c r="T112" s="16" t="s">
        <v>370</v>
      </c>
      <c r="U112" s="14" t="s">
        <v>583</v>
      </c>
      <c r="V112" s="14">
        <v>10</v>
      </c>
      <c r="W112" s="14" t="s">
        <v>340</v>
      </c>
      <c r="Z112" s="14" t="s">
        <v>365</v>
      </c>
      <c r="AE112" s="14"/>
      <c r="AG112" s="14">
        <v>0</v>
      </c>
      <c r="AP112" s="14"/>
      <c r="AR112" s="14">
        <v>0</v>
      </c>
      <c r="BC112" s="14">
        <v>0</v>
      </c>
      <c r="BN112" s="14">
        <v>0</v>
      </c>
      <c r="BY112" s="14">
        <v>0</v>
      </c>
    </row>
    <row r="113" spans="1:77">
      <c r="A113" s="14">
        <v>32318</v>
      </c>
      <c r="B113" s="14" t="s">
        <v>180</v>
      </c>
      <c r="C113" s="14" t="str">
        <f>VLOOKUP(A113,[1]Sheet1!$A:$F,5,FALSE)</f>
        <v>전략</v>
      </c>
      <c r="D113" s="14" t="str">
        <f>VLOOKUP(A113,[1]Sheet1!$A:$F,6,FALSE)</f>
        <v>SP</v>
      </c>
      <c r="E113" s="15">
        <v>20902</v>
      </c>
      <c r="F113" s="14" t="s">
        <v>53</v>
      </c>
      <c r="G113" s="14" t="s">
        <v>343</v>
      </c>
      <c r="H113" s="14">
        <v>97.35</v>
      </c>
      <c r="I113" s="17" t="s">
        <v>584</v>
      </c>
      <c r="J113" s="14" t="s">
        <v>585</v>
      </c>
      <c r="K113" s="14">
        <v>25</v>
      </c>
      <c r="L113" s="14" t="s">
        <v>586</v>
      </c>
      <c r="M113" s="14" t="s">
        <v>380</v>
      </c>
      <c r="P113" s="15">
        <v>20702</v>
      </c>
      <c r="Q113" s="14" t="s">
        <v>44</v>
      </c>
      <c r="R113" s="14" t="s">
        <v>17</v>
      </c>
      <c r="S113" s="14">
        <v>99.12</v>
      </c>
      <c r="T113" s="16" t="s">
        <v>347</v>
      </c>
      <c r="U113" s="14" t="s">
        <v>347</v>
      </c>
      <c r="V113" s="14">
        <v>35</v>
      </c>
      <c r="W113" s="14" t="s">
        <v>587</v>
      </c>
      <c r="AA113" s="15">
        <v>20500</v>
      </c>
      <c r="AB113" s="14" t="s">
        <v>31</v>
      </c>
      <c r="AC113" s="14" t="s">
        <v>17</v>
      </c>
      <c r="AD113" s="14">
        <v>98.51</v>
      </c>
      <c r="AE113" s="16" t="s">
        <v>326</v>
      </c>
      <c r="AF113" s="14" t="s">
        <v>326</v>
      </c>
      <c r="AG113" s="14">
        <v>27</v>
      </c>
      <c r="AH113" s="14" t="s">
        <v>588</v>
      </c>
      <c r="AI113" s="14" t="s">
        <v>493</v>
      </c>
      <c r="AL113" s="15">
        <v>20906</v>
      </c>
      <c r="AM113" s="14" t="s">
        <v>48</v>
      </c>
      <c r="AN113" s="14" t="s">
        <v>49</v>
      </c>
      <c r="AO113" s="14">
        <v>97.23</v>
      </c>
      <c r="AP113" s="16" t="s">
        <v>327</v>
      </c>
      <c r="AR113" s="14">
        <v>15</v>
      </c>
      <c r="AS113" s="14" t="s">
        <v>589</v>
      </c>
      <c r="BC113" s="14">
        <v>0</v>
      </c>
      <c r="BN113" s="14">
        <v>0</v>
      </c>
      <c r="BY113" s="14">
        <v>0</v>
      </c>
    </row>
    <row r="114" spans="1:77">
      <c r="A114" s="14">
        <v>30261</v>
      </c>
      <c r="B114" s="14" t="s">
        <v>84</v>
      </c>
      <c r="C114" s="14" t="str">
        <f>VLOOKUP(A114,[1]Sheet1!$A:$F,5,FALSE)</f>
        <v>전략</v>
      </c>
      <c r="D114" s="14" t="str">
        <f>VLOOKUP(A114,[1]Sheet1!$A:$F,6,FALSE)</f>
        <v>SP</v>
      </c>
      <c r="E114" s="15">
        <v>20902</v>
      </c>
      <c r="F114" s="14" t="s">
        <v>53</v>
      </c>
      <c r="G114" s="14" t="s">
        <v>13</v>
      </c>
      <c r="H114" s="14">
        <v>97.36</v>
      </c>
      <c r="I114" s="17" t="s">
        <v>590</v>
      </c>
      <c r="J114" s="14" t="s">
        <v>590</v>
      </c>
      <c r="K114" s="14">
        <v>20</v>
      </c>
      <c r="L114" s="14">
        <v>20807</v>
      </c>
      <c r="M114" s="14" t="s">
        <v>346</v>
      </c>
      <c r="P114" s="15">
        <v>20702</v>
      </c>
      <c r="Q114" s="14" t="s">
        <v>44</v>
      </c>
      <c r="R114" s="14" t="s">
        <v>17</v>
      </c>
      <c r="S114" s="14">
        <v>98.92</v>
      </c>
      <c r="T114" s="16" t="s">
        <v>381</v>
      </c>
      <c r="U114" s="14" t="s">
        <v>381</v>
      </c>
      <c r="V114" s="14">
        <v>35</v>
      </c>
      <c r="W114" s="14">
        <v>20807</v>
      </c>
      <c r="AA114" s="15">
        <v>20500</v>
      </c>
      <c r="AB114" s="14" t="s">
        <v>31</v>
      </c>
      <c r="AC114" s="14" t="s">
        <v>17</v>
      </c>
      <c r="AD114" s="14">
        <v>98.9</v>
      </c>
      <c r="AE114" s="16" t="s">
        <v>350</v>
      </c>
      <c r="AF114" s="14" t="s">
        <v>350</v>
      </c>
      <c r="AG114" s="14">
        <v>22</v>
      </c>
      <c r="AH114" s="14">
        <v>20807</v>
      </c>
      <c r="AI114" s="14" t="s">
        <v>393</v>
      </c>
      <c r="AL114" s="15">
        <v>20906</v>
      </c>
      <c r="AM114" s="14" t="s">
        <v>48</v>
      </c>
      <c r="AN114" s="14" t="s">
        <v>49</v>
      </c>
      <c r="AO114" s="14">
        <v>97.78</v>
      </c>
      <c r="AP114" s="16" t="s">
        <v>327</v>
      </c>
      <c r="AR114" s="14">
        <v>17</v>
      </c>
      <c r="AS114" s="14">
        <v>20807</v>
      </c>
      <c r="BC114" s="14">
        <v>0</v>
      </c>
      <c r="BN114" s="14">
        <v>0</v>
      </c>
      <c r="BY114" s="14">
        <v>0</v>
      </c>
    </row>
    <row r="115" spans="1:77">
      <c r="A115" s="14">
        <v>32320</v>
      </c>
      <c r="B115" s="14" t="s">
        <v>182</v>
      </c>
      <c r="C115" s="14" t="str">
        <f>VLOOKUP(A115,[1]Sheet1!$A:$F,5,FALSE)</f>
        <v>전략</v>
      </c>
      <c r="D115" s="14" t="str">
        <f>VLOOKUP(A115,[1]Sheet1!$A:$F,6,FALSE)</f>
        <v>SP</v>
      </c>
      <c r="E115" s="15">
        <v>20902</v>
      </c>
      <c r="F115" s="14" t="s">
        <v>53</v>
      </c>
      <c r="G115" s="14" t="s">
        <v>13</v>
      </c>
      <c r="H115" s="14">
        <v>97.38</v>
      </c>
      <c r="I115" s="17" t="s">
        <v>591</v>
      </c>
      <c r="J115" s="14" t="s">
        <v>592</v>
      </c>
      <c r="K115" s="14">
        <v>20</v>
      </c>
      <c r="L115" s="14">
        <v>20807</v>
      </c>
      <c r="M115" s="14">
        <v>20808</v>
      </c>
      <c r="P115" s="15">
        <v>20702</v>
      </c>
      <c r="Q115" s="14" t="s">
        <v>44</v>
      </c>
      <c r="R115" s="14" t="s">
        <v>17</v>
      </c>
      <c r="S115" s="14">
        <v>97.06</v>
      </c>
      <c r="T115" s="16" t="s">
        <v>347</v>
      </c>
      <c r="U115" s="14" t="s">
        <v>426</v>
      </c>
      <c r="V115" s="14">
        <v>35</v>
      </c>
      <c r="W115" s="14">
        <v>20807</v>
      </c>
      <c r="AA115" s="15">
        <v>20500</v>
      </c>
      <c r="AB115" s="14" t="s">
        <v>31</v>
      </c>
      <c r="AC115" s="14" t="s">
        <v>17</v>
      </c>
      <c r="AD115" s="14">
        <v>97.63</v>
      </c>
      <c r="AE115" s="16" t="s">
        <v>326</v>
      </c>
      <c r="AF115" s="14" t="s">
        <v>326</v>
      </c>
      <c r="AG115" s="14">
        <v>27</v>
      </c>
      <c r="AH115" s="14">
        <v>20807</v>
      </c>
      <c r="AI115" s="14">
        <v>25382</v>
      </c>
      <c r="AL115" s="15">
        <v>20906</v>
      </c>
      <c r="AM115" s="14" t="s">
        <v>48</v>
      </c>
      <c r="AN115" s="14" t="s">
        <v>49</v>
      </c>
      <c r="AO115" s="14">
        <v>95.68</v>
      </c>
      <c r="AP115" s="16" t="s">
        <v>327</v>
      </c>
      <c r="AR115" s="14">
        <v>15</v>
      </c>
      <c r="AS115" s="14">
        <v>20807</v>
      </c>
      <c r="BC115" s="14">
        <v>0</v>
      </c>
      <c r="BN115" s="14">
        <v>0</v>
      </c>
      <c r="BY115" s="14">
        <v>0</v>
      </c>
    </row>
    <row r="116" spans="1:77">
      <c r="A116" s="14">
        <v>32664</v>
      </c>
      <c r="B116" s="14" t="s">
        <v>593</v>
      </c>
      <c r="C116" s="14" t="str">
        <f>VLOOKUP(A116,[1]Sheet1!$A:$F,5,FALSE)</f>
        <v>HIGH-END</v>
      </c>
      <c r="D116" s="14" t="str">
        <f>VLOOKUP(A116,[1]Sheet1!$A:$F,6,FALSE)</f>
        <v>C-PPF</v>
      </c>
      <c r="E116" s="15">
        <v>23315</v>
      </c>
      <c r="F116" s="14" t="s">
        <v>246</v>
      </c>
      <c r="G116" s="14" t="s">
        <v>16</v>
      </c>
      <c r="H116" s="14">
        <v>97.39</v>
      </c>
      <c r="I116" s="17" t="s">
        <v>594</v>
      </c>
      <c r="J116" s="14" t="s">
        <v>594</v>
      </c>
      <c r="K116" s="14">
        <v>10</v>
      </c>
      <c r="L116" s="14">
        <v>25628</v>
      </c>
      <c r="M116" s="14">
        <v>26261</v>
      </c>
      <c r="P116" s="15">
        <v>23119</v>
      </c>
      <c r="Q116" s="14" t="s">
        <v>281</v>
      </c>
      <c r="R116" s="14" t="s">
        <v>16</v>
      </c>
      <c r="S116" s="14">
        <v>96.43</v>
      </c>
      <c r="T116" s="16" t="s">
        <v>468</v>
      </c>
      <c r="U116" s="14" t="s">
        <v>468</v>
      </c>
      <c r="V116" s="14">
        <v>10</v>
      </c>
      <c r="W116" s="14">
        <v>25628</v>
      </c>
      <c r="X116" s="14">
        <v>26261</v>
      </c>
      <c r="AA116" s="15">
        <v>23311</v>
      </c>
      <c r="AB116" s="14" t="s">
        <v>221</v>
      </c>
      <c r="AC116" s="14" t="s">
        <v>16</v>
      </c>
      <c r="AD116" s="14">
        <v>97.22</v>
      </c>
      <c r="AE116" s="16" t="s">
        <v>321</v>
      </c>
      <c r="AF116" s="14" t="s">
        <v>321</v>
      </c>
      <c r="AG116" s="14">
        <v>10</v>
      </c>
      <c r="AH116" s="14">
        <v>25628</v>
      </c>
      <c r="AI116" s="14">
        <v>25800</v>
      </c>
      <c r="AL116" s="15">
        <v>12400</v>
      </c>
      <c r="AM116" s="14" t="s">
        <v>217</v>
      </c>
      <c r="AN116" s="14" t="s">
        <v>16</v>
      </c>
      <c r="AO116" s="14">
        <v>98.1</v>
      </c>
      <c r="AP116" s="16" t="s">
        <v>469</v>
      </c>
      <c r="AR116" s="14">
        <v>8</v>
      </c>
      <c r="AS116" s="14">
        <v>25628</v>
      </c>
      <c r="AV116" s="14">
        <v>32621</v>
      </c>
      <c r="BC116" s="14">
        <v>0</v>
      </c>
      <c r="BN116" s="14">
        <v>0</v>
      </c>
      <c r="BY116" s="14">
        <v>0</v>
      </c>
    </row>
    <row r="117" spans="1:77">
      <c r="A117" s="14">
        <v>32048</v>
      </c>
      <c r="B117" s="14" t="s">
        <v>58</v>
      </c>
      <c r="C117" s="14" t="str">
        <f>VLOOKUP(A117,[1]Sheet1!$A:$F,5,FALSE)</f>
        <v>전략</v>
      </c>
      <c r="D117" s="14" t="str">
        <f>VLOOKUP(A117,[1]Sheet1!$A:$F,6,FALSE)</f>
        <v>IR</v>
      </c>
      <c r="E117" s="15">
        <v>20902</v>
      </c>
      <c r="F117" s="14" t="s">
        <v>53</v>
      </c>
      <c r="G117" s="14" t="s">
        <v>13</v>
      </c>
      <c r="H117" s="14">
        <v>97.4</v>
      </c>
      <c r="I117" s="17" t="s">
        <v>595</v>
      </c>
      <c r="J117" s="14" t="s">
        <v>595</v>
      </c>
      <c r="K117" s="14">
        <v>15</v>
      </c>
      <c r="L117" s="14">
        <v>20807</v>
      </c>
      <c r="M117" s="14" t="s">
        <v>596</v>
      </c>
      <c r="P117" s="15">
        <v>20702</v>
      </c>
      <c r="Q117" s="14" t="s">
        <v>44</v>
      </c>
      <c r="R117" s="14" t="s">
        <v>17</v>
      </c>
      <c r="S117" s="14">
        <v>97.95</v>
      </c>
      <c r="T117" s="16" t="s">
        <v>358</v>
      </c>
      <c r="V117" s="14">
        <v>35</v>
      </c>
      <c r="W117" s="14">
        <v>20807</v>
      </c>
      <c r="AA117" s="15">
        <v>23100</v>
      </c>
      <c r="AB117" s="14" t="s">
        <v>54</v>
      </c>
      <c r="AC117" s="14" t="s">
        <v>343</v>
      </c>
      <c r="AD117" s="14">
        <v>89.54</v>
      </c>
      <c r="AE117" s="16" t="s">
        <v>359</v>
      </c>
      <c r="AF117" s="14" t="s">
        <v>359</v>
      </c>
      <c r="AG117" s="14">
        <v>16.7</v>
      </c>
      <c r="AH117" s="14">
        <v>20807</v>
      </c>
      <c r="AI117" s="14">
        <v>23352</v>
      </c>
      <c r="AP117" s="14"/>
      <c r="AR117" s="14">
        <v>0</v>
      </c>
      <c r="BC117" s="14">
        <v>0</v>
      </c>
      <c r="BN117" s="14">
        <v>0</v>
      </c>
      <c r="BY117" s="14">
        <v>0</v>
      </c>
    </row>
    <row r="118" spans="1:77">
      <c r="A118" s="14">
        <v>30465</v>
      </c>
      <c r="B118" s="14" t="s">
        <v>94</v>
      </c>
      <c r="C118" s="14" t="str">
        <f>VLOOKUP(A118,[1]Sheet1!$A:$F,5,FALSE)</f>
        <v>전략</v>
      </c>
      <c r="D118" s="14" t="str">
        <f>VLOOKUP(A118,[1]Sheet1!$A:$F,6,FALSE)</f>
        <v>SP</v>
      </c>
      <c r="E118" s="15">
        <v>20902</v>
      </c>
      <c r="F118" s="14" t="s">
        <v>53</v>
      </c>
      <c r="G118" s="14" t="s">
        <v>343</v>
      </c>
      <c r="H118" s="14">
        <v>97.46</v>
      </c>
      <c r="I118" s="17" t="s">
        <v>597</v>
      </c>
      <c r="J118" s="14" t="s">
        <v>597</v>
      </c>
      <c r="K118" s="14">
        <v>22</v>
      </c>
      <c r="L118" s="14" t="s">
        <v>598</v>
      </c>
      <c r="M118" s="14" t="s">
        <v>599</v>
      </c>
      <c r="P118" s="15">
        <v>20702</v>
      </c>
      <c r="Q118" s="14" t="s">
        <v>44</v>
      </c>
      <c r="R118" s="14" t="s">
        <v>17</v>
      </c>
      <c r="S118" s="14">
        <v>98.06</v>
      </c>
      <c r="T118" s="16" t="s">
        <v>358</v>
      </c>
      <c r="V118" s="14">
        <v>35</v>
      </c>
      <c r="W118" s="14" t="s">
        <v>457</v>
      </c>
      <c r="AA118" s="15">
        <v>20500</v>
      </c>
      <c r="AB118" s="14" t="s">
        <v>31</v>
      </c>
      <c r="AC118" s="14" t="s">
        <v>17</v>
      </c>
      <c r="AD118" s="14">
        <v>98.02</v>
      </c>
      <c r="AE118" s="16" t="s">
        <v>382</v>
      </c>
      <c r="AG118" s="14">
        <v>24.5</v>
      </c>
      <c r="AH118" s="14" t="s">
        <v>457</v>
      </c>
      <c r="AI118" s="14" t="s">
        <v>353</v>
      </c>
      <c r="AL118" s="15">
        <v>20906</v>
      </c>
      <c r="AM118" s="14" t="s">
        <v>48</v>
      </c>
      <c r="AN118" s="14" t="s">
        <v>49</v>
      </c>
      <c r="AO118" s="14">
        <v>97.98</v>
      </c>
      <c r="AP118" s="16" t="s">
        <v>327</v>
      </c>
      <c r="AR118" s="14">
        <v>17</v>
      </c>
      <c r="AS118" s="14" t="s">
        <v>457</v>
      </c>
      <c r="BC118" s="14">
        <v>0</v>
      </c>
      <c r="BN118" s="14">
        <v>0</v>
      </c>
      <c r="BY118" s="14">
        <v>0</v>
      </c>
    </row>
    <row r="119" spans="1:77">
      <c r="A119" s="14">
        <v>31020</v>
      </c>
      <c r="B119" s="14" t="s">
        <v>104</v>
      </c>
      <c r="C119" s="14" t="str">
        <f>VLOOKUP(A119,[1]Sheet1!$A:$F,5,FALSE)</f>
        <v>전략</v>
      </c>
      <c r="D119" s="14" t="str">
        <f>VLOOKUP(A119,[1]Sheet1!$A:$F,6,FALSE)</f>
        <v>SP</v>
      </c>
      <c r="E119" s="15">
        <v>20902</v>
      </c>
      <c r="F119" s="14" t="s">
        <v>53</v>
      </c>
      <c r="G119" s="14" t="s">
        <v>343</v>
      </c>
      <c r="H119" s="14">
        <v>97.47</v>
      </c>
      <c r="I119" s="17" t="s">
        <v>600</v>
      </c>
      <c r="J119" s="14" t="s">
        <v>600</v>
      </c>
      <c r="K119" s="14">
        <v>25.4</v>
      </c>
      <c r="L119" s="14" t="s">
        <v>391</v>
      </c>
      <c r="M119" s="14" t="s">
        <v>346</v>
      </c>
      <c r="P119" s="15">
        <v>20702</v>
      </c>
      <c r="Q119" s="14" t="s">
        <v>44</v>
      </c>
      <c r="R119" s="14" t="s">
        <v>17</v>
      </c>
      <c r="S119" s="14">
        <v>98.99</v>
      </c>
      <c r="T119" s="16" t="s">
        <v>381</v>
      </c>
      <c r="U119" s="14" t="s">
        <v>381</v>
      </c>
      <c r="V119" s="14">
        <v>35</v>
      </c>
      <c r="W119" s="14" t="s">
        <v>392</v>
      </c>
      <c r="AA119" s="15">
        <v>20500</v>
      </c>
      <c r="AB119" s="14" t="s">
        <v>31</v>
      </c>
      <c r="AC119" s="14" t="s">
        <v>17</v>
      </c>
      <c r="AD119" s="14">
        <v>98.03</v>
      </c>
      <c r="AE119" s="16" t="s">
        <v>423</v>
      </c>
      <c r="AF119" s="14" t="s">
        <v>423</v>
      </c>
      <c r="AG119" s="14">
        <v>28</v>
      </c>
      <c r="AH119" s="14" t="s">
        <v>391</v>
      </c>
      <c r="AI119" s="14" t="s">
        <v>393</v>
      </c>
      <c r="AL119" s="15">
        <v>20906</v>
      </c>
      <c r="AM119" s="14" t="s">
        <v>48</v>
      </c>
      <c r="AN119" s="14" t="s">
        <v>49</v>
      </c>
      <c r="AO119" s="14">
        <v>97.36</v>
      </c>
      <c r="AP119" s="16" t="s">
        <v>327</v>
      </c>
      <c r="AR119" s="14">
        <v>17.7</v>
      </c>
      <c r="AS119" s="14" t="s">
        <v>392</v>
      </c>
      <c r="BC119" s="14">
        <v>0</v>
      </c>
      <c r="BN119" s="14">
        <v>0</v>
      </c>
      <c r="BY119" s="14">
        <v>0</v>
      </c>
    </row>
    <row r="120" spans="1:77">
      <c r="A120" s="14">
        <v>32303</v>
      </c>
      <c r="B120" s="14" t="s">
        <v>171</v>
      </c>
      <c r="C120" s="14" t="str">
        <f>VLOOKUP(A120,[1]Sheet1!$A:$F,5,FALSE)</f>
        <v>전략</v>
      </c>
      <c r="D120" s="14" t="str">
        <f>VLOOKUP(A120,[1]Sheet1!$A:$F,6,FALSE)</f>
        <v>SP</v>
      </c>
      <c r="E120" s="15">
        <v>20902</v>
      </c>
      <c r="F120" s="14" t="s">
        <v>53</v>
      </c>
      <c r="G120" s="14" t="s">
        <v>343</v>
      </c>
      <c r="H120" s="14">
        <v>97.47</v>
      </c>
      <c r="I120" s="17" t="s">
        <v>601</v>
      </c>
      <c r="J120" s="14" t="s">
        <v>602</v>
      </c>
      <c r="K120" s="14">
        <v>15.3</v>
      </c>
      <c r="L120" s="14" t="s">
        <v>603</v>
      </c>
      <c r="M120" s="14" t="s">
        <v>604</v>
      </c>
      <c r="P120" s="15">
        <v>20702</v>
      </c>
      <c r="Q120" s="14" t="s">
        <v>44</v>
      </c>
      <c r="R120" s="14" t="s">
        <v>17</v>
      </c>
      <c r="S120" s="14">
        <v>99.11</v>
      </c>
      <c r="T120" s="16" t="s">
        <v>358</v>
      </c>
      <c r="V120" s="14">
        <v>35</v>
      </c>
      <c r="W120" s="14" t="s">
        <v>605</v>
      </c>
      <c r="AA120" s="15">
        <v>20500</v>
      </c>
      <c r="AB120" s="14" t="s">
        <v>31</v>
      </c>
      <c r="AC120" s="14" t="s">
        <v>17</v>
      </c>
      <c r="AD120" s="14">
        <v>98.63</v>
      </c>
      <c r="AE120" s="16" t="s">
        <v>326</v>
      </c>
      <c r="AF120" s="14" t="s">
        <v>326</v>
      </c>
      <c r="AG120" s="14">
        <v>27</v>
      </c>
      <c r="AH120" s="14" t="s">
        <v>606</v>
      </c>
      <c r="AI120" s="14" t="s">
        <v>493</v>
      </c>
      <c r="AL120" s="15">
        <v>20906</v>
      </c>
      <c r="AM120" s="14" t="s">
        <v>48</v>
      </c>
      <c r="AN120" s="14" t="s">
        <v>49</v>
      </c>
      <c r="AO120" s="14">
        <v>97.36</v>
      </c>
      <c r="AP120" s="16" t="s">
        <v>327</v>
      </c>
      <c r="AR120" s="14">
        <v>16.899999999999999</v>
      </c>
      <c r="AS120" s="14" t="s">
        <v>607</v>
      </c>
      <c r="BC120" s="14">
        <v>0</v>
      </c>
      <c r="BN120" s="14">
        <v>0</v>
      </c>
      <c r="BY120" s="14">
        <v>0</v>
      </c>
    </row>
    <row r="121" spans="1:77">
      <c r="A121" s="14">
        <v>31505</v>
      </c>
      <c r="B121" s="14" t="s">
        <v>119</v>
      </c>
      <c r="C121" s="14" t="str">
        <f>VLOOKUP(A121,[1]Sheet1!$A:$F,5,FALSE)</f>
        <v>전략</v>
      </c>
      <c r="D121" s="14" t="str">
        <f>VLOOKUP(A121,[1]Sheet1!$A:$F,6,FALSE)</f>
        <v>SP</v>
      </c>
      <c r="E121" s="15">
        <v>20902</v>
      </c>
      <c r="F121" s="14" t="s">
        <v>53</v>
      </c>
      <c r="G121" s="14" t="s">
        <v>13</v>
      </c>
      <c r="H121" s="14">
        <v>97.48</v>
      </c>
      <c r="I121" s="17" t="s">
        <v>608</v>
      </c>
      <c r="J121" s="14" t="s">
        <v>608</v>
      </c>
      <c r="K121" s="14">
        <v>20</v>
      </c>
      <c r="L121" s="14">
        <v>20807</v>
      </c>
      <c r="M121" s="14" t="s">
        <v>346</v>
      </c>
      <c r="P121" s="15">
        <v>20706</v>
      </c>
      <c r="Q121" s="14" t="s">
        <v>52</v>
      </c>
      <c r="R121" s="14" t="s">
        <v>17</v>
      </c>
      <c r="S121" s="14">
        <v>98.88</v>
      </c>
      <c r="T121" s="16" t="s">
        <v>432</v>
      </c>
      <c r="U121" s="14" t="s">
        <v>432</v>
      </c>
      <c r="V121" s="14">
        <v>40</v>
      </c>
      <c r="W121" s="14">
        <v>20807</v>
      </c>
      <c r="AA121" s="15">
        <v>20500</v>
      </c>
      <c r="AB121" s="14" t="s">
        <v>31</v>
      </c>
      <c r="AC121" s="14" t="s">
        <v>17</v>
      </c>
      <c r="AD121" s="14">
        <v>98.96</v>
      </c>
      <c r="AE121" s="16" t="s">
        <v>326</v>
      </c>
      <c r="AF121" s="14" t="s">
        <v>326</v>
      </c>
      <c r="AG121" s="14">
        <v>27</v>
      </c>
      <c r="AH121" s="14">
        <v>20807</v>
      </c>
      <c r="AI121" s="14" t="s">
        <v>393</v>
      </c>
      <c r="AL121" s="15">
        <v>20906</v>
      </c>
      <c r="AM121" s="14" t="s">
        <v>48</v>
      </c>
      <c r="AN121" s="14" t="s">
        <v>49</v>
      </c>
      <c r="AO121" s="14">
        <v>98.15</v>
      </c>
      <c r="AP121" s="16" t="s">
        <v>327</v>
      </c>
      <c r="AR121" s="14">
        <v>17</v>
      </c>
      <c r="AS121" s="14">
        <v>20807</v>
      </c>
      <c r="BC121" s="14">
        <v>0</v>
      </c>
      <c r="BN121" s="14">
        <v>0</v>
      </c>
      <c r="BY121" s="14">
        <v>0</v>
      </c>
    </row>
    <row r="122" spans="1:77">
      <c r="A122" s="14">
        <v>32262</v>
      </c>
      <c r="B122" s="14" t="s">
        <v>162</v>
      </c>
      <c r="C122" s="14" t="str">
        <f>VLOOKUP(A122,[1]Sheet1!$A:$F,5,FALSE)</f>
        <v>전략</v>
      </c>
      <c r="D122" s="14" t="str">
        <f>VLOOKUP(A122,[1]Sheet1!$A:$F,6,FALSE)</f>
        <v>SP</v>
      </c>
      <c r="E122" s="15">
        <v>20902</v>
      </c>
      <c r="F122" s="14" t="s">
        <v>53</v>
      </c>
      <c r="G122" s="14" t="s">
        <v>13</v>
      </c>
      <c r="H122" s="14">
        <v>97.48</v>
      </c>
      <c r="I122" s="17" t="s">
        <v>609</v>
      </c>
      <c r="J122" s="14" t="s">
        <v>609</v>
      </c>
      <c r="K122" s="14">
        <v>20</v>
      </c>
      <c r="L122" s="14">
        <v>20807</v>
      </c>
      <c r="M122" s="14">
        <v>20808</v>
      </c>
      <c r="P122" s="15">
        <v>20702</v>
      </c>
      <c r="Q122" s="14" t="s">
        <v>44</v>
      </c>
      <c r="R122" s="14" t="s">
        <v>17</v>
      </c>
      <c r="S122" s="14">
        <v>98.31</v>
      </c>
      <c r="T122" s="16" t="s">
        <v>358</v>
      </c>
      <c r="V122" s="14">
        <v>35</v>
      </c>
      <c r="W122" s="14" t="s">
        <v>392</v>
      </c>
      <c r="AA122" s="15">
        <v>20500</v>
      </c>
      <c r="AB122" s="14" t="s">
        <v>31</v>
      </c>
      <c r="AC122" s="14" t="s">
        <v>533</v>
      </c>
      <c r="AD122" s="14">
        <v>96.34</v>
      </c>
      <c r="AE122" s="16" t="s">
        <v>326</v>
      </c>
      <c r="AF122" s="14" t="s">
        <v>326</v>
      </c>
      <c r="AG122" s="14">
        <v>23.5</v>
      </c>
      <c r="AH122" s="14" t="s">
        <v>391</v>
      </c>
      <c r="AI122" s="14">
        <v>23352</v>
      </c>
      <c r="AL122" s="15">
        <v>20906</v>
      </c>
      <c r="AM122" s="14" t="s">
        <v>48</v>
      </c>
      <c r="AN122" s="14" t="s">
        <v>49</v>
      </c>
      <c r="AO122" s="14">
        <v>95.09</v>
      </c>
      <c r="AP122" s="16" t="s">
        <v>327</v>
      </c>
      <c r="AR122" s="14">
        <v>17</v>
      </c>
      <c r="AS122" s="14" t="s">
        <v>392</v>
      </c>
      <c r="BC122" s="14">
        <v>0</v>
      </c>
      <c r="BN122" s="14">
        <v>0</v>
      </c>
      <c r="BY122" s="14">
        <v>0</v>
      </c>
    </row>
    <row r="123" spans="1:77">
      <c r="A123" s="14">
        <v>32306</v>
      </c>
      <c r="B123" s="14" t="s">
        <v>174</v>
      </c>
      <c r="C123" s="14" t="str">
        <f>VLOOKUP(A123,[1]Sheet1!$A:$F,5,FALSE)</f>
        <v>전략</v>
      </c>
      <c r="D123" s="14" t="str">
        <f>VLOOKUP(A123,[1]Sheet1!$A:$F,6,FALSE)</f>
        <v>SP</v>
      </c>
      <c r="E123" s="15">
        <v>20902</v>
      </c>
      <c r="F123" s="14" t="s">
        <v>53</v>
      </c>
      <c r="G123" s="14" t="s">
        <v>487</v>
      </c>
      <c r="H123" s="14">
        <v>97.49</v>
      </c>
      <c r="I123" s="17" t="s">
        <v>610</v>
      </c>
      <c r="J123" s="14" t="s">
        <v>610</v>
      </c>
      <c r="K123" s="14">
        <v>23.3</v>
      </c>
      <c r="L123" s="14" t="s">
        <v>611</v>
      </c>
      <c r="M123" s="14" t="s">
        <v>380</v>
      </c>
      <c r="P123" s="15">
        <v>20702</v>
      </c>
      <c r="Q123" s="14" t="s">
        <v>44</v>
      </c>
      <c r="R123" s="14" t="s">
        <v>17</v>
      </c>
      <c r="S123" s="14">
        <v>98.94</v>
      </c>
      <c r="T123" s="16" t="s">
        <v>381</v>
      </c>
      <c r="U123" s="14" t="s">
        <v>381</v>
      </c>
      <c r="V123" s="14">
        <v>35</v>
      </c>
      <c r="W123" s="14" t="s">
        <v>587</v>
      </c>
      <c r="AA123" s="15">
        <v>20500</v>
      </c>
      <c r="AB123" s="14" t="s">
        <v>31</v>
      </c>
      <c r="AC123" s="14" t="s">
        <v>17</v>
      </c>
      <c r="AD123" s="14">
        <v>98.44</v>
      </c>
      <c r="AE123" s="16" t="s">
        <v>326</v>
      </c>
      <c r="AF123" s="14" t="s">
        <v>326</v>
      </c>
      <c r="AG123" s="14">
        <v>27</v>
      </c>
      <c r="AH123" s="14" t="s">
        <v>587</v>
      </c>
      <c r="AI123" s="14" t="s">
        <v>493</v>
      </c>
      <c r="AL123" s="15">
        <v>20906</v>
      </c>
      <c r="AM123" s="14" t="s">
        <v>48</v>
      </c>
      <c r="AN123" s="14" t="s">
        <v>49</v>
      </c>
      <c r="AO123" s="14">
        <v>97.62</v>
      </c>
      <c r="AP123" s="16" t="s">
        <v>327</v>
      </c>
      <c r="AR123" s="14">
        <v>15</v>
      </c>
      <c r="AS123" s="14" t="s">
        <v>491</v>
      </c>
      <c r="BC123" s="14">
        <v>0</v>
      </c>
      <c r="BN123" s="14">
        <v>0</v>
      </c>
      <c r="BY123" s="14">
        <v>0</v>
      </c>
    </row>
    <row r="124" spans="1:77">
      <c r="A124" s="14">
        <v>32728</v>
      </c>
      <c r="B124" s="14" t="s">
        <v>612</v>
      </c>
      <c r="C124" s="14" t="str">
        <f>VLOOKUP(A124,[1]Sheet1!$A:$F,5,FALSE)</f>
        <v>전략</v>
      </c>
      <c r="D124" s="14" t="str">
        <f>VLOOKUP(A124,[1]Sheet1!$A:$F,6,FALSE)</f>
        <v>SP</v>
      </c>
      <c r="E124" s="15">
        <v>20902</v>
      </c>
      <c r="F124" s="14" t="s">
        <v>53</v>
      </c>
      <c r="G124" s="14" t="s">
        <v>16</v>
      </c>
      <c r="H124" s="14">
        <v>97.49</v>
      </c>
      <c r="I124" s="17" t="s">
        <v>613</v>
      </c>
      <c r="J124" s="14" t="s">
        <v>613</v>
      </c>
      <c r="K124" s="14">
        <v>30</v>
      </c>
      <c r="L124" s="14">
        <v>25927</v>
      </c>
      <c r="M124" s="14">
        <v>25660</v>
      </c>
      <c r="P124" s="15">
        <v>20704</v>
      </c>
      <c r="Q124" s="14" t="s">
        <v>47</v>
      </c>
      <c r="R124" s="14" t="s">
        <v>17</v>
      </c>
      <c r="S124" s="14">
        <v>96.39</v>
      </c>
      <c r="T124" s="16" t="s">
        <v>614</v>
      </c>
      <c r="U124" s="14" t="s">
        <v>614</v>
      </c>
      <c r="V124" s="14">
        <v>30</v>
      </c>
      <c r="W124" s="14">
        <v>25927</v>
      </c>
      <c r="AA124" s="15">
        <v>20500</v>
      </c>
      <c r="AB124" s="14" t="s">
        <v>31</v>
      </c>
      <c r="AC124" s="14" t="s">
        <v>17</v>
      </c>
      <c r="AD124" s="14">
        <v>95.19</v>
      </c>
      <c r="AE124" s="14" t="s">
        <v>326</v>
      </c>
      <c r="AG124" s="14">
        <v>27</v>
      </c>
      <c r="AH124" s="14">
        <v>25927</v>
      </c>
      <c r="AI124" s="14">
        <v>25662</v>
      </c>
      <c r="AL124" s="15">
        <v>20906</v>
      </c>
      <c r="AM124" s="14" t="s">
        <v>48</v>
      </c>
      <c r="AN124" s="14" t="s">
        <v>49</v>
      </c>
      <c r="AO124" s="14">
        <v>94.94</v>
      </c>
      <c r="AP124" s="16" t="s">
        <v>327</v>
      </c>
      <c r="AR124" s="14">
        <v>17</v>
      </c>
      <c r="AS124" s="14">
        <v>25927</v>
      </c>
      <c r="BC124" s="14">
        <v>0</v>
      </c>
      <c r="BN124" s="14">
        <v>0</v>
      </c>
      <c r="BY124" s="14">
        <v>0</v>
      </c>
    </row>
    <row r="125" spans="1:77">
      <c r="A125" s="14">
        <v>31727</v>
      </c>
      <c r="B125" s="14" t="s">
        <v>128</v>
      </c>
      <c r="C125" s="14" t="str">
        <f>VLOOKUP(A125,[1]Sheet1!$A:$F,5,FALSE)</f>
        <v>전략</v>
      </c>
      <c r="D125" s="14" t="str">
        <f>VLOOKUP(A125,[1]Sheet1!$A:$F,6,FALSE)</f>
        <v>SP</v>
      </c>
      <c r="E125" s="15">
        <v>20902</v>
      </c>
      <c r="F125" s="14" t="s">
        <v>53</v>
      </c>
      <c r="G125" s="14" t="s">
        <v>13</v>
      </c>
      <c r="H125" s="14">
        <v>97.5</v>
      </c>
      <c r="I125" s="17" t="s">
        <v>615</v>
      </c>
      <c r="J125" s="14" t="s">
        <v>615</v>
      </c>
      <c r="K125" s="14">
        <v>15</v>
      </c>
      <c r="L125" s="14">
        <v>20807</v>
      </c>
      <c r="M125" s="14">
        <v>25890</v>
      </c>
      <c r="P125" s="15">
        <v>20702</v>
      </c>
      <c r="Q125" s="14" t="s">
        <v>44</v>
      </c>
      <c r="R125" s="14" t="s">
        <v>17</v>
      </c>
      <c r="S125" s="14">
        <v>98.97</v>
      </c>
      <c r="T125" s="16" t="s">
        <v>358</v>
      </c>
      <c r="V125" s="14">
        <v>35</v>
      </c>
      <c r="W125" s="14">
        <v>20807</v>
      </c>
      <c r="AA125" s="15">
        <v>20500</v>
      </c>
      <c r="AB125" s="14" t="s">
        <v>31</v>
      </c>
      <c r="AC125" s="14" t="s">
        <v>17</v>
      </c>
      <c r="AD125" s="14">
        <v>98.96</v>
      </c>
      <c r="AE125" s="14" t="s">
        <v>347</v>
      </c>
      <c r="AG125" s="14">
        <v>25</v>
      </c>
      <c r="AH125" s="14">
        <v>20807</v>
      </c>
      <c r="AI125" s="14">
        <v>23352</v>
      </c>
      <c r="AL125" s="15">
        <v>20906</v>
      </c>
      <c r="AM125" s="14" t="s">
        <v>48</v>
      </c>
      <c r="AN125" s="14" t="s">
        <v>49</v>
      </c>
      <c r="AO125" s="14">
        <v>98.95</v>
      </c>
      <c r="AP125" s="16" t="s">
        <v>327</v>
      </c>
      <c r="AR125" s="14">
        <v>17</v>
      </c>
      <c r="AS125" s="14">
        <v>20807</v>
      </c>
      <c r="BC125" s="14">
        <v>0</v>
      </c>
      <c r="BN125" s="14">
        <v>0</v>
      </c>
      <c r="BY125" s="14">
        <v>0</v>
      </c>
    </row>
    <row r="126" spans="1:77">
      <c r="A126" s="14">
        <v>31668</v>
      </c>
      <c r="B126" s="14" t="s">
        <v>224</v>
      </c>
      <c r="C126" s="14" t="str">
        <f>VLOOKUP(A126,[1]Sheet1!$A:$F,5,FALSE)</f>
        <v>HIGH-END</v>
      </c>
      <c r="D126" s="14" t="str">
        <f>VLOOKUP(A126,[1]Sheet1!$A:$F,6,FALSE)</f>
        <v>C-PPF</v>
      </c>
      <c r="E126" s="15">
        <v>20600</v>
      </c>
      <c r="F126" s="14" t="s">
        <v>32</v>
      </c>
      <c r="G126" s="14" t="s">
        <v>16</v>
      </c>
      <c r="H126" s="14">
        <v>97.5</v>
      </c>
      <c r="I126" s="17" t="s">
        <v>616</v>
      </c>
      <c r="K126" s="14">
        <v>50</v>
      </c>
      <c r="L126" s="14">
        <v>23733</v>
      </c>
      <c r="T126" s="14"/>
      <c r="V126" s="14">
        <v>0</v>
      </c>
      <c r="AE126" s="14"/>
      <c r="AG126" s="14">
        <v>0</v>
      </c>
      <c r="AP126" s="14"/>
      <c r="AR126" s="14">
        <v>0</v>
      </c>
      <c r="BC126" s="14">
        <v>0</v>
      </c>
      <c r="BN126" s="14">
        <v>0</v>
      </c>
      <c r="BY126" s="14">
        <v>0</v>
      </c>
    </row>
    <row r="127" spans="1:77">
      <c r="A127" s="14">
        <v>30148</v>
      </c>
      <c r="B127" s="14" t="s">
        <v>45</v>
      </c>
      <c r="C127" s="14" t="str">
        <f>VLOOKUP(A127,[1]Sheet1!$A:$F,5,FALSE)</f>
        <v>전략</v>
      </c>
      <c r="D127" s="14" t="str">
        <f>VLOOKUP(A127,[1]Sheet1!$A:$F,6,FALSE)</f>
        <v>IR</v>
      </c>
      <c r="E127" s="15">
        <v>20601</v>
      </c>
      <c r="F127" s="14" t="s">
        <v>43</v>
      </c>
      <c r="G127" s="14" t="s">
        <v>13</v>
      </c>
      <c r="H127" s="14">
        <v>97.5</v>
      </c>
      <c r="I127" s="17" t="s">
        <v>617</v>
      </c>
      <c r="J127" s="14" t="s">
        <v>617</v>
      </c>
      <c r="K127" s="14">
        <v>20</v>
      </c>
      <c r="L127" s="14">
        <v>20807</v>
      </c>
      <c r="M127" s="14">
        <v>20808</v>
      </c>
      <c r="P127" s="15">
        <v>20702</v>
      </c>
      <c r="Q127" s="14" t="s">
        <v>44</v>
      </c>
      <c r="R127" s="14" t="s">
        <v>17</v>
      </c>
      <c r="S127" s="14">
        <v>98.29</v>
      </c>
      <c r="T127" s="16" t="s">
        <v>381</v>
      </c>
      <c r="U127" s="14" t="s">
        <v>381</v>
      </c>
      <c r="V127" s="14">
        <v>35</v>
      </c>
      <c r="W127" s="14">
        <v>20807</v>
      </c>
      <c r="AA127" s="15">
        <v>20500</v>
      </c>
      <c r="AB127" s="14" t="s">
        <v>31</v>
      </c>
      <c r="AC127" s="14" t="s">
        <v>17</v>
      </c>
      <c r="AD127" s="14">
        <v>99.13</v>
      </c>
      <c r="AE127" s="14" t="s">
        <v>347</v>
      </c>
      <c r="AG127" s="14">
        <v>27</v>
      </c>
      <c r="AH127" s="14">
        <v>20807</v>
      </c>
      <c r="AI127" s="14">
        <v>23352</v>
      </c>
      <c r="AP127" s="14"/>
      <c r="AR127" s="14">
        <v>0</v>
      </c>
      <c r="BC127" s="14">
        <v>0</v>
      </c>
      <c r="BN127" s="14">
        <v>0</v>
      </c>
      <c r="BY127" s="14">
        <v>0</v>
      </c>
    </row>
    <row r="128" spans="1:77">
      <c r="A128" s="14">
        <v>31016</v>
      </c>
      <c r="B128" s="14" t="s">
        <v>101</v>
      </c>
      <c r="C128" s="14" t="str">
        <f>VLOOKUP(A128,[1]Sheet1!$A:$F,5,FALSE)</f>
        <v>전략</v>
      </c>
      <c r="D128" s="14" t="str">
        <f>VLOOKUP(A128,[1]Sheet1!$A:$F,6,FALSE)</f>
        <v>SP</v>
      </c>
      <c r="E128" s="15">
        <v>20902</v>
      </c>
      <c r="F128" s="14" t="s">
        <v>53</v>
      </c>
      <c r="G128" s="14" t="s">
        <v>16</v>
      </c>
      <c r="H128" s="14">
        <v>97.51</v>
      </c>
      <c r="I128" s="17" t="s">
        <v>618</v>
      </c>
      <c r="J128" s="14" t="s">
        <v>618</v>
      </c>
      <c r="K128" s="14">
        <v>30</v>
      </c>
      <c r="L128" s="14">
        <v>25101</v>
      </c>
      <c r="M128" s="14">
        <v>20808</v>
      </c>
      <c r="P128" s="15">
        <v>20706</v>
      </c>
      <c r="Q128" s="14" t="s">
        <v>52</v>
      </c>
      <c r="R128" s="14" t="s">
        <v>17</v>
      </c>
      <c r="S128" s="14">
        <v>98.3</v>
      </c>
      <c r="T128" s="16" t="s">
        <v>325</v>
      </c>
      <c r="V128" s="14">
        <v>40</v>
      </c>
      <c r="W128" s="14">
        <v>25101</v>
      </c>
      <c r="AA128" s="15">
        <v>20500</v>
      </c>
      <c r="AB128" s="14" t="s">
        <v>31</v>
      </c>
      <c r="AC128" s="14" t="s">
        <v>17</v>
      </c>
      <c r="AD128" s="14">
        <v>96.97</v>
      </c>
      <c r="AE128" s="14" t="s">
        <v>347</v>
      </c>
      <c r="AG128" s="14">
        <v>27</v>
      </c>
      <c r="AH128" s="14">
        <v>25101</v>
      </c>
      <c r="AI128" s="14">
        <v>25382</v>
      </c>
      <c r="AL128" s="15">
        <v>20906</v>
      </c>
      <c r="AM128" s="14" t="s">
        <v>48</v>
      </c>
      <c r="AN128" s="14" t="s">
        <v>49</v>
      </c>
      <c r="AO128" s="14">
        <v>93.75</v>
      </c>
      <c r="AP128" s="16" t="s">
        <v>327</v>
      </c>
      <c r="AR128" s="14">
        <v>17</v>
      </c>
      <c r="AS128" s="14">
        <v>25101</v>
      </c>
      <c r="BC128" s="14">
        <v>0</v>
      </c>
      <c r="BN128" s="14">
        <v>0</v>
      </c>
      <c r="BY128" s="14">
        <v>0</v>
      </c>
    </row>
    <row r="129" spans="1:77">
      <c r="A129" s="14">
        <v>31799</v>
      </c>
      <c r="B129" s="14" t="s">
        <v>133</v>
      </c>
      <c r="C129" s="14" t="str">
        <f>VLOOKUP(A129,[1]Sheet1!$A:$F,5,FALSE)</f>
        <v>전략</v>
      </c>
      <c r="D129" s="14" t="str">
        <f>VLOOKUP(A129,[1]Sheet1!$A:$F,6,FALSE)</f>
        <v>SP</v>
      </c>
      <c r="E129" s="15">
        <v>20902</v>
      </c>
      <c r="F129" s="14" t="s">
        <v>53</v>
      </c>
      <c r="G129" s="14" t="s">
        <v>487</v>
      </c>
      <c r="H129" s="14">
        <v>97.51</v>
      </c>
      <c r="I129" s="17" t="s">
        <v>619</v>
      </c>
      <c r="J129" s="14" t="s">
        <v>619</v>
      </c>
      <c r="K129" s="14">
        <v>20</v>
      </c>
      <c r="L129" s="14" t="s">
        <v>391</v>
      </c>
      <c r="M129" s="14">
        <v>20808</v>
      </c>
      <c r="P129" s="15">
        <v>20706</v>
      </c>
      <c r="Q129" s="14" t="s">
        <v>52</v>
      </c>
      <c r="R129" s="14" t="s">
        <v>17</v>
      </c>
      <c r="S129" s="14">
        <v>99.07</v>
      </c>
      <c r="T129" s="16" t="s">
        <v>325</v>
      </c>
      <c r="V129" s="14">
        <v>40</v>
      </c>
      <c r="W129" s="14" t="s">
        <v>392</v>
      </c>
      <c r="AA129" s="15">
        <v>20500</v>
      </c>
      <c r="AB129" s="14" t="s">
        <v>31</v>
      </c>
      <c r="AC129" s="14" t="s">
        <v>17</v>
      </c>
      <c r="AD129" s="14">
        <v>99.06</v>
      </c>
      <c r="AE129" s="16" t="s">
        <v>326</v>
      </c>
      <c r="AF129" s="14" t="s">
        <v>326</v>
      </c>
      <c r="AG129" s="14">
        <v>27</v>
      </c>
      <c r="AH129" s="14" t="s">
        <v>391</v>
      </c>
      <c r="AI129" s="14" t="s">
        <v>393</v>
      </c>
      <c r="AL129" s="15">
        <v>20906</v>
      </c>
      <c r="AM129" s="14" t="s">
        <v>48</v>
      </c>
      <c r="AN129" s="14" t="s">
        <v>49</v>
      </c>
      <c r="AO129" s="14">
        <v>97.39</v>
      </c>
      <c r="AP129" s="16" t="s">
        <v>327</v>
      </c>
      <c r="AR129" s="14">
        <v>18</v>
      </c>
      <c r="AS129" s="14" t="s">
        <v>392</v>
      </c>
      <c r="BC129" s="14">
        <v>0</v>
      </c>
      <c r="BN129" s="14">
        <v>0</v>
      </c>
      <c r="BY129" s="14">
        <v>0</v>
      </c>
    </row>
    <row r="130" spans="1:77">
      <c r="A130" s="14">
        <v>32224</v>
      </c>
      <c r="B130" s="14" t="s">
        <v>154</v>
      </c>
      <c r="C130" s="14" t="str">
        <f>VLOOKUP(A130,[1]Sheet1!$A:$F,5,FALSE)</f>
        <v>전략</v>
      </c>
      <c r="D130" s="14" t="str">
        <f>VLOOKUP(A130,[1]Sheet1!$A:$F,6,FALSE)</f>
        <v>SP</v>
      </c>
      <c r="E130" s="15">
        <v>20902</v>
      </c>
      <c r="F130" s="14" t="s">
        <v>53</v>
      </c>
      <c r="G130" s="14" t="s">
        <v>13</v>
      </c>
      <c r="H130" s="14">
        <v>97.51</v>
      </c>
      <c r="I130" s="17" t="s">
        <v>620</v>
      </c>
      <c r="J130" s="14" t="s">
        <v>620</v>
      </c>
      <c r="K130" s="14">
        <v>20</v>
      </c>
      <c r="L130" s="14">
        <v>20807</v>
      </c>
      <c r="M130" s="14">
        <v>20808</v>
      </c>
      <c r="P130" s="15">
        <v>20706</v>
      </c>
      <c r="Q130" s="14" t="s">
        <v>52</v>
      </c>
      <c r="R130" s="14" t="s">
        <v>523</v>
      </c>
      <c r="S130" s="14">
        <v>99.27</v>
      </c>
      <c r="T130" s="16" t="s">
        <v>325</v>
      </c>
      <c r="V130" s="14">
        <v>38.799999999999997</v>
      </c>
      <c r="W130" s="14" t="s">
        <v>391</v>
      </c>
      <c r="AA130" s="15">
        <v>20500</v>
      </c>
      <c r="AB130" s="14" t="s">
        <v>31</v>
      </c>
      <c r="AC130" s="14" t="s">
        <v>17</v>
      </c>
      <c r="AD130" s="14">
        <v>98.35</v>
      </c>
      <c r="AE130" s="16" t="s">
        <v>423</v>
      </c>
      <c r="AF130" s="14" t="s">
        <v>423</v>
      </c>
      <c r="AG130" s="14">
        <v>27</v>
      </c>
      <c r="AH130" s="14" t="s">
        <v>391</v>
      </c>
      <c r="AI130" s="14" t="s">
        <v>393</v>
      </c>
      <c r="AL130" s="15">
        <v>20906</v>
      </c>
      <c r="AM130" s="14" t="s">
        <v>48</v>
      </c>
      <c r="AN130" s="14" t="s">
        <v>49</v>
      </c>
      <c r="AO130" s="14">
        <v>97.68</v>
      </c>
      <c r="AP130" s="16" t="s">
        <v>327</v>
      </c>
      <c r="AR130" s="14">
        <v>17.8</v>
      </c>
      <c r="AS130" s="14" t="s">
        <v>391</v>
      </c>
      <c r="BC130" s="14">
        <v>0</v>
      </c>
      <c r="BN130" s="14">
        <v>0</v>
      </c>
      <c r="BY130" s="14">
        <v>0</v>
      </c>
    </row>
    <row r="131" spans="1:77">
      <c r="A131" s="14">
        <v>32312</v>
      </c>
      <c r="B131" s="14" t="s">
        <v>621</v>
      </c>
      <c r="C131" s="14" t="str">
        <f>VLOOKUP(A131,[1]Sheet1!$A:$F,5,FALSE)</f>
        <v>전략</v>
      </c>
      <c r="D131" s="14" t="str">
        <f>VLOOKUP(A131,[1]Sheet1!$A:$F,6,FALSE)</f>
        <v>SP</v>
      </c>
      <c r="E131" s="15">
        <v>20902</v>
      </c>
      <c r="F131" s="14" t="s">
        <v>53</v>
      </c>
      <c r="G131" s="14" t="s">
        <v>343</v>
      </c>
      <c r="H131" s="14">
        <v>97.51</v>
      </c>
      <c r="I131" s="17" t="s">
        <v>622</v>
      </c>
      <c r="J131" s="14" t="s">
        <v>622</v>
      </c>
      <c r="K131" s="14">
        <v>21.7</v>
      </c>
      <c r="L131" s="14" t="s">
        <v>379</v>
      </c>
      <c r="M131" s="14" t="s">
        <v>380</v>
      </c>
      <c r="P131" s="15">
        <v>20702</v>
      </c>
      <c r="Q131" s="14" t="s">
        <v>44</v>
      </c>
      <c r="R131" s="14" t="s">
        <v>17</v>
      </c>
      <c r="S131" s="14">
        <v>99.27</v>
      </c>
      <c r="T131" s="16" t="s">
        <v>358</v>
      </c>
      <c r="V131" s="14">
        <v>35</v>
      </c>
      <c r="W131" s="14" t="s">
        <v>379</v>
      </c>
      <c r="AA131" s="15">
        <v>20500</v>
      </c>
      <c r="AB131" s="14" t="s">
        <v>31</v>
      </c>
      <c r="AC131" s="14" t="s">
        <v>17</v>
      </c>
      <c r="AD131" s="14">
        <v>98.83</v>
      </c>
      <c r="AE131" s="14" t="s">
        <v>326</v>
      </c>
      <c r="AG131" s="14">
        <v>27</v>
      </c>
      <c r="AH131" s="14" t="s">
        <v>379</v>
      </c>
      <c r="AI131" s="14" t="s">
        <v>493</v>
      </c>
      <c r="AL131" s="15">
        <v>20906</v>
      </c>
      <c r="AM131" s="14" t="s">
        <v>48</v>
      </c>
      <c r="AN131" s="14" t="s">
        <v>49</v>
      </c>
      <c r="AO131" s="14">
        <v>98.23</v>
      </c>
      <c r="AP131" s="16" t="s">
        <v>327</v>
      </c>
      <c r="AR131" s="14">
        <v>15</v>
      </c>
      <c r="AS131" s="14" t="s">
        <v>379</v>
      </c>
      <c r="BC131" s="14">
        <v>0</v>
      </c>
      <c r="BN131" s="14">
        <v>0</v>
      </c>
      <c r="BY131" s="14">
        <v>0</v>
      </c>
    </row>
    <row r="132" spans="1:77">
      <c r="A132" s="14">
        <v>30026</v>
      </c>
      <c r="B132" s="14" t="s">
        <v>75</v>
      </c>
      <c r="C132" s="14" t="str">
        <f>VLOOKUP(A132,[1]Sheet1!$A:$F,5,FALSE)</f>
        <v>전략</v>
      </c>
      <c r="D132" s="14" t="str">
        <f>VLOOKUP(A132,[1]Sheet1!$A:$F,6,FALSE)</f>
        <v>SP</v>
      </c>
      <c r="E132" s="15">
        <v>20902</v>
      </c>
      <c r="F132" s="14" t="s">
        <v>53</v>
      </c>
      <c r="G132" s="14" t="s">
        <v>13</v>
      </c>
      <c r="H132" s="14">
        <v>97.52</v>
      </c>
      <c r="I132" s="17" t="s">
        <v>623</v>
      </c>
      <c r="J132" s="14" t="s">
        <v>623</v>
      </c>
      <c r="K132" s="14">
        <v>20</v>
      </c>
      <c r="L132" s="14">
        <v>20807</v>
      </c>
      <c r="M132" s="14">
        <v>20808</v>
      </c>
      <c r="P132" s="15">
        <v>20702</v>
      </c>
      <c r="Q132" s="14" t="s">
        <v>44</v>
      </c>
      <c r="R132" s="14" t="s">
        <v>17</v>
      </c>
      <c r="S132" s="14">
        <v>98.57</v>
      </c>
      <c r="T132" s="16" t="s">
        <v>358</v>
      </c>
      <c r="V132" s="14">
        <v>35</v>
      </c>
      <c r="W132" s="14">
        <v>20807</v>
      </c>
      <c r="AA132" s="15">
        <v>20500</v>
      </c>
      <c r="AB132" s="14" t="s">
        <v>31</v>
      </c>
      <c r="AC132" s="14" t="s">
        <v>533</v>
      </c>
      <c r="AD132" s="14">
        <v>98.39</v>
      </c>
      <c r="AE132" s="16" t="s">
        <v>326</v>
      </c>
      <c r="AF132" s="14" t="s">
        <v>326</v>
      </c>
      <c r="AG132" s="14">
        <v>25.6</v>
      </c>
      <c r="AH132" s="14">
        <v>20807</v>
      </c>
      <c r="AI132" s="14">
        <v>23352</v>
      </c>
      <c r="AL132" s="15">
        <v>20906</v>
      </c>
      <c r="AM132" s="14" t="s">
        <v>48</v>
      </c>
      <c r="AN132" s="14" t="s">
        <v>49</v>
      </c>
      <c r="AO132" s="14">
        <v>98.36</v>
      </c>
      <c r="AP132" s="16" t="s">
        <v>327</v>
      </c>
      <c r="AR132" s="14">
        <v>17.600000000000001</v>
      </c>
      <c r="AS132" s="14">
        <v>20807</v>
      </c>
      <c r="BC132" s="14">
        <v>0</v>
      </c>
      <c r="BN132" s="14">
        <v>0</v>
      </c>
      <c r="BY132" s="14">
        <v>0</v>
      </c>
    </row>
    <row r="133" spans="1:77">
      <c r="A133" s="14">
        <v>32282</v>
      </c>
      <c r="B133" s="14" t="s">
        <v>170</v>
      </c>
      <c r="C133" s="14" t="str">
        <f>VLOOKUP(A133,[1]Sheet1!$A:$F,5,FALSE)</f>
        <v>전략</v>
      </c>
      <c r="D133" s="14" t="str">
        <f>VLOOKUP(A133,[1]Sheet1!$A:$F,6,FALSE)</f>
        <v>SP</v>
      </c>
      <c r="E133" s="15">
        <v>20902</v>
      </c>
      <c r="F133" s="14" t="s">
        <v>53</v>
      </c>
      <c r="G133" s="14" t="s">
        <v>13</v>
      </c>
      <c r="H133" s="14">
        <v>97.52</v>
      </c>
      <c r="I133" s="17" t="s">
        <v>624</v>
      </c>
      <c r="J133" s="14" t="s">
        <v>624</v>
      </c>
      <c r="K133" s="14">
        <v>20</v>
      </c>
      <c r="L133" s="14">
        <v>20807</v>
      </c>
      <c r="M133" s="14">
        <v>20808</v>
      </c>
      <c r="P133" s="15">
        <v>20706</v>
      </c>
      <c r="Q133" s="14" t="s">
        <v>52</v>
      </c>
      <c r="R133" s="14" t="s">
        <v>17</v>
      </c>
      <c r="S133" s="14">
        <v>98.98</v>
      </c>
      <c r="T133" s="16" t="s">
        <v>325</v>
      </c>
      <c r="V133" s="14">
        <v>40</v>
      </c>
      <c r="W133" s="14">
        <v>20807</v>
      </c>
      <c r="AA133" s="15">
        <v>20500</v>
      </c>
      <c r="AB133" s="14" t="s">
        <v>31</v>
      </c>
      <c r="AC133" s="14" t="s">
        <v>17</v>
      </c>
      <c r="AD133" s="14">
        <v>90.51</v>
      </c>
      <c r="AE133" s="14" t="s">
        <v>326</v>
      </c>
      <c r="AG133" s="14">
        <v>27</v>
      </c>
      <c r="AH133" s="14">
        <v>20807</v>
      </c>
      <c r="AI133" s="14">
        <v>23352</v>
      </c>
      <c r="AL133" s="15">
        <v>20906</v>
      </c>
      <c r="AM133" s="14" t="s">
        <v>48</v>
      </c>
      <c r="AN133" s="14" t="s">
        <v>49</v>
      </c>
      <c r="AO133" s="14">
        <v>97.17</v>
      </c>
      <c r="AP133" s="16" t="s">
        <v>327</v>
      </c>
      <c r="AR133" s="14">
        <v>17</v>
      </c>
      <c r="AS133" s="14">
        <v>20807</v>
      </c>
      <c r="BC133" s="14">
        <v>0</v>
      </c>
      <c r="BN133" s="14">
        <v>0</v>
      </c>
      <c r="BY133" s="14">
        <v>0</v>
      </c>
    </row>
    <row r="134" spans="1:77">
      <c r="A134" s="14">
        <v>32690</v>
      </c>
      <c r="B134" s="14" t="s">
        <v>625</v>
      </c>
      <c r="C134" s="14" t="str">
        <f>VLOOKUP(A134,[1]Sheet1!$A:$F,5,FALSE)</f>
        <v>전략</v>
      </c>
      <c r="D134" s="14" t="str">
        <f>VLOOKUP(A134,[1]Sheet1!$A:$F,6,FALSE)</f>
        <v>SP</v>
      </c>
      <c r="E134" s="15">
        <v>20902</v>
      </c>
      <c r="F134" s="14" t="s">
        <v>53</v>
      </c>
      <c r="G134" s="14" t="s">
        <v>487</v>
      </c>
      <c r="H134" s="14">
        <v>97.52</v>
      </c>
      <c r="I134" s="17" t="s">
        <v>626</v>
      </c>
      <c r="J134" s="14" t="s">
        <v>626</v>
      </c>
      <c r="K134" s="14">
        <v>26</v>
      </c>
      <c r="L134" s="14" t="s">
        <v>627</v>
      </c>
      <c r="M134" s="14" t="s">
        <v>628</v>
      </c>
      <c r="P134" s="15">
        <v>20713</v>
      </c>
      <c r="Q134" s="14" t="s">
        <v>147</v>
      </c>
      <c r="R134" s="14" t="s">
        <v>17</v>
      </c>
      <c r="S134" s="14">
        <v>98.97</v>
      </c>
      <c r="T134" s="16" t="s">
        <v>444</v>
      </c>
      <c r="U134" s="14" t="s">
        <v>444</v>
      </c>
      <c r="V134" s="14">
        <v>25</v>
      </c>
      <c r="W134" s="14" t="s">
        <v>629</v>
      </c>
      <c r="AA134" s="15">
        <v>20500</v>
      </c>
      <c r="AB134" s="14" t="s">
        <v>31</v>
      </c>
      <c r="AC134" s="14" t="s">
        <v>17</v>
      </c>
      <c r="AD134" s="14">
        <v>98.18</v>
      </c>
      <c r="AE134" s="16" t="s">
        <v>326</v>
      </c>
      <c r="AF134" s="14" t="s">
        <v>326</v>
      </c>
      <c r="AG134" s="14">
        <v>27</v>
      </c>
      <c r="AH134" s="14" t="s">
        <v>629</v>
      </c>
      <c r="AI134" s="14" t="s">
        <v>630</v>
      </c>
      <c r="AL134" s="15">
        <v>20906</v>
      </c>
      <c r="AM134" s="14" t="s">
        <v>48</v>
      </c>
      <c r="AN134" s="14" t="s">
        <v>49</v>
      </c>
      <c r="AO134" s="14">
        <v>77.88</v>
      </c>
      <c r="AP134" s="16" t="s">
        <v>327</v>
      </c>
      <c r="AR134" s="14">
        <v>17</v>
      </c>
      <c r="AS134" s="14" t="s">
        <v>627</v>
      </c>
      <c r="BC134" s="14">
        <v>0</v>
      </c>
      <c r="BN134" s="14">
        <v>0</v>
      </c>
      <c r="BY134" s="14">
        <v>0</v>
      </c>
    </row>
    <row r="135" spans="1:77">
      <c r="A135" s="14">
        <v>32166</v>
      </c>
      <c r="B135" s="14" t="s">
        <v>149</v>
      </c>
      <c r="C135" s="14" t="str">
        <f>VLOOKUP(A135,[1]Sheet1!$A:$F,5,FALSE)</f>
        <v>전략</v>
      </c>
      <c r="D135" s="14" t="str">
        <f>VLOOKUP(A135,[1]Sheet1!$A:$F,6,FALSE)</f>
        <v>SP</v>
      </c>
      <c r="E135" s="15">
        <v>20902</v>
      </c>
      <c r="F135" s="14" t="s">
        <v>53</v>
      </c>
      <c r="G135" s="14" t="s">
        <v>13</v>
      </c>
      <c r="H135" s="14">
        <v>97.54</v>
      </c>
      <c r="I135" s="17" t="s">
        <v>631</v>
      </c>
      <c r="J135" s="14" t="s">
        <v>631</v>
      </c>
      <c r="K135" s="14">
        <v>15</v>
      </c>
      <c r="L135" s="14">
        <v>20807</v>
      </c>
      <c r="M135" s="14">
        <v>25922</v>
      </c>
      <c r="P135" s="15">
        <v>20706</v>
      </c>
      <c r="Q135" s="14" t="s">
        <v>52</v>
      </c>
      <c r="R135" s="14" t="s">
        <v>17</v>
      </c>
      <c r="S135" s="14">
        <v>98.56</v>
      </c>
      <c r="T135" s="16" t="s">
        <v>325</v>
      </c>
      <c r="V135" s="14">
        <v>40</v>
      </c>
      <c r="W135" s="14">
        <v>20807</v>
      </c>
      <c r="AA135" s="15">
        <v>20500</v>
      </c>
      <c r="AB135" s="14" t="s">
        <v>31</v>
      </c>
      <c r="AC135" s="14" t="s">
        <v>17</v>
      </c>
      <c r="AD135" s="14">
        <v>96.72</v>
      </c>
      <c r="AE135" s="16" t="s">
        <v>423</v>
      </c>
      <c r="AF135" s="14" t="s">
        <v>423</v>
      </c>
      <c r="AG135" s="14">
        <v>25</v>
      </c>
      <c r="AH135" s="14">
        <v>20807</v>
      </c>
      <c r="AI135" s="14">
        <v>23352</v>
      </c>
      <c r="AL135" s="15">
        <v>20906</v>
      </c>
      <c r="AM135" s="14" t="s">
        <v>48</v>
      </c>
      <c r="AN135" s="14" t="s">
        <v>49</v>
      </c>
      <c r="AO135" s="14">
        <v>96.98</v>
      </c>
      <c r="AP135" s="16" t="s">
        <v>327</v>
      </c>
      <c r="AR135" s="14">
        <v>17</v>
      </c>
      <c r="AS135" s="14">
        <v>20807</v>
      </c>
      <c r="BC135" s="14">
        <v>0</v>
      </c>
      <c r="BN135" s="14">
        <v>0</v>
      </c>
      <c r="BY135" s="14">
        <v>0</v>
      </c>
    </row>
    <row r="136" spans="1:77">
      <c r="A136" s="14">
        <v>31792</v>
      </c>
      <c r="B136" s="14" t="s">
        <v>632</v>
      </c>
      <c r="C136" s="14" t="str">
        <f>VLOOKUP(A136,[1]Sheet1!$A:$F,5,FALSE)</f>
        <v>염료</v>
      </c>
      <c r="D136" s="14" t="str">
        <f>VLOOKUP(A136,[1]Sheet1!$A:$F,6,FALSE)</f>
        <v>2PLY</v>
      </c>
      <c r="E136" s="15">
        <v>20400</v>
      </c>
      <c r="F136" s="14" t="s">
        <v>34</v>
      </c>
      <c r="G136" s="14" t="s">
        <v>13</v>
      </c>
      <c r="H136" s="14">
        <v>97.56</v>
      </c>
      <c r="I136" s="17" t="s">
        <v>633</v>
      </c>
      <c r="J136" s="14" t="s">
        <v>633</v>
      </c>
      <c r="K136" s="14">
        <v>30</v>
      </c>
      <c r="L136" s="14">
        <v>23420</v>
      </c>
      <c r="M136" s="14">
        <v>20035</v>
      </c>
      <c r="P136" s="15">
        <v>20500</v>
      </c>
      <c r="Q136" s="14" t="s">
        <v>31</v>
      </c>
      <c r="R136" s="14" t="s">
        <v>17</v>
      </c>
      <c r="S136" s="14">
        <v>99</v>
      </c>
      <c r="T136" s="16" t="s">
        <v>634</v>
      </c>
      <c r="U136" s="14" t="s">
        <v>634</v>
      </c>
      <c r="V136" s="14">
        <v>27</v>
      </c>
      <c r="W136" s="14">
        <v>23420</v>
      </c>
      <c r="X136" s="14">
        <v>23352</v>
      </c>
      <c r="AA136" s="15">
        <v>20700</v>
      </c>
      <c r="AB136" s="14" t="s">
        <v>15</v>
      </c>
      <c r="AC136" s="14" t="s">
        <v>17</v>
      </c>
      <c r="AD136" s="14">
        <v>98.48</v>
      </c>
      <c r="AE136" s="16" t="s">
        <v>432</v>
      </c>
      <c r="AG136" s="14">
        <v>25</v>
      </c>
      <c r="AH136" s="14">
        <v>23420</v>
      </c>
      <c r="AP136" s="14"/>
      <c r="AR136" s="14">
        <v>0</v>
      </c>
      <c r="BC136" s="14">
        <v>0</v>
      </c>
      <c r="BN136" s="14">
        <v>0</v>
      </c>
      <c r="BY136" s="14">
        <v>0</v>
      </c>
    </row>
    <row r="137" spans="1:77">
      <c r="A137" s="14">
        <v>32717</v>
      </c>
      <c r="B137" s="14" t="s">
        <v>635</v>
      </c>
      <c r="C137" s="14" t="str">
        <f>VLOOKUP(A137,[1]Sheet1!$A:$F,5,FALSE)</f>
        <v>전략</v>
      </c>
      <c r="D137" s="14" t="str">
        <f>VLOOKUP(A137,[1]Sheet1!$A:$F,6,FALSE)</f>
        <v>SP</v>
      </c>
      <c r="E137" s="15">
        <v>20902</v>
      </c>
      <c r="F137" s="14" t="s">
        <v>53</v>
      </c>
      <c r="G137" s="14" t="s">
        <v>13</v>
      </c>
      <c r="H137" s="14">
        <v>97.56</v>
      </c>
      <c r="I137" s="17" t="s">
        <v>636</v>
      </c>
      <c r="K137" s="14">
        <v>15</v>
      </c>
      <c r="L137" s="14">
        <v>20807</v>
      </c>
      <c r="M137" s="14">
        <v>25891</v>
      </c>
      <c r="P137" s="15">
        <v>20706</v>
      </c>
      <c r="Q137" s="14" t="s">
        <v>52</v>
      </c>
      <c r="R137" s="14" t="s">
        <v>17</v>
      </c>
      <c r="S137" s="14">
        <v>98</v>
      </c>
      <c r="T137" s="16" t="s">
        <v>432</v>
      </c>
      <c r="U137" s="14" t="s">
        <v>432</v>
      </c>
      <c r="V137" s="14">
        <v>40</v>
      </c>
      <c r="W137" s="14">
        <v>20807</v>
      </c>
      <c r="AA137" s="15">
        <v>20500</v>
      </c>
      <c r="AB137" s="14" t="s">
        <v>31</v>
      </c>
      <c r="AC137" s="14" t="s">
        <v>17</v>
      </c>
      <c r="AD137" s="14">
        <v>97.96</v>
      </c>
      <c r="AE137" s="16" t="s">
        <v>326</v>
      </c>
      <c r="AF137" s="14" t="s">
        <v>326</v>
      </c>
      <c r="AG137" s="14">
        <v>25</v>
      </c>
      <c r="AH137" s="14">
        <v>20807</v>
      </c>
      <c r="AI137" s="14">
        <v>23352</v>
      </c>
      <c r="AL137" s="15">
        <v>20906</v>
      </c>
      <c r="AM137" s="14" t="s">
        <v>48</v>
      </c>
      <c r="AN137" s="14" t="s">
        <v>49</v>
      </c>
      <c r="AO137" s="14">
        <v>97.92</v>
      </c>
      <c r="AP137" s="16" t="s">
        <v>327</v>
      </c>
      <c r="AR137" s="14">
        <v>17</v>
      </c>
      <c r="AS137" s="14">
        <v>20807</v>
      </c>
      <c r="BC137" s="14">
        <v>0</v>
      </c>
      <c r="BN137" s="14">
        <v>0</v>
      </c>
      <c r="BY137" s="14">
        <v>0</v>
      </c>
    </row>
    <row r="138" spans="1:77">
      <c r="A138" s="14">
        <v>32225</v>
      </c>
      <c r="B138" s="14" t="s">
        <v>155</v>
      </c>
      <c r="C138" s="14" t="str">
        <f>VLOOKUP(A138,[1]Sheet1!$A:$F,5,FALSE)</f>
        <v>전략</v>
      </c>
      <c r="D138" s="14" t="str">
        <f>VLOOKUP(A138,[1]Sheet1!$A:$F,6,FALSE)</f>
        <v>SP</v>
      </c>
      <c r="E138" s="15">
        <v>20902</v>
      </c>
      <c r="F138" s="14" t="s">
        <v>53</v>
      </c>
      <c r="G138" s="14" t="s">
        <v>343</v>
      </c>
      <c r="H138" s="14">
        <v>97.57</v>
      </c>
      <c r="I138" s="17" t="s">
        <v>637</v>
      </c>
      <c r="J138" s="14" t="s">
        <v>637</v>
      </c>
      <c r="K138" s="14">
        <v>20</v>
      </c>
      <c r="L138" s="14">
        <v>20807</v>
      </c>
      <c r="M138" s="14">
        <v>20808</v>
      </c>
      <c r="P138" s="15">
        <v>20706</v>
      </c>
      <c r="Q138" s="14" t="s">
        <v>52</v>
      </c>
      <c r="R138" s="14" t="s">
        <v>17</v>
      </c>
      <c r="S138" s="14">
        <v>99.29</v>
      </c>
      <c r="T138" s="16" t="s">
        <v>432</v>
      </c>
      <c r="U138" s="14" t="s">
        <v>432</v>
      </c>
      <c r="V138" s="14">
        <v>40</v>
      </c>
      <c r="W138" s="14">
        <v>20807</v>
      </c>
      <c r="AA138" s="15">
        <v>20500</v>
      </c>
      <c r="AB138" s="14" t="s">
        <v>31</v>
      </c>
      <c r="AC138" s="14" t="s">
        <v>17</v>
      </c>
      <c r="AD138" s="14">
        <v>98.44</v>
      </c>
      <c r="AE138" s="16" t="s">
        <v>423</v>
      </c>
      <c r="AF138" s="14" t="s">
        <v>423</v>
      </c>
      <c r="AG138" s="14">
        <v>27</v>
      </c>
      <c r="AH138" s="14">
        <v>20807</v>
      </c>
      <c r="AI138" s="14" t="s">
        <v>393</v>
      </c>
      <c r="AL138" s="15">
        <v>20906</v>
      </c>
      <c r="AM138" s="14" t="s">
        <v>48</v>
      </c>
      <c r="AN138" s="14" t="s">
        <v>49</v>
      </c>
      <c r="AO138" s="14">
        <v>98.06</v>
      </c>
      <c r="AP138" s="16" t="s">
        <v>327</v>
      </c>
      <c r="AR138" s="14">
        <v>17.7</v>
      </c>
      <c r="AS138" s="14">
        <v>20807</v>
      </c>
      <c r="BC138" s="14">
        <v>0</v>
      </c>
      <c r="BN138" s="14">
        <v>0</v>
      </c>
      <c r="BY138" s="14">
        <v>0</v>
      </c>
    </row>
    <row r="139" spans="1:77">
      <c r="A139" s="14">
        <v>32265</v>
      </c>
      <c r="B139" s="14" t="s">
        <v>165</v>
      </c>
      <c r="C139" s="14" t="str">
        <f>VLOOKUP(A139,[1]Sheet1!$A:$F,5,FALSE)</f>
        <v>전략</v>
      </c>
      <c r="D139" s="14" t="str">
        <f>VLOOKUP(A139,[1]Sheet1!$A:$F,6,FALSE)</f>
        <v>SP</v>
      </c>
      <c r="E139" s="15">
        <v>20902</v>
      </c>
      <c r="F139" s="14" t="s">
        <v>53</v>
      </c>
      <c r="G139" s="14" t="s">
        <v>343</v>
      </c>
      <c r="H139" s="14">
        <v>97.57</v>
      </c>
      <c r="I139" s="17" t="s">
        <v>638</v>
      </c>
      <c r="J139" s="14" t="s">
        <v>639</v>
      </c>
      <c r="K139" s="14">
        <v>23.9</v>
      </c>
      <c r="L139" s="14" t="s">
        <v>392</v>
      </c>
      <c r="M139" s="14">
        <v>20808</v>
      </c>
      <c r="P139" s="15">
        <v>20702</v>
      </c>
      <c r="Q139" s="14" t="s">
        <v>44</v>
      </c>
      <c r="R139" s="14" t="s">
        <v>17</v>
      </c>
      <c r="S139" s="14">
        <v>98.81</v>
      </c>
      <c r="T139" s="16" t="s">
        <v>347</v>
      </c>
      <c r="U139" s="14" t="s">
        <v>426</v>
      </c>
      <c r="V139" s="14">
        <v>35</v>
      </c>
      <c r="W139" s="14" t="s">
        <v>392</v>
      </c>
      <c r="AA139" s="15">
        <v>20500</v>
      </c>
      <c r="AB139" s="14" t="s">
        <v>31</v>
      </c>
      <c r="AC139" s="14" t="s">
        <v>349</v>
      </c>
      <c r="AD139" s="14">
        <v>97.37</v>
      </c>
      <c r="AE139" s="16" t="s">
        <v>326</v>
      </c>
      <c r="AF139" s="14" t="s">
        <v>326</v>
      </c>
      <c r="AG139" s="14">
        <v>26.2</v>
      </c>
      <c r="AH139" s="14" t="s">
        <v>391</v>
      </c>
      <c r="AI139" s="14" t="s">
        <v>393</v>
      </c>
      <c r="AL139" s="15">
        <v>20906</v>
      </c>
      <c r="AM139" s="14" t="s">
        <v>48</v>
      </c>
      <c r="AN139" s="14" t="s">
        <v>49</v>
      </c>
      <c r="AO139" s="14">
        <v>97.64</v>
      </c>
      <c r="AP139" s="16" t="s">
        <v>327</v>
      </c>
      <c r="AR139" s="14">
        <v>17.399999999999999</v>
      </c>
      <c r="AS139" s="14" t="s">
        <v>391</v>
      </c>
      <c r="BC139" s="14">
        <v>0</v>
      </c>
      <c r="BN139" s="14">
        <v>0</v>
      </c>
      <c r="BY139" s="14">
        <v>0</v>
      </c>
    </row>
    <row r="140" spans="1:77">
      <c r="A140" s="14">
        <v>32316</v>
      </c>
      <c r="B140" s="14" t="s">
        <v>179</v>
      </c>
      <c r="C140" s="14" t="str">
        <f>VLOOKUP(A140,[1]Sheet1!$A:$F,5,FALSE)</f>
        <v>전략</v>
      </c>
      <c r="D140" s="14" t="str">
        <f>VLOOKUP(A140,[1]Sheet1!$A:$F,6,FALSE)</f>
        <v>SP</v>
      </c>
      <c r="E140" s="15">
        <v>20902</v>
      </c>
      <c r="F140" s="14" t="s">
        <v>53</v>
      </c>
      <c r="G140" s="14" t="s">
        <v>13</v>
      </c>
      <c r="H140" s="14">
        <v>97.59</v>
      </c>
      <c r="I140" s="17" t="s">
        <v>640</v>
      </c>
      <c r="J140" s="14" t="s">
        <v>641</v>
      </c>
      <c r="K140" s="14">
        <v>22.5</v>
      </c>
      <c r="L140" s="14">
        <v>20807</v>
      </c>
      <c r="M140" s="14">
        <v>20808</v>
      </c>
      <c r="P140" s="15">
        <v>20702</v>
      </c>
      <c r="Q140" s="14" t="s">
        <v>44</v>
      </c>
      <c r="R140" s="14" t="s">
        <v>17</v>
      </c>
      <c r="S140" s="14">
        <v>98.97</v>
      </c>
      <c r="T140" s="16" t="s">
        <v>381</v>
      </c>
      <c r="U140" s="14" t="s">
        <v>381</v>
      </c>
      <c r="V140" s="14">
        <v>35</v>
      </c>
      <c r="W140" s="14">
        <v>20807</v>
      </c>
      <c r="AA140" s="15">
        <v>20500</v>
      </c>
      <c r="AB140" s="14" t="s">
        <v>31</v>
      </c>
      <c r="AC140" s="14" t="s">
        <v>17</v>
      </c>
      <c r="AD140" s="14">
        <v>98.83</v>
      </c>
      <c r="AE140" s="16" t="s">
        <v>326</v>
      </c>
      <c r="AF140" s="14" t="s">
        <v>326</v>
      </c>
      <c r="AG140" s="14">
        <v>27</v>
      </c>
      <c r="AH140" s="14">
        <v>20807</v>
      </c>
      <c r="AI140" s="14">
        <v>25382</v>
      </c>
      <c r="AL140" s="15">
        <v>20906</v>
      </c>
      <c r="AM140" s="14" t="s">
        <v>48</v>
      </c>
      <c r="AN140" s="14" t="s">
        <v>49</v>
      </c>
      <c r="AO140" s="14">
        <v>97.66</v>
      </c>
      <c r="AP140" s="16" t="s">
        <v>327</v>
      </c>
      <c r="AR140" s="14">
        <v>16</v>
      </c>
      <c r="AS140" s="14">
        <v>20807</v>
      </c>
      <c r="BC140" s="14">
        <v>0</v>
      </c>
      <c r="BN140" s="14">
        <v>0</v>
      </c>
      <c r="BY140" s="14">
        <v>0</v>
      </c>
    </row>
    <row r="141" spans="1:77">
      <c r="A141" s="14">
        <v>32377</v>
      </c>
      <c r="B141" s="14" t="s">
        <v>189</v>
      </c>
      <c r="C141" s="14" t="str">
        <f>VLOOKUP(A141,[1]Sheet1!$A:$F,5,FALSE)</f>
        <v>전략</v>
      </c>
      <c r="D141" s="14" t="str">
        <f>VLOOKUP(A141,[1]Sheet1!$A:$F,6,FALSE)</f>
        <v>SP</v>
      </c>
      <c r="E141" s="15">
        <v>20902</v>
      </c>
      <c r="F141" s="14" t="s">
        <v>53</v>
      </c>
      <c r="G141" s="14" t="s">
        <v>343</v>
      </c>
      <c r="H141" s="14">
        <v>97.59</v>
      </c>
      <c r="I141" s="17" t="s">
        <v>642</v>
      </c>
      <c r="J141" s="14" t="s">
        <v>642</v>
      </c>
      <c r="K141" s="14">
        <v>23</v>
      </c>
      <c r="L141" s="14">
        <v>20807</v>
      </c>
      <c r="M141" s="14" t="s">
        <v>346</v>
      </c>
      <c r="P141" s="15">
        <v>20714</v>
      </c>
      <c r="Q141" s="14" t="s">
        <v>188</v>
      </c>
      <c r="R141" s="14" t="s">
        <v>17</v>
      </c>
      <c r="S141" s="14">
        <v>98.68</v>
      </c>
      <c r="T141" s="16" t="s">
        <v>450</v>
      </c>
      <c r="U141" s="14" t="s">
        <v>450</v>
      </c>
      <c r="V141" s="14">
        <v>40</v>
      </c>
      <c r="W141" s="14">
        <v>20807</v>
      </c>
      <c r="AA141" s="15">
        <v>20500</v>
      </c>
      <c r="AB141" s="14" t="s">
        <v>31</v>
      </c>
      <c r="AC141" s="14" t="s">
        <v>17</v>
      </c>
      <c r="AD141" s="14">
        <v>98.08</v>
      </c>
      <c r="AE141" s="16" t="s">
        <v>326</v>
      </c>
      <c r="AF141" s="14" t="s">
        <v>326</v>
      </c>
      <c r="AG141" s="14">
        <v>27</v>
      </c>
      <c r="AH141" s="14">
        <v>20807</v>
      </c>
      <c r="AI141" s="14" t="s">
        <v>393</v>
      </c>
      <c r="AL141" s="15">
        <v>20906</v>
      </c>
      <c r="AM141" s="14" t="s">
        <v>48</v>
      </c>
      <c r="AN141" s="14" t="s">
        <v>49</v>
      </c>
      <c r="AO141" s="14">
        <v>98.01</v>
      </c>
      <c r="AP141" s="16" t="s">
        <v>327</v>
      </c>
      <c r="AR141" s="14">
        <v>17.899999999999999</v>
      </c>
      <c r="AS141" s="14">
        <v>20807</v>
      </c>
      <c r="BC141" s="14">
        <v>0</v>
      </c>
      <c r="BN141" s="14">
        <v>0</v>
      </c>
      <c r="BY141" s="14">
        <v>0</v>
      </c>
    </row>
    <row r="142" spans="1:77">
      <c r="A142" s="14">
        <v>32660</v>
      </c>
      <c r="B142" s="14" t="s">
        <v>643</v>
      </c>
      <c r="C142" s="14" t="str">
        <f>VLOOKUP(A142,[1]Sheet1!$A:$F,5,FALSE)</f>
        <v>전략</v>
      </c>
      <c r="D142" s="14" t="str">
        <f>VLOOKUP(A142,[1]Sheet1!$A:$F,6,FALSE)</f>
        <v>SP</v>
      </c>
      <c r="E142" s="15">
        <v>20902</v>
      </c>
      <c r="F142" s="14" t="s">
        <v>53</v>
      </c>
      <c r="G142" s="14" t="s">
        <v>13</v>
      </c>
      <c r="H142" s="14">
        <v>97.6</v>
      </c>
      <c r="I142" s="17" t="s">
        <v>644</v>
      </c>
      <c r="J142" s="14" t="s">
        <v>644</v>
      </c>
      <c r="K142" s="14">
        <v>15</v>
      </c>
      <c r="L142" s="14">
        <v>20807</v>
      </c>
      <c r="M142" s="14">
        <v>20808</v>
      </c>
      <c r="P142" s="15">
        <v>20706</v>
      </c>
      <c r="Q142" s="14" t="s">
        <v>52</v>
      </c>
      <c r="R142" s="14" t="s">
        <v>17</v>
      </c>
      <c r="S142" s="14">
        <v>99.01</v>
      </c>
      <c r="T142" s="16" t="s">
        <v>325</v>
      </c>
      <c r="V142" s="14">
        <v>40</v>
      </c>
      <c r="W142" s="14">
        <v>20807</v>
      </c>
      <c r="AA142" s="15">
        <v>20500</v>
      </c>
      <c r="AB142" s="14" t="s">
        <v>31</v>
      </c>
      <c r="AC142" s="14" t="s">
        <v>17</v>
      </c>
      <c r="AD142" s="14">
        <v>99</v>
      </c>
      <c r="AE142" s="14" t="s">
        <v>326</v>
      </c>
      <c r="AG142" s="14">
        <v>27</v>
      </c>
      <c r="AH142" s="14">
        <v>20807</v>
      </c>
      <c r="AI142" s="14">
        <v>23352</v>
      </c>
      <c r="AL142" s="15">
        <v>20906</v>
      </c>
      <c r="AM142" s="14" t="s">
        <v>48</v>
      </c>
      <c r="AN142" s="14" t="s">
        <v>49</v>
      </c>
      <c r="AO142" s="14">
        <v>97.99</v>
      </c>
      <c r="AP142" s="16" t="s">
        <v>327</v>
      </c>
      <c r="AR142" s="14">
        <v>19</v>
      </c>
      <c r="AS142" s="14">
        <v>20807</v>
      </c>
      <c r="BC142" s="14">
        <v>0</v>
      </c>
      <c r="BN142" s="14">
        <v>0</v>
      </c>
      <c r="BY142" s="14">
        <v>0</v>
      </c>
    </row>
    <row r="143" spans="1:77">
      <c r="A143" s="14">
        <v>32363</v>
      </c>
      <c r="B143" s="14" t="s">
        <v>185</v>
      </c>
      <c r="C143" s="14" t="str">
        <f>VLOOKUP(A143,[1]Sheet1!$A:$F,5,FALSE)</f>
        <v>전략</v>
      </c>
      <c r="D143" s="14" t="str">
        <f>VLOOKUP(A143,[1]Sheet1!$A:$F,6,FALSE)</f>
        <v>SP</v>
      </c>
      <c r="E143" s="15">
        <v>20902</v>
      </c>
      <c r="F143" s="14" t="s">
        <v>53</v>
      </c>
      <c r="G143" s="14" t="s">
        <v>13</v>
      </c>
      <c r="H143" s="14">
        <v>97.61</v>
      </c>
      <c r="I143" s="17" t="s">
        <v>645</v>
      </c>
      <c r="J143" s="14" t="s">
        <v>645</v>
      </c>
      <c r="K143" s="14">
        <v>15</v>
      </c>
      <c r="L143" s="14">
        <v>20807</v>
      </c>
      <c r="M143" s="14">
        <v>25890</v>
      </c>
      <c r="P143" s="15">
        <v>20706</v>
      </c>
      <c r="Q143" s="14" t="s">
        <v>52</v>
      </c>
      <c r="R143" s="14" t="s">
        <v>17</v>
      </c>
      <c r="S143" s="14">
        <v>97.04</v>
      </c>
      <c r="T143" s="16" t="s">
        <v>410</v>
      </c>
      <c r="U143" s="14" t="s">
        <v>410</v>
      </c>
      <c r="V143" s="14">
        <v>40</v>
      </c>
      <c r="W143" s="14">
        <v>20807</v>
      </c>
      <c r="AA143" s="15">
        <v>20500</v>
      </c>
      <c r="AB143" s="14" t="s">
        <v>31</v>
      </c>
      <c r="AC143" s="14" t="s">
        <v>349</v>
      </c>
      <c r="AD143" s="14">
        <v>95.94</v>
      </c>
      <c r="AE143" s="16" t="s">
        <v>326</v>
      </c>
      <c r="AF143" s="14" t="s">
        <v>326</v>
      </c>
      <c r="AG143" s="14">
        <v>22.5</v>
      </c>
      <c r="AH143" s="14">
        <v>20807</v>
      </c>
      <c r="AI143" s="14">
        <v>23352</v>
      </c>
      <c r="AL143" s="15">
        <v>20906</v>
      </c>
      <c r="AM143" s="14" t="s">
        <v>48</v>
      </c>
      <c r="AN143" s="14" t="s">
        <v>49</v>
      </c>
      <c r="AO143" s="14">
        <v>97.53</v>
      </c>
      <c r="AP143" s="16" t="s">
        <v>327</v>
      </c>
      <c r="AR143" s="14">
        <v>17</v>
      </c>
      <c r="AS143" s="14">
        <v>20807</v>
      </c>
      <c r="BC143" s="14">
        <v>0</v>
      </c>
      <c r="BN143" s="14">
        <v>0</v>
      </c>
      <c r="BY143" s="14">
        <v>0</v>
      </c>
    </row>
    <row r="144" spans="1:77">
      <c r="A144" s="14">
        <v>32692</v>
      </c>
      <c r="B144" s="14" t="s">
        <v>646</v>
      </c>
      <c r="C144" s="14" t="str">
        <f>VLOOKUP(A144,[1]Sheet1!$A:$F,5,FALSE)</f>
        <v>전략</v>
      </c>
      <c r="D144" s="14" t="str">
        <f>VLOOKUP(A144,[1]Sheet1!$A:$F,6,FALSE)</f>
        <v>SP</v>
      </c>
      <c r="E144" s="15">
        <v>20902</v>
      </c>
      <c r="F144" s="14" t="s">
        <v>53</v>
      </c>
      <c r="G144" s="14" t="s">
        <v>343</v>
      </c>
      <c r="H144" s="14">
        <v>97.61</v>
      </c>
      <c r="I144" s="17" t="s">
        <v>647</v>
      </c>
      <c r="J144" s="14" t="s">
        <v>647</v>
      </c>
      <c r="K144" s="14">
        <v>25</v>
      </c>
      <c r="L144" s="14" t="s">
        <v>648</v>
      </c>
      <c r="M144" s="14" t="s">
        <v>413</v>
      </c>
      <c r="P144" s="15">
        <v>20713</v>
      </c>
      <c r="Q144" s="14" t="s">
        <v>147</v>
      </c>
      <c r="R144" s="14" t="s">
        <v>17</v>
      </c>
      <c r="S144" s="14">
        <v>99.08</v>
      </c>
      <c r="T144" s="16" t="s">
        <v>397</v>
      </c>
      <c r="V144" s="14">
        <v>25</v>
      </c>
      <c r="W144" s="14" t="s">
        <v>648</v>
      </c>
      <c r="AA144" s="15">
        <v>20500</v>
      </c>
      <c r="AB144" s="14" t="s">
        <v>31</v>
      </c>
      <c r="AC144" s="14" t="s">
        <v>17</v>
      </c>
      <c r="AD144" s="14">
        <v>98.93</v>
      </c>
      <c r="AE144" s="16" t="s">
        <v>326</v>
      </c>
      <c r="AF144" s="14" t="s">
        <v>326</v>
      </c>
      <c r="AG144" s="14">
        <v>27</v>
      </c>
      <c r="AH144" s="14" t="s">
        <v>446</v>
      </c>
      <c r="AI144" s="14" t="s">
        <v>415</v>
      </c>
      <c r="AL144" s="15">
        <v>20906</v>
      </c>
      <c r="AM144" s="14" t="s">
        <v>48</v>
      </c>
      <c r="AN144" s="14" t="s">
        <v>49</v>
      </c>
      <c r="AO144" s="14">
        <v>96.43</v>
      </c>
      <c r="AP144" s="16" t="s">
        <v>327</v>
      </c>
      <c r="AR144" s="14">
        <v>17</v>
      </c>
      <c r="AS144" s="14" t="s">
        <v>649</v>
      </c>
      <c r="BC144" s="14">
        <v>0</v>
      </c>
      <c r="BN144" s="14">
        <v>0</v>
      </c>
      <c r="BY144" s="14">
        <v>0</v>
      </c>
    </row>
    <row r="145" spans="1:77">
      <c r="A145" s="14">
        <v>32167</v>
      </c>
      <c r="B145" s="14" t="s">
        <v>150</v>
      </c>
      <c r="C145" s="14" t="str">
        <f>VLOOKUP(A145,[1]Sheet1!$A:$F,5,FALSE)</f>
        <v>전략</v>
      </c>
      <c r="D145" s="14" t="str">
        <f>VLOOKUP(A145,[1]Sheet1!$A:$F,6,FALSE)</f>
        <v>SP</v>
      </c>
      <c r="E145" s="15">
        <v>20902</v>
      </c>
      <c r="F145" s="14" t="s">
        <v>53</v>
      </c>
      <c r="G145" s="14" t="s">
        <v>13</v>
      </c>
      <c r="H145" s="14">
        <v>97.62</v>
      </c>
      <c r="I145" s="17" t="s">
        <v>537</v>
      </c>
      <c r="J145" s="14" t="s">
        <v>537</v>
      </c>
      <c r="K145" s="14">
        <v>15</v>
      </c>
      <c r="L145" s="14">
        <v>24884</v>
      </c>
      <c r="M145" s="14">
        <v>25889</v>
      </c>
      <c r="P145" s="15">
        <v>20705</v>
      </c>
      <c r="Q145" s="14" t="s">
        <v>59</v>
      </c>
      <c r="R145" s="14" t="s">
        <v>17</v>
      </c>
      <c r="S145" s="14">
        <v>99.02</v>
      </c>
      <c r="T145" s="16" t="s">
        <v>513</v>
      </c>
      <c r="U145" s="14" t="s">
        <v>513</v>
      </c>
      <c r="V145" s="14">
        <v>30</v>
      </c>
      <c r="W145" s="14">
        <v>24884</v>
      </c>
      <c r="AA145" s="15">
        <v>20500</v>
      </c>
      <c r="AB145" s="14" t="s">
        <v>31</v>
      </c>
      <c r="AC145" s="14" t="s">
        <v>17</v>
      </c>
      <c r="AD145" s="14">
        <v>99.01</v>
      </c>
      <c r="AE145" s="16" t="s">
        <v>423</v>
      </c>
      <c r="AF145" s="14" t="s">
        <v>423</v>
      </c>
      <c r="AG145" s="14">
        <v>25</v>
      </c>
      <c r="AH145" s="14">
        <v>24884</v>
      </c>
      <c r="AI145" s="14">
        <v>23352</v>
      </c>
      <c r="AL145" s="15">
        <v>20906</v>
      </c>
      <c r="AM145" s="14" t="s">
        <v>48</v>
      </c>
      <c r="AN145" s="14" t="s">
        <v>49</v>
      </c>
      <c r="AO145" s="14">
        <v>96.52</v>
      </c>
      <c r="AP145" s="16" t="s">
        <v>327</v>
      </c>
      <c r="AR145" s="14">
        <v>17</v>
      </c>
      <c r="AS145" s="14">
        <v>24884</v>
      </c>
      <c r="BC145" s="14">
        <v>0</v>
      </c>
      <c r="BN145" s="14">
        <v>0</v>
      </c>
      <c r="BY145" s="14">
        <v>0</v>
      </c>
    </row>
    <row r="146" spans="1:77">
      <c r="A146" s="14">
        <v>32709</v>
      </c>
      <c r="B146" s="14" t="s">
        <v>650</v>
      </c>
      <c r="C146" s="14" t="str">
        <f>VLOOKUP(A146,[1]Sheet1!$A:$F,5,FALSE)</f>
        <v>전략</v>
      </c>
      <c r="D146" s="14" t="str">
        <f>VLOOKUP(A146,[1]Sheet1!$A:$F,6,FALSE)</f>
        <v>SP</v>
      </c>
      <c r="E146" s="15">
        <v>20902</v>
      </c>
      <c r="F146" s="14" t="s">
        <v>53</v>
      </c>
      <c r="G146" s="14" t="s">
        <v>13</v>
      </c>
      <c r="H146" s="14">
        <v>97.62</v>
      </c>
      <c r="I146" s="17" t="s">
        <v>651</v>
      </c>
      <c r="J146" s="14" t="s">
        <v>651</v>
      </c>
      <c r="K146" s="14">
        <v>20</v>
      </c>
      <c r="L146" s="14">
        <v>20807</v>
      </c>
      <c r="M146" s="14">
        <v>20808</v>
      </c>
      <c r="P146" s="15">
        <v>20706</v>
      </c>
      <c r="Q146" s="14" t="s">
        <v>52</v>
      </c>
      <c r="R146" s="14" t="s">
        <v>17</v>
      </c>
      <c r="S146" s="14">
        <v>99.02</v>
      </c>
      <c r="T146" s="16" t="s">
        <v>325</v>
      </c>
      <c r="V146" s="14">
        <v>40</v>
      </c>
      <c r="W146" s="14">
        <v>20807</v>
      </c>
      <c r="AA146" s="15">
        <v>20500</v>
      </c>
      <c r="AB146" s="14" t="s">
        <v>31</v>
      </c>
      <c r="AC146" s="14" t="s">
        <v>17</v>
      </c>
      <c r="AD146" s="14">
        <v>99.01</v>
      </c>
      <c r="AE146" s="14" t="s">
        <v>326</v>
      </c>
      <c r="AG146" s="14">
        <v>27</v>
      </c>
      <c r="AH146" s="14">
        <v>20807</v>
      </c>
      <c r="AI146" s="14">
        <v>25382</v>
      </c>
      <c r="AL146" s="15">
        <v>20906</v>
      </c>
      <c r="AM146" s="14" t="s">
        <v>48</v>
      </c>
      <c r="AN146" s="14" t="s">
        <v>49</v>
      </c>
      <c r="AO146" s="14">
        <v>99</v>
      </c>
      <c r="AP146" s="16" t="s">
        <v>327</v>
      </c>
      <c r="AR146" s="14">
        <v>17</v>
      </c>
      <c r="AS146" s="14">
        <v>20807</v>
      </c>
      <c r="BC146" s="14">
        <v>0</v>
      </c>
      <c r="BN146" s="14">
        <v>0</v>
      </c>
      <c r="BY146" s="14">
        <v>0</v>
      </c>
    </row>
    <row r="147" spans="1:77">
      <c r="A147" s="14">
        <v>32264</v>
      </c>
      <c r="B147" s="14" t="s">
        <v>164</v>
      </c>
      <c r="C147" s="14" t="str">
        <f>VLOOKUP(A147,[1]Sheet1!$A:$F,5,FALSE)</f>
        <v>전략</v>
      </c>
      <c r="D147" s="14" t="str">
        <f>VLOOKUP(A147,[1]Sheet1!$A:$F,6,FALSE)</f>
        <v>SP</v>
      </c>
      <c r="E147" s="15">
        <v>20902</v>
      </c>
      <c r="F147" s="14" t="s">
        <v>53</v>
      </c>
      <c r="G147" s="14" t="s">
        <v>343</v>
      </c>
      <c r="H147" s="14">
        <v>97.63</v>
      </c>
      <c r="I147" s="17" t="s">
        <v>652</v>
      </c>
      <c r="J147" s="14" t="s">
        <v>653</v>
      </c>
      <c r="K147" s="14">
        <v>22</v>
      </c>
      <c r="L147" s="14" t="s">
        <v>392</v>
      </c>
      <c r="M147" s="14">
        <v>20808</v>
      </c>
      <c r="P147" s="15">
        <v>20702</v>
      </c>
      <c r="Q147" s="14" t="s">
        <v>44</v>
      </c>
      <c r="R147" s="14" t="s">
        <v>17</v>
      </c>
      <c r="S147" s="14">
        <v>98.51</v>
      </c>
      <c r="T147" s="16" t="s">
        <v>358</v>
      </c>
      <c r="V147" s="14">
        <v>35</v>
      </c>
      <c r="W147" s="14" t="s">
        <v>391</v>
      </c>
      <c r="AA147" s="15">
        <v>20500</v>
      </c>
      <c r="AB147" s="14" t="s">
        <v>31</v>
      </c>
      <c r="AC147" s="14" t="s">
        <v>17</v>
      </c>
      <c r="AD147" s="14">
        <v>98.48</v>
      </c>
      <c r="AE147" s="16" t="s">
        <v>326</v>
      </c>
      <c r="AF147" s="14" t="s">
        <v>326</v>
      </c>
      <c r="AG147" s="14">
        <v>27</v>
      </c>
      <c r="AH147" s="14" t="s">
        <v>391</v>
      </c>
      <c r="AI147" s="14" t="s">
        <v>393</v>
      </c>
      <c r="AL147" s="15">
        <v>20906</v>
      </c>
      <c r="AM147" s="14" t="s">
        <v>48</v>
      </c>
      <c r="AN147" s="14" t="s">
        <v>49</v>
      </c>
      <c r="AO147" s="14">
        <v>97.07</v>
      </c>
      <c r="AP147" s="16" t="s">
        <v>327</v>
      </c>
      <c r="AR147" s="14">
        <v>17.5</v>
      </c>
      <c r="AS147" s="14" t="s">
        <v>392</v>
      </c>
      <c r="BC147" s="14">
        <v>0</v>
      </c>
      <c r="BN147" s="14">
        <v>0</v>
      </c>
      <c r="BY147" s="14">
        <v>0</v>
      </c>
    </row>
    <row r="148" spans="1:77">
      <c r="A148" s="14">
        <v>31800</v>
      </c>
      <c r="B148" s="14" t="s">
        <v>134</v>
      </c>
      <c r="C148" s="14" t="str">
        <f>VLOOKUP(A148,[1]Sheet1!$A:$F,5,FALSE)</f>
        <v>전략</v>
      </c>
      <c r="D148" s="14" t="str">
        <f>VLOOKUP(A148,[1]Sheet1!$A:$F,6,FALSE)</f>
        <v>SP</v>
      </c>
      <c r="E148" s="15">
        <v>20902</v>
      </c>
      <c r="F148" s="14" t="s">
        <v>53</v>
      </c>
      <c r="G148" s="14" t="s">
        <v>343</v>
      </c>
      <c r="H148" s="14">
        <v>97.64</v>
      </c>
      <c r="I148" s="17" t="s">
        <v>654</v>
      </c>
      <c r="J148" s="14" t="s">
        <v>654</v>
      </c>
      <c r="K148" s="14">
        <v>23.1</v>
      </c>
      <c r="L148" s="14" t="s">
        <v>392</v>
      </c>
      <c r="M148" s="14">
        <v>20808</v>
      </c>
      <c r="P148" s="15">
        <v>20706</v>
      </c>
      <c r="Q148" s="14" t="s">
        <v>52</v>
      </c>
      <c r="R148" s="14" t="s">
        <v>17</v>
      </c>
      <c r="S148" s="14">
        <v>99.16</v>
      </c>
      <c r="T148" s="16" t="s">
        <v>432</v>
      </c>
      <c r="U148" s="14" t="s">
        <v>527</v>
      </c>
      <c r="V148" s="14">
        <v>40</v>
      </c>
      <c r="W148" s="14" t="s">
        <v>392</v>
      </c>
      <c r="AA148" s="15">
        <v>20500</v>
      </c>
      <c r="AB148" s="14" t="s">
        <v>31</v>
      </c>
      <c r="AC148" s="14" t="s">
        <v>17</v>
      </c>
      <c r="AD148" s="14">
        <v>98.47</v>
      </c>
      <c r="AE148" s="16" t="s">
        <v>326</v>
      </c>
      <c r="AF148" s="14" t="s">
        <v>326</v>
      </c>
      <c r="AG148" s="14">
        <v>27</v>
      </c>
      <c r="AH148" s="14" t="s">
        <v>391</v>
      </c>
      <c r="AI148" s="14" t="s">
        <v>393</v>
      </c>
      <c r="AL148" s="15">
        <v>20906</v>
      </c>
      <c r="AM148" s="14" t="s">
        <v>48</v>
      </c>
      <c r="AN148" s="14" t="s">
        <v>49</v>
      </c>
      <c r="AO148" s="14">
        <v>97.84</v>
      </c>
      <c r="AP148" s="16" t="s">
        <v>327</v>
      </c>
      <c r="AR148" s="14">
        <v>17.399999999999999</v>
      </c>
      <c r="AS148" s="14" t="s">
        <v>392</v>
      </c>
      <c r="BC148" s="14">
        <v>0</v>
      </c>
      <c r="BN148" s="14">
        <v>0</v>
      </c>
      <c r="BY148" s="14">
        <v>0</v>
      </c>
    </row>
    <row r="149" spans="1:77">
      <c r="A149" s="14">
        <v>32267</v>
      </c>
      <c r="B149" s="14" t="s">
        <v>167</v>
      </c>
      <c r="C149" s="14" t="str">
        <f>VLOOKUP(A149,[1]Sheet1!$A:$F,5,FALSE)</f>
        <v>전략</v>
      </c>
      <c r="D149" s="14" t="str">
        <f>VLOOKUP(A149,[1]Sheet1!$A:$F,6,FALSE)</f>
        <v>SP</v>
      </c>
      <c r="E149" s="15">
        <v>20902</v>
      </c>
      <c r="F149" s="14" t="s">
        <v>53</v>
      </c>
      <c r="G149" s="14" t="s">
        <v>343</v>
      </c>
      <c r="H149" s="14">
        <v>97.64</v>
      </c>
      <c r="I149" s="17" t="s">
        <v>655</v>
      </c>
      <c r="J149" s="14" t="s">
        <v>656</v>
      </c>
      <c r="K149" s="14">
        <v>22.8</v>
      </c>
      <c r="L149" s="14">
        <v>20807</v>
      </c>
      <c r="M149" s="14">
        <v>20808</v>
      </c>
      <c r="P149" s="15">
        <v>20702</v>
      </c>
      <c r="Q149" s="14" t="s">
        <v>44</v>
      </c>
      <c r="R149" s="14" t="s">
        <v>17</v>
      </c>
      <c r="S149" s="14">
        <v>98.97</v>
      </c>
      <c r="T149" s="16" t="s">
        <v>347</v>
      </c>
      <c r="U149" s="14" t="s">
        <v>347</v>
      </c>
      <c r="V149" s="14">
        <v>35</v>
      </c>
      <c r="W149" s="14">
        <v>20807</v>
      </c>
      <c r="AA149" s="15">
        <v>20500</v>
      </c>
      <c r="AB149" s="14" t="s">
        <v>31</v>
      </c>
      <c r="AC149" s="14" t="s">
        <v>533</v>
      </c>
      <c r="AD149" s="14">
        <v>97.91</v>
      </c>
      <c r="AE149" s="16" t="s">
        <v>326</v>
      </c>
      <c r="AF149" s="14" t="s">
        <v>326</v>
      </c>
      <c r="AG149" s="14">
        <v>26.6</v>
      </c>
      <c r="AH149" s="14">
        <v>20807</v>
      </c>
      <c r="AI149" s="14" t="s">
        <v>393</v>
      </c>
      <c r="AL149" s="15">
        <v>20906</v>
      </c>
      <c r="AM149" s="14" t="s">
        <v>48</v>
      </c>
      <c r="AN149" s="14" t="s">
        <v>49</v>
      </c>
      <c r="AO149" s="14">
        <v>94.4</v>
      </c>
      <c r="AP149" s="16" t="s">
        <v>327</v>
      </c>
      <c r="AR149" s="14">
        <v>17.2</v>
      </c>
      <c r="AS149" s="14">
        <v>20807</v>
      </c>
      <c r="BC149" s="14">
        <v>0</v>
      </c>
      <c r="BN149" s="14">
        <v>0</v>
      </c>
      <c r="BY149" s="14">
        <v>0</v>
      </c>
    </row>
    <row r="150" spans="1:77">
      <c r="A150" s="14">
        <v>32496</v>
      </c>
      <c r="B150" s="14" t="s">
        <v>196</v>
      </c>
      <c r="C150" s="14" t="str">
        <f>VLOOKUP(A150,[1]Sheet1!$A:$F,5,FALSE)</f>
        <v>전략</v>
      </c>
      <c r="D150" s="14" t="str">
        <f>VLOOKUP(A150,[1]Sheet1!$A:$F,6,FALSE)</f>
        <v>SP</v>
      </c>
      <c r="E150" s="15">
        <v>20902</v>
      </c>
      <c r="F150" s="14" t="s">
        <v>53</v>
      </c>
      <c r="G150" s="14" t="s">
        <v>13</v>
      </c>
      <c r="H150" s="14">
        <v>97.64</v>
      </c>
      <c r="I150" s="17" t="s">
        <v>657</v>
      </c>
      <c r="J150" s="14" t="s">
        <v>658</v>
      </c>
      <c r="K150" s="14">
        <v>20</v>
      </c>
      <c r="L150" s="14">
        <v>20807</v>
      </c>
      <c r="M150" s="14">
        <v>20808</v>
      </c>
      <c r="P150" s="15">
        <v>20714</v>
      </c>
      <c r="Q150" s="14" t="s">
        <v>188</v>
      </c>
      <c r="R150" s="14" t="s">
        <v>17</v>
      </c>
      <c r="S150" s="14">
        <v>98.62</v>
      </c>
      <c r="T150" s="16" t="s">
        <v>450</v>
      </c>
      <c r="U150" s="14" t="s">
        <v>450</v>
      </c>
      <c r="V150" s="14">
        <v>40</v>
      </c>
      <c r="W150" s="14">
        <v>20807</v>
      </c>
      <c r="AA150" s="15">
        <v>20500</v>
      </c>
      <c r="AB150" s="14" t="s">
        <v>31</v>
      </c>
      <c r="AC150" s="14" t="s">
        <v>17</v>
      </c>
      <c r="AD150" s="14">
        <v>96.78</v>
      </c>
      <c r="AE150" s="16" t="s">
        <v>326</v>
      </c>
      <c r="AF150" s="14" t="s">
        <v>326</v>
      </c>
      <c r="AG150" s="14">
        <v>27</v>
      </c>
      <c r="AH150" s="14">
        <v>20807</v>
      </c>
      <c r="AI150" s="14" t="s">
        <v>393</v>
      </c>
      <c r="AL150" s="15">
        <v>20906</v>
      </c>
      <c r="AM150" s="14" t="s">
        <v>48</v>
      </c>
      <c r="AN150" s="14" t="s">
        <v>49</v>
      </c>
      <c r="AO150" s="14">
        <v>98.13</v>
      </c>
      <c r="AP150" s="16" t="s">
        <v>327</v>
      </c>
      <c r="AR150" s="14">
        <v>17.7</v>
      </c>
      <c r="AS150" s="14">
        <v>20807</v>
      </c>
      <c r="BC150" s="14">
        <v>0</v>
      </c>
      <c r="BN150" s="14">
        <v>0</v>
      </c>
      <c r="BY150" s="14">
        <v>0</v>
      </c>
    </row>
    <row r="151" spans="1:77">
      <c r="A151" s="14">
        <v>32378</v>
      </c>
      <c r="B151" s="14" t="s">
        <v>190</v>
      </c>
      <c r="C151" s="14" t="str">
        <f>VLOOKUP(A151,[1]Sheet1!$A:$F,5,FALSE)</f>
        <v>전략</v>
      </c>
      <c r="D151" s="14" t="str">
        <f>VLOOKUP(A151,[1]Sheet1!$A:$F,6,FALSE)</f>
        <v>SP</v>
      </c>
      <c r="E151" s="15">
        <v>20902</v>
      </c>
      <c r="F151" s="14" t="s">
        <v>53</v>
      </c>
      <c r="G151" s="14" t="s">
        <v>343</v>
      </c>
      <c r="H151" s="14">
        <v>97.65</v>
      </c>
      <c r="I151" s="17" t="s">
        <v>659</v>
      </c>
      <c r="J151" s="14" t="s">
        <v>660</v>
      </c>
      <c r="K151" s="14">
        <v>21.9</v>
      </c>
      <c r="L151" s="14" t="s">
        <v>392</v>
      </c>
      <c r="M151" s="14">
        <v>20808</v>
      </c>
      <c r="P151" s="15">
        <v>20714</v>
      </c>
      <c r="Q151" s="14" t="s">
        <v>188</v>
      </c>
      <c r="R151" s="14" t="s">
        <v>17</v>
      </c>
      <c r="S151" s="14">
        <v>99.09</v>
      </c>
      <c r="T151" s="16" t="s">
        <v>450</v>
      </c>
      <c r="U151" s="14" t="s">
        <v>450</v>
      </c>
      <c r="V151" s="14">
        <v>40</v>
      </c>
      <c r="W151" s="14" t="s">
        <v>391</v>
      </c>
      <c r="AA151" s="15">
        <v>20500</v>
      </c>
      <c r="AB151" s="14" t="s">
        <v>31</v>
      </c>
      <c r="AC151" s="14" t="s">
        <v>17</v>
      </c>
      <c r="AD151" s="14">
        <v>98.69</v>
      </c>
      <c r="AE151" s="16" t="s">
        <v>326</v>
      </c>
      <c r="AF151" s="14" t="s">
        <v>326</v>
      </c>
      <c r="AG151" s="14">
        <v>27</v>
      </c>
      <c r="AH151" s="14" t="s">
        <v>391</v>
      </c>
      <c r="AI151" s="14" t="s">
        <v>393</v>
      </c>
      <c r="AL151" s="15">
        <v>20906</v>
      </c>
      <c r="AM151" s="14" t="s">
        <v>48</v>
      </c>
      <c r="AN151" s="14" t="s">
        <v>49</v>
      </c>
      <c r="AO151" s="14">
        <v>97.41</v>
      </c>
      <c r="AP151" s="16" t="s">
        <v>327</v>
      </c>
      <c r="AR151" s="14">
        <v>17.600000000000001</v>
      </c>
      <c r="AS151" s="14" t="s">
        <v>391</v>
      </c>
      <c r="BC151" s="14">
        <v>0</v>
      </c>
      <c r="BN151" s="14">
        <v>0</v>
      </c>
      <c r="BY151" s="14">
        <v>0</v>
      </c>
    </row>
    <row r="152" spans="1:77">
      <c r="A152" s="14">
        <v>32675</v>
      </c>
      <c r="B152" s="14" t="s">
        <v>661</v>
      </c>
      <c r="C152" s="14" t="str">
        <f>VLOOKUP(A152,[1]Sheet1!$A:$F,5,FALSE)</f>
        <v>전략</v>
      </c>
      <c r="D152" s="14" t="str">
        <f>VLOOKUP(A152,[1]Sheet1!$A:$F,6,FALSE)</f>
        <v>SP</v>
      </c>
      <c r="E152" s="15">
        <v>20902</v>
      </c>
      <c r="F152" s="14" t="s">
        <v>53</v>
      </c>
      <c r="G152" s="14" t="s">
        <v>13</v>
      </c>
      <c r="H152" s="14">
        <v>97.69</v>
      </c>
      <c r="I152" s="17" t="s">
        <v>662</v>
      </c>
      <c r="J152" s="14" t="s">
        <v>662</v>
      </c>
      <c r="K152" s="14">
        <v>20</v>
      </c>
      <c r="L152" s="14">
        <v>20807</v>
      </c>
      <c r="M152" s="14">
        <v>20808</v>
      </c>
      <c r="P152" s="15">
        <v>20713</v>
      </c>
      <c r="Q152" s="14" t="s">
        <v>147</v>
      </c>
      <c r="R152" s="14" t="s">
        <v>17</v>
      </c>
      <c r="S152" s="14">
        <v>99.06</v>
      </c>
      <c r="T152" s="16" t="s">
        <v>397</v>
      </c>
      <c r="V152" s="14">
        <v>25</v>
      </c>
      <c r="W152" s="14">
        <v>20807</v>
      </c>
      <c r="AA152" s="15">
        <v>20500</v>
      </c>
      <c r="AB152" s="14" t="s">
        <v>31</v>
      </c>
      <c r="AC152" s="14" t="s">
        <v>17</v>
      </c>
      <c r="AD152" s="14">
        <v>98.09</v>
      </c>
      <c r="AE152" s="14" t="s">
        <v>326</v>
      </c>
      <c r="AG152" s="14">
        <v>27</v>
      </c>
      <c r="AH152" s="14">
        <v>20807</v>
      </c>
      <c r="AI152" s="14">
        <v>23352</v>
      </c>
      <c r="AL152" s="15">
        <v>20906</v>
      </c>
      <c r="AM152" s="14" t="s">
        <v>48</v>
      </c>
      <c r="AN152" s="14" t="s">
        <v>49</v>
      </c>
      <c r="AO152" s="14">
        <v>97.24</v>
      </c>
      <c r="AP152" s="16" t="s">
        <v>327</v>
      </c>
      <c r="AR152" s="14">
        <v>18</v>
      </c>
      <c r="AS152" s="14">
        <v>20807</v>
      </c>
      <c r="BC152" s="14">
        <v>0</v>
      </c>
      <c r="BN152" s="14">
        <v>0</v>
      </c>
      <c r="BY152" s="14">
        <v>0</v>
      </c>
    </row>
    <row r="153" spans="1:77">
      <c r="A153" s="14">
        <v>32260</v>
      </c>
      <c r="B153" s="14" t="s">
        <v>160</v>
      </c>
      <c r="C153" s="14" t="str">
        <f>VLOOKUP(A153,[1]Sheet1!$A:$F,5,FALSE)</f>
        <v>전략</v>
      </c>
      <c r="D153" s="14" t="str">
        <f>VLOOKUP(A153,[1]Sheet1!$A:$F,6,FALSE)</f>
        <v>SP</v>
      </c>
      <c r="E153" s="15">
        <v>20902</v>
      </c>
      <c r="F153" s="14" t="s">
        <v>53</v>
      </c>
      <c r="G153" s="14" t="s">
        <v>343</v>
      </c>
      <c r="H153" s="14">
        <v>97.7</v>
      </c>
      <c r="I153" s="17" t="s">
        <v>663</v>
      </c>
      <c r="J153" s="14" t="s">
        <v>663</v>
      </c>
      <c r="K153" s="14">
        <v>26.2</v>
      </c>
      <c r="L153" s="14" t="s">
        <v>392</v>
      </c>
      <c r="M153" s="14">
        <v>20808</v>
      </c>
      <c r="P153" s="15">
        <v>20702</v>
      </c>
      <c r="Q153" s="14" t="s">
        <v>44</v>
      </c>
      <c r="R153" s="14" t="s">
        <v>17</v>
      </c>
      <c r="S153" s="14">
        <v>97.83</v>
      </c>
      <c r="T153" s="16" t="s">
        <v>347</v>
      </c>
      <c r="U153" s="14" t="s">
        <v>347</v>
      </c>
      <c r="V153" s="14">
        <v>35</v>
      </c>
      <c r="W153" s="14" t="s">
        <v>392</v>
      </c>
      <c r="AA153" s="15">
        <v>20500</v>
      </c>
      <c r="AB153" s="14" t="s">
        <v>31</v>
      </c>
      <c r="AC153" s="14" t="s">
        <v>533</v>
      </c>
      <c r="AD153" s="14">
        <v>97.93</v>
      </c>
      <c r="AE153" s="16" t="s">
        <v>326</v>
      </c>
      <c r="AF153" s="14" t="s">
        <v>326</v>
      </c>
      <c r="AG153" s="14">
        <v>25.9</v>
      </c>
      <c r="AH153" s="14" t="s">
        <v>391</v>
      </c>
      <c r="AI153" s="14">
        <v>23352</v>
      </c>
      <c r="AL153" s="15">
        <v>20906</v>
      </c>
      <c r="AM153" s="14" t="s">
        <v>48</v>
      </c>
      <c r="AN153" s="14" t="s">
        <v>49</v>
      </c>
      <c r="AO153" s="14">
        <v>97.4</v>
      </c>
      <c r="AP153" s="16" t="s">
        <v>327</v>
      </c>
      <c r="AR153" s="14">
        <v>17</v>
      </c>
      <c r="AS153" s="14" t="s">
        <v>392</v>
      </c>
      <c r="BC153" s="14">
        <v>0</v>
      </c>
      <c r="BN153" s="14">
        <v>0</v>
      </c>
      <c r="BY153" s="14">
        <v>0</v>
      </c>
    </row>
    <row r="154" spans="1:77">
      <c r="A154" s="14">
        <v>31737</v>
      </c>
      <c r="B154" s="14" t="s">
        <v>129</v>
      </c>
      <c r="C154" s="14" t="str">
        <f>VLOOKUP(A154,[1]Sheet1!$A:$F,5,FALSE)</f>
        <v>전략</v>
      </c>
      <c r="D154" s="14" t="str">
        <f>VLOOKUP(A154,[1]Sheet1!$A:$F,6,FALSE)</f>
        <v>SP</v>
      </c>
      <c r="E154" s="15">
        <v>20902</v>
      </c>
      <c r="F154" s="14" t="s">
        <v>53</v>
      </c>
      <c r="G154" s="14" t="s">
        <v>487</v>
      </c>
      <c r="H154" s="14">
        <v>97.72</v>
      </c>
      <c r="I154" s="17" t="s">
        <v>664</v>
      </c>
      <c r="J154" s="14" t="s">
        <v>664</v>
      </c>
      <c r="K154" s="14">
        <v>21.1</v>
      </c>
      <c r="L154" s="14" t="s">
        <v>392</v>
      </c>
      <c r="M154" s="14">
        <v>20808</v>
      </c>
      <c r="P154" s="15">
        <v>20702</v>
      </c>
      <c r="Q154" s="14" t="s">
        <v>44</v>
      </c>
      <c r="R154" s="14" t="s">
        <v>17</v>
      </c>
      <c r="S154" s="14">
        <v>98.94</v>
      </c>
      <c r="T154" s="16" t="s">
        <v>381</v>
      </c>
      <c r="U154" s="14" t="s">
        <v>381</v>
      </c>
      <c r="V154" s="14">
        <v>35</v>
      </c>
      <c r="W154" s="14" t="s">
        <v>392</v>
      </c>
      <c r="AA154" s="15">
        <v>20500</v>
      </c>
      <c r="AB154" s="14" t="s">
        <v>31</v>
      </c>
      <c r="AC154" s="14" t="s">
        <v>17</v>
      </c>
      <c r="AD154" s="14">
        <v>98.39</v>
      </c>
      <c r="AE154" s="16" t="s">
        <v>326</v>
      </c>
      <c r="AF154" s="14" t="s">
        <v>326</v>
      </c>
      <c r="AG154" s="14">
        <v>27</v>
      </c>
      <c r="AH154" s="14" t="s">
        <v>391</v>
      </c>
      <c r="AI154" s="14" t="s">
        <v>393</v>
      </c>
      <c r="AL154" s="15">
        <v>20906</v>
      </c>
      <c r="AM154" s="14" t="s">
        <v>48</v>
      </c>
      <c r="AN154" s="14" t="s">
        <v>49</v>
      </c>
      <c r="AO154" s="14">
        <v>97.6</v>
      </c>
      <c r="AP154" s="16" t="s">
        <v>327</v>
      </c>
      <c r="AR154" s="14">
        <v>17.7</v>
      </c>
      <c r="AS154" s="14" t="s">
        <v>392</v>
      </c>
      <c r="BC154" s="14">
        <v>0</v>
      </c>
      <c r="BN154" s="14">
        <v>0</v>
      </c>
      <c r="BY154" s="14">
        <v>0</v>
      </c>
    </row>
    <row r="155" spans="1:77">
      <c r="A155" s="14">
        <v>32018</v>
      </c>
      <c r="B155" s="14" t="s">
        <v>145</v>
      </c>
      <c r="C155" s="14" t="str">
        <f>VLOOKUP(A155,[1]Sheet1!$A:$F,5,FALSE)</f>
        <v>전략</v>
      </c>
      <c r="D155" s="14" t="str">
        <f>VLOOKUP(A155,[1]Sheet1!$A:$F,6,FALSE)</f>
        <v>SP</v>
      </c>
      <c r="E155" s="15">
        <v>20902</v>
      </c>
      <c r="F155" s="14" t="s">
        <v>53</v>
      </c>
      <c r="G155" s="14" t="s">
        <v>13</v>
      </c>
      <c r="H155" s="14">
        <v>97.73</v>
      </c>
      <c r="I155" s="17" t="s">
        <v>665</v>
      </c>
      <c r="J155" s="14" t="s">
        <v>666</v>
      </c>
      <c r="K155" s="14">
        <v>15</v>
      </c>
      <c r="L155" s="14">
        <v>20807</v>
      </c>
      <c r="M155" s="14">
        <v>25890</v>
      </c>
      <c r="P155" s="15">
        <v>20706</v>
      </c>
      <c r="Q155" s="14" t="s">
        <v>52</v>
      </c>
      <c r="R155" s="14" t="s">
        <v>17</v>
      </c>
      <c r="S155" s="14">
        <v>98.63</v>
      </c>
      <c r="T155" s="16" t="s">
        <v>432</v>
      </c>
      <c r="U155" s="14" t="s">
        <v>432</v>
      </c>
      <c r="V155" s="14">
        <v>40</v>
      </c>
      <c r="W155" s="14">
        <v>20807</v>
      </c>
      <c r="AA155" s="15">
        <v>20500</v>
      </c>
      <c r="AB155" s="14" t="s">
        <v>31</v>
      </c>
      <c r="AC155" s="14" t="s">
        <v>17</v>
      </c>
      <c r="AD155" s="14">
        <v>98.34</v>
      </c>
      <c r="AE155" s="16" t="s">
        <v>326</v>
      </c>
      <c r="AF155" s="14" t="s">
        <v>326</v>
      </c>
      <c r="AG155" s="14">
        <v>25</v>
      </c>
      <c r="AH155" s="14">
        <v>20807</v>
      </c>
      <c r="AI155" s="14">
        <v>23352</v>
      </c>
      <c r="AL155" s="15">
        <v>20906</v>
      </c>
      <c r="AM155" s="14" t="s">
        <v>48</v>
      </c>
      <c r="AN155" s="14" t="s">
        <v>49</v>
      </c>
      <c r="AO155" s="14">
        <v>99.01</v>
      </c>
      <c r="AP155" s="16" t="s">
        <v>327</v>
      </c>
      <c r="AR155" s="14">
        <v>17</v>
      </c>
      <c r="AS155" s="14">
        <v>20807</v>
      </c>
      <c r="BC155" s="14">
        <v>0</v>
      </c>
      <c r="BN155" s="14">
        <v>0</v>
      </c>
      <c r="BY155" s="14">
        <v>0</v>
      </c>
    </row>
    <row r="156" spans="1:77">
      <c r="A156" s="14">
        <v>32373</v>
      </c>
      <c r="B156" s="14" t="s">
        <v>186</v>
      </c>
      <c r="C156" s="14" t="str">
        <f>VLOOKUP(A156,[1]Sheet1!$A:$F,5,FALSE)</f>
        <v>전략</v>
      </c>
      <c r="D156" s="14" t="str">
        <f>VLOOKUP(A156,[1]Sheet1!$A:$F,6,FALSE)</f>
        <v>SP</v>
      </c>
      <c r="E156" s="15">
        <v>20902</v>
      </c>
      <c r="F156" s="14" t="s">
        <v>53</v>
      </c>
      <c r="G156" s="14" t="s">
        <v>13</v>
      </c>
      <c r="H156" s="14">
        <v>97.73</v>
      </c>
      <c r="I156" s="17" t="s">
        <v>667</v>
      </c>
      <c r="J156" s="14" t="s">
        <v>667</v>
      </c>
      <c r="K156" s="14">
        <v>20</v>
      </c>
      <c r="L156" s="14">
        <v>20807</v>
      </c>
      <c r="M156" s="14">
        <v>20808</v>
      </c>
      <c r="P156" s="15">
        <v>20702</v>
      </c>
      <c r="Q156" s="14" t="s">
        <v>44</v>
      </c>
      <c r="R156" s="14" t="s">
        <v>17</v>
      </c>
      <c r="S156" s="14">
        <v>99.07</v>
      </c>
      <c r="T156" s="16" t="s">
        <v>358</v>
      </c>
      <c r="V156" s="14">
        <v>35</v>
      </c>
      <c r="W156" s="14">
        <v>20807</v>
      </c>
      <c r="AA156" s="15">
        <v>20500</v>
      </c>
      <c r="AB156" s="14" t="s">
        <v>31</v>
      </c>
      <c r="AC156" s="14" t="s">
        <v>17</v>
      </c>
      <c r="AD156" s="14">
        <v>99.06</v>
      </c>
      <c r="AE156" s="14" t="s">
        <v>326</v>
      </c>
      <c r="AG156" s="14">
        <v>27</v>
      </c>
      <c r="AH156" s="14">
        <v>20807</v>
      </c>
      <c r="AI156" s="14">
        <v>25382</v>
      </c>
      <c r="AL156" s="15">
        <v>20906</v>
      </c>
      <c r="AM156" s="14" t="s">
        <v>48</v>
      </c>
      <c r="AN156" s="14" t="s">
        <v>49</v>
      </c>
      <c r="AO156" s="14">
        <v>97.16</v>
      </c>
      <c r="AP156" s="16" t="s">
        <v>327</v>
      </c>
      <c r="AR156" s="14">
        <v>17</v>
      </c>
      <c r="AS156" s="14">
        <v>20807</v>
      </c>
      <c r="BC156" s="14">
        <v>0</v>
      </c>
      <c r="BN156" s="14">
        <v>0</v>
      </c>
      <c r="BY156" s="14">
        <v>0</v>
      </c>
    </row>
    <row r="157" spans="1:77">
      <c r="A157" s="14">
        <v>32524</v>
      </c>
      <c r="B157" s="14" t="s">
        <v>201</v>
      </c>
      <c r="C157" s="14" t="str">
        <f>VLOOKUP(A157,[1]Sheet1!$A:$F,5,FALSE)</f>
        <v>전략</v>
      </c>
      <c r="D157" s="14" t="str">
        <f>VLOOKUP(A157,[1]Sheet1!$A:$F,6,FALSE)</f>
        <v>SP</v>
      </c>
      <c r="E157" s="15">
        <v>20902</v>
      </c>
      <c r="F157" s="14" t="s">
        <v>53</v>
      </c>
      <c r="G157" s="14" t="s">
        <v>13</v>
      </c>
      <c r="H157" s="14">
        <v>97.73</v>
      </c>
      <c r="I157" s="17" t="s">
        <v>668</v>
      </c>
      <c r="J157" s="14" t="s">
        <v>668</v>
      </c>
      <c r="K157" s="14">
        <v>15</v>
      </c>
      <c r="L157" s="14">
        <v>20807</v>
      </c>
      <c r="M157" s="14">
        <v>25890</v>
      </c>
      <c r="P157" s="15">
        <v>20706</v>
      </c>
      <c r="Q157" s="14" t="s">
        <v>52</v>
      </c>
      <c r="R157" s="14" t="s">
        <v>17</v>
      </c>
      <c r="S157" s="14">
        <v>98.21</v>
      </c>
      <c r="T157" s="16" t="s">
        <v>450</v>
      </c>
      <c r="U157" s="14" t="s">
        <v>450</v>
      </c>
      <c r="V157" s="14">
        <v>40</v>
      </c>
      <c r="W157" s="14">
        <v>20807</v>
      </c>
      <c r="AA157" s="15">
        <v>20500</v>
      </c>
      <c r="AB157" s="14" t="s">
        <v>31</v>
      </c>
      <c r="AC157" s="14" t="s">
        <v>17</v>
      </c>
      <c r="AD157" s="14">
        <v>97.81</v>
      </c>
      <c r="AE157" s="16" t="s">
        <v>326</v>
      </c>
      <c r="AF157" s="14" t="s">
        <v>326</v>
      </c>
      <c r="AG157" s="14">
        <v>25</v>
      </c>
      <c r="AH157" s="14">
        <v>20807</v>
      </c>
      <c r="AI157" s="14">
        <v>23352</v>
      </c>
      <c r="AL157" s="15">
        <v>20906</v>
      </c>
      <c r="AM157" s="14" t="s">
        <v>48</v>
      </c>
      <c r="AN157" s="14" t="s">
        <v>49</v>
      </c>
      <c r="AO157" s="14">
        <v>97.39</v>
      </c>
      <c r="AP157" s="16" t="s">
        <v>327</v>
      </c>
      <c r="AR157" s="14">
        <v>17.5</v>
      </c>
      <c r="AS157" s="14">
        <v>20807</v>
      </c>
      <c r="BC157" s="14">
        <v>0</v>
      </c>
      <c r="BN157" s="14">
        <v>0</v>
      </c>
      <c r="BY157" s="14">
        <v>0</v>
      </c>
    </row>
    <row r="158" spans="1:77">
      <c r="A158" s="14">
        <v>32425</v>
      </c>
      <c r="B158" s="14" t="s">
        <v>669</v>
      </c>
      <c r="C158" s="14" t="str">
        <f>VLOOKUP(A158,[1]Sheet1!$A:$F,5,FALSE)</f>
        <v>전략</v>
      </c>
      <c r="D158" s="14" t="str">
        <f>VLOOKUP(A158,[1]Sheet1!$A:$F,6,FALSE)</f>
        <v>SP</v>
      </c>
      <c r="E158" s="15">
        <v>20902</v>
      </c>
      <c r="F158" s="14" t="s">
        <v>53</v>
      </c>
      <c r="G158" s="14" t="s">
        <v>13</v>
      </c>
      <c r="H158" s="14">
        <v>97.74</v>
      </c>
      <c r="I158" s="17" t="s">
        <v>670</v>
      </c>
      <c r="J158" s="14" t="s">
        <v>670</v>
      </c>
      <c r="K158" s="14">
        <v>15</v>
      </c>
      <c r="L158" s="14">
        <v>20807</v>
      </c>
      <c r="M158" s="14">
        <v>25889</v>
      </c>
      <c r="P158" s="15">
        <v>20705</v>
      </c>
      <c r="Q158" s="14" t="s">
        <v>59</v>
      </c>
      <c r="R158" s="14" t="s">
        <v>17</v>
      </c>
      <c r="S158" s="14">
        <v>98.46</v>
      </c>
      <c r="T158" s="16" t="s">
        <v>499</v>
      </c>
      <c r="V158" s="14">
        <v>30</v>
      </c>
      <c r="W158" s="14">
        <v>20807</v>
      </c>
      <c r="AA158" s="15">
        <v>20500</v>
      </c>
      <c r="AB158" s="14" t="s">
        <v>31</v>
      </c>
      <c r="AC158" s="14" t="s">
        <v>17</v>
      </c>
      <c r="AD158" s="14">
        <v>98.44</v>
      </c>
      <c r="AE158" s="16" t="s">
        <v>326</v>
      </c>
      <c r="AF158" s="14" t="s">
        <v>326</v>
      </c>
      <c r="AG158" s="14">
        <v>25</v>
      </c>
      <c r="AH158" s="14">
        <v>20807</v>
      </c>
      <c r="AI158" s="14" t="s">
        <v>393</v>
      </c>
      <c r="AL158" s="15">
        <v>20906</v>
      </c>
      <c r="AM158" s="14" t="s">
        <v>48</v>
      </c>
      <c r="AN158" s="14" t="s">
        <v>49</v>
      </c>
      <c r="AO158" s="14">
        <v>92.86</v>
      </c>
      <c r="AP158" s="16" t="s">
        <v>327</v>
      </c>
      <c r="AR158" s="14">
        <v>17</v>
      </c>
      <c r="AS158" s="14">
        <v>20807</v>
      </c>
      <c r="BC158" s="14">
        <v>0</v>
      </c>
      <c r="BN158" s="14">
        <v>0</v>
      </c>
      <c r="BY158" s="14">
        <v>0</v>
      </c>
    </row>
    <row r="159" spans="1:77">
      <c r="A159" s="14">
        <v>32429</v>
      </c>
      <c r="B159" s="14" t="s">
        <v>40</v>
      </c>
      <c r="C159" s="14" t="str">
        <f>VLOOKUP(A159,[1]Sheet1!$A:$F,5,FALSE)</f>
        <v>염료</v>
      </c>
      <c r="D159" s="14" t="str">
        <f>VLOOKUP(A159,[1]Sheet1!$A:$F,6,FALSE)</f>
        <v>COLEX</v>
      </c>
      <c r="E159" s="15">
        <v>20600</v>
      </c>
      <c r="F159" s="14" t="s">
        <v>32</v>
      </c>
      <c r="G159" s="14" t="s">
        <v>16</v>
      </c>
      <c r="H159" s="14">
        <v>97.75</v>
      </c>
      <c r="I159" s="17" t="s">
        <v>616</v>
      </c>
      <c r="J159" s="14" t="s">
        <v>616</v>
      </c>
      <c r="K159" s="14">
        <v>50</v>
      </c>
      <c r="L159" s="14">
        <v>23733</v>
      </c>
      <c r="M159" s="14">
        <v>25345</v>
      </c>
      <c r="T159" s="14"/>
      <c r="V159" s="14">
        <v>0</v>
      </c>
      <c r="AE159" s="14"/>
      <c r="AG159" s="14">
        <v>0</v>
      </c>
      <c r="AP159" s="14"/>
      <c r="AR159" s="14">
        <v>0</v>
      </c>
      <c r="BC159" s="14">
        <v>0</v>
      </c>
      <c r="BN159" s="14">
        <v>0</v>
      </c>
      <c r="BY159" s="14">
        <v>0</v>
      </c>
    </row>
    <row r="160" spans="1:77">
      <c r="A160" s="14">
        <v>32730</v>
      </c>
      <c r="B160" s="14" t="s">
        <v>671</v>
      </c>
      <c r="C160" s="14" t="str">
        <f>VLOOKUP(A160,[1]Sheet1!$A:$F,5,FALSE)</f>
        <v>전략</v>
      </c>
      <c r="D160" s="14" t="str">
        <f>VLOOKUP(A160,[1]Sheet1!$A:$F,6,FALSE)</f>
        <v>SP</v>
      </c>
      <c r="E160" s="15">
        <v>20902</v>
      </c>
      <c r="F160" s="14" t="s">
        <v>53</v>
      </c>
      <c r="G160" s="14" t="s">
        <v>13</v>
      </c>
      <c r="H160" s="14">
        <v>97.76</v>
      </c>
      <c r="I160" s="17" t="s">
        <v>672</v>
      </c>
      <c r="J160" s="14" t="s">
        <v>672</v>
      </c>
      <c r="K160" s="14">
        <v>15</v>
      </c>
      <c r="L160" s="14">
        <v>20807</v>
      </c>
      <c r="M160" s="14">
        <v>25922</v>
      </c>
      <c r="P160" s="15">
        <v>20706</v>
      </c>
      <c r="Q160" s="14" t="s">
        <v>52</v>
      </c>
      <c r="R160" s="14" t="s">
        <v>17</v>
      </c>
      <c r="S160" s="14">
        <v>98.47</v>
      </c>
      <c r="T160" s="16" t="s">
        <v>325</v>
      </c>
      <c r="V160" s="14">
        <v>40</v>
      </c>
      <c r="W160" s="14">
        <v>20807</v>
      </c>
      <c r="AA160" s="15">
        <v>20500</v>
      </c>
      <c r="AB160" s="14" t="s">
        <v>31</v>
      </c>
      <c r="AC160" s="14" t="s">
        <v>17</v>
      </c>
      <c r="AD160" s="14">
        <v>96.51</v>
      </c>
      <c r="AE160" s="16" t="s">
        <v>423</v>
      </c>
      <c r="AF160" s="14" t="s">
        <v>423</v>
      </c>
      <c r="AG160" s="14">
        <v>25</v>
      </c>
      <c r="AH160" s="14">
        <v>20807</v>
      </c>
      <c r="AI160" s="14">
        <v>25382</v>
      </c>
      <c r="AL160" s="15">
        <v>20906</v>
      </c>
      <c r="AM160" s="14" t="s">
        <v>48</v>
      </c>
      <c r="AN160" s="14" t="s">
        <v>49</v>
      </c>
      <c r="AO160" s="14">
        <v>96.59</v>
      </c>
      <c r="AP160" s="16" t="s">
        <v>327</v>
      </c>
      <c r="AR160" s="14">
        <v>17</v>
      </c>
      <c r="AS160" s="14">
        <v>20807</v>
      </c>
      <c r="BC160" s="14">
        <v>0</v>
      </c>
      <c r="BN160" s="14">
        <v>0</v>
      </c>
      <c r="BY160" s="14">
        <v>0</v>
      </c>
    </row>
    <row r="161" spans="1:77">
      <c r="A161" s="14">
        <v>31871</v>
      </c>
      <c r="B161" s="14" t="s">
        <v>136</v>
      </c>
      <c r="C161" s="14" t="str">
        <f>VLOOKUP(A161,[1]Sheet1!$A:$F,5,FALSE)</f>
        <v>전략</v>
      </c>
      <c r="D161" s="14" t="str">
        <f>VLOOKUP(A161,[1]Sheet1!$A:$F,6,FALSE)</f>
        <v>SP</v>
      </c>
      <c r="E161" s="15">
        <v>20902</v>
      </c>
      <c r="F161" s="14" t="s">
        <v>53</v>
      </c>
      <c r="G161" s="14" t="s">
        <v>13</v>
      </c>
      <c r="H161" s="14">
        <v>97.77</v>
      </c>
      <c r="I161" s="17" t="s">
        <v>673</v>
      </c>
      <c r="J161" s="14" t="s">
        <v>673</v>
      </c>
      <c r="K161" s="14">
        <v>20</v>
      </c>
      <c r="L161" s="14">
        <v>20807</v>
      </c>
      <c r="M161" s="14">
        <v>20808</v>
      </c>
      <c r="P161" s="15">
        <v>20702</v>
      </c>
      <c r="Q161" s="14" t="s">
        <v>44</v>
      </c>
      <c r="R161" s="14" t="s">
        <v>17</v>
      </c>
      <c r="S161" s="14">
        <v>99.09</v>
      </c>
      <c r="T161" s="16" t="s">
        <v>358</v>
      </c>
      <c r="V161" s="14">
        <v>35</v>
      </c>
      <c r="W161" s="14">
        <v>20807</v>
      </c>
      <c r="AA161" s="15">
        <v>20500</v>
      </c>
      <c r="AB161" s="14" t="s">
        <v>31</v>
      </c>
      <c r="AC161" s="14" t="s">
        <v>17</v>
      </c>
      <c r="AD161" s="14">
        <v>99.08</v>
      </c>
      <c r="AE161" s="16" t="s">
        <v>326</v>
      </c>
      <c r="AF161" s="14" t="s">
        <v>326</v>
      </c>
      <c r="AG161" s="14">
        <v>27</v>
      </c>
      <c r="AH161" s="14">
        <v>20807</v>
      </c>
      <c r="AI161" s="14">
        <v>25382</v>
      </c>
      <c r="AL161" s="15">
        <v>20906</v>
      </c>
      <c r="AM161" s="14" t="s">
        <v>48</v>
      </c>
      <c r="AN161" s="14" t="s">
        <v>49</v>
      </c>
      <c r="AO161" s="14">
        <v>98.14</v>
      </c>
      <c r="AP161" s="16" t="s">
        <v>327</v>
      </c>
      <c r="AR161" s="14">
        <v>17</v>
      </c>
      <c r="AS161" s="14">
        <v>20807</v>
      </c>
      <c r="BC161" s="14">
        <v>0</v>
      </c>
      <c r="BN161" s="14">
        <v>0</v>
      </c>
      <c r="BY161" s="14">
        <v>0</v>
      </c>
    </row>
    <row r="162" spans="1:77">
      <c r="A162" s="14">
        <v>32521</v>
      </c>
      <c r="B162" s="14" t="s">
        <v>198</v>
      </c>
      <c r="C162" s="14" t="str">
        <f>VLOOKUP(A162,[1]Sheet1!$A:$F,5,FALSE)</f>
        <v>전략</v>
      </c>
      <c r="D162" s="14" t="str">
        <f>VLOOKUP(A162,[1]Sheet1!$A:$F,6,FALSE)</f>
        <v>SP</v>
      </c>
      <c r="E162" s="15">
        <v>20902</v>
      </c>
      <c r="F162" s="14" t="s">
        <v>53</v>
      </c>
      <c r="G162" s="14" t="s">
        <v>13</v>
      </c>
      <c r="H162" s="14">
        <v>97.77</v>
      </c>
      <c r="I162" s="17" t="s">
        <v>674</v>
      </c>
      <c r="J162" s="14" t="s">
        <v>674</v>
      </c>
      <c r="K162" s="14">
        <v>15</v>
      </c>
      <c r="L162" s="14">
        <v>20807</v>
      </c>
      <c r="M162" s="14">
        <v>25891</v>
      </c>
      <c r="P162" s="15">
        <v>20706</v>
      </c>
      <c r="Q162" s="14" t="s">
        <v>52</v>
      </c>
      <c r="R162" s="14" t="s">
        <v>17</v>
      </c>
      <c r="S162" s="14">
        <v>99.09</v>
      </c>
      <c r="T162" s="16" t="s">
        <v>325</v>
      </c>
      <c r="V162" s="14">
        <v>40</v>
      </c>
      <c r="W162" s="14">
        <v>20807</v>
      </c>
      <c r="AA162" s="15">
        <v>20500</v>
      </c>
      <c r="AB162" s="14" t="s">
        <v>31</v>
      </c>
      <c r="AC162" s="14" t="s">
        <v>17</v>
      </c>
      <c r="AD162" s="14">
        <v>99.08</v>
      </c>
      <c r="AE162" s="16" t="s">
        <v>326</v>
      </c>
      <c r="AF162" s="14" t="s">
        <v>326</v>
      </c>
      <c r="AG162" s="14">
        <v>25</v>
      </c>
      <c r="AH162" s="14">
        <v>20807</v>
      </c>
      <c r="AI162" s="14">
        <v>25382</v>
      </c>
      <c r="AL162" s="15">
        <v>20906</v>
      </c>
      <c r="AM162" s="14" t="s">
        <v>48</v>
      </c>
      <c r="AN162" s="14" t="s">
        <v>49</v>
      </c>
      <c r="AO162" s="14">
        <v>98.14</v>
      </c>
      <c r="AP162" s="16" t="s">
        <v>327</v>
      </c>
      <c r="AR162" s="14">
        <v>17</v>
      </c>
      <c r="AS162" s="14">
        <v>20807</v>
      </c>
      <c r="BC162" s="14">
        <v>0</v>
      </c>
      <c r="BN162" s="14">
        <v>0</v>
      </c>
      <c r="BY162" s="14">
        <v>0</v>
      </c>
    </row>
    <row r="163" spans="1:77">
      <c r="A163" s="14">
        <v>32718</v>
      </c>
      <c r="B163" s="14" t="s">
        <v>675</v>
      </c>
      <c r="C163" s="14" t="str">
        <f>VLOOKUP(A163,[1]Sheet1!$A:$F,5,FALSE)</f>
        <v>전략</v>
      </c>
      <c r="D163" s="14" t="str">
        <f>VLOOKUP(A163,[1]Sheet1!$A:$F,6,FALSE)</f>
        <v>SP</v>
      </c>
      <c r="E163" s="15">
        <v>20902</v>
      </c>
      <c r="F163" s="14" t="s">
        <v>53</v>
      </c>
      <c r="G163" s="14" t="s">
        <v>13</v>
      </c>
      <c r="H163" s="14">
        <v>97.78</v>
      </c>
      <c r="I163" s="17" t="s">
        <v>676</v>
      </c>
      <c r="J163" s="14" t="s">
        <v>676</v>
      </c>
      <c r="K163" s="14">
        <v>15</v>
      </c>
      <c r="L163" s="14">
        <v>20807</v>
      </c>
      <c r="M163" s="14">
        <v>25891</v>
      </c>
      <c r="P163" s="15">
        <v>20706</v>
      </c>
      <c r="Q163" s="14" t="s">
        <v>52</v>
      </c>
      <c r="R163" s="14" t="s">
        <v>17</v>
      </c>
      <c r="S163" s="14">
        <v>99.09</v>
      </c>
      <c r="T163" s="16" t="s">
        <v>325</v>
      </c>
      <c r="V163" s="14">
        <v>40</v>
      </c>
      <c r="W163" s="14">
        <v>20807</v>
      </c>
      <c r="AA163" s="15">
        <v>20500</v>
      </c>
      <c r="AB163" s="14" t="s">
        <v>31</v>
      </c>
      <c r="AC163" s="14" t="s">
        <v>17</v>
      </c>
      <c r="AD163" s="14">
        <v>98.17</v>
      </c>
      <c r="AE163" s="14" t="s">
        <v>326</v>
      </c>
      <c r="AG163" s="14">
        <v>25</v>
      </c>
      <c r="AH163" s="14">
        <v>20807</v>
      </c>
      <c r="AI163" s="14">
        <v>23352</v>
      </c>
      <c r="AL163" s="15">
        <v>20906</v>
      </c>
      <c r="AM163" s="14" t="s">
        <v>48</v>
      </c>
      <c r="AN163" s="14" t="s">
        <v>49</v>
      </c>
      <c r="AO163" s="14">
        <v>96.26</v>
      </c>
      <c r="AP163" s="16" t="s">
        <v>327</v>
      </c>
      <c r="AR163" s="14">
        <v>17</v>
      </c>
      <c r="AS163" s="14">
        <v>20807</v>
      </c>
      <c r="BC163" s="14">
        <v>0</v>
      </c>
      <c r="BN163" s="14">
        <v>0</v>
      </c>
      <c r="BY163" s="14">
        <v>0</v>
      </c>
    </row>
    <row r="164" spans="1:77">
      <c r="A164" s="14">
        <v>30151</v>
      </c>
      <c r="B164" s="14" t="s">
        <v>78</v>
      </c>
      <c r="C164" s="14" t="str">
        <f>VLOOKUP(A164,[1]Sheet1!$A:$F,5,FALSE)</f>
        <v>전략</v>
      </c>
      <c r="D164" s="14" t="str">
        <f>VLOOKUP(A164,[1]Sheet1!$A:$F,6,FALSE)</f>
        <v>SP</v>
      </c>
      <c r="E164" s="15">
        <v>20902</v>
      </c>
      <c r="F164" s="14" t="s">
        <v>53</v>
      </c>
      <c r="G164" s="14" t="s">
        <v>343</v>
      </c>
      <c r="H164" s="14">
        <v>97.79</v>
      </c>
      <c r="I164" s="17" t="s">
        <v>677</v>
      </c>
      <c r="J164" s="14" t="s">
        <v>677</v>
      </c>
      <c r="K164" s="14">
        <v>23.5</v>
      </c>
      <c r="L164" s="14" t="s">
        <v>678</v>
      </c>
      <c r="M164" s="14" t="s">
        <v>679</v>
      </c>
      <c r="P164" s="15">
        <v>20706</v>
      </c>
      <c r="Q164" s="14" t="s">
        <v>52</v>
      </c>
      <c r="R164" s="14" t="s">
        <v>17</v>
      </c>
      <c r="S164" s="14">
        <v>98.84</v>
      </c>
      <c r="T164" s="16" t="s">
        <v>432</v>
      </c>
      <c r="U164" s="14" t="s">
        <v>432</v>
      </c>
      <c r="V164" s="14">
        <v>40</v>
      </c>
      <c r="W164" s="14" t="s">
        <v>680</v>
      </c>
      <c r="AA164" s="15">
        <v>20500</v>
      </c>
      <c r="AB164" s="14" t="s">
        <v>31</v>
      </c>
      <c r="AC164" s="14" t="s">
        <v>17</v>
      </c>
      <c r="AD164" s="14">
        <v>98.38</v>
      </c>
      <c r="AE164" s="16" t="s">
        <v>350</v>
      </c>
      <c r="AF164" s="14" t="s">
        <v>350</v>
      </c>
      <c r="AG164" s="14">
        <v>22</v>
      </c>
      <c r="AH164" s="14" t="s">
        <v>681</v>
      </c>
      <c r="AI164" s="14" t="s">
        <v>521</v>
      </c>
      <c r="AL164" s="15">
        <v>20906</v>
      </c>
      <c r="AM164" s="14" t="s">
        <v>48</v>
      </c>
      <c r="AN164" s="14" t="s">
        <v>49</v>
      </c>
      <c r="AO164" s="14">
        <v>97.82</v>
      </c>
      <c r="AP164" s="16" t="s">
        <v>327</v>
      </c>
      <c r="AR164" s="14">
        <v>17</v>
      </c>
      <c r="AS164" s="14" t="s">
        <v>414</v>
      </c>
      <c r="BC164" s="14">
        <v>0</v>
      </c>
      <c r="BN164" s="14">
        <v>0</v>
      </c>
      <c r="BY164" s="14">
        <v>0</v>
      </c>
    </row>
    <row r="165" spans="1:77">
      <c r="A165" s="14">
        <v>32741</v>
      </c>
      <c r="B165" s="14" t="s">
        <v>682</v>
      </c>
      <c r="C165" s="14" t="str">
        <f>VLOOKUP(A165,[1]Sheet1!$A:$F,5,FALSE)</f>
        <v>전략</v>
      </c>
      <c r="D165" s="14" t="str">
        <f>VLOOKUP(A165,[1]Sheet1!$A:$F,6,FALSE)</f>
        <v>SP</v>
      </c>
      <c r="E165" s="15">
        <v>20902</v>
      </c>
      <c r="F165" s="14" t="s">
        <v>53</v>
      </c>
      <c r="G165" s="14" t="s">
        <v>343</v>
      </c>
      <c r="H165" s="14">
        <v>97.79</v>
      </c>
      <c r="I165" s="17" t="s">
        <v>683</v>
      </c>
      <c r="J165" s="14" t="s">
        <v>683</v>
      </c>
      <c r="K165" s="14">
        <v>21.7</v>
      </c>
      <c r="L165" s="14" t="s">
        <v>588</v>
      </c>
      <c r="M165" s="14" t="s">
        <v>380</v>
      </c>
      <c r="P165" s="15">
        <v>20702</v>
      </c>
      <c r="Q165" s="14" t="s">
        <v>44</v>
      </c>
      <c r="R165" s="14" t="s">
        <v>17</v>
      </c>
      <c r="S165" s="14">
        <v>99.07</v>
      </c>
      <c r="T165" s="16" t="s">
        <v>381</v>
      </c>
      <c r="U165" s="14" t="s">
        <v>381</v>
      </c>
      <c r="V165" s="14">
        <v>35</v>
      </c>
      <c r="W165" s="14" t="s">
        <v>586</v>
      </c>
      <c r="AA165" s="15">
        <v>20500</v>
      </c>
      <c r="AB165" s="14" t="s">
        <v>31</v>
      </c>
      <c r="AC165" s="14" t="s">
        <v>17</v>
      </c>
      <c r="AD165" s="14">
        <v>98.8</v>
      </c>
      <c r="AE165" s="16" t="s">
        <v>326</v>
      </c>
      <c r="AF165" s="14" t="s">
        <v>326</v>
      </c>
      <c r="AG165" s="14">
        <v>27</v>
      </c>
      <c r="AH165" s="14" t="s">
        <v>586</v>
      </c>
      <c r="AI165" s="14" t="s">
        <v>493</v>
      </c>
      <c r="AL165" s="15">
        <v>20906</v>
      </c>
      <c r="AM165" s="14" t="s">
        <v>48</v>
      </c>
      <c r="AN165" s="14" t="s">
        <v>49</v>
      </c>
      <c r="AO165" s="14">
        <v>99.12</v>
      </c>
      <c r="AP165" s="16" t="s">
        <v>327</v>
      </c>
      <c r="AR165" s="14">
        <v>15.4</v>
      </c>
      <c r="AS165" s="14" t="s">
        <v>492</v>
      </c>
      <c r="BC165" s="14">
        <v>0</v>
      </c>
      <c r="BN165" s="14">
        <v>0</v>
      </c>
      <c r="BY165" s="14">
        <v>0</v>
      </c>
    </row>
    <row r="166" spans="1:77">
      <c r="A166" s="14">
        <v>31021</v>
      </c>
      <c r="B166" s="14" t="s">
        <v>105</v>
      </c>
      <c r="C166" s="14" t="str">
        <f>VLOOKUP(A166,[1]Sheet1!$A:$F,5,FALSE)</f>
        <v>전략</v>
      </c>
      <c r="D166" s="14" t="str">
        <f>VLOOKUP(A166,[1]Sheet1!$A:$F,6,FALSE)</f>
        <v>SP</v>
      </c>
      <c r="E166" s="15">
        <v>20902</v>
      </c>
      <c r="F166" s="14" t="s">
        <v>53</v>
      </c>
      <c r="G166" s="14" t="s">
        <v>13</v>
      </c>
      <c r="H166" s="14">
        <v>97.8</v>
      </c>
      <c r="I166" s="17" t="s">
        <v>684</v>
      </c>
      <c r="J166" s="14" t="s">
        <v>684</v>
      </c>
      <c r="K166" s="14">
        <v>20</v>
      </c>
      <c r="L166" s="14">
        <v>20807</v>
      </c>
      <c r="M166" s="14">
        <v>20808</v>
      </c>
      <c r="P166" s="15">
        <v>20702</v>
      </c>
      <c r="Q166" s="14" t="s">
        <v>44</v>
      </c>
      <c r="R166" s="14" t="s">
        <v>17</v>
      </c>
      <c r="S166" s="14">
        <v>98.88</v>
      </c>
      <c r="T166" s="16" t="s">
        <v>381</v>
      </c>
      <c r="U166" s="14" t="s">
        <v>685</v>
      </c>
      <c r="V166" s="14">
        <v>35</v>
      </c>
      <c r="W166" s="14">
        <v>20807</v>
      </c>
      <c r="AA166" s="15">
        <v>20500</v>
      </c>
      <c r="AB166" s="14" t="s">
        <v>31</v>
      </c>
      <c r="AC166" s="14" t="s">
        <v>17</v>
      </c>
      <c r="AD166" s="14">
        <v>98.26</v>
      </c>
      <c r="AE166" s="16" t="s">
        <v>423</v>
      </c>
      <c r="AF166" s="14" t="s">
        <v>423</v>
      </c>
      <c r="AG166" s="14">
        <v>27</v>
      </c>
      <c r="AH166" s="14">
        <v>20807</v>
      </c>
      <c r="AI166" s="14">
        <v>23352</v>
      </c>
      <c r="AL166" s="15">
        <v>20906</v>
      </c>
      <c r="AM166" s="14" t="s">
        <v>48</v>
      </c>
      <c r="AN166" s="14" t="s">
        <v>49</v>
      </c>
      <c r="AO166" s="14">
        <v>97.38</v>
      </c>
      <c r="AP166" s="16" t="s">
        <v>327</v>
      </c>
      <c r="AR166" s="14">
        <v>17</v>
      </c>
      <c r="AS166" s="14">
        <v>20807</v>
      </c>
      <c r="BC166" s="14">
        <v>0</v>
      </c>
      <c r="BN166" s="14">
        <v>0</v>
      </c>
      <c r="BY166" s="14">
        <v>0</v>
      </c>
    </row>
    <row r="167" spans="1:77">
      <c r="A167" s="14">
        <v>30150</v>
      </c>
      <c r="B167" s="14" t="s">
        <v>77</v>
      </c>
      <c r="C167" s="14" t="str">
        <f>VLOOKUP(A167,[1]Sheet1!$A:$F,5,FALSE)</f>
        <v>전략</v>
      </c>
      <c r="D167" s="14" t="str">
        <f>VLOOKUP(A167,[1]Sheet1!$A:$F,6,FALSE)</f>
        <v>SP</v>
      </c>
      <c r="E167" s="15">
        <v>20902</v>
      </c>
      <c r="F167" s="14" t="s">
        <v>53</v>
      </c>
      <c r="G167" s="14" t="s">
        <v>487</v>
      </c>
      <c r="H167" s="14">
        <v>97.83</v>
      </c>
      <c r="I167" s="17" t="s">
        <v>686</v>
      </c>
      <c r="J167" s="14" t="s">
        <v>686</v>
      </c>
      <c r="K167" s="14">
        <v>24.1</v>
      </c>
      <c r="L167" s="14" t="s">
        <v>687</v>
      </c>
      <c r="M167" s="14" t="s">
        <v>480</v>
      </c>
      <c r="P167" s="15">
        <v>20706</v>
      </c>
      <c r="Q167" s="14" t="s">
        <v>52</v>
      </c>
      <c r="R167" s="14" t="s">
        <v>17</v>
      </c>
      <c r="S167" s="14">
        <v>98.86</v>
      </c>
      <c r="T167" s="16" t="s">
        <v>432</v>
      </c>
      <c r="U167" s="14" t="s">
        <v>527</v>
      </c>
      <c r="V167" s="14">
        <v>40</v>
      </c>
      <c r="W167" s="14" t="s">
        <v>688</v>
      </c>
      <c r="AA167" s="15">
        <v>20500</v>
      </c>
      <c r="AB167" s="14" t="s">
        <v>31</v>
      </c>
      <c r="AC167" s="14" t="s">
        <v>533</v>
      </c>
      <c r="AD167" s="14">
        <v>98.06</v>
      </c>
      <c r="AE167" s="16" t="s">
        <v>350</v>
      </c>
      <c r="AF167" s="14" t="s">
        <v>351</v>
      </c>
      <c r="AG167" s="14">
        <v>22.8</v>
      </c>
      <c r="AH167" s="14" t="s">
        <v>687</v>
      </c>
      <c r="AI167" s="14" t="s">
        <v>429</v>
      </c>
      <c r="AL167" s="15">
        <v>20906</v>
      </c>
      <c r="AM167" s="14" t="s">
        <v>48</v>
      </c>
      <c r="AN167" s="14" t="s">
        <v>49</v>
      </c>
      <c r="AO167" s="14">
        <v>97.52</v>
      </c>
      <c r="AP167" s="16" t="s">
        <v>327</v>
      </c>
      <c r="AR167" s="14">
        <v>17.100000000000001</v>
      </c>
      <c r="AS167" s="14" t="s">
        <v>689</v>
      </c>
      <c r="BC167" s="14">
        <v>0</v>
      </c>
      <c r="BN167" s="14">
        <v>0</v>
      </c>
      <c r="BY167" s="14">
        <v>0</v>
      </c>
    </row>
    <row r="168" spans="1:77">
      <c r="A168" s="14">
        <v>31026</v>
      </c>
      <c r="B168" s="14" t="s">
        <v>109</v>
      </c>
      <c r="C168" s="14" t="str">
        <f>VLOOKUP(A168,[1]Sheet1!$A:$F,5,FALSE)</f>
        <v>전략</v>
      </c>
      <c r="D168" s="14" t="str">
        <f>VLOOKUP(A168,[1]Sheet1!$A:$F,6,FALSE)</f>
        <v>SP</v>
      </c>
      <c r="E168" s="15">
        <v>20902</v>
      </c>
      <c r="F168" s="14" t="s">
        <v>53</v>
      </c>
      <c r="G168" s="14" t="s">
        <v>13</v>
      </c>
      <c r="H168" s="14">
        <v>97.83</v>
      </c>
      <c r="I168" s="17" t="s">
        <v>411</v>
      </c>
      <c r="J168" s="14" t="s">
        <v>411</v>
      </c>
      <c r="K168" s="14">
        <v>20</v>
      </c>
      <c r="L168" s="14">
        <v>20807</v>
      </c>
      <c r="M168" s="14">
        <v>20808</v>
      </c>
      <c r="P168" s="15">
        <v>20702</v>
      </c>
      <c r="Q168" s="14" t="s">
        <v>44</v>
      </c>
      <c r="R168" s="14" t="s">
        <v>17</v>
      </c>
      <c r="S168" s="14">
        <v>99.03</v>
      </c>
      <c r="T168" s="16" t="s">
        <v>381</v>
      </c>
      <c r="U168" s="14" t="s">
        <v>381</v>
      </c>
      <c r="V168" s="14">
        <v>35</v>
      </c>
      <c r="W168" s="14" t="s">
        <v>392</v>
      </c>
      <c r="AA168" s="15">
        <v>20500</v>
      </c>
      <c r="AB168" s="14" t="s">
        <v>31</v>
      </c>
      <c r="AC168" s="14" t="s">
        <v>17</v>
      </c>
      <c r="AD168" s="14">
        <v>99.02</v>
      </c>
      <c r="AE168" s="16" t="s">
        <v>423</v>
      </c>
      <c r="AF168" s="14" t="s">
        <v>423</v>
      </c>
      <c r="AG168" s="14">
        <v>27</v>
      </c>
      <c r="AH168" s="14" t="s">
        <v>391</v>
      </c>
      <c r="AI168" s="14" t="s">
        <v>393</v>
      </c>
      <c r="AL168" s="15">
        <v>20906</v>
      </c>
      <c r="AM168" s="14" t="s">
        <v>48</v>
      </c>
      <c r="AN168" s="14" t="s">
        <v>49</v>
      </c>
      <c r="AO168" s="14">
        <v>99.01</v>
      </c>
      <c r="AP168" s="16" t="s">
        <v>327</v>
      </c>
      <c r="AR168" s="14">
        <v>18.5</v>
      </c>
      <c r="AS168" s="14" t="s">
        <v>392</v>
      </c>
      <c r="BC168" s="14">
        <v>0</v>
      </c>
      <c r="BN168" s="14">
        <v>0</v>
      </c>
      <c r="BY168" s="14">
        <v>0</v>
      </c>
    </row>
    <row r="169" spans="1:77">
      <c r="A169" s="14">
        <v>31899</v>
      </c>
      <c r="B169" s="14" t="s">
        <v>690</v>
      </c>
      <c r="C169" s="14" t="str">
        <f>VLOOKUP(A169,[1]Sheet1!$A:$F,5,FALSE)</f>
        <v>전략</v>
      </c>
      <c r="D169" s="14" t="str">
        <f>VLOOKUP(A169,[1]Sheet1!$A:$F,6,FALSE)</f>
        <v>IR</v>
      </c>
      <c r="E169" s="15">
        <v>20902</v>
      </c>
      <c r="F169" s="14" t="s">
        <v>53</v>
      </c>
      <c r="G169" s="14" t="s">
        <v>13</v>
      </c>
      <c r="H169" s="14">
        <v>97.83</v>
      </c>
      <c r="I169" s="17" t="s">
        <v>691</v>
      </c>
      <c r="K169" s="14">
        <v>15</v>
      </c>
      <c r="L169" s="14">
        <v>20807</v>
      </c>
      <c r="M169" s="14">
        <v>22485</v>
      </c>
      <c r="P169" s="15">
        <v>20702</v>
      </c>
      <c r="Q169" s="14" t="s">
        <v>44</v>
      </c>
      <c r="R169" s="14" t="s">
        <v>17</v>
      </c>
      <c r="S169" s="14">
        <v>99.56</v>
      </c>
      <c r="T169" s="16" t="s">
        <v>358</v>
      </c>
      <c r="V169" s="14">
        <v>35</v>
      </c>
      <c r="W169" s="14">
        <v>20807</v>
      </c>
      <c r="AA169" s="15">
        <v>23100</v>
      </c>
      <c r="AB169" s="14" t="s">
        <v>54</v>
      </c>
      <c r="AC169" s="14" t="s">
        <v>13</v>
      </c>
      <c r="AD169" s="14">
        <v>97.32</v>
      </c>
      <c r="AE169" s="16" t="s">
        <v>359</v>
      </c>
      <c r="AG169" s="14">
        <v>15</v>
      </c>
      <c r="AH169" s="14">
        <v>20807</v>
      </c>
      <c r="AI169" s="14">
        <v>23352</v>
      </c>
      <c r="AP169" s="14"/>
      <c r="AR169" s="14">
        <v>0</v>
      </c>
      <c r="BC169" s="14">
        <v>0</v>
      </c>
      <c r="BN169" s="14">
        <v>0</v>
      </c>
      <c r="BY169" s="14">
        <v>0</v>
      </c>
    </row>
    <row r="170" spans="1:77">
      <c r="A170" s="14">
        <v>32221</v>
      </c>
      <c r="B170" s="14" t="s">
        <v>151</v>
      </c>
      <c r="C170" s="14" t="str">
        <f>VLOOKUP(A170,[1]Sheet1!$A:$F,5,FALSE)</f>
        <v>전략</v>
      </c>
      <c r="D170" s="14" t="str">
        <f>VLOOKUP(A170,[1]Sheet1!$A:$F,6,FALSE)</f>
        <v>SP</v>
      </c>
      <c r="E170" s="15">
        <v>20902</v>
      </c>
      <c r="F170" s="14" t="s">
        <v>53</v>
      </c>
      <c r="G170" s="14" t="s">
        <v>487</v>
      </c>
      <c r="H170" s="14">
        <v>97.83</v>
      </c>
      <c r="I170" s="17" t="s">
        <v>692</v>
      </c>
      <c r="J170" s="14" t="s">
        <v>692</v>
      </c>
      <c r="K170" s="14">
        <v>19.7</v>
      </c>
      <c r="L170" s="14" t="s">
        <v>391</v>
      </c>
      <c r="M170" s="14" t="s">
        <v>346</v>
      </c>
      <c r="P170" s="15">
        <v>20706</v>
      </c>
      <c r="Q170" s="14" t="s">
        <v>52</v>
      </c>
      <c r="R170" s="14" t="s">
        <v>523</v>
      </c>
      <c r="S170" s="14">
        <v>98.53</v>
      </c>
      <c r="T170" s="16" t="s">
        <v>410</v>
      </c>
      <c r="U170" s="14" t="s">
        <v>693</v>
      </c>
      <c r="V170" s="14">
        <v>38.4</v>
      </c>
      <c r="W170" s="14" t="s">
        <v>391</v>
      </c>
      <c r="AA170" s="15">
        <v>20500</v>
      </c>
      <c r="AB170" s="14" t="s">
        <v>31</v>
      </c>
      <c r="AC170" s="14" t="s">
        <v>17</v>
      </c>
      <c r="AD170" s="14">
        <v>98.69</v>
      </c>
      <c r="AE170" s="16" t="s">
        <v>423</v>
      </c>
      <c r="AF170" s="14" t="s">
        <v>423</v>
      </c>
      <c r="AG170" s="14">
        <v>27</v>
      </c>
      <c r="AH170" s="14" t="s">
        <v>392</v>
      </c>
      <c r="AI170" s="14" t="s">
        <v>393</v>
      </c>
      <c r="AL170" s="15">
        <v>20906</v>
      </c>
      <c r="AM170" s="14" t="s">
        <v>48</v>
      </c>
      <c r="AN170" s="14" t="s">
        <v>49</v>
      </c>
      <c r="AO170" s="14">
        <v>97.64</v>
      </c>
      <c r="AP170" s="16" t="s">
        <v>327</v>
      </c>
      <c r="AR170" s="14">
        <v>17.100000000000001</v>
      </c>
      <c r="AS170" s="14" t="s">
        <v>391</v>
      </c>
      <c r="BC170" s="14">
        <v>0</v>
      </c>
      <c r="BN170" s="14">
        <v>0</v>
      </c>
      <c r="BY170" s="14">
        <v>0</v>
      </c>
    </row>
    <row r="171" spans="1:77">
      <c r="A171" s="14">
        <v>32361</v>
      </c>
      <c r="B171" s="14" t="s">
        <v>184</v>
      </c>
      <c r="C171" s="14" t="str">
        <f>VLOOKUP(A171,[1]Sheet1!$A:$F,5,FALSE)</f>
        <v>전략</v>
      </c>
      <c r="D171" s="14" t="str">
        <f>VLOOKUP(A171,[1]Sheet1!$A:$F,6,FALSE)</f>
        <v>SP</v>
      </c>
      <c r="E171" s="15">
        <v>20902</v>
      </c>
      <c r="F171" s="14" t="s">
        <v>53</v>
      </c>
      <c r="G171" s="14" t="s">
        <v>13</v>
      </c>
      <c r="H171" s="14">
        <v>97.83</v>
      </c>
      <c r="I171" s="17" t="s">
        <v>694</v>
      </c>
      <c r="J171" s="14" t="s">
        <v>695</v>
      </c>
      <c r="K171" s="14">
        <v>15</v>
      </c>
      <c r="L171" s="14">
        <v>20807</v>
      </c>
      <c r="M171" s="14">
        <v>25889</v>
      </c>
      <c r="P171" s="15">
        <v>20706</v>
      </c>
      <c r="Q171" s="14" t="s">
        <v>52</v>
      </c>
      <c r="R171" s="14" t="s">
        <v>17</v>
      </c>
      <c r="S171" s="14">
        <v>98.13</v>
      </c>
      <c r="T171" s="16" t="s">
        <v>410</v>
      </c>
      <c r="U171" s="14" t="s">
        <v>410</v>
      </c>
      <c r="V171" s="14">
        <v>40</v>
      </c>
      <c r="W171" s="14">
        <v>20807</v>
      </c>
      <c r="AA171" s="15">
        <v>20500</v>
      </c>
      <c r="AB171" s="14" t="s">
        <v>31</v>
      </c>
      <c r="AC171" s="14" t="s">
        <v>17</v>
      </c>
      <c r="AD171" s="14">
        <v>97.27</v>
      </c>
      <c r="AE171" s="16" t="s">
        <v>326</v>
      </c>
      <c r="AF171" s="14" t="s">
        <v>326</v>
      </c>
      <c r="AG171" s="14">
        <v>25</v>
      </c>
      <c r="AH171" s="14">
        <v>20807</v>
      </c>
      <c r="AI171" s="14" t="s">
        <v>393</v>
      </c>
      <c r="AL171" s="15">
        <v>20906</v>
      </c>
      <c r="AM171" s="14" t="s">
        <v>48</v>
      </c>
      <c r="AN171" s="14" t="s">
        <v>49</v>
      </c>
      <c r="AO171" s="14">
        <v>96.58</v>
      </c>
      <c r="AP171" s="16" t="s">
        <v>327</v>
      </c>
      <c r="AR171" s="14">
        <v>17</v>
      </c>
      <c r="AS171" s="14">
        <v>20807</v>
      </c>
      <c r="BC171" s="14">
        <v>0</v>
      </c>
      <c r="BN171" s="14">
        <v>0</v>
      </c>
      <c r="BY171" s="14">
        <v>0</v>
      </c>
    </row>
    <row r="172" spans="1:77">
      <c r="A172" s="14">
        <v>32689</v>
      </c>
      <c r="B172" s="14" t="s">
        <v>696</v>
      </c>
      <c r="C172" s="14" t="str">
        <f>VLOOKUP(A172,[1]Sheet1!$A:$F,5,FALSE)</f>
        <v>전략</v>
      </c>
      <c r="D172" s="14" t="str">
        <f>VLOOKUP(A172,[1]Sheet1!$A:$F,6,FALSE)</f>
        <v>SP</v>
      </c>
      <c r="E172" s="15">
        <v>20902</v>
      </c>
      <c r="F172" s="14" t="s">
        <v>53</v>
      </c>
      <c r="G172" s="14" t="s">
        <v>343</v>
      </c>
      <c r="H172" s="14">
        <v>97.86</v>
      </c>
      <c r="I172" s="17" t="s">
        <v>697</v>
      </c>
      <c r="J172" s="14" t="s">
        <v>697</v>
      </c>
      <c r="K172" s="14">
        <v>21.4</v>
      </c>
      <c r="L172" s="14" t="s">
        <v>414</v>
      </c>
      <c r="M172" s="14" t="s">
        <v>413</v>
      </c>
      <c r="P172" s="15">
        <v>20713</v>
      </c>
      <c r="Q172" s="14" t="s">
        <v>147</v>
      </c>
      <c r="R172" s="14" t="s">
        <v>17</v>
      </c>
      <c r="S172" s="14">
        <v>98.57</v>
      </c>
      <c r="T172" s="16" t="s">
        <v>444</v>
      </c>
      <c r="U172" s="14" t="s">
        <v>558</v>
      </c>
      <c r="V172" s="14">
        <v>25</v>
      </c>
      <c r="W172" s="14" t="s">
        <v>416</v>
      </c>
      <c r="AA172" s="15">
        <v>20500</v>
      </c>
      <c r="AB172" s="14" t="s">
        <v>31</v>
      </c>
      <c r="AC172" s="14" t="s">
        <v>17</v>
      </c>
      <c r="AD172" s="14">
        <v>98.11</v>
      </c>
      <c r="AE172" s="16" t="s">
        <v>326</v>
      </c>
      <c r="AF172" s="14" t="s">
        <v>326</v>
      </c>
      <c r="AG172" s="14">
        <v>27</v>
      </c>
      <c r="AH172" s="14" t="s">
        <v>412</v>
      </c>
      <c r="AI172" s="14" t="s">
        <v>521</v>
      </c>
      <c r="AL172" s="15">
        <v>20906</v>
      </c>
      <c r="AM172" s="14" t="s">
        <v>48</v>
      </c>
      <c r="AN172" s="14" t="s">
        <v>49</v>
      </c>
      <c r="AO172" s="14">
        <v>95.51</v>
      </c>
      <c r="AP172" s="16" t="s">
        <v>327</v>
      </c>
      <c r="AR172" s="14">
        <v>16.899999999999999</v>
      </c>
      <c r="AS172" s="14" t="s">
        <v>698</v>
      </c>
      <c r="BC172" s="14">
        <v>0</v>
      </c>
      <c r="BN172" s="14">
        <v>0</v>
      </c>
      <c r="BY172" s="14">
        <v>0</v>
      </c>
    </row>
    <row r="173" spans="1:77">
      <c r="A173" s="14">
        <v>32698</v>
      </c>
      <c r="B173" s="14" t="s">
        <v>699</v>
      </c>
      <c r="C173" s="14" t="str">
        <f>VLOOKUP(A173,[1]Sheet1!$A:$F,5,FALSE)</f>
        <v>전략</v>
      </c>
      <c r="D173" s="14" t="str">
        <f>VLOOKUP(A173,[1]Sheet1!$A:$F,6,FALSE)</f>
        <v>SP</v>
      </c>
      <c r="E173" s="15">
        <v>20902</v>
      </c>
      <c r="F173" s="14" t="s">
        <v>53</v>
      </c>
      <c r="G173" s="14" t="s">
        <v>343</v>
      </c>
      <c r="H173" s="14">
        <v>97.87</v>
      </c>
      <c r="I173" s="17" t="s">
        <v>700</v>
      </c>
      <c r="J173" s="14" t="s">
        <v>700</v>
      </c>
      <c r="K173" s="14">
        <v>24</v>
      </c>
      <c r="L173" s="14" t="s">
        <v>629</v>
      </c>
      <c r="M173" s="14" t="s">
        <v>701</v>
      </c>
      <c r="P173" s="15">
        <v>20713</v>
      </c>
      <c r="Q173" s="14" t="s">
        <v>147</v>
      </c>
      <c r="R173" s="14" t="s">
        <v>17</v>
      </c>
      <c r="S173" s="14">
        <v>99.41</v>
      </c>
      <c r="T173" s="16" t="s">
        <v>444</v>
      </c>
      <c r="U173" s="14" t="s">
        <v>444</v>
      </c>
      <c r="V173" s="14">
        <v>25</v>
      </c>
      <c r="W173" s="14" t="s">
        <v>629</v>
      </c>
      <c r="AA173" s="15">
        <v>20500</v>
      </c>
      <c r="AB173" s="14" t="s">
        <v>31</v>
      </c>
      <c r="AC173" s="14" t="s">
        <v>17</v>
      </c>
      <c r="AD173" s="14">
        <v>99.41</v>
      </c>
      <c r="AE173" s="14" t="s">
        <v>326</v>
      </c>
      <c r="AG173" s="14">
        <v>27</v>
      </c>
      <c r="AH173" s="14" t="s">
        <v>629</v>
      </c>
      <c r="AI173" s="14" t="s">
        <v>630</v>
      </c>
      <c r="AL173" s="15">
        <v>20906</v>
      </c>
      <c r="AM173" s="14" t="s">
        <v>48</v>
      </c>
      <c r="AN173" s="14" t="s">
        <v>49</v>
      </c>
      <c r="AO173" s="14">
        <v>97.2</v>
      </c>
      <c r="AP173" s="16" t="s">
        <v>327</v>
      </c>
      <c r="AR173" s="14">
        <v>17</v>
      </c>
      <c r="AS173" s="14" t="s">
        <v>629</v>
      </c>
      <c r="BC173" s="14">
        <v>0</v>
      </c>
      <c r="BN173" s="14">
        <v>0</v>
      </c>
      <c r="BY173" s="14">
        <v>0</v>
      </c>
    </row>
    <row r="174" spans="1:77">
      <c r="A174" s="14">
        <v>32665</v>
      </c>
      <c r="B174" s="14" t="s">
        <v>702</v>
      </c>
      <c r="C174" s="14" t="str">
        <f>VLOOKUP(A174,[1]Sheet1!$A:$F,5,FALSE)</f>
        <v>HIGH-END</v>
      </c>
      <c r="D174" s="14" t="str">
        <f>VLOOKUP(A174,[1]Sheet1!$A:$F,6,FALSE)</f>
        <v>C-PPF</v>
      </c>
      <c r="E174" s="15">
        <v>23315</v>
      </c>
      <c r="F174" s="14" t="s">
        <v>246</v>
      </c>
      <c r="G174" s="14" t="s">
        <v>16</v>
      </c>
      <c r="H174" s="14">
        <v>97.87</v>
      </c>
      <c r="I174" s="17" t="s">
        <v>703</v>
      </c>
      <c r="J174" s="14" t="s">
        <v>703</v>
      </c>
      <c r="K174" s="14">
        <v>7</v>
      </c>
      <c r="L174" s="14">
        <v>25628</v>
      </c>
      <c r="M174" s="14">
        <v>26119</v>
      </c>
      <c r="P174" s="15">
        <v>20920</v>
      </c>
      <c r="Q174" s="14" t="s">
        <v>704</v>
      </c>
      <c r="R174" s="14" t="s">
        <v>16</v>
      </c>
      <c r="S174" s="14">
        <v>96.97</v>
      </c>
      <c r="T174" s="16" t="s">
        <v>705</v>
      </c>
      <c r="V174" s="14">
        <v>7</v>
      </c>
      <c r="W174" s="14">
        <v>25628</v>
      </c>
      <c r="X174" s="14">
        <v>26119</v>
      </c>
      <c r="AA174" s="15">
        <v>23311</v>
      </c>
      <c r="AB174" s="14" t="s">
        <v>221</v>
      </c>
      <c r="AC174" s="14" t="s">
        <v>16</v>
      </c>
      <c r="AD174" s="14">
        <v>93.75</v>
      </c>
      <c r="AE174" s="16" t="s">
        <v>321</v>
      </c>
      <c r="AG174" s="14">
        <v>10</v>
      </c>
      <c r="AH174" s="14">
        <v>25628</v>
      </c>
      <c r="AI174" s="14">
        <v>25800</v>
      </c>
      <c r="AL174" s="15">
        <v>12400</v>
      </c>
      <c r="AM174" s="14" t="s">
        <v>217</v>
      </c>
      <c r="AN174" s="14" t="s">
        <v>16</v>
      </c>
      <c r="AO174" s="14">
        <v>86.67</v>
      </c>
      <c r="AP174" s="16" t="s">
        <v>469</v>
      </c>
      <c r="AR174" s="14">
        <v>8</v>
      </c>
      <c r="AS174" s="14">
        <v>25628</v>
      </c>
      <c r="AV174" s="14">
        <v>32621</v>
      </c>
      <c r="BC174" s="14">
        <v>0</v>
      </c>
      <c r="BN174" s="14">
        <v>0</v>
      </c>
      <c r="BY174" s="14">
        <v>0</v>
      </c>
    </row>
    <row r="175" spans="1:77">
      <c r="A175" s="14">
        <v>32710</v>
      </c>
      <c r="B175" s="14" t="s">
        <v>706</v>
      </c>
      <c r="C175" s="14" t="str">
        <f>VLOOKUP(A175,[1]Sheet1!$A:$F,5,FALSE)</f>
        <v>전략</v>
      </c>
      <c r="D175" s="14" t="str">
        <f>VLOOKUP(A175,[1]Sheet1!$A:$F,6,FALSE)</f>
        <v>SP</v>
      </c>
      <c r="E175" s="15">
        <v>20902</v>
      </c>
      <c r="F175" s="14" t="s">
        <v>53</v>
      </c>
      <c r="G175" s="14" t="s">
        <v>13</v>
      </c>
      <c r="H175" s="14">
        <v>97.87</v>
      </c>
      <c r="I175" s="17" t="s">
        <v>707</v>
      </c>
      <c r="J175" s="14" t="s">
        <v>707</v>
      </c>
      <c r="K175" s="14">
        <v>20</v>
      </c>
      <c r="L175" s="14">
        <v>20807</v>
      </c>
      <c r="M175" s="14">
        <v>20808</v>
      </c>
      <c r="P175" s="15">
        <v>20706</v>
      </c>
      <c r="Q175" s="14" t="s">
        <v>52</v>
      </c>
      <c r="R175" s="14" t="s">
        <v>17</v>
      </c>
      <c r="S175" s="14">
        <v>99.13</v>
      </c>
      <c r="T175" s="16" t="s">
        <v>410</v>
      </c>
      <c r="U175" s="14" t="s">
        <v>410</v>
      </c>
      <c r="V175" s="14">
        <v>40</v>
      </c>
      <c r="W175" s="14">
        <v>20807</v>
      </c>
      <c r="AA175" s="15">
        <v>20500</v>
      </c>
      <c r="AB175" s="14" t="s">
        <v>31</v>
      </c>
      <c r="AC175" s="14" t="s">
        <v>17</v>
      </c>
      <c r="AD175" s="14">
        <v>96.49</v>
      </c>
      <c r="AE175" s="14" t="s">
        <v>326</v>
      </c>
      <c r="AG175" s="14">
        <v>27</v>
      </c>
      <c r="AH175" s="14">
        <v>20807</v>
      </c>
      <c r="AI175" s="14">
        <v>25382</v>
      </c>
      <c r="AL175" s="15">
        <v>20906</v>
      </c>
      <c r="AM175" s="14" t="s">
        <v>48</v>
      </c>
      <c r="AN175" s="14" t="s">
        <v>49</v>
      </c>
      <c r="AO175" s="14">
        <v>97.27</v>
      </c>
      <c r="AP175" s="16" t="s">
        <v>327</v>
      </c>
      <c r="AR175" s="14">
        <v>17</v>
      </c>
      <c r="AS175" s="14">
        <v>20807</v>
      </c>
      <c r="BC175" s="14">
        <v>0</v>
      </c>
      <c r="BN175" s="14">
        <v>0</v>
      </c>
      <c r="BY175" s="14">
        <v>0</v>
      </c>
    </row>
    <row r="176" spans="1:77">
      <c r="A176" s="14">
        <v>32643</v>
      </c>
      <c r="B176" s="14" t="s">
        <v>212</v>
      </c>
      <c r="C176" s="14" t="str">
        <f>VLOOKUP(A176,[1]Sheet1!$A:$F,5,FALSE)</f>
        <v>전략</v>
      </c>
      <c r="D176" s="14" t="str">
        <f>VLOOKUP(A176,[1]Sheet1!$A:$F,6,FALSE)</f>
        <v>SP</v>
      </c>
      <c r="E176" s="15">
        <v>20902</v>
      </c>
      <c r="F176" s="14" t="s">
        <v>53</v>
      </c>
      <c r="G176" s="14" t="s">
        <v>13</v>
      </c>
      <c r="H176" s="14">
        <v>97.89</v>
      </c>
      <c r="I176" s="17" t="s">
        <v>708</v>
      </c>
      <c r="J176" s="14" t="s">
        <v>708</v>
      </c>
      <c r="K176" s="14">
        <v>20</v>
      </c>
      <c r="L176" s="14">
        <v>20807</v>
      </c>
      <c r="M176" s="14">
        <v>20808</v>
      </c>
      <c r="P176" s="15">
        <v>20702</v>
      </c>
      <c r="Q176" s="14" t="s">
        <v>44</v>
      </c>
      <c r="R176" s="14" t="s">
        <v>17</v>
      </c>
      <c r="S176" s="14">
        <v>99.14</v>
      </c>
      <c r="T176" s="16" t="s">
        <v>358</v>
      </c>
      <c r="V176" s="14">
        <v>35</v>
      </c>
      <c r="W176" s="14">
        <v>20807</v>
      </c>
      <c r="AA176" s="15">
        <v>20500</v>
      </c>
      <c r="AB176" s="14" t="s">
        <v>31</v>
      </c>
      <c r="AC176" s="14" t="s">
        <v>17</v>
      </c>
      <c r="AD176" s="14">
        <v>99.13</v>
      </c>
      <c r="AE176" s="14" t="s">
        <v>326</v>
      </c>
      <c r="AG176" s="14">
        <v>27</v>
      </c>
      <c r="AH176" s="14">
        <v>20807</v>
      </c>
      <c r="AI176" s="14">
        <v>23352</v>
      </c>
      <c r="AL176" s="15">
        <v>20906</v>
      </c>
      <c r="AM176" s="14" t="s">
        <v>48</v>
      </c>
      <c r="AN176" s="14" t="s">
        <v>49</v>
      </c>
      <c r="AO176" s="14">
        <v>97.37</v>
      </c>
      <c r="AP176" s="16" t="s">
        <v>327</v>
      </c>
      <c r="AR176" s="14">
        <v>17</v>
      </c>
      <c r="AS176" s="14">
        <v>20807</v>
      </c>
      <c r="BC176" s="14">
        <v>0</v>
      </c>
      <c r="BN176" s="14">
        <v>0</v>
      </c>
      <c r="BY176" s="14">
        <v>0</v>
      </c>
    </row>
    <row r="177" spans="1:77">
      <c r="A177" s="14">
        <v>31898</v>
      </c>
      <c r="B177" s="14" t="s">
        <v>55</v>
      </c>
      <c r="C177" s="14" t="str">
        <f>VLOOKUP(A177,[1]Sheet1!$A:$F,5,FALSE)</f>
        <v>전략</v>
      </c>
      <c r="D177" s="14" t="str">
        <f>VLOOKUP(A177,[1]Sheet1!$A:$F,6,FALSE)</f>
        <v>IR</v>
      </c>
      <c r="E177" s="15">
        <v>20902</v>
      </c>
      <c r="F177" s="14" t="s">
        <v>53</v>
      </c>
      <c r="G177" s="14" t="s">
        <v>13</v>
      </c>
      <c r="H177" s="14">
        <v>97.9</v>
      </c>
      <c r="I177" s="17" t="s">
        <v>709</v>
      </c>
      <c r="J177" s="14" t="s">
        <v>709</v>
      </c>
      <c r="K177" s="14">
        <v>20</v>
      </c>
      <c r="L177" s="14">
        <v>20807</v>
      </c>
      <c r="M177" s="14">
        <v>22485</v>
      </c>
      <c r="P177" s="15">
        <v>20702</v>
      </c>
      <c r="Q177" s="14" t="s">
        <v>44</v>
      </c>
      <c r="R177" s="14" t="s">
        <v>17</v>
      </c>
      <c r="S177" s="14">
        <v>97.86</v>
      </c>
      <c r="T177" s="16" t="s">
        <v>347</v>
      </c>
      <c r="U177" s="14" t="s">
        <v>347</v>
      </c>
      <c r="V177" s="14">
        <v>35</v>
      </c>
      <c r="W177" s="14">
        <v>20807</v>
      </c>
      <c r="AA177" s="15">
        <v>23100</v>
      </c>
      <c r="AB177" s="14" t="s">
        <v>54</v>
      </c>
      <c r="AC177" s="14" t="s">
        <v>13</v>
      </c>
      <c r="AD177" s="14">
        <v>90.15</v>
      </c>
      <c r="AE177" s="16" t="s">
        <v>359</v>
      </c>
      <c r="AF177" s="14" t="s">
        <v>359</v>
      </c>
      <c r="AG177" s="14">
        <v>15</v>
      </c>
      <c r="AH177" s="14">
        <v>20807</v>
      </c>
      <c r="AI177" s="14">
        <v>23352</v>
      </c>
      <c r="AP177" s="14"/>
      <c r="AR177" s="14">
        <v>0</v>
      </c>
      <c r="BC177" s="14">
        <v>0</v>
      </c>
      <c r="BN177" s="14">
        <v>0</v>
      </c>
      <c r="BY177" s="14">
        <v>0</v>
      </c>
    </row>
    <row r="178" spans="1:77">
      <c r="A178" s="14">
        <v>32019</v>
      </c>
      <c r="B178" s="14" t="s">
        <v>146</v>
      </c>
      <c r="C178" s="14" t="str">
        <f>VLOOKUP(A178,[1]Sheet1!$A:$F,5,FALSE)</f>
        <v>전략</v>
      </c>
      <c r="D178" s="14" t="str">
        <f>VLOOKUP(A178,[1]Sheet1!$A:$F,6,FALSE)</f>
        <v>SP</v>
      </c>
      <c r="E178" s="15">
        <v>20902</v>
      </c>
      <c r="F178" s="14" t="s">
        <v>53</v>
      </c>
      <c r="G178" s="14" t="s">
        <v>13</v>
      </c>
      <c r="H178" s="14">
        <v>97.9</v>
      </c>
      <c r="I178" s="17" t="s">
        <v>710</v>
      </c>
      <c r="J178" s="14" t="s">
        <v>711</v>
      </c>
      <c r="K178" s="14">
        <v>15</v>
      </c>
      <c r="L178" s="14">
        <v>20807</v>
      </c>
      <c r="M178" s="14">
        <v>25890</v>
      </c>
      <c r="P178" s="15">
        <v>20706</v>
      </c>
      <c r="Q178" s="14" t="s">
        <v>52</v>
      </c>
      <c r="R178" s="14" t="s">
        <v>17</v>
      </c>
      <c r="S178" s="14">
        <v>99.12</v>
      </c>
      <c r="T178" s="16" t="s">
        <v>432</v>
      </c>
      <c r="U178" s="14" t="s">
        <v>432</v>
      </c>
      <c r="V178" s="14">
        <v>40</v>
      </c>
      <c r="W178" s="14">
        <v>20807</v>
      </c>
      <c r="AA178" s="15">
        <v>20500</v>
      </c>
      <c r="AB178" s="14" t="s">
        <v>31</v>
      </c>
      <c r="AC178" s="14" t="s">
        <v>17</v>
      </c>
      <c r="AD178" s="14">
        <v>98.63</v>
      </c>
      <c r="AE178" s="16" t="s">
        <v>326</v>
      </c>
      <c r="AF178" s="14" t="s">
        <v>326</v>
      </c>
      <c r="AG178" s="14">
        <v>25</v>
      </c>
      <c r="AH178" s="14">
        <v>20807</v>
      </c>
      <c r="AI178" s="14" t="s">
        <v>393</v>
      </c>
      <c r="AL178" s="15">
        <v>20906</v>
      </c>
      <c r="AM178" s="14" t="s">
        <v>48</v>
      </c>
      <c r="AN178" s="14" t="s">
        <v>49</v>
      </c>
      <c r="AO178" s="14">
        <v>98.05</v>
      </c>
      <c r="AP178" s="16" t="s">
        <v>327</v>
      </c>
      <c r="AR178" s="14">
        <v>17.2</v>
      </c>
      <c r="AS178" s="14">
        <v>20807</v>
      </c>
      <c r="BC178" s="14">
        <v>0</v>
      </c>
      <c r="BN178" s="14">
        <v>0</v>
      </c>
      <c r="BY178" s="14">
        <v>0</v>
      </c>
    </row>
    <row r="179" spans="1:77">
      <c r="A179" s="14">
        <v>32489</v>
      </c>
      <c r="B179" s="14" t="s">
        <v>194</v>
      </c>
      <c r="C179" s="14" t="str">
        <f>VLOOKUP(A179,[1]Sheet1!$A:$F,5,FALSE)</f>
        <v>전략</v>
      </c>
      <c r="D179" s="14" t="str">
        <f>VLOOKUP(A179,[1]Sheet1!$A:$F,6,FALSE)</f>
        <v>SP</v>
      </c>
      <c r="E179" s="15">
        <v>20902</v>
      </c>
      <c r="F179" s="14" t="s">
        <v>53</v>
      </c>
      <c r="G179" s="14" t="s">
        <v>487</v>
      </c>
      <c r="H179" s="14">
        <v>97.91</v>
      </c>
      <c r="I179" s="17" t="s">
        <v>712</v>
      </c>
      <c r="J179" s="14" t="s">
        <v>712</v>
      </c>
      <c r="K179" s="14">
        <v>20</v>
      </c>
      <c r="L179" s="14">
        <v>20807</v>
      </c>
      <c r="M179" s="14">
        <v>20808</v>
      </c>
      <c r="P179" s="15">
        <v>20706</v>
      </c>
      <c r="Q179" s="14" t="s">
        <v>52</v>
      </c>
      <c r="R179" s="14" t="s">
        <v>17</v>
      </c>
      <c r="S179" s="14">
        <v>98.93</v>
      </c>
      <c r="T179" s="16" t="s">
        <v>432</v>
      </c>
      <c r="U179" s="14" t="s">
        <v>527</v>
      </c>
      <c r="V179" s="14">
        <v>40</v>
      </c>
      <c r="W179" s="14">
        <v>20807</v>
      </c>
      <c r="AA179" s="15">
        <v>20500</v>
      </c>
      <c r="AB179" s="14" t="s">
        <v>31</v>
      </c>
      <c r="AC179" s="14" t="s">
        <v>17</v>
      </c>
      <c r="AD179" s="14">
        <v>98.38</v>
      </c>
      <c r="AE179" s="16" t="s">
        <v>326</v>
      </c>
      <c r="AF179" s="14" t="s">
        <v>326</v>
      </c>
      <c r="AG179" s="14">
        <v>27</v>
      </c>
      <c r="AH179" s="14">
        <v>20807</v>
      </c>
      <c r="AI179" s="14" t="s">
        <v>393</v>
      </c>
      <c r="AL179" s="15">
        <v>20906</v>
      </c>
      <c r="AM179" s="14" t="s">
        <v>48</v>
      </c>
      <c r="AN179" s="14" t="s">
        <v>49</v>
      </c>
      <c r="AO179" s="14">
        <v>96.11</v>
      </c>
      <c r="AP179" s="16" t="s">
        <v>327</v>
      </c>
      <c r="AR179" s="14">
        <v>17.5</v>
      </c>
      <c r="AS179" s="14">
        <v>20807</v>
      </c>
      <c r="BC179" s="14">
        <v>0</v>
      </c>
      <c r="BN179" s="14">
        <v>0</v>
      </c>
      <c r="BY179" s="14">
        <v>0</v>
      </c>
    </row>
    <row r="180" spans="1:77">
      <c r="A180" s="14">
        <v>31024</v>
      </c>
      <c r="B180" s="14" t="s">
        <v>107</v>
      </c>
      <c r="C180" s="14" t="str">
        <f>VLOOKUP(A180,[1]Sheet1!$A:$F,5,FALSE)</f>
        <v>전략</v>
      </c>
      <c r="D180" s="14" t="str">
        <f>VLOOKUP(A180,[1]Sheet1!$A:$F,6,FALSE)</f>
        <v>SP</v>
      </c>
      <c r="E180" s="15">
        <v>20902</v>
      </c>
      <c r="F180" s="14" t="s">
        <v>53</v>
      </c>
      <c r="G180" s="14" t="s">
        <v>343</v>
      </c>
      <c r="H180" s="14">
        <v>97.92</v>
      </c>
      <c r="I180" s="17" t="s">
        <v>713</v>
      </c>
      <c r="J180" s="14" t="s">
        <v>713</v>
      </c>
      <c r="K180" s="14">
        <v>26.2</v>
      </c>
      <c r="L180" s="14" t="s">
        <v>392</v>
      </c>
      <c r="M180" s="14" t="s">
        <v>346</v>
      </c>
      <c r="P180" s="15">
        <v>20702</v>
      </c>
      <c r="Q180" s="14" t="s">
        <v>44</v>
      </c>
      <c r="R180" s="14" t="s">
        <v>17</v>
      </c>
      <c r="S180" s="14">
        <v>99</v>
      </c>
      <c r="T180" s="16" t="s">
        <v>347</v>
      </c>
      <c r="U180" s="14" t="s">
        <v>426</v>
      </c>
      <c r="V180" s="14">
        <v>35</v>
      </c>
      <c r="W180" s="14" t="s">
        <v>391</v>
      </c>
      <c r="AA180" s="15">
        <v>20500</v>
      </c>
      <c r="AB180" s="14" t="s">
        <v>31</v>
      </c>
      <c r="AC180" s="14" t="s">
        <v>17</v>
      </c>
      <c r="AD180" s="14">
        <v>98.7</v>
      </c>
      <c r="AE180" s="16" t="s">
        <v>423</v>
      </c>
      <c r="AF180" s="14" t="s">
        <v>423</v>
      </c>
      <c r="AG180" s="14">
        <v>27</v>
      </c>
      <c r="AH180" s="14" t="s">
        <v>392</v>
      </c>
      <c r="AI180" s="14" t="s">
        <v>393</v>
      </c>
      <c r="AL180" s="15">
        <v>20906</v>
      </c>
      <c r="AM180" s="14" t="s">
        <v>48</v>
      </c>
      <c r="AN180" s="14" t="s">
        <v>49</v>
      </c>
      <c r="AO180" s="14">
        <v>97.81</v>
      </c>
      <c r="AP180" s="16" t="s">
        <v>327</v>
      </c>
      <c r="AR180" s="14">
        <v>17.7</v>
      </c>
      <c r="AS180" s="14" t="s">
        <v>392</v>
      </c>
      <c r="BC180" s="14">
        <v>0</v>
      </c>
      <c r="BN180" s="14">
        <v>0</v>
      </c>
      <c r="BY180" s="14">
        <v>0</v>
      </c>
    </row>
    <row r="181" spans="1:77">
      <c r="A181" s="14">
        <v>32523</v>
      </c>
      <c r="B181" s="14" t="s">
        <v>200</v>
      </c>
      <c r="C181" s="14" t="str">
        <f>VLOOKUP(A181,[1]Sheet1!$A:$F,5,FALSE)</f>
        <v>전략</v>
      </c>
      <c r="D181" s="14" t="str">
        <f>VLOOKUP(A181,[1]Sheet1!$A:$F,6,FALSE)</f>
        <v>SP</v>
      </c>
      <c r="E181" s="15">
        <v>20902</v>
      </c>
      <c r="F181" s="14" t="s">
        <v>53</v>
      </c>
      <c r="G181" s="14" t="s">
        <v>13</v>
      </c>
      <c r="H181" s="14">
        <v>97.92</v>
      </c>
      <c r="I181" s="17" t="s">
        <v>714</v>
      </c>
      <c r="J181" s="14" t="s">
        <v>714</v>
      </c>
      <c r="K181" s="14">
        <v>15</v>
      </c>
      <c r="L181" s="14">
        <v>20807</v>
      </c>
      <c r="M181" s="14">
        <v>25889</v>
      </c>
      <c r="P181" s="15">
        <v>20706</v>
      </c>
      <c r="Q181" s="14" t="s">
        <v>52</v>
      </c>
      <c r="R181" s="14" t="s">
        <v>17</v>
      </c>
      <c r="S181" s="14">
        <v>99.15</v>
      </c>
      <c r="T181" s="16" t="s">
        <v>325</v>
      </c>
      <c r="V181" s="14">
        <v>40</v>
      </c>
      <c r="W181" s="14">
        <v>20807</v>
      </c>
      <c r="AA181" s="15">
        <v>20500</v>
      </c>
      <c r="AB181" s="14" t="s">
        <v>31</v>
      </c>
      <c r="AC181" s="14" t="s">
        <v>17</v>
      </c>
      <c r="AD181" s="14">
        <v>98.28</v>
      </c>
      <c r="AE181" s="14" t="s">
        <v>326</v>
      </c>
      <c r="AG181" s="14">
        <v>25</v>
      </c>
      <c r="AH181" s="14">
        <v>20807</v>
      </c>
      <c r="AI181" s="14">
        <v>23352</v>
      </c>
      <c r="AL181" s="15">
        <v>20906</v>
      </c>
      <c r="AM181" s="14" t="s">
        <v>48</v>
      </c>
      <c r="AN181" s="14" t="s">
        <v>49</v>
      </c>
      <c r="AO181" s="14">
        <v>98.25</v>
      </c>
      <c r="AP181" s="16" t="s">
        <v>327</v>
      </c>
      <c r="AR181" s="14">
        <v>17</v>
      </c>
      <c r="AS181" s="14">
        <v>20807</v>
      </c>
      <c r="BC181" s="14">
        <v>0</v>
      </c>
      <c r="BN181" s="14">
        <v>0</v>
      </c>
      <c r="BY181" s="14">
        <v>0</v>
      </c>
    </row>
    <row r="182" spans="1:77">
      <c r="A182" s="14">
        <v>32467</v>
      </c>
      <c r="B182" s="14" t="s">
        <v>715</v>
      </c>
      <c r="C182" s="14" t="str">
        <f>VLOOKUP(A182,[1]Sheet1!$A:$F,5,FALSE)</f>
        <v>HIGH-END</v>
      </c>
      <c r="D182" s="14" t="str">
        <f>VLOOKUP(A182,[1]Sheet1!$A:$F,6,FALSE)</f>
        <v>C-PPF</v>
      </c>
      <c r="E182" s="15">
        <v>20904</v>
      </c>
      <c r="F182" s="14" t="s">
        <v>156</v>
      </c>
      <c r="G182" s="14" t="s">
        <v>16</v>
      </c>
      <c r="H182" s="14">
        <v>97.93</v>
      </c>
      <c r="I182" s="17" t="s">
        <v>716</v>
      </c>
      <c r="J182" s="14" t="s">
        <v>716</v>
      </c>
      <c r="K182" s="14">
        <v>10</v>
      </c>
      <c r="L182" s="14">
        <v>25178</v>
      </c>
      <c r="M182" s="14">
        <v>26261</v>
      </c>
      <c r="P182" s="15">
        <v>23311</v>
      </c>
      <c r="Q182" s="14" t="s">
        <v>221</v>
      </c>
      <c r="R182" s="14" t="s">
        <v>16</v>
      </c>
      <c r="S182" s="14">
        <v>90.68</v>
      </c>
      <c r="T182" s="16" t="s">
        <v>435</v>
      </c>
      <c r="U182" s="14" t="s">
        <v>435</v>
      </c>
      <c r="V182" s="14">
        <v>10</v>
      </c>
      <c r="W182" s="14">
        <v>25178</v>
      </c>
      <c r="Z182" s="14">
        <v>32430</v>
      </c>
      <c r="AA182" s="15">
        <v>12400</v>
      </c>
      <c r="AB182" s="14" t="s">
        <v>217</v>
      </c>
      <c r="AC182" s="14" t="s">
        <v>16</v>
      </c>
      <c r="AD182" s="14">
        <v>98.13</v>
      </c>
      <c r="AE182" s="16" t="s">
        <v>469</v>
      </c>
      <c r="AG182" s="14">
        <v>10</v>
      </c>
      <c r="AH182" s="14">
        <v>25178</v>
      </c>
      <c r="AK182" s="14">
        <v>32621</v>
      </c>
      <c r="AP182" s="14"/>
      <c r="AR182" s="14">
        <v>0</v>
      </c>
      <c r="BC182" s="14">
        <v>0</v>
      </c>
      <c r="BN182" s="14">
        <v>0</v>
      </c>
      <c r="BY182" s="14">
        <v>0</v>
      </c>
    </row>
    <row r="183" spans="1:77">
      <c r="A183" s="14">
        <v>32695</v>
      </c>
      <c r="B183" s="14" t="s">
        <v>717</v>
      </c>
      <c r="C183" s="14" t="str">
        <f>VLOOKUP(A183,[1]Sheet1!$A:$F,5,FALSE)</f>
        <v>전략</v>
      </c>
      <c r="D183" s="14" t="str">
        <f>VLOOKUP(A183,[1]Sheet1!$A:$F,6,FALSE)</f>
        <v>SP</v>
      </c>
      <c r="E183" s="15">
        <v>20902</v>
      </c>
      <c r="F183" s="14" t="s">
        <v>53</v>
      </c>
      <c r="G183" s="14" t="s">
        <v>13</v>
      </c>
      <c r="H183" s="14">
        <v>97.94</v>
      </c>
      <c r="I183" s="17" t="s">
        <v>718</v>
      </c>
      <c r="J183" s="14" t="s">
        <v>718</v>
      </c>
      <c r="K183" s="14">
        <v>20</v>
      </c>
      <c r="L183" s="14">
        <v>20807</v>
      </c>
      <c r="M183" s="14">
        <v>20808</v>
      </c>
      <c r="P183" s="15">
        <v>20713</v>
      </c>
      <c r="Q183" s="14" t="s">
        <v>147</v>
      </c>
      <c r="R183" s="14" t="s">
        <v>17</v>
      </c>
      <c r="S183" s="14">
        <v>98.79</v>
      </c>
      <c r="T183" s="16" t="s">
        <v>444</v>
      </c>
      <c r="U183" s="14" t="s">
        <v>444</v>
      </c>
      <c r="V183" s="14">
        <v>25</v>
      </c>
      <c r="W183" s="14">
        <v>20807</v>
      </c>
      <c r="AA183" s="15">
        <v>20500</v>
      </c>
      <c r="AB183" s="14" t="s">
        <v>31</v>
      </c>
      <c r="AC183" s="14" t="s">
        <v>17</v>
      </c>
      <c r="AD183" s="14">
        <v>98.21</v>
      </c>
      <c r="AE183" s="16" t="s">
        <v>326</v>
      </c>
      <c r="AF183" s="14" t="s">
        <v>326</v>
      </c>
      <c r="AG183" s="14">
        <v>27</v>
      </c>
      <c r="AH183" s="14">
        <v>20807</v>
      </c>
      <c r="AI183" s="14" t="s">
        <v>393</v>
      </c>
      <c r="AL183" s="15">
        <v>20906</v>
      </c>
      <c r="AM183" s="14" t="s">
        <v>48</v>
      </c>
      <c r="AN183" s="14" t="s">
        <v>49</v>
      </c>
      <c r="AO183" s="14">
        <v>96.93</v>
      </c>
      <c r="AP183" s="16" t="s">
        <v>327</v>
      </c>
      <c r="AR183" s="14">
        <v>17</v>
      </c>
      <c r="AS183" s="14">
        <v>20807</v>
      </c>
      <c r="BC183" s="14">
        <v>0</v>
      </c>
      <c r="BN183" s="14">
        <v>0</v>
      </c>
      <c r="BY183" s="14">
        <v>0</v>
      </c>
    </row>
    <row r="184" spans="1:77">
      <c r="A184" s="14">
        <v>32694</v>
      </c>
      <c r="B184" s="14" t="s">
        <v>719</v>
      </c>
      <c r="C184" s="14" t="str">
        <f>VLOOKUP(A184,[1]Sheet1!$A:$F,5,FALSE)</f>
        <v>전략</v>
      </c>
      <c r="D184" s="14" t="str">
        <f>VLOOKUP(A184,[1]Sheet1!$A:$F,6,FALSE)</f>
        <v>SP</v>
      </c>
      <c r="E184" s="15">
        <v>20902</v>
      </c>
      <c r="F184" s="14" t="s">
        <v>53</v>
      </c>
      <c r="G184" s="14" t="s">
        <v>343</v>
      </c>
      <c r="H184" s="14">
        <v>97.95</v>
      </c>
      <c r="I184" s="17" t="s">
        <v>720</v>
      </c>
      <c r="J184" s="14" t="s">
        <v>720</v>
      </c>
      <c r="K184" s="14">
        <v>22.8</v>
      </c>
      <c r="L184" s="14" t="s">
        <v>392</v>
      </c>
      <c r="M184" s="14">
        <v>20808</v>
      </c>
      <c r="P184" s="15">
        <v>20713</v>
      </c>
      <c r="Q184" s="14" t="s">
        <v>147</v>
      </c>
      <c r="R184" s="14" t="s">
        <v>17</v>
      </c>
      <c r="S184" s="14">
        <v>99.2</v>
      </c>
      <c r="T184" s="16" t="s">
        <v>444</v>
      </c>
      <c r="U184" s="14" t="s">
        <v>558</v>
      </c>
      <c r="V184" s="14">
        <v>27.2</v>
      </c>
      <c r="W184" s="14" t="s">
        <v>391</v>
      </c>
      <c r="AA184" s="15">
        <v>20500</v>
      </c>
      <c r="AB184" s="14" t="s">
        <v>31</v>
      </c>
      <c r="AC184" s="14" t="s">
        <v>17</v>
      </c>
      <c r="AD184" s="14">
        <v>98.64</v>
      </c>
      <c r="AE184" s="16" t="s">
        <v>326</v>
      </c>
      <c r="AF184" s="14" t="s">
        <v>326</v>
      </c>
      <c r="AG184" s="14">
        <v>27</v>
      </c>
      <c r="AH184" s="14" t="s">
        <v>392</v>
      </c>
      <c r="AI184" s="14" t="s">
        <v>393</v>
      </c>
      <c r="AL184" s="15">
        <v>20906</v>
      </c>
      <c r="AM184" s="14" t="s">
        <v>48</v>
      </c>
      <c r="AN184" s="14" t="s">
        <v>49</v>
      </c>
      <c r="AO184" s="14">
        <v>96.94</v>
      </c>
      <c r="AP184" s="16" t="s">
        <v>327</v>
      </c>
      <c r="AR184" s="14">
        <v>17</v>
      </c>
      <c r="AS184" s="14" t="s">
        <v>392</v>
      </c>
      <c r="BC184" s="14">
        <v>0</v>
      </c>
      <c r="BN184" s="14">
        <v>0</v>
      </c>
      <c r="BY184" s="14">
        <v>0</v>
      </c>
    </row>
    <row r="185" spans="1:77">
      <c r="A185" s="14">
        <v>32742</v>
      </c>
      <c r="B185" s="14" t="s">
        <v>721</v>
      </c>
      <c r="C185" s="14" t="str">
        <f>VLOOKUP(A185,[1]Sheet1!$A:$F,5,FALSE)</f>
        <v>전략</v>
      </c>
      <c r="D185" s="14" t="str">
        <f>VLOOKUP(A185,[1]Sheet1!$A:$F,6,FALSE)</f>
        <v>SP</v>
      </c>
      <c r="E185" s="15">
        <v>20902</v>
      </c>
      <c r="F185" s="14" t="s">
        <v>53</v>
      </c>
      <c r="G185" s="14" t="s">
        <v>13</v>
      </c>
      <c r="H185" s="14">
        <v>97.95</v>
      </c>
      <c r="I185" s="17" t="s">
        <v>722</v>
      </c>
      <c r="J185" s="14" t="s">
        <v>722</v>
      </c>
      <c r="K185" s="14">
        <v>20</v>
      </c>
      <c r="L185" s="14">
        <v>20807</v>
      </c>
      <c r="M185" s="14">
        <v>20808</v>
      </c>
      <c r="P185" s="15">
        <v>20702</v>
      </c>
      <c r="Q185" s="14" t="s">
        <v>44</v>
      </c>
      <c r="R185" s="14" t="s">
        <v>17</v>
      </c>
      <c r="S185" s="14">
        <v>98.8</v>
      </c>
      <c r="T185" s="16" t="s">
        <v>358</v>
      </c>
      <c r="V185" s="14">
        <v>35</v>
      </c>
      <c r="W185" s="14">
        <v>20807</v>
      </c>
      <c r="AA185" s="15">
        <v>20500</v>
      </c>
      <c r="AB185" s="14" t="s">
        <v>31</v>
      </c>
      <c r="AC185" s="14" t="s">
        <v>17</v>
      </c>
      <c r="AD185" s="14">
        <v>98.79</v>
      </c>
      <c r="AE185" s="14" t="s">
        <v>326</v>
      </c>
      <c r="AG185" s="14">
        <v>27</v>
      </c>
      <c r="AH185" s="14">
        <v>20807</v>
      </c>
      <c r="AI185" s="14">
        <v>25382</v>
      </c>
      <c r="AL185" s="15">
        <v>20906</v>
      </c>
      <c r="AM185" s="14" t="s">
        <v>48</v>
      </c>
      <c r="AN185" s="14" t="s">
        <v>49</v>
      </c>
      <c r="AO185" s="14">
        <v>97.55</v>
      </c>
      <c r="AP185" s="16" t="s">
        <v>327</v>
      </c>
      <c r="AR185" s="14">
        <v>17</v>
      </c>
      <c r="AS185" s="14">
        <v>20807</v>
      </c>
      <c r="BC185" s="14">
        <v>0</v>
      </c>
      <c r="BN185" s="14">
        <v>0</v>
      </c>
      <c r="BY185" s="14">
        <v>0</v>
      </c>
    </row>
    <row r="186" spans="1:77">
      <c r="A186" s="14">
        <v>32423</v>
      </c>
      <c r="B186" s="14" t="s">
        <v>723</v>
      </c>
      <c r="C186" s="14" t="str">
        <f>VLOOKUP(A186,[1]Sheet1!$A:$F,5,FALSE)</f>
        <v>전략</v>
      </c>
      <c r="D186" s="14" t="str">
        <f>VLOOKUP(A186,[1]Sheet1!$A:$F,6,FALSE)</f>
        <v>SP</v>
      </c>
      <c r="E186" s="15">
        <v>20902</v>
      </c>
      <c r="F186" s="14" t="s">
        <v>53</v>
      </c>
      <c r="G186" s="14" t="s">
        <v>13</v>
      </c>
      <c r="H186" s="14">
        <v>97.96</v>
      </c>
      <c r="I186" s="17" t="s">
        <v>724</v>
      </c>
      <c r="J186" s="14" t="s">
        <v>724</v>
      </c>
      <c r="K186" s="14">
        <v>15</v>
      </c>
      <c r="L186" s="14">
        <v>20807</v>
      </c>
      <c r="M186" s="14">
        <v>25890</v>
      </c>
      <c r="P186" s="15">
        <v>20705</v>
      </c>
      <c r="Q186" s="14" t="s">
        <v>59</v>
      </c>
      <c r="R186" s="14" t="s">
        <v>17</v>
      </c>
      <c r="S186" s="14">
        <v>99.17</v>
      </c>
      <c r="T186" s="16" t="s">
        <v>513</v>
      </c>
      <c r="U186" s="14" t="s">
        <v>513</v>
      </c>
      <c r="V186" s="14">
        <v>30</v>
      </c>
      <c r="W186" s="14">
        <v>20807</v>
      </c>
      <c r="AA186" s="15">
        <v>20500</v>
      </c>
      <c r="AB186" s="14" t="s">
        <v>31</v>
      </c>
      <c r="AC186" s="14" t="s">
        <v>17</v>
      </c>
      <c r="AD186" s="14">
        <v>99.16</v>
      </c>
      <c r="AE186" s="16" t="s">
        <v>326</v>
      </c>
      <c r="AF186" s="14" t="s">
        <v>326</v>
      </c>
      <c r="AG186" s="14">
        <v>25</v>
      </c>
      <c r="AH186" s="14">
        <v>20807</v>
      </c>
      <c r="AI186" s="14">
        <v>25382</v>
      </c>
      <c r="AL186" s="15">
        <v>20906</v>
      </c>
      <c r="AM186" s="14" t="s">
        <v>48</v>
      </c>
      <c r="AN186" s="14" t="s">
        <v>49</v>
      </c>
      <c r="AO186" s="14">
        <v>98.31</v>
      </c>
      <c r="AP186" s="16" t="s">
        <v>327</v>
      </c>
      <c r="AR186" s="14">
        <v>17</v>
      </c>
      <c r="AS186" s="14">
        <v>20807</v>
      </c>
      <c r="BC186" s="14">
        <v>0</v>
      </c>
      <c r="BN186" s="14">
        <v>0</v>
      </c>
      <c r="BY186" s="14">
        <v>0</v>
      </c>
    </row>
    <row r="187" spans="1:77">
      <c r="A187" s="14">
        <v>32674</v>
      </c>
      <c r="B187" s="14" t="s">
        <v>725</v>
      </c>
      <c r="C187" s="14" t="str">
        <f>VLOOKUP(A187,[1]Sheet1!$A:$F,5,FALSE)</f>
        <v>전략</v>
      </c>
      <c r="D187" s="14" t="str">
        <f>VLOOKUP(A187,[1]Sheet1!$A:$F,6,FALSE)</f>
        <v>SP</v>
      </c>
      <c r="E187" s="15">
        <v>20902</v>
      </c>
      <c r="F187" s="14" t="s">
        <v>53</v>
      </c>
      <c r="G187" s="14" t="s">
        <v>487</v>
      </c>
      <c r="H187" s="14">
        <v>97.96</v>
      </c>
      <c r="I187" s="17" t="s">
        <v>726</v>
      </c>
      <c r="J187" s="14" t="s">
        <v>726</v>
      </c>
      <c r="K187" s="14">
        <v>20.7</v>
      </c>
      <c r="L187" s="14" t="s">
        <v>727</v>
      </c>
      <c r="M187" s="14" t="s">
        <v>480</v>
      </c>
      <c r="P187" s="15">
        <v>20713</v>
      </c>
      <c r="Q187" s="14" t="s">
        <v>147</v>
      </c>
      <c r="R187" s="14" t="s">
        <v>17</v>
      </c>
      <c r="S187" s="14">
        <v>99.03</v>
      </c>
      <c r="T187" s="16" t="s">
        <v>444</v>
      </c>
      <c r="U187" s="14" t="s">
        <v>558</v>
      </c>
      <c r="V187" s="14">
        <v>25</v>
      </c>
      <c r="W187" s="14" t="s">
        <v>728</v>
      </c>
      <c r="AA187" s="15">
        <v>20500</v>
      </c>
      <c r="AB187" s="14" t="s">
        <v>31</v>
      </c>
      <c r="AC187" s="14" t="s">
        <v>17</v>
      </c>
      <c r="AD187" s="14">
        <v>98.49</v>
      </c>
      <c r="AE187" s="16" t="s">
        <v>423</v>
      </c>
      <c r="AF187" s="14" t="s">
        <v>560</v>
      </c>
      <c r="AG187" s="14">
        <v>27</v>
      </c>
      <c r="AH187" s="14" t="s">
        <v>729</v>
      </c>
      <c r="AI187" s="14" t="s">
        <v>521</v>
      </c>
      <c r="AL187" s="15">
        <v>20906</v>
      </c>
      <c r="AM187" s="14" t="s">
        <v>48</v>
      </c>
      <c r="AN187" s="14" t="s">
        <v>49</v>
      </c>
      <c r="AO187" s="14">
        <v>98.13</v>
      </c>
      <c r="AP187" s="16" t="s">
        <v>327</v>
      </c>
      <c r="AR187" s="14">
        <v>17.5</v>
      </c>
      <c r="AS187" s="14" t="s">
        <v>729</v>
      </c>
      <c r="BC187" s="14">
        <v>0</v>
      </c>
      <c r="BN187" s="14">
        <v>0</v>
      </c>
      <c r="BY187" s="14">
        <v>0</v>
      </c>
    </row>
    <row r="188" spans="1:77">
      <c r="A188" s="14">
        <v>25277</v>
      </c>
      <c r="B188" s="14" t="s">
        <v>60</v>
      </c>
      <c r="C188" s="14" t="str">
        <f>VLOOKUP(A188,[1]Sheet1!$A:$F,5,FALSE)</f>
        <v>전략</v>
      </c>
      <c r="D188" s="14" t="str">
        <f>VLOOKUP(A188,[1]Sheet1!$A:$F,6,FALSE)</f>
        <v>SAFETY</v>
      </c>
      <c r="E188" s="15">
        <v>20700</v>
      </c>
      <c r="F188" s="14" t="s">
        <v>15</v>
      </c>
      <c r="G188" s="14" t="s">
        <v>17</v>
      </c>
      <c r="H188" s="14">
        <v>97.97</v>
      </c>
      <c r="I188" s="17" t="s">
        <v>432</v>
      </c>
      <c r="K188" s="14">
        <v>35</v>
      </c>
      <c r="L188" s="14">
        <v>26208</v>
      </c>
      <c r="P188" s="15">
        <v>23100</v>
      </c>
      <c r="Q188" s="14" t="s">
        <v>54</v>
      </c>
      <c r="R188" s="14" t="s">
        <v>16</v>
      </c>
      <c r="S188" s="14">
        <v>96.99</v>
      </c>
      <c r="T188" s="16" t="s">
        <v>542</v>
      </c>
      <c r="V188" s="14">
        <v>20</v>
      </c>
      <c r="W188" s="14">
        <v>26208</v>
      </c>
      <c r="X188" s="14">
        <v>23352</v>
      </c>
      <c r="AE188" s="14"/>
      <c r="AG188" s="14">
        <v>0</v>
      </c>
      <c r="AP188" s="14"/>
      <c r="AR188" s="14">
        <v>0</v>
      </c>
      <c r="BC188" s="14">
        <v>0</v>
      </c>
      <c r="BN188" s="14">
        <v>0</v>
      </c>
      <c r="BY188" s="14">
        <v>0</v>
      </c>
    </row>
    <row r="189" spans="1:77">
      <c r="A189" s="14">
        <v>31381</v>
      </c>
      <c r="B189" s="14" t="s">
        <v>113</v>
      </c>
      <c r="C189" s="14" t="str">
        <f>VLOOKUP(A189,[1]Sheet1!$A:$F,5,FALSE)</f>
        <v>전략</v>
      </c>
      <c r="D189" s="14" t="str">
        <f>VLOOKUP(A189,[1]Sheet1!$A:$F,6,FALSE)</f>
        <v>SP</v>
      </c>
      <c r="E189" s="15">
        <v>20902</v>
      </c>
      <c r="F189" s="14" t="s">
        <v>53</v>
      </c>
      <c r="G189" s="14" t="s">
        <v>13</v>
      </c>
      <c r="H189" s="14">
        <v>97.98</v>
      </c>
      <c r="I189" s="17" t="s">
        <v>350</v>
      </c>
      <c r="J189" s="14" t="s">
        <v>730</v>
      </c>
      <c r="K189" s="14">
        <v>20</v>
      </c>
      <c r="L189" s="14" t="s">
        <v>392</v>
      </c>
      <c r="M189" s="14">
        <v>20808</v>
      </c>
      <c r="P189" s="15">
        <v>20706</v>
      </c>
      <c r="Q189" s="14" t="s">
        <v>52</v>
      </c>
      <c r="R189" s="14" t="s">
        <v>17</v>
      </c>
      <c r="S189" s="14">
        <v>99.08</v>
      </c>
      <c r="T189" s="16" t="s">
        <v>731</v>
      </c>
      <c r="U189" s="14" t="s">
        <v>732</v>
      </c>
      <c r="V189" s="14">
        <v>40</v>
      </c>
      <c r="W189" s="14" t="s">
        <v>391</v>
      </c>
      <c r="AA189" s="15">
        <v>20500</v>
      </c>
      <c r="AB189" s="14" t="s">
        <v>31</v>
      </c>
      <c r="AC189" s="14" t="s">
        <v>17</v>
      </c>
      <c r="AD189" s="14">
        <v>98.5</v>
      </c>
      <c r="AE189" s="16" t="s">
        <v>350</v>
      </c>
      <c r="AF189" s="14" t="s">
        <v>351</v>
      </c>
      <c r="AG189" s="14">
        <v>23.9</v>
      </c>
      <c r="AH189" s="14" t="s">
        <v>392</v>
      </c>
      <c r="AI189" s="14" t="s">
        <v>393</v>
      </c>
      <c r="AL189" s="15">
        <v>20906</v>
      </c>
      <c r="AM189" s="14" t="s">
        <v>48</v>
      </c>
      <c r="AN189" s="14" t="s">
        <v>49</v>
      </c>
      <c r="AO189" s="14">
        <v>98.08</v>
      </c>
      <c r="AP189" s="16" t="s">
        <v>327</v>
      </c>
      <c r="AR189" s="14">
        <v>17</v>
      </c>
      <c r="AS189" s="14" t="s">
        <v>391</v>
      </c>
      <c r="BC189" s="14">
        <v>0</v>
      </c>
      <c r="BN189" s="14">
        <v>0</v>
      </c>
      <c r="BY189" s="14">
        <v>0</v>
      </c>
    </row>
    <row r="190" spans="1:77">
      <c r="A190" s="14">
        <v>31602</v>
      </c>
      <c r="B190" s="14" t="s">
        <v>122</v>
      </c>
      <c r="C190" s="14" t="str">
        <f>VLOOKUP(A190,[1]Sheet1!$A:$F,5,FALSE)</f>
        <v>전략</v>
      </c>
      <c r="D190" s="14" t="str">
        <f>VLOOKUP(A190,[1]Sheet1!$A:$F,6,FALSE)</f>
        <v>SP</v>
      </c>
      <c r="E190" s="15">
        <v>20902</v>
      </c>
      <c r="F190" s="14" t="s">
        <v>53</v>
      </c>
      <c r="G190" s="14" t="s">
        <v>13</v>
      </c>
      <c r="H190" s="14">
        <v>98</v>
      </c>
      <c r="I190" s="17" t="s">
        <v>733</v>
      </c>
      <c r="J190" s="14" t="s">
        <v>733</v>
      </c>
      <c r="K190" s="14">
        <v>15</v>
      </c>
      <c r="L190" s="14">
        <v>20807</v>
      </c>
      <c r="M190" s="14">
        <v>25890</v>
      </c>
      <c r="P190" s="15">
        <v>20705</v>
      </c>
      <c r="Q190" s="14" t="s">
        <v>59</v>
      </c>
      <c r="R190" s="14" t="s">
        <v>17</v>
      </c>
      <c r="S190" s="14">
        <v>98.39</v>
      </c>
      <c r="T190" s="16" t="s">
        <v>513</v>
      </c>
      <c r="U190" s="14" t="s">
        <v>734</v>
      </c>
      <c r="V190" s="14">
        <v>30</v>
      </c>
      <c r="W190" s="14">
        <v>20807</v>
      </c>
      <c r="AA190" s="15">
        <v>20500</v>
      </c>
      <c r="AB190" s="14" t="s">
        <v>31</v>
      </c>
      <c r="AC190" s="14" t="s">
        <v>17</v>
      </c>
      <c r="AD190" s="14">
        <v>98.37</v>
      </c>
      <c r="AE190" s="16" t="s">
        <v>326</v>
      </c>
      <c r="AF190" s="14" t="s">
        <v>326</v>
      </c>
      <c r="AG190" s="14">
        <v>25</v>
      </c>
      <c r="AH190" s="14">
        <v>20807</v>
      </c>
      <c r="AI190" s="14" t="s">
        <v>393</v>
      </c>
      <c r="AL190" s="15">
        <v>20906</v>
      </c>
      <c r="AM190" s="14" t="s">
        <v>48</v>
      </c>
      <c r="AN190" s="14" t="s">
        <v>49</v>
      </c>
      <c r="AO190" s="14">
        <v>97.28</v>
      </c>
      <c r="AP190" s="16" t="s">
        <v>327</v>
      </c>
      <c r="AR190" s="14">
        <v>17</v>
      </c>
      <c r="AS190" s="14">
        <v>20807</v>
      </c>
      <c r="BC190" s="14">
        <v>0</v>
      </c>
      <c r="BN190" s="14">
        <v>0</v>
      </c>
      <c r="BY190" s="14">
        <v>0</v>
      </c>
    </row>
    <row r="191" spans="1:77">
      <c r="A191" s="14">
        <v>32736</v>
      </c>
      <c r="B191" s="14" t="s">
        <v>735</v>
      </c>
      <c r="C191" s="14" t="str">
        <f>VLOOKUP(A191,[1]Sheet1!$A:$F,5,FALSE)</f>
        <v>전략</v>
      </c>
      <c r="D191" s="14" t="str">
        <f>VLOOKUP(A191,[1]Sheet1!$A:$F,6,FALSE)</f>
        <v>SP</v>
      </c>
      <c r="E191" s="15">
        <v>20902</v>
      </c>
      <c r="F191" s="14" t="s">
        <v>53</v>
      </c>
      <c r="G191" s="14" t="s">
        <v>13</v>
      </c>
      <c r="H191" s="14">
        <v>98</v>
      </c>
      <c r="I191" s="17" t="s">
        <v>736</v>
      </c>
      <c r="J191" s="14" t="s">
        <v>736</v>
      </c>
      <c r="K191" s="14">
        <v>20</v>
      </c>
      <c r="L191" s="14">
        <v>20807</v>
      </c>
      <c r="M191" s="14">
        <v>20808</v>
      </c>
      <c r="P191" s="15">
        <v>20702</v>
      </c>
      <c r="Q191" s="14" t="s">
        <v>44</v>
      </c>
      <c r="R191" s="14" t="s">
        <v>17</v>
      </c>
      <c r="S191" s="14">
        <v>95.92</v>
      </c>
      <c r="T191" s="16" t="s">
        <v>358</v>
      </c>
      <c r="V191" s="14">
        <v>35</v>
      </c>
      <c r="W191" s="14">
        <v>20807</v>
      </c>
      <c r="AA191" s="15">
        <v>20500</v>
      </c>
      <c r="AB191" s="14" t="s">
        <v>31</v>
      </c>
      <c r="AC191" s="14" t="s">
        <v>17</v>
      </c>
      <c r="AD191" s="14">
        <v>95.74</v>
      </c>
      <c r="AE191" s="14" t="s">
        <v>326</v>
      </c>
      <c r="AG191" s="14">
        <v>27</v>
      </c>
      <c r="AH191" s="14">
        <v>20807</v>
      </c>
      <c r="AI191" s="14">
        <v>25382</v>
      </c>
      <c r="AL191" s="15">
        <v>20906</v>
      </c>
      <c r="AM191" s="14" t="s">
        <v>48</v>
      </c>
      <c r="AN191" s="14" t="s">
        <v>49</v>
      </c>
      <c r="AO191" s="14">
        <v>95.56</v>
      </c>
      <c r="AP191" s="16" t="s">
        <v>327</v>
      </c>
      <c r="AR191" s="14">
        <v>17</v>
      </c>
      <c r="AS191" s="14">
        <v>20807</v>
      </c>
      <c r="BC191" s="14">
        <v>0</v>
      </c>
      <c r="BN191" s="14">
        <v>0</v>
      </c>
      <c r="BY191" s="14">
        <v>0</v>
      </c>
    </row>
    <row r="192" spans="1:77">
      <c r="A192" s="14">
        <v>32497</v>
      </c>
      <c r="B192" s="14" t="s">
        <v>197</v>
      </c>
      <c r="C192" s="14" t="str">
        <f>VLOOKUP(A192,[1]Sheet1!$A:$F,5,FALSE)</f>
        <v>전략</v>
      </c>
      <c r="D192" s="14" t="str">
        <f>VLOOKUP(A192,[1]Sheet1!$A:$F,6,FALSE)</f>
        <v>SP</v>
      </c>
      <c r="E192" s="15">
        <v>20902</v>
      </c>
      <c r="F192" s="14" t="s">
        <v>53</v>
      </c>
      <c r="G192" s="14" t="s">
        <v>13</v>
      </c>
      <c r="H192" s="14">
        <v>98.04</v>
      </c>
      <c r="I192" s="17" t="s">
        <v>737</v>
      </c>
      <c r="J192" s="14" t="s">
        <v>737</v>
      </c>
      <c r="K192" s="14">
        <v>20</v>
      </c>
      <c r="L192" s="14">
        <v>20807</v>
      </c>
      <c r="M192" s="14">
        <v>20808</v>
      </c>
      <c r="P192" s="15">
        <v>20714</v>
      </c>
      <c r="Q192" s="14" t="s">
        <v>188</v>
      </c>
      <c r="R192" s="14" t="s">
        <v>17</v>
      </c>
      <c r="S192" s="14">
        <v>99.2</v>
      </c>
      <c r="T192" s="16" t="s">
        <v>450</v>
      </c>
      <c r="U192" s="14" t="s">
        <v>450</v>
      </c>
      <c r="V192" s="14">
        <v>40</v>
      </c>
      <c r="W192" s="14">
        <v>20807</v>
      </c>
      <c r="AA192" s="15">
        <v>20500</v>
      </c>
      <c r="AB192" s="14" t="s">
        <v>31</v>
      </c>
      <c r="AC192" s="14" t="s">
        <v>17</v>
      </c>
      <c r="AD192" s="14">
        <v>97.58</v>
      </c>
      <c r="AE192" s="14" t="s">
        <v>326</v>
      </c>
      <c r="AG192" s="14">
        <v>27</v>
      </c>
      <c r="AH192" s="14">
        <v>20807</v>
      </c>
      <c r="AI192" s="14">
        <v>23352</v>
      </c>
      <c r="AL192" s="15">
        <v>20906</v>
      </c>
      <c r="AM192" s="14" t="s">
        <v>48</v>
      </c>
      <c r="AN192" s="14" t="s">
        <v>49</v>
      </c>
      <c r="AO192" s="14">
        <v>94.21</v>
      </c>
      <c r="AP192" s="16" t="s">
        <v>327</v>
      </c>
      <c r="AR192" s="14">
        <v>17</v>
      </c>
      <c r="AS192" s="14">
        <v>20807</v>
      </c>
      <c r="BC192" s="14">
        <v>0</v>
      </c>
      <c r="BN192" s="14">
        <v>0</v>
      </c>
      <c r="BY192" s="14">
        <v>0</v>
      </c>
    </row>
    <row r="193" spans="1:77">
      <c r="A193" s="14">
        <v>32737</v>
      </c>
      <c r="B193" s="14" t="s">
        <v>738</v>
      </c>
      <c r="C193" s="14" t="str">
        <f>VLOOKUP(A193,[1]Sheet1!$A:$F,5,FALSE)</f>
        <v>전략</v>
      </c>
      <c r="D193" s="14" t="str">
        <f>VLOOKUP(A193,[1]Sheet1!$A:$F,6,FALSE)</f>
        <v>SP</v>
      </c>
      <c r="E193" s="15">
        <v>20902</v>
      </c>
      <c r="F193" s="14" t="s">
        <v>53</v>
      </c>
      <c r="G193" s="14" t="s">
        <v>13</v>
      </c>
      <c r="H193" s="14">
        <v>98.04</v>
      </c>
      <c r="I193" s="17" t="s">
        <v>739</v>
      </c>
      <c r="J193" s="14" t="s">
        <v>739</v>
      </c>
      <c r="K193" s="14">
        <v>20</v>
      </c>
      <c r="L193" s="14">
        <v>20807</v>
      </c>
      <c r="M193" s="14">
        <v>20808</v>
      </c>
      <c r="P193" s="15">
        <v>20702</v>
      </c>
      <c r="Q193" s="14" t="s">
        <v>44</v>
      </c>
      <c r="R193" s="14" t="s">
        <v>17</v>
      </c>
      <c r="S193" s="14">
        <v>82</v>
      </c>
      <c r="T193" s="16" t="s">
        <v>358</v>
      </c>
      <c r="V193" s="14">
        <v>35</v>
      </c>
      <c r="W193" s="14">
        <v>20807</v>
      </c>
      <c r="AA193" s="15">
        <v>20500</v>
      </c>
      <c r="AB193" s="14" t="s">
        <v>31</v>
      </c>
      <c r="AC193" s="14" t="s">
        <v>17</v>
      </c>
      <c r="AD193" s="14">
        <v>90.24</v>
      </c>
      <c r="AE193" s="14" t="s">
        <v>326</v>
      </c>
      <c r="AG193" s="14">
        <v>27</v>
      </c>
      <c r="AH193" s="14">
        <v>20807</v>
      </c>
      <c r="AI193" s="14">
        <v>23352</v>
      </c>
      <c r="AL193" s="15">
        <v>20906</v>
      </c>
      <c r="AM193" s="14" t="s">
        <v>48</v>
      </c>
      <c r="AN193" s="14" t="s">
        <v>49</v>
      </c>
      <c r="AO193" s="14">
        <v>89.19</v>
      </c>
      <c r="AP193" s="16" t="s">
        <v>327</v>
      </c>
      <c r="AR193" s="14">
        <v>15</v>
      </c>
      <c r="AS193" s="14">
        <v>20807</v>
      </c>
      <c r="BC193" s="14">
        <v>0</v>
      </c>
      <c r="BN193" s="14">
        <v>0</v>
      </c>
      <c r="BY193" s="14">
        <v>0</v>
      </c>
    </row>
    <row r="194" spans="1:77">
      <c r="A194" s="14">
        <v>32017</v>
      </c>
      <c r="B194" s="14" t="s">
        <v>144</v>
      </c>
      <c r="C194" s="14" t="str">
        <f>VLOOKUP(A194,[1]Sheet1!$A:$F,5,FALSE)</f>
        <v>전략</v>
      </c>
      <c r="D194" s="14" t="str">
        <f>VLOOKUP(A194,[1]Sheet1!$A:$F,6,FALSE)</f>
        <v>SP</v>
      </c>
      <c r="E194" s="15">
        <v>20902</v>
      </c>
      <c r="F194" s="14" t="s">
        <v>53</v>
      </c>
      <c r="G194" s="14" t="s">
        <v>13</v>
      </c>
      <c r="H194" s="14">
        <v>98.05</v>
      </c>
      <c r="I194" s="17" t="s">
        <v>740</v>
      </c>
      <c r="J194" s="14" t="s">
        <v>740</v>
      </c>
      <c r="K194" s="14">
        <v>15</v>
      </c>
      <c r="L194" s="14">
        <v>20807</v>
      </c>
      <c r="M194" s="14">
        <v>25889</v>
      </c>
      <c r="P194" s="15">
        <v>20706</v>
      </c>
      <c r="Q194" s="14" t="s">
        <v>52</v>
      </c>
      <c r="R194" s="14" t="s">
        <v>17</v>
      </c>
      <c r="S194" s="14">
        <v>98.46</v>
      </c>
      <c r="T194" s="16" t="s">
        <v>325</v>
      </c>
      <c r="V194" s="14">
        <v>40</v>
      </c>
      <c r="W194" s="14">
        <v>20807</v>
      </c>
      <c r="AA194" s="15">
        <v>20500</v>
      </c>
      <c r="AB194" s="14" t="s">
        <v>31</v>
      </c>
      <c r="AC194" s="14" t="s">
        <v>17</v>
      </c>
      <c r="AD194" s="14">
        <v>97.53</v>
      </c>
      <c r="AE194" s="16" t="s">
        <v>326</v>
      </c>
      <c r="AF194" s="14" t="s">
        <v>326</v>
      </c>
      <c r="AG194" s="14">
        <v>24.8</v>
      </c>
      <c r="AH194" s="14">
        <v>20807</v>
      </c>
      <c r="AI194" s="14" t="s">
        <v>393</v>
      </c>
      <c r="AL194" s="15">
        <v>20906</v>
      </c>
      <c r="AM194" s="14" t="s">
        <v>48</v>
      </c>
      <c r="AN194" s="14" t="s">
        <v>49</v>
      </c>
      <c r="AO194" s="14">
        <v>97.7</v>
      </c>
      <c r="AP194" s="16" t="s">
        <v>327</v>
      </c>
      <c r="AR194" s="14">
        <v>17.2</v>
      </c>
      <c r="AS194" s="14">
        <v>20807</v>
      </c>
      <c r="BC194" s="14">
        <v>0</v>
      </c>
      <c r="BN194" s="14">
        <v>0</v>
      </c>
      <c r="BY194" s="14">
        <v>0</v>
      </c>
    </row>
    <row r="195" spans="1:77">
      <c r="A195" s="14">
        <v>32263</v>
      </c>
      <c r="B195" s="14" t="s">
        <v>163</v>
      </c>
      <c r="C195" s="14" t="str">
        <f>VLOOKUP(A195,[1]Sheet1!$A:$F,5,FALSE)</f>
        <v>전략</v>
      </c>
      <c r="D195" s="14" t="str">
        <f>VLOOKUP(A195,[1]Sheet1!$A:$F,6,FALSE)</f>
        <v>SP</v>
      </c>
      <c r="E195" s="15">
        <v>20902</v>
      </c>
      <c r="F195" s="14" t="s">
        <v>53</v>
      </c>
      <c r="G195" s="14" t="s">
        <v>487</v>
      </c>
      <c r="H195" s="14">
        <v>98.05</v>
      </c>
      <c r="I195" s="17" t="s">
        <v>741</v>
      </c>
      <c r="J195" s="14" t="s">
        <v>741</v>
      </c>
      <c r="K195" s="14">
        <v>22.5</v>
      </c>
      <c r="L195" s="14">
        <v>20807</v>
      </c>
      <c r="M195" s="14">
        <v>20808</v>
      </c>
      <c r="P195" s="15">
        <v>20702</v>
      </c>
      <c r="Q195" s="14" t="s">
        <v>44</v>
      </c>
      <c r="R195" s="14" t="s">
        <v>17</v>
      </c>
      <c r="S195" s="14">
        <v>98.65</v>
      </c>
      <c r="T195" s="16" t="s">
        <v>347</v>
      </c>
      <c r="U195" s="14" t="s">
        <v>426</v>
      </c>
      <c r="V195" s="14">
        <v>34.6</v>
      </c>
      <c r="W195" s="14" t="s">
        <v>392</v>
      </c>
      <c r="AA195" s="15">
        <v>20500</v>
      </c>
      <c r="AB195" s="14" t="s">
        <v>31</v>
      </c>
      <c r="AC195" s="14" t="s">
        <v>349</v>
      </c>
      <c r="AD195" s="14">
        <v>97.21</v>
      </c>
      <c r="AE195" s="16" t="s">
        <v>326</v>
      </c>
      <c r="AF195" s="14" t="s">
        <v>326</v>
      </c>
      <c r="AG195" s="14">
        <v>23.3</v>
      </c>
      <c r="AH195" s="14" t="s">
        <v>391</v>
      </c>
      <c r="AI195" s="14" t="s">
        <v>393</v>
      </c>
      <c r="AL195" s="15">
        <v>20906</v>
      </c>
      <c r="AM195" s="14" t="s">
        <v>48</v>
      </c>
      <c r="AN195" s="14" t="s">
        <v>49</v>
      </c>
      <c r="AO195" s="14">
        <v>98.41</v>
      </c>
      <c r="AP195" s="16" t="s">
        <v>327</v>
      </c>
      <c r="AR195" s="14">
        <v>18.2</v>
      </c>
      <c r="AS195" s="14" t="s">
        <v>392</v>
      </c>
      <c r="BC195" s="14">
        <v>0</v>
      </c>
      <c r="BN195" s="14">
        <v>0</v>
      </c>
      <c r="BY195" s="14">
        <v>0</v>
      </c>
    </row>
    <row r="196" spans="1:77">
      <c r="A196" s="14">
        <v>31738</v>
      </c>
      <c r="B196" s="14" t="s">
        <v>130</v>
      </c>
      <c r="C196" s="14" t="str">
        <f>VLOOKUP(A196,[1]Sheet1!$A:$F,5,FALSE)</f>
        <v>전략</v>
      </c>
      <c r="D196" s="14" t="str">
        <f>VLOOKUP(A196,[1]Sheet1!$A:$F,6,FALSE)</f>
        <v>SP</v>
      </c>
      <c r="E196" s="15">
        <v>20902</v>
      </c>
      <c r="F196" s="14" t="s">
        <v>53</v>
      </c>
      <c r="G196" s="14" t="s">
        <v>487</v>
      </c>
      <c r="H196" s="14">
        <v>98.07</v>
      </c>
      <c r="I196" s="17" t="s">
        <v>742</v>
      </c>
      <c r="J196" s="14" t="s">
        <v>742</v>
      </c>
      <c r="K196" s="14">
        <v>23.5</v>
      </c>
      <c r="L196" s="14" t="s">
        <v>392</v>
      </c>
      <c r="M196" s="14">
        <v>20808</v>
      </c>
      <c r="P196" s="15">
        <v>20702</v>
      </c>
      <c r="Q196" s="14" t="s">
        <v>44</v>
      </c>
      <c r="R196" s="14" t="s">
        <v>17</v>
      </c>
      <c r="S196" s="14">
        <v>98.84</v>
      </c>
      <c r="T196" s="16" t="s">
        <v>381</v>
      </c>
      <c r="U196" s="14" t="s">
        <v>381</v>
      </c>
      <c r="V196" s="14">
        <v>35</v>
      </c>
      <c r="W196" s="14" t="s">
        <v>391</v>
      </c>
      <c r="AA196" s="15">
        <v>20500</v>
      </c>
      <c r="AB196" s="14" t="s">
        <v>31</v>
      </c>
      <c r="AC196" s="14" t="s">
        <v>17</v>
      </c>
      <c r="AD196" s="14">
        <v>98.65</v>
      </c>
      <c r="AE196" s="16" t="s">
        <v>326</v>
      </c>
      <c r="AF196" s="14" t="s">
        <v>326</v>
      </c>
      <c r="AG196" s="14">
        <v>27</v>
      </c>
      <c r="AH196" s="14" t="s">
        <v>391</v>
      </c>
      <c r="AI196" s="14">
        <v>23352</v>
      </c>
      <c r="AL196" s="15">
        <v>20906</v>
      </c>
      <c r="AM196" s="14" t="s">
        <v>48</v>
      </c>
      <c r="AN196" s="14" t="s">
        <v>49</v>
      </c>
      <c r="AO196" s="14">
        <v>97.59</v>
      </c>
      <c r="AP196" s="16" t="s">
        <v>327</v>
      </c>
      <c r="AR196" s="14">
        <v>17</v>
      </c>
      <c r="AS196" s="14" t="s">
        <v>392</v>
      </c>
      <c r="BC196" s="14">
        <v>0</v>
      </c>
      <c r="BN196" s="14">
        <v>0</v>
      </c>
      <c r="BY196" s="14">
        <v>0</v>
      </c>
    </row>
    <row r="197" spans="1:77">
      <c r="A197" s="14">
        <v>31804</v>
      </c>
      <c r="B197" s="14" t="s">
        <v>743</v>
      </c>
      <c r="C197" s="14" t="str">
        <f>VLOOKUP(A197,[1]Sheet1!$A:$F,5,FALSE)</f>
        <v>전략</v>
      </c>
      <c r="D197" s="14" t="str">
        <f>VLOOKUP(A197,[1]Sheet1!$A:$F,6,FALSE)</f>
        <v>SP</v>
      </c>
      <c r="E197" s="15">
        <v>20902</v>
      </c>
      <c r="F197" s="14" t="s">
        <v>53</v>
      </c>
      <c r="G197" s="14" t="s">
        <v>13</v>
      </c>
      <c r="H197" s="14">
        <v>98.08</v>
      </c>
      <c r="I197" s="17" t="s">
        <v>744</v>
      </c>
      <c r="J197" s="14" t="s">
        <v>744</v>
      </c>
      <c r="K197" s="14">
        <v>15</v>
      </c>
      <c r="L197" s="14">
        <v>20807</v>
      </c>
      <c r="M197" s="14">
        <v>25890</v>
      </c>
      <c r="P197" s="15">
        <v>20702</v>
      </c>
      <c r="Q197" s="14" t="s">
        <v>44</v>
      </c>
      <c r="R197" s="14" t="s">
        <v>17</v>
      </c>
      <c r="S197" s="14">
        <v>99.22</v>
      </c>
      <c r="T197" s="16" t="s">
        <v>358</v>
      </c>
      <c r="V197" s="14">
        <v>35</v>
      </c>
      <c r="W197" s="14">
        <v>20807</v>
      </c>
      <c r="AA197" s="15">
        <v>20500</v>
      </c>
      <c r="AB197" s="14" t="s">
        <v>31</v>
      </c>
      <c r="AC197" s="14" t="s">
        <v>17</v>
      </c>
      <c r="AD197" s="14">
        <v>99.21</v>
      </c>
      <c r="AE197" s="16" t="s">
        <v>326</v>
      </c>
      <c r="AF197" s="14" t="s">
        <v>326</v>
      </c>
      <c r="AG197" s="14">
        <v>25</v>
      </c>
      <c r="AH197" s="14">
        <v>20807</v>
      </c>
      <c r="AI197" s="14">
        <v>23352</v>
      </c>
      <c r="AL197" s="15">
        <v>20906</v>
      </c>
      <c r="AM197" s="14" t="s">
        <v>48</v>
      </c>
      <c r="AN197" s="14" t="s">
        <v>49</v>
      </c>
      <c r="AO197" s="14">
        <v>98.41</v>
      </c>
      <c r="AP197" s="16" t="s">
        <v>327</v>
      </c>
      <c r="AR197" s="14">
        <v>17</v>
      </c>
      <c r="AS197" s="14">
        <v>20807</v>
      </c>
      <c r="BC197" s="14">
        <v>0</v>
      </c>
      <c r="BN197" s="14">
        <v>0</v>
      </c>
      <c r="BY197" s="14">
        <v>0</v>
      </c>
    </row>
    <row r="198" spans="1:77">
      <c r="A198" s="14">
        <v>31801</v>
      </c>
      <c r="B198" s="14" t="s">
        <v>745</v>
      </c>
      <c r="C198" s="14" t="str">
        <f>VLOOKUP(A198,[1]Sheet1!$A:$F,5,FALSE)</f>
        <v>전략</v>
      </c>
      <c r="D198" s="14" t="str">
        <f>VLOOKUP(A198,[1]Sheet1!$A:$F,6,FALSE)</f>
        <v>SP</v>
      </c>
      <c r="E198" s="15">
        <v>20902</v>
      </c>
      <c r="F198" s="14" t="s">
        <v>53</v>
      </c>
      <c r="G198" s="14" t="s">
        <v>13</v>
      </c>
      <c r="H198" s="14">
        <v>98.08</v>
      </c>
      <c r="I198" s="17" t="s">
        <v>746</v>
      </c>
      <c r="J198" s="14" t="s">
        <v>746</v>
      </c>
      <c r="K198" s="14">
        <v>20</v>
      </c>
      <c r="L198" s="14">
        <v>20807</v>
      </c>
      <c r="M198" s="14">
        <v>20808</v>
      </c>
      <c r="P198" s="15">
        <v>20706</v>
      </c>
      <c r="Q198" s="14" t="s">
        <v>52</v>
      </c>
      <c r="R198" s="14" t="s">
        <v>17</v>
      </c>
      <c r="S198" s="14">
        <v>99.22</v>
      </c>
      <c r="T198" s="16" t="s">
        <v>325</v>
      </c>
      <c r="V198" s="14">
        <v>40</v>
      </c>
      <c r="W198" s="14">
        <v>20807</v>
      </c>
      <c r="AA198" s="15">
        <v>20500</v>
      </c>
      <c r="AB198" s="14" t="s">
        <v>31</v>
      </c>
      <c r="AC198" s="14" t="s">
        <v>17</v>
      </c>
      <c r="AD198" s="14">
        <v>99.21</v>
      </c>
      <c r="AE198" s="14" t="s">
        <v>326</v>
      </c>
      <c r="AG198" s="14">
        <v>27</v>
      </c>
      <c r="AH198" s="14">
        <v>20807</v>
      </c>
      <c r="AI198" s="14">
        <v>23352</v>
      </c>
      <c r="AL198" s="15">
        <v>20906</v>
      </c>
      <c r="AM198" s="14" t="s">
        <v>48</v>
      </c>
      <c r="AN198" s="14" t="s">
        <v>49</v>
      </c>
      <c r="AO198" s="14">
        <v>98.41</v>
      </c>
      <c r="AP198" s="16" t="s">
        <v>327</v>
      </c>
      <c r="AR198" s="14">
        <v>17</v>
      </c>
      <c r="AS198" s="14">
        <v>20807</v>
      </c>
      <c r="BC198" s="14">
        <v>0</v>
      </c>
      <c r="BN198" s="14">
        <v>0</v>
      </c>
      <c r="BY198" s="14">
        <v>0</v>
      </c>
    </row>
    <row r="199" spans="1:77">
      <c r="A199" s="14">
        <v>32307</v>
      </c>
      <c r="B199" s="14" t="s">
        <v>747</v>
      </c>
      <c r="C199" s="14" t="str">
        <f>VLOOKUP(A199,[1]Sheet1!$A:$F,5,FALSE)</f>
        <v>전략</v>
      </c>
      <c r="D199" s="14" t="str">
        <f>VLOOKUP(A199,[1]Sheet1!$A:$F,6,FALSE)</f>
        <v>SP</v>
      </c>
      <c r="E199" s="15">
        <v>20902</v>
      </c>
      <c r="F199" s="14" t="s">
        <v>53</v>
      </c>
      <c r="G199" s="14" t="s">
        <v>13</v>
      </c>
      <c r="H199" s="14">
        <v>98.08</v>
      </c>
      <c r="I199" s="17" t="s">
        <v>748</v>
      </c>
      <c r="J199" s="14" t="s">
        <v>748</v>
      </c>
      <c r="K199" s="14">
        <v>20</v>
      </c>
      <c r="L199" s="14" t="s">
        <v>392</v>
      </c>
      <c r="M199" s="14">
        <v>20808</v>
      </c>
      <c r="P199" s="15">
        <v>20702</v>
      </c>
      <c r="Q199" s="14" t="s">
        <v>44</v>
      </c>
      <c r="R199" s="14" t="s">
        <v>17</v>
      </c>
      <c r="S199" s="14">
        <v>98.7</v>
      </c>
      <c r="T199" s="16" t="s">
        <v>381</v>
      </c>
      <c r="U199" s="14" t="s">
        <v>381</v>
      </c>
      <c r="V199" s="14">
        <v>35</v>
      </c>
      <c r="W199" s="14" t="s">
        <v>392</v>
      </c>
      <c r="AA199" s="15">
        <v>20500</v>
      </c>
      <c r="AB199" s="14" t="s">
        <v>31</v>
      </c>
      <c r="AC199" s="14" t="s">
        <v>17</v>
      </c>
      <c r="AD199" s="14">
        <v>98.51</v>
      </c>
      <c r="AE199" s="14" t="s">
        <v>326</v>
      </c>
      <c r="AG199" s="14">
        <v>27</v>
      </c>
      <c r="AH199" s="14" t="s">
        <v>392</v>
      </c>
      <c r="AI199" s="14">
        <v>25382</v>
      </c>
      <c r="AL199" s="15">
        <v>20906</v>
      </c>
      <c r="AM199" s="14" t="s">
        <v>48</v>
      </c>
      <c r="AN199" s="14" t="s">
        <v>49</v>
      </c>
      <c r="AO199" s="14">
        <v>97.49</v>
      </c>
      <c r="AP199" s="16" t="s">
        <v>327</v>
      </c>
      <c r="AR199" s="14">
        <v>15</v>
      </c>
      <c r="AS199" s="14" t="s">
        <v>392</v>
      </c>
      <c r="BC199" s="14">
        <v>0</v>
      </c>
      <c r="BN199" s="14">
        <v>0</v>
      </c>
      <c r="BY199" s="14">
        <v>0</v>
      </c>
    </row>
    <row r="200" spans="1:77">
      <c r="A200" s="14">
        <v>32427</v>
      </c>
      <c r="B200" s="14" t="s">
        <v>749</v>
      </c>
      <c r="C200" s="14" t="str">
        <f>VLOOKUP(A200,[1]Sheet1!$A:$F,5,FALSE)</f>
        <v>전략</v>
      </c>
      <c r="D200" s="14" t="str">
        <f>VLOOKUP(A200,[1]Sheet1!$A:$F,6,FALSE)</f>
        <v>SP</v>
      </c>
      <c r="E200" s="15">
        <v>20902</v>
      </c>
      <c r="F200" s="14" t="s">
        <v>53</v>
      </c>
      <c r="G200" s="14" t="s">
        <v>13</v>
      </c>
      <c r="H200" s="14">
        <v>98.1</v>
      </c>
      <c r="I200" s="17" t="s">
        <v>750</v>
      </c>
      <c r="J200" s="14" t="s">
        <v>750</v>
      </c>
      <c r="K200" s="14">
        <v>15</v>
      </c>
      <c r="L200" s="14">
        <v>20807</v>
      </c>
      <c r="M200" s="14">
        <v>25890</v>
      </c>
      <c r="P200" s="15">
        <v>20705</v>
      </c>
      <c r="Q200" s="14" t="s">
        <v>59</v>
      </c>
      <c r="R200" s="14" t="s">
        <v>17</v>
      </c>
      <c r="S200" s="14">
        <v>99.22</v>
      </c>
      <c r="T200" s="16" t="s">
        <v>513</v>
      </c>
      <c r="U200" s="14" t="s">
        <v>513</v>
      </c>
      <c r="V200" s="14">
        <v>30</v>
      </c>
      <c r="W200" s="14">
        <v>20807</v>
      </c>
      <c r="AA200" s="15">
        <v>20500</v>
      </c>
      <c r="AB200" s="14" t="s">
        <v>31</v>
      </c>
      <c r="AC200" s="14" t="s">
        <v>17</v>
      </c>
      <c r="AD200" s="14">
        <v>99.22</v>
      </c>
      <c r="AE200" s="14" t="s">
        <v>326</v>
      </c>
      <c r="AG200" s="14">
        <v>25</v>
      </c>
      <c r="AH200" s="14">
        <v>20807</v>
      </c>
      <c r="AI200" s="14">
        <v>25382</v>
      </c>
      <c r="AL200" s="15">
        <v>20906</v>
      </c>
      <c r="AM200" s="14" t="s">
        <v>48</v>
      </c>
      <c r="AN200" s="14" t="s">
        <v>49</v>
      </c>
      <c r="AO200" s="14">
        <v>97.64</v>
      </c>
      <c r="AP200" s="16" t="s">
        <v>327</v>
      </c>
      <c r="AR200" s="14">
        <v>17</v>
      </c>
      <c r="AS200" s="14">
        <v>20807</v>
      </c>
      <c r="BC200" s="14">
        <v>0</v>
      </c>
      <c r="BN200" s="14">
        <v>0</v>
      </c>
      <c r="BY200" s="14">
        <v>0</v>
      </c>
    </row>
    <row r="201" spans="1:77">
      <c r="A201" s="14">
        <v>31802</v>
      </c>
      <c r="B201" s="14" t="s">
        <v>135</v>
      </c>
      <c r="C201" s="14" t="str">
        <f>VLOOKUP(A201,[1]Sheet1!$A:$F,5,FALSE)</f>
        <v>전략</v>
      </c>
      <c r="D201" s="14" t="str">
        <f>VLOOKUP(A201,[1]Sheet1!$A:$F,6,FALSE)</f>
        <v>SP</v>
      </c>
      <c r="E201" s="15">
        <v>20902</v>
      </c>
      <c r="F201" s="14" t="s">
        <v>53</v>
      </c>
      <c r="G201" s="14" t="s">
        <v>343</v>
      </c>
      <c r="H201" s="14">
        <v>98.11</v>
      </c>
      <c r="I201" s="17" t="s">
        <v>751</v>
      </c>
      <c r="J201" s="14" t="s">
        <v>751</v>
      </c>
      <c r="K201" s="14">
        <v>22.1</v>
      </c>
      <c r="L201" s="14" t="s">
        <v>392</v>
      </c>
      <c r="M201" s="14">
        <v>20808</v>
      </c>
      <c r="P201" s="15">
        <v>20706</v>
      </c>
      <c r="Q201" s="14" t="s">
        <v>52</v>
      </c>
      <c r="R201" s="14" t="s">
        <v>17</v>
      </c>
      <c r="S201" s="14">
        <v>99.04</v>
      </c>
      <c r="T201" s="16" t="s">
        <v>432</v>
      </c>
      <c r="U201" s="14" t="s">
        <v>432</v>
      </c>
      <c r="V201" s="14">
        <v>40</v>
      </c>
      <c r="W201" s="14" t="s">
        <v>392</v>
      </c>
      <c r="AA201" s="15">
        <v>20500</v>
      </c>
      <c r="AB201" s="14" t="s">
        <v>31</v>
      </c>
      <c r="AC201" s="14" t="s">
        <v>17</v>
      </c>
      <c r="AD201" s="14">
        <v>98.88</v>
      </c>
      <c r="AE201" s="16" t="s">
        <v>326</v>
      </c>
      <c r="AF201" s="14" t="s">
        <v>326</v>
      </c>
      <c r="AG201" s="14">
        <v>27</v>
      </c>
      <c r="AH201" s="14" t="s">
        <v>391</v>
      </c>
      <c r="AI201" s="14" t="s">
        <v>393</v>
      </c>
      <c r="AL201" s="15">
        <v>20906</v>
      </c>
      <c r="AM201" s="14" t="s">
        <v>48</v>
      </c>
      <c r="AN201" s="14" t="s">
        <v>49</v>
      </c>
      <c r="AO201" s="14">
        <v>97.79</v>
      </c>
      <c r="AP201" s="16" t="s">
        <v>327</v>
      </c>
      <c r="AR201" s="14">
        <v>17.3</v>
      </c>
      <c r="AS201" s="14" t="s">
        <v>391</v>
      </c>
      <c r="BC201" s="14">
        <v>0</v>
      </c>
      <c r="BN201" s="14">
        <v>0</v>
      </c>
      <c r="BY201" s="14">
        <v>0</v>
      </c>
    </row>
    <row r="202" spans="1:77">
      <c r="A202" s="14">
        <v>32409</v>
      </c>
      <c r="B202" s="14" t="s">
        <v>71</v>
      </c>
      <c r="C202" s="14" t="str">
        <f>VLOOKUP(A202,[1]Sheet1!$A:$F,5,FALSE)</f>
        <v>전략</v>
      </c>
      <c r="D202" s="14" t="str">
        <f>VLOOKUP(A202,[1]Sheet1!$A:$F,6,FALSE)</f>
        <v>SAFETY</v>
      </c>
      <c r="E202" s="15">
        <v>24000</v>
      </c>
      <c r="F202" s="14" t="s">
        <v>72</v>
      </c>
      <c r="G202" s="14" t="s">
        <v>73</v>
      </c>
      <c r="H202" s="14">
        <v>98.11</v>
      </c>
      <c r="I202" s="17" t="s">
        <v>752</v>
      </c>
      <c r="J202" s="14" t="s">
        <v>752</v>
      </c>
      <c r="K202" s="14">
        <v>15</v>
      </c>
      <c r="L202" s="14">
        <v>25646</v>
      </c>
      <c r="P202" s="15">
        <v>23100</v>
      </c>
      <c r="Q202" s="14" t="s">
        <v>54</v>
      </c>
      <c r="R202" s="14" t="s">
        <v>16</v>
      </c>
      <c r="S202" s="14">
        <v>99.43</v>
      </c>
      <c r="T202" s="16" t="s">
        <v>370</v>
      </c>
      <c r="U202" s="14" t="s">
        <v>370</v>
      </c>
      <c r="V202" s="14">
        <v>15</v>
      </c>
      <c r="W202" s="14">
        <v>25646</v>
      </c>
      <c r="X202" s="14">
        <v>23352</v>
      </c>
      <c r="AE202" s="14"/>
      <c r="AG202" s="14">
        <v>0</v>
      </c>
      <c r="AP202" s="14"/>
      <c r="AR202" s="14">
        <v>0</v>
      </c>
      <c r="BC202" s="14">
        <v>0</v>
      </c>
      <c r="BN202" s="14">
        <v>0</v>
      </c>
      <c r="BY202" s="14">
        <v>0</v>
      </c>
    </row>
    <row r="203" spans="1:77">
      <c r="A203" s="14">
        <v>32460</v>
      </c>
      <c r="B203" s="14" t="s">
        <v>191</v>
      </c>
      <c r="C203" s="14" t="str">
        <f>VLOOKUP(A203,[1]Sheet1!$A:$F,5,FALSE)</f>
        <v>전략</v>
      </c>
      <c r="D203" s="14" t="str">
        <f>VLOOKUP(A203,[1]Sheet1!$A:$F,6,FALSE)</f>
        <v>SP</v>
      </c>
      <c r="E203" s="15">
        <v>20902</v>
      </c>
      <c r="F203" s="14" t="s">
        <v>53</v>
      </c>
      <c r="G203" s="14" t="s">
        <v>343</v>
      </c>
      <c r="H203" s="14">
        <v>98.11</v>
      </c>
      <c r="I203" s="17" t="s">
        <v>753</v>
      </c>
      <c r="J203" s="14" t="s">
        <v>753</v>
      </c>
      <c r="K203" s="14">
        <v>26.9</v>
      </c>
      <c r="L203" s="14">
        <v>20807</v>
      </c>
      <c r="M203" s="14">
        <v>20808</v>
      </c>
      <c r="P203" s="15">
        <v>20706</v>
      </c>
      <c r="Q203" s="14" t="s">
        <v>52</v>
      </c>
      <c r="R203" s="14" t="s">
        <v>17</v>
      </c>
      <c r="S203" s="14">
        <v>99.09</v>
      </c>
      <c r="T203" s="16" t="s">
        <v>432</v>
      </c>
      <c r="U203" s="14" t="s">
        <v>432</v>
      </c>
      <c r="V203" s="14">
        <v>40</v>
      </c>
      <c r="W203" s="14">
        <v>20807</v>
      </c>
      <c r="AA203" s="15">
        <v>20500</v>
      </c>
      <c r="AB203" s="14" t="s">
        <v>31</v>
      </c>
      <c r="AC203" s="14" t="s">
        <v>349</v>
      </c>
      <c r="AD203" s="14">
        <v>97.81</v>
      </c>
      <c r="AE203" s="16" t="s">
        <v>326</v>
      </c>
      <c r="AF203" s="14" t="s">
        <v>326</v>
      </c>
      <c r="AG203" s="14">
        <v>24.7</v>
      </c>
      <c r="AH203" s="14">
        <v>20807</v>
      </c>
      <c r="AI203" s="14" t="s">
        <v>393</v>
      </c>
      <c r="AL203" s="15">
        <v>20906</v>
      </c>
      <c r="AM203" s="14" t="s">
        <v>48</v>
      </c>
      <c r="AN203" s="14" t="s">
        <v>49</v>
      </c>
      <c r="AO203" s="14">
        <v>97.62</v>
      </c>
      <c r="AP203" s="16" t="s">
        <v>327</v>
      </c>
      <c r="AR203" s="14">
        <v>17.5</v>
      </c>
      <c r="AS203" s="14">
        <v>20807</v>
      </c>
      <c r="BC203" s="14">
        <v>0</v>
      </c>
      <c r="BN203" s="14">
        <v>0</v>
      </c>
      <c r="BY203" s="14">
        <v>0</v>
      </c>
    </row>
    <row r="204" spans="1:77">
      <c r="A204" s="14">
        <v>32719</v>
      </c>
      <c r="B204" s="14" t="s">
        <v>754</v>
      </c>
      <c r="C204" s="14" t="str">
        <f>VLOOKUP(A204,[1]Sheet1!$A:$F,5,FALSE)</f>
        <v>전략</v>
      </c>
      <c r="D204" s="14" t="str">
        <f>VLOOKUP(A204,[1]Sheet1!$A:$F,6,FALSE)</f>
        <v>SP</v>
      </c>
      <c r="E204" s="15">
        <v>20902</v>
      </c>
      <c r="F204" s="14" t="s">
        <v>53</v>
      </c>
      <c r="G204" s="14" t="s">
        <v>13</v>
      </c>
      <c r="H204" s="14">
        <v>98.11</v>
      </c>
      <c r="I204" s="17" t="s">
        <v>755</v>
      </c>
      <c r="J204" s="14" t="s">
        <v>755</v>
      </c>
      <c r="K204" s="14">
        <v>15</v>
      </c>
      <c r="L204" s="14">
        <v>20807</v>
      </c>
      <c r="M204" s="14">
        <v>25889</v>
      </c>
      <c r="P204" s="15">
        <v>20706</v>
      </c>
      <c r="Q204" s="14" t="s">
        <v>52</v>
      </c>
      <c r="R204" s="14" t="s">
        <v>17</v>
      </c>
      <c r="S204" s="14">
        <v>99.23</v>
      </c>
      <c r="T204" s="16" t="s">
        <v>325</v>
      </c>
      <c r="V204" s="14">
        <v>40</v>
      </c>
      <c r="W204" s="14">
        <v>20807</v>
      </c>
      <c r="AA204" s="15">
        <v>20500</v>
      </c>
      <c r="AB204" s="14" t="s">
        <v>31</v>
      </c>
      <c r="AC204" s="14" t="s">
        <v>17</v>
      </c>
      <c r="AD204" s="14">
        <v>99.22</v>
      </c>
      <c r="AE204" s="16" t="s">
        <v>326</v>
      </c>
      <c r="AF204" s="14" t="s">
        <v>326</v>
      </c>
      <c r="AG204" s="14">
        <v>25</v>
      </c>
      <c r="AH204" s="14">
        <v>20807</v>
      </c>
      <c r="AI204" s="14">
        <v>23352</v>
      </c>
      <c r="AL204" s="15">
        <v>20906</v>
      </c>
      <c r="AM204" s="14" t="s">
        <v>48</v>
      </c>
      <c r="AN204" s="14" t="s">
        <v>49</v>
      </c>
      <c r="AO204" s="14">
        <v>97.85</v>
      </c>
      <c r="AP204" s="16" t="s">
        <v>327</v>
      </c>
      <c r="AR204" s="14">
        <v>17</v>
      </c>
      <c r="AS204" s="14">
        <v>20807</v>
      </c>
      <c r="BC204" s="14">
        <v>0</v>
      </c>
      <c r="BN204" s="14">
        <v>0</v>
      </c>
      <c r="BY204" s="14">
        <v>0</v>
      </c>
    </row>
    <row r="205" spans="1:77">
      <c r="A205" s="14">
        <v>31025</v>
      </c>
      <c r="B205" s="14" t="s">
        <v>108</v>
      </c>
      <c r="C205" s="14" t="str">
        <f>VLOOKUP(A205,[1]Sheet1!$A:$F,5,FALSE)</f>
        <v>전략</v>
      </c>
      <c r="D205" s="14" t="str">
        <f>VLOOKUP(A205,[1]Sheet1!$A:$F,6,FALSE)</f>
        <v>SP</v>
      </c>
      <c r="E205" s="15">
        <v>20902</v>
      </c>
      <c r="F205" s="14" t="s">
        <v>53</v>
      </c>
      <c r="G205" s="14" t="s">
        <v>13</v>
      </c>
      <c r="H205" s="14">
        <v>98.12</v>
      </c>
      <c r="I205" s="17" t="s">
        <v>756</v>
      </c>
      <c r="J205" s="14" t="s">
        <v>757</v>
      </c>
      <c r="K205" s="14">
        <v>20</v>
      </c>
      <c r="L205" s="14">
        <v>20807</v>
      </c>
      <c r="M205" s="14" t="s">
        <v>346</v>
      </c>
      <c r="P205" s="15">
        <v>20702</v>
      </c>
      <c r="Q205" s="14" t="s">
        <v>44</v>
      </c>
      <c r="R205" s="14" t="s">
        <v>17</v>
      </c>
      <c r="S205" s="14">
        <v>98.95</v>
      </c>
      <c r="T205" s="16" t="s">
        <v>381</v>
      </c>
      <c r="U205" s="14" t="s">
        <v>685</v>
      </c>
      <c r="V205" s="14">
        <v>35</v>
      </c>
      <c r="W205" s="14" t="s">
        <v>392</v>
      </c>
      <c r="AA205" s="15">
        <v>20500</v>
      </c>
      <c r="AB205" s="14" t="s">
        <v>31</v>
      </c>
      <c r="AC205" s="14" t="s">
        <v>17</v>
      </c>
      <c r="AD205" s="14">
        <v>98.71</v>
      </c>
      <c r="AE205" s="16" t="s">
        <v>376</v>
      </c>
      <c r="AF205" s="14" t="s">
        <v>758</v>
      </c>
      <c r="AG205" s="14">
        <v>27</v>
      </c>
      <c r="AH205" s="14" t="s">
        <v>391</v>
      </c>
      <c r="AI205" s="14" t="s">
        <v>393</v>
      </c>
      <c r="AL205" s="15">
        <v>20906</v>
      </c>
      <c r="AM205" s="14" t="s">
        <v>48</v>
      </c>
      <c r="AN205" s="14" t="s">
        <v>49</v>
      </c>
      <c r="AO205" s="14">
        <v>96.9</v>
      </c>
      <c r="AP205" s="16" t="s">
        <v>327</v>
      </c>
      <c r="AR205" s="14">
        <v>17.100000000000001</v>
      </c>
      <c r="AS205" s="14" t="s">
        <v>392</v>
      </c>
      <c r="BC205" s="14">
        <v>0</v>
      </c>
      <c r="BN205" s="14">
        <v>0</v>
      </c>
      <c r="BY205" s="14">
        <v>0</v>
      </c>
    </row>
    <row r="206" spans="1:77">
      <c r="A206" s="14">
        <v>32022</v>
      </c>
      <c r="B206" s="14" t="s">
        <v>236</v>
      </c>
      <c r="C206" s="14" t="str">
        <f>VLOOKUP(A206,[1]Sheet1!$A:$F,5,FALSE)</f>
        <v>HIGH-END</v>
      </c>
      <c r="D206" s="14" t="str">
        <f>VLOOKUP(A206,[1]Sheet1!$A:$F,6,FALSE)</f>
        <v>C-PPF</v>
      </c>
      <c r="E206" s="15">
        <v>20904</v>
      </c>
      <c r="F206" s="14" t="s">
        <v>156</v>
      </c>
      <c r="G206" s="14" t="s">
        <v>16</v>
      </c>
      <c r="H206" s="14">
        <v>98.13</v>
      </c>
      <c r="I206" s="17" t="s">
        <v>759</v>
      </c>
      <c r="J206" s="14" t="s">
        <v>759</v>
      </c>
      <c r="K206" s="14">
        <v>10</v>
      </c>
      <c r="L206" s="14">
        <v>25178</v>
      </c>
      <c r="M206" s="14">
        <v>26119</v>
      </c>
      <c r="P206" s="15">
        <v>20500</v>
      </c>
      <c r="Q206" s="14" t="s">
        <v>31</v>
      </c>
      <c r="R206" s="14" t="s">
        <v>16</v>
      </c>
      <c r="S206" s="14">
        <v>97.45</v>
      </c>
      <c r="T206" s="16" t="s">
        <v>760</v>
      </c>
      <c r="U206" s="14" t="s">
        <v>760</v>
      </c>
      <c r="V206" s="14">
        <v>10</v>
      </c>
      <c r="W206" s="14">
        <v>25178</v>
      </c>
      <c r="Z206" s="14">
        <v>31244</v>
      </c>
      <c r="AA206" s="15">
        <v>12400</v>
      </c>
      <c r="AB206" s="14" t="s">
        <v>217</v>
      </c>
      <c r="AC206" s="14" t="s">
        <v>16</v>
      </c>
      <c r="AD206" s="14">
        <v>98.69</v>
      </c>
      <c r="AE206" s="16" t="s">
        <v>338</v>
      </c>
      <c r="AF206" s="14" t="s">
        <v>338</v>
      </c>
      <c r="AG206" s="14">
        <v>10</v>
      </c>
      <c r="AH206" s="14">
        <v>25178</v>
      </c>
      <c r="AK206" s="14">
        <v>32621</v>
      </c>
      <c r="AP206" s="14"/>
      <c r="AR206" s="14">
        <v>0</v>
      </c>
      <c r="BC206" s="14">
        <v>0</v>
      </c>
      <c r="BN206" s="14">
        <v>0</v>
      </c>
      <c r="BY206" s="14">
        <v>0</v>
      </c>
    </row>
    <row r="207" spans="1:77">
      <c r="A207" s="14">
        <v>30460</v>
      </c>
      <c r="B207" s="14" t="s">
        <v>89</v>
      </c>
      <c r="C207" s="14" t="str">
        <f>VLOOKUP(A207,[1]Sheet1!$A:$F,5,FALSE)</f>
        <v>전략</v>
      </c>
      <c r="D207" s="14" t="str">
        <f>VLOOKUP(A207,[1]Sheet1!$A:$F,6,FALSE)</f>
        <v>SP</v>
      </c>
      <c r="E207" s="15">
        <v>20902</v>
      </c>
      <c r="F207" s="14" t="s">
        <v>53</v>
      </c>
      <c r="G207" s="14" t="s">
        <v>343</v>
      </c>
      <c r="H207" s="14">
        <v>98.14</v>
      </c>
      <c r="I207" s="17" t="s">
        <v>761</v>
      </c>
      <c r="J207" s="14" t="s">
        <v>761</v>
      </c>
      <c r="K207" s="14">
        <v>23.1</v>
      </c>
      <c r="L207" s="14" t="s">
        <v>762</v>
      </c>
      <c r="M207" s="14" t="s">
        <v>380</v>
      </c>
      <c r="P207" s="15">
        <v>20706</v>
      </c>
      <c r="Q207" s="14" t="s">
        <v>52</v>
      </c>
      <c r="R207" s="14" t="s">
        <v>564</v>
      </c>
      <c r="S207" s="14">
        <v>98.69</v>
      </c>
      <c r="T207" s="16" t="s">
        <v>432</v>
      </c>
      <c r="U207" s="14" t="s">
        <v>527</v>
      </c>
      <c r="V207" s="14">
        <v>39</v>
      </c>
      <c r="W207" s="14" t="s">
        <v>763</v>
      </c>
      <c r="AA207" s="15">
        <v>20500</v>
      </c>
      <c r="AB207" s="14" t="s">
        <v>31</v>
      </c>
      <c r="AC207" s="14" t="s">
        <v>533</v>
      </c>
      <c r="AD207" s="14">
        <v>98.47</v>
      </c>
      <c r="AE207" s="16" t="s">
        <v>326</v>
      </c>
      <c r="AF207" s="14" t="s">
        <v>458</v>
      </c>
      <c r="AG207" s="14">
        <v>25.6</v>
      </c>
      <c r="AH207" s="14" t="s">
        <v>762</v>
      </c>
      <c r="AI207" s="14" t="s">
        <v>429</v>
      </c>
      <c r="AL207" s="15">
        <v>20906</v>
      </c>
      <c r="AM207" s="14" t="s">
        <v>48</v>
      </c>
      <c r="AN207" s="14" t="s">
        <v>49</v>
      </c>
      <c r="AO207" s="14">
        <v>97.07</v>
      </c>
      <c r="AP207" s="16" t="s">
        <v>327</v>
      </c>
      <c r="AR207" s="14">
        <v>17.3</v>
      </c>
      <c r="AS207" s="14" t="s">
        <v>762</v>
      </c>
      <c r="BC207" s="14">
        <v>0</v>
      </c>
      <c r="BN207" s="14">
        <v>0</v>
      </c>
      <c r="BY207" s="14">
        <v>0</v>
      </c>
    </row>
    <row r="208" spans="1:77">
      <c r="A208" s="14">
        <v>31539</v>
      </c>
      <c r="B208" s="14" t="s">
        <v>26</v>
      </c>
      <c r="C208" s="14" t="str">
        <f>VLOOKUP(A208,[1]Sheet1!$A:$F,5,FALSE)</f>
        <v>염료</v>
      </c>
      <c r="D208" s="14" t="str">
        <f>VLOOKUP(A208,[1]Sheet1!$A:$F,6,FALSE)</f>
        <v>1PLY</v>
      </c>
      <c r="E208" s="15">
        <v>20300</v>
      </c>
      <c r="F208" s="14" t="s">
        <v>12</v>
      </c>
      <c r="G208" s="14" t="s">
        <v>343</v>
      </c>
      <c r="H208" s="14">
        <v>98.16</v>
      </c>
      <c r="I208" s="17" t="s">
        <v>764</v>
      </c>
      <c r="J208" s="14" t="s">
        <v>764</v>
      </c>
      <c r="K208" s="14">
        <v>18.100000000000001</v>
      </c>
      <c r="L208" s="14">
        <v>23200</v>
      </c>
      <c r="M208" s="14">
        <v>23352</v>
      </c>
      <c r="P208" s="15">
        <v>20700</v>
      </c>
      <c r="Q208" s="14" t="s">
        <v>15</v>
      </c>
      <c r="R208" s="14" t="s">
        <v>17</v>
      </c>
      <c r="S208" s="14">
        <v>98.85</v>
      </c>
      <c r="T208" s="16" t="s">
        <v>432</v>
      </c>
      <c r="V208" s="14">
        <v>40</v>
      </c>
      <c r="W208" s="14">
        <v>23200</v>
      </c>
      <c r="AE208" s="14"/>
      <c r="AG208" s="14">
        <v>0</v>
      </c>
      <c r="AP208" s="14"/>
      <c r="AR208" s="14">
        <v>0</v>
      </c>
      <c r="BC208" s="14">
        <v>0</v>
      </c>
      <c r="BN208" s="14">
        <v>0</v>
      </c>
      <c r="BY208" s="14">
        <v>0</v>
      </c>
    </row>
    <row r="209" spans="1:77">
      <c r="A209" s="14">
        <v>32261</v>
      </c>
      <c r="B209" s="14" t="s">
        <v>161</v>
      </c>
      <c r="C209" s="14" t="str">
        <f>VLOOKUP(A209,[1]Sheet1!$A:$F,5,FALSE)</f>
        <v>전략</v>
      </c>
      <c r="D209" s="14" t="str">
        <f>VLOOKUP(A209,[1]Sheet1!$A:$F,6,FALSE)</f>
        <v>SP</v>
      </c>
      <c r="E209" s="15">
        <v>20902</v>
      </c>
      <c r="F209" s="14" t="s">
        <v>53</v>
      </c>
      <c r="G209" s="14" t="s">
        <v>343</v>
      </c>
      <c r="H209" s="14">
        <v>98.16</v>
      </c>
      <c r="I209" s="17" t="s">
        <v>765</v>
      </c>
      <c r="J209" s="14" t="s">
        <v>766</v>
      </c>
      <c r="K209" s="14">
        <v>23.3</v>
      </c>
      <c r="L209" s="14" t="s">
        <v>392</v>
      </c>
      <c r="M209" s="14">
        <v>20808</v>
      </c>
      <c r="P209" s="15">
        <v>20702</v>
      </c>
      <c r="Q209" s="14" t="s">
        <v>44</v>
      </c>
      <c r="R209" s="14" t="s">
        <v>17</v>
      </c>
      <c r="S209" s="14">
        <v>98.79</v>
      </c>
      <c r="T209" s="16" t="s">
        <v>347</v>
      </c>
      <c r="U209" s="14" t="s">
        <v>426</v>
      </c>
      <c r="V209" s="14">
        <v>35</v>
      </c>
      <c r="W209" s="14" t="s">
        <v>392</v>
      </c>
      <c r="AA209" s="15">
        <v>20500</v>
      </c>
      <c r="AB209" s="14" t="s">
        <v>31</v>
      </c>
      <c r="AC209" s="14" t="s">
        <v>533</v>
      </c>
      <c r="AD209" s="14">
        <v>98.45</v>
      </c>
      <c r="AE209" s="16" t="s">
        <v>326</v>
      </c>
      <c r="AF209" s="14" t="s">
        <v>326</v>
      </c>
      <c r="AG209" s="14">
        <v>25.9</v>
      </c>
      <c r="AH209" s="14" t="s">
        <v>391</v>
      </c>
      <c r="AI209" s="14">
        <v>23352</v>
      </c>
      <c r="AL209" s="15">
        <v>20906</v>
      </c>
      <c r="AM209" s="14" t="s">
        <v>48</v>
      </c>
      <c r="AN209" s="14" t="s">
        <v>49</v>
      </c>
      <c r="AO209" s="14">
        <v>97.86</v>
      </c>
      <c r="AP209" s="16" t="s">
        <v>327</v>
      </c>
      <c r="AR209" s="14">
        <v>17.100000000000001</v>
      </c>
      <c r="AS209" s="14" t="s">
        <v>391</v>
      </c>
      <c r="BC209" s="14">
        <v>0</v>
      </c>
      <c r="BN209" s="14">
        <v>0</v>
      </c>
      <c r="BY209" s="14">
        <v>0</v>
      </c>
    </row>
    <row r="210" spans="1:77">
      <c r="A210" s="14">
        <v>31601</v>
      </c>
      <c r="B210" s="14" t="s">
        <v>121</v>
      </c>
      <c r="C210" s="14" t="str">
        <f>VLOOKUP(A210,[1]Sheet1!$A:$F,5,FALSE)</f>
        <v>전략</v>
      </c>
      <c r="D210" s="14" t="str">
        <f>VLOOKUP(A210,[1]Sheet1!$A:$F,6,FALSE)</f>
        <v>SP</v>
      </c>
      <c r="E210" s="15">
        <v>20902</v>
      </c>
      <c r="F210" s="14" t="s">
        <v>53</v>
      </c>
      <c r="G210" s="14" t="s">
        <v>13</v>
      </c>
      <c r="H210" s="14">
        <v>98.17</v>
      </c>
      <c r="I210" s="17" t="s">
        <v>767</v>
      </c>
      <c r="J210" s="14" t="s">
        <v>767</v>
      </c>
      <c r="K210" s="14">
        <v>15</v>
      </c>
      <c r="L210" s="14">
        <v>20807</v>
      </c>
      <c r="M210" s="14">
        <v>25889</v>
      </c>
      <c r="P210" s="15">
        <v>20705</v>
      </c>
      <c r="Q210" s="14" t="s">
        <v>59</v>
      </c>
      <c r="R210" s="14" t="s">
        <v>17</v>
      </c>
      <c r="S210" s="14">
        <v>99.04</v>
      </c>
      <c r="T210" s="16" t="s">
        <v>497</v>
      </c>
      <c r="U210" s="14" t="s">
        <v>497</v>
      </c>
      <c r="V210" s="14">
        <v>30</v>
      </c>
      <c r="W210" s="14">
        <v>20807</v>
      </c>
      <c r="AA210" s="15">
        <v>20500</v>
      </c>
      <c r="AB210" s="14" t="s">
        <v>31</v>
      </c>
      <c r="AC210" s="14" t="s">
        <v>17</v>
      </c>
      <c r="AD210" s="14">
        <v>97.98</v>
      </c>
      <c r="AE210" s="16" t="s">
        <v>326</v>
      </c>
      <c r="AF210" s="14" t="s">
        <v>326</v>
      </c>
      <c r="AG210" s="14">
        <v>25</v>
      </c>
      <c r="AH210" s="14">
        <v>20807</v>
      </c>
      <c r="AI210" s="14" t="s">
        <v>393</v>
      </c>
      <c r="AL210" s="15">
        <v>20906</v>
      </c>
      <c r="AM210" s="14" t="s">
        <v>48</v>
      </c>
      <c r="AN210" s="14" t="s">
        <v>49</v>
      </c>
      <c r="AO210" s="14">
        <v>97.12</v>
      </c>
      <c r="AP210" s="16" t="s">
        <v>327</v>
      </c>
      <c r="AR210" s="14">
        <v>17.2</v>
      </c>
      <c r="AS210" s="14">
        <v>20807</v>
      </c>
      <c r="BC210" s="14">
        <v>0</v>
      </c>
      <c r="BN210" s="14">
        <v>0</v>
      </c>
      <c r="BY210" s="14">
        <v>0</v>
      </c>
    </row>
    <row r="211" spans="1:77">
      <c r="A211" s="14">
        <v>32311</v>
      </c>
      <c r="B211" s="14" t="s">
        <v>768</v>
      </c>
      <c r="C211" s="14" t="str">
        <f>VLOOKUP(A211,[1]Sheet1!$A:$F,5,FALSE)</f>
        <v>전략</v>
      </c>
      <c r="D211" s="14" t="str">
        <f>VLOOKUP(A211,[1]Sheet1!$A:$F,6,FALSE)</f>
        <v>SP</v>
      </c>
      <c r="E211" s="15">
        <v>20902</v>
      </c>
      <c r="F211" s="14" t="s">
        <v>53</v>
      </c>
      <c r="G211" s="14" t="s">
        <v>13</v>
      </c>
      <c r="H211" s="14">
        <v>98.18</v>
      </c>
      <c r="I211" s="17" t="s">
        <v>769</v>
      </c>
      <c r="J211" s="14" t="s">
        <v>769</v>
      </c>
      <c r="K211" s="14">
        <v>20</v>
      </c>
      <c r="L211" s="14">
        <v>20807</v>
      </c>
      <c r="M211" s="14">
        <v>20808</v>
      </c>
      <c r="P211" s="15">
        <v>20702</v>
      </c>
      <c r="Q211" s="14" t="s">
        <v>44</v>
      </c>
      <c r="R211" s="14" t="s">
        <v>17</v>
      </c>
      <c r="S211" s="14">
        <v>98.76</v>
      </c>
      <c r="T211" s="16" t="s">
        <v>347</v>
      </c>
      <c r="U211" s="14" t="s">
        <v>347</v>
      </c>
      <c r="V211" s="14">
        <v>35</v>
      </c>
      <c r="W211" s="14">
        <v>20807</v>
      </c>
      <c r="AA211" s="15">
        <v>20500</v>
      </c>
      <c r="AB211" s="14" t="s">
        <v>31</v>
      </c>
      <c r="AC211" s="14" t="s">
        <v>17</v>
      </c>
      <c r="AD211" s="14">
        <v>98.75</v>
      </c>
      <c r="AE211" s="16" t="s">
        <v>326</v>
      </c>
      <c r="AF211" s="14" t="s">
        <v>326</v>
      </c>
      <c r="AG211" s="14">
        <v>27</v>
      </c>
      <c r="AH211" s="14">
        <v>20807</v>
      </c>
      <c r="AI211" s="14">
        <v>25382</v>
      </c>
      <c r="AL211" s="15">
        <v>20906</v>
      </c>
      <c r="AM211" s="14" t="s">
        <v>48</v>
      </c>
      <c r="AN211" s="14" t="s">
        <v>49</v>
      </c>
      <c r="AO211" s="14">
        <v>97.94</v>
      </c>
      <c r="AP211" s="16" t="s">
        <v>327</v>
      </c>
      <c r="AR211" s="14">
        <v>15</v>
      </c>
      <c r="AS211" s="14">
        <v>20807</v>
      </c>
      <c r="BC211" s="14">
        <v>0</v>
      </c>
      <c r="BN211" s="14">
        <v>0</v>
      </c>
      <c r="BY211" s="14">
        <v>0</v>
      </c>
    </row>
    <row r="212" spans="1:77">
      <c r="A212" s="14">
        <v>30458</v>
      </c>
      <c r="B212" s="14" t="s">
        <v>87</v>
      </c>
      <c r="C212" s="14" t="str">
        <f>VLOOKUP(A212,[1]Sheet1!$A:$F,5,FALSE)</f>
        <v>전략</v>
      </c>
      <c r="D212" s="14" t="str">
        <f>VLOOKUP(A212,[1]Sheet1!$A:$F,6,FALSE)</f>
        <v>SP</v>
      </c>
      <c r="E212" s="15">
        <v>20902</v>
      </c>
      <c r="F212" s="14" t="s">
        <v>53</v>
      </c>
      <c r="G212" s="14" t="s">
        <v>487</v>
      </c>
      <c r="H212" s="14">
        <v>98.22</v>
      </c>
      <c r="I212" s="17" t="s">
        <v>770</v>
      </c>
      <c r="J212" s="14" t="s">
        <v>770</v>
      </c>
      <c r="K212" s="14">
        <v>23.2</v>
      </c>
      <c r="L212" s="14" t="s">
        <v>771</v>
      </c>
      <c r="M212" s="14" t="s">
        <v>772</v>
      </c>
      <c r="P212" s="15">
        <v>20706</v>
      </c>
      <c r="Q212" s="14" t="s">
        <v>52</v>
      </c>
      <c r="R212" s="14" t="s">
        <v>523</v>
      </c>
      <c r="S212" s="14">
        <v>98.94</v>
      </c>
      <c r="T212" s="16" t="s">
        <v>432</v>
      </c>
      <c r="U212" s="14" t="s">
        <v>527</v>
      </c>
      <c r="V212" s="14">
        <v>39.1</v>
      </c>
      <c r="W212" s="14" t="s">
        <v>773</v>
      </c>
      <c r="AA212" s="15">
        <v>20500</v>
      </c>
      <c r="AB212" s="14" t="s">
        <v>31</v>
      </c>
      <c r="AC212" s="14" t="s">
        <v>533</v>
      </c>
      <c r="AD212" s="14">
        <v>98.26</v>
      </c>
      <c r="AE212" s="16" t="s">
        <v>350</v>
      </c>
      <c r="AF212" s="14" t="s">
        <v>351</v>
      </c>
      <c r="AG212" s="14">
        <v>24.1</v>
      </c>
      <c r="AH212" s="14" t="s">
        <v>774</v>
      </c>
      <c r="AI212" s="14" t="s">
        <v>521</v>
      </c>
      <c r="AL212" s="15">
        <v>20906</v>
      </c>
      <c r="AM212" s="14" t="s">
        <v>48</v>
      </c>
      <c r="AN212" s="14" t="s">
        <v>49</v>
      </c>
      <c r="AO212" s="14">
        <v>96.72</v>
      </c>
      <c r="AP212" s="16" t="s">
        <v>327</v>
      </c>
      <c r="AR212" s="14">
        <v>17.7</v>
      </c>
      <c r="AS212" s="14" t="s">
        <v>775</v>
      </c>
      <c r="BC212" s="14">
        <v>0</v>
      </c>
      <c r="BN212" s="14">
        <v>0</v>
      </c>
      <c r="BY212" s="14">
        <v>0</v>
      </c>
    </row>
    <row r="213" spans="1:77">
      <c r="A213" s="14">
        <v>32247</v>
      </c>
      <c r="B213" s="14" t="s">
        <v>158</v>
      </c>
      <c r="C213" s="14" t="str">
        <f>VLOOKUP(A213,[1]Sheet1!$A:$F,5,FALSE)</f>
        <v>전략</v>
      </c>
      <c r="D213" s="14" t="str">
        <f>VLOOKUP(A213,[1]Sheet1!$A:$F,6,FALSE)</f>
        <v>SP</v>
      </c>
      <c r="E213" s="15">
        <v>20902</v>
      </c>
      <c r="F213" s="14" t="s">
        <v>53</v>
      </c>
      <c r="G213" s="14" t="s">
        <v>16</v>
      </c>
      <c r="H213" s="14">
        <v>98.23</v>
      </c>
      <c r="I213" s="17" t="s">
        <v>776</v>
      </c>
      <c r="J213" s="14" t="s">
        <v>776</v>
      </c>
      <c r="K213" s="14">
        <v>25.6</v>
      </c>
      <c r="L213" s="14">
        <v>25101</v>
      </c>
      <c r="M213" s="14">
        <v>20808</v>
      </c>
      <c r="P213" s="15">
        <v>20706</v>
      </c>
      <c r="Q213" s="14" t="s">
        <v>52</v>
      </c>
      <c r="R213" s="14" t="s">
        <v>17</v>
      </c>
      <c r="S213" s="14">
        <v>99.2</v>
      </c>
      <c r="T213" s="16" t="s">
        <v>432</v>
      </c>
      <c r="U213" s="14" t="s">
        <v>432</v>
      </c>
      <c r="V213" s="14">
        <v>40</v>
      </c>
      <c r="W213" s="14">
        <v>25101</v>
      </c>
      <c r="AA213" s="15">
        <v>20500</v>
      </c>
      <c r="AB213" s="14" t="s">
        <v>31</v>
      </c>
      <c r="AC213" s="14" t="s">
        <v>17</v>
      </c>
      <c r="AD213" s="14">
        <v>98.74</v>
      </c>
      <c r="AE213" s="16" t="s">
        <v>326</v>
      </c>
      <c r="AF213" s="14" t="s">
        <v>326</v>
      </c>
      <c r="AG213" s="14">
        <v>27</v>
      </c>
      <c r="AH213" s="14">
        <v>25101</v>
      </c>
      <c r="AI213" s="14" t="s">
        <v>393</v>
      </c>
      <c r="AL213" s="15">
        <v>20906</v>
      </c>
      <c r="AM213" s="14" t="s">
        <v>48</v>
      </c>
      <c r="AN213" s="14" t="s">
        <v>49</v>
      </c>
      <c r="AO213" s="14">
        <v>98.34</v>
      </c>
      <c r="AP213" s="16" t="s">
        <v>327</v>
      </c>
      <c r="AR213" s="14">
        <v>17.8</v>
      </c>
      <c r="AS213" s="14">
        <v>25101</v>
      </c>
      <c r="BC213" s="14">
        <v>0</v>
      </c>
      <c r="BN213" s="14">
        <v>0</v>
      </c>
      <c r="BY213" s="14">
        <v>0</v>
      </c>
    </row>
    <row r="214" spans="1:77">
      <c r="A214" s="14">
        <v>25181</v>
      </c>
      <c r="B214" s="14" t="s">
        <v>777</v>
      </c>
      <c r="C214" s="14" t="str">
        <f>VLOOKUP(A214,[1]Sheet1!$A:$F,5,FALSE)</f>
        <v>염료</v>
      </c>
      <c r="D214" s="14" t="str">
        <f>VLOOKUP(A214,[1]Sheet1!$A:$F,6,FALSE)</f>
        <v>2PLY</v>
      </c>
      <c r="E214" s="15">
        <v>20600</v>
      </c>
      <c r="F214" s="14" t="s">
        <v>32</v>
      </c>
      <c r="G214" s="14" t="s">
        <v>13</v>
      </c>
      <c r="H214" s="14">
        <v>98.25</v>
      </c>
      <c r="I214" s="17" t="s">
        <v>778</v>
      </c>
      <c r="J214" s="14" t="s">
        <v>778</v>
      </c>
      <c r="K214" s="14">
        <v>20</v>
      </c>
      <c r="L214" s="14">
        <v>23420</v>
      </c>
      <c r="M214" s="14">
        <v>20035</v>
      </c>
      <c r="P214" s="15">
        <v>20500</v>
      </c>
      <c r="Q214" s="14" t="s">
        <v>31</v>
      </c>
      <c r="R214" s="14" t="s">
        <v>17</v>
      </c>
      <c r="S214" s="14">
        <v>99.29</v>
      </c>
      <c r="T214" s="16" t="s">
        <v>779</v>
      </c>
      <c r="U214" s="14" t="s">
        <v>779</v>
      </c>
      <c r="V214" s="14">
        <v>27</v>
      </c>
      <c r="W214" s="14">
        <v>23420</v>
      </c>
      <c r="X214" s="14">
        <v>23352</v>
      </c>
      <c r="AA214" s="15">
        <v>20700</v>
      </c>
      <c r="AB214" s="14" t="s">
        <v>15</v>
      </c>
      <c r="AC214" s="14" t="s">
        <v>17</v>
      </c>
      <c r="AD214" s="14">
        <v>99.28</v>
      </c>
      <c r="AE214" s="16" t="s">
        <v>432</v>
      </c>
      <c r="AF214" s="14" t="s">
        <v>432</v>
      </c>
      <c r="AG214" s="14">
        <v>40</v>
      </c>
      <c r="AH214" s="14">
        <v>23420</v>
      </c>
      <c r="AP214" s="14"/>
      <c r="AR214" s="14">
        <v>0</v>
      </c>
      <c r="BC214" s="14">
        <v>0</v>
      </c>
      <c r="BN214" s="14">
        <v>0</v>
      </c>
      <c r="BY214" s="14">
        <v>0</v>
      </c>
    </row>
    <row r="215" spans="1:77">
      <c r="A215" s="14">
        <v>31244</v>
      </c>
      <c r="B215" s="14" t="s">
        <v>220</v>
      </c>
      <c r="C215" s="14" t="str">
        <f>VLOOKUP(A215,[1]Sheet1!$A:$F,5,FALSE)</f>
        <v>HIGH-END</v>
      </c>
      <c r="D215" s="14" t="str">
        <f>VLOOKUP(A215,[1]Sheet1!$A:$F,6,FALSE)</f>
        <v>C-PPF</v>
      </c>
      <c r="E215" s="15">
        <v>20600</v>
      </c>
      <c r="F215" s="14" t="s">
        <v>32</v>
      </c>
      <c r="G215" s="14" t="s">
        <v>16</v>
      </c>
      <c r="H215" s="14">
        <v>98.25</v>
      </c>
      <c r="I215" s="17" t="s">
        <v>616</v>
      </c>
      <c r="J215" s="14" t="s">
        <v>616</v>
      </c>
      <c r="K215" s="14">
        <v>50</v>
      </c>
      <c r="L215" s="14">
        <v>24834</v>
      </c>
      <c r="T215" s="14"/>
      <c r="V215" s="14">
        <v>0</v>
      </c>
      <c r="AE215" s="14"/>
      <c r="AG215" s="14">
        <v>0</v>
      </c>
      <c r="AP215" s="14"/>
      <c r="AR215" s="14">
        <v>0</v>
      </c>
      <c r="BC215" s="14">
        <v>0</v>
      </c>
      <c r="BN215" s="14">
        <v>0</v>
      </c>
      <c r="BY215" s="14">
        <v>0</v>
      </c>
    </row>
    <row r="216" spans="1:77">
      <c r="A216" s="14">
        <v>31959</v>
      </c>
      <c r="B216" s="14" t="s">
        <v>70</v>
      </c>
      <c r="C216" s="14" t="str">
        <f>VLOOKUP(A216,[1]Sheet1!$A:$F,5,FALSE)</f>
        <v>전략</v>
      </c>
      <c r="D216" s="14" t="str">
        <f>VLOOKUP(A216,[1]Sheet1!$A:$F,6,FALSE)</f>
        <v>SAFETY</v>
      </c>
      <c r="E216" s="15">
        <v>20700</v>
      </c>
      <c r="F216" s="14" t="s">
        <v>15</v>
      </c>
      <c r="G216" s="14" t="s">
        <v>17</v>
      </c>
      <c r="H216" s="14">
        <v>98.25</v>
      </c>
      <c r="I216" s="17" t="s">
        <v>432</v>
      </c>
      <c r="K216" s="14">
        <v>35</v>
      </c>
      <c r="L216" s="14">
        <v>26208</v>
      </c>
      <c r="P216" s="15">
        <v>23100</v>
      </c>
      <c r="Q216" s="14" t="s">
        <v>54</v>
      </c>
      <c r="R216" s="14" t="s">
        <v>16</v>
      </c>
      <c r="S216" s="14">
        <v>99.29</v>
      </c>
      <c r="T216" s="16" t="s">
        <v>359</v>
      </c>
      <c r="U216" s="14" t="s">
        <v>359</v>
      </c>
      <c r="V216" s="14">
        <v>20</v>
      </c>
      <c r="W216" s="14">
        <v>26208</v>
      </c>
      <c r="X216" s="14">
        <v>23352</v>
      </c>
      <c r="AE216" s="14"/>
      <c r="AG216" s="14">
        <v>0</v>
      </c>
      <c r="AP216" s="14"/>
      <c r="AR216" s="14">
        <v>0</v>
      </c>
      <c r="BC216" s="14">
        <v>0</v>
      </c>
      <c r="BN216" s="14">
        <v>0</v>
      </c>
      <c r="BY216" s="14">
        <v>0</v>
      </c>
    </row>
    <row r="217" spans="1:77">
      <c r="A217" s="14">
        <v>32313</v>
      </c>
      <c r="B217" s="14" t="s">
        <v>780</v>
      </c>
      <c r="C217" s="14" t="str">
        <f>VLOOKUP(A217,[1]Sheet1!$A:$F,5,FALSE)</f>
        <v>전략</v>
      </c>
      <c r="D217" s="14" t="str">
        <f>VLOOKUP(A217,[1]Sheet1!$A:$F,6,FALSE)</f>
        <v>SP</v>
      </c>
      <c r="E217" s="15">
        <v>20902</v>
      </c>
      <c r="F217" s="14" t="s">
        <v>53</v>
      </c>
      <c r="G217" s="14" t="s">
        <v>13</v>
      </c>
      <c r="H217" s="14">
        <v>98.28</v>
      </c>
      <c r="I217" s="17" t="s">
        <v>781</v>
      </c>
      <c r="J217" s="14" t="s">
        <v>781</v>
      </c>
      <c r="K217" s="14">
        <v>20</v>
      </c>
      <c r="L217" s="14">
        <v>20807</v>
      </c>
      <c r="M217" s="14">
        <v>20808</v>
      </c>
      <c r="P217" s="15">
        <v>20702</v>
      </c>
      <c r="Q217" s="14" t="s">
        <v>44</v>
      </c>
      <c r="R217" s="14" t="s">
        <v>17</v>
      </c>
      <c r="S217" s="14">
        <v>99</v>
      </c>
      <c r="T217" s="16" t="s">
        <v>358</v>
      </c>
      <c r="V217" s="14">
        <v>35</v>
      </c>
      <c r="W217" s="14">
        <v>20807</v>
      </c>
      <c r="AA217" s="15">
        <v>20500</v>
      </c>
      <c r="AB217" s="14" t="s">
        <v>31</v>
      </c>
      <c r="AC217" s="14" t="s">
        <v>17</v>
      </c>
      <c r="AD217" s="14">
        <v>97.98</v>
      </c>
      <c r="AE217" s="16" t="s">
        <v>326</v>
      </c>
      <c r="AF217" s="14" t="s">
        <v>326</v>
      </c>
      <c r="AG217" s="14">
        <v>27</v>
      </c>
      <c r="AH217" s="14">
        <v>20807</v>
      </c>
      <c r="AI217" s="14">
        <v>25382</v>
      </c>
      <c r="AL217" s="15">
        <v>20906</v>
      </c>
      <c r="AM217" s="14" t="s">
        <v>48</v>
      </c>
      <c r="AN217" s="14" t="s">
        <v>49</v>
      </c>
      <c r="AO217" s="14">
        <v>97.42</v>
      </c>
      <c r="AP217" s="16" t="s">
        <v>327</v>
      </c>
      <c r="AR217" s="14">
        <v>17.600000000000001</v>
      </c>
      <c r="AS217" s="14">
        <v>20807</v>
      </c>
      <c r="BC217" s="14">
        <v>0</v>
      </c>
      <c r="BN217" s="14">
        <v>0</v>
      </c>
      <c r="BY217" s="14">
        <v>0</v>
      </c>
    </row>
    <row r="218" spans="1:77">
      <c r="A218" s="14">
        <v>32530</v>
      </c>
      <c r="B218" s="14" t="s">
        <v>202</v>
      </c>
      <c r="C218" s="14" t="str">
        <f>VLOOKUP(A218,[1]Sheet1!$A:$F,5,FALSE)</f>
        <v>전략</v>
      </c>
      <c r="D218" s="14" t="str">
        <f>VLOOKUP(A218,[1]Sheet1!$A:$F,6,FALSE)</f>
        <v>SP</v>
      </c>
      <c r="E218" s="15">
        <v>20902</v>
      </c>
      <c r="F218" s="14" t="s">
        <v>53</v>
      </c>
      <c r="G218" s="14" t="s">
        <v>13</v>
      </c>
      <c r="H218" s="14">
        <v>98.28</v>
      </c>
      <c r="I218" s="17" t="s">
        <v>782</v>
      </c>
      <c r="J218" s="14" t="s">
        <v>782</v>
      </c>
      <c r="K218" s="14">
        <v>20</v>
      </c>
      <c r="L218" s="14">
        <v>20807</v>
      </c>
      <c r="M218" s="14">
        <v>20808</v>
      </c>
      <c r="P218" s="15">
        <v>20706</v>
      </c>
      <c r="Q218" s="14" t="s">
        <v>52</v>
      </c>
      <c r="R218" s="14" t="s">
        <v>17</v>
      </c>
      <c r="S218" s="14">
        <v>98.5</v>
      </c>
      <c r="T218" s="16" t="s">
        <v>325</v>
      </c>
      <c r="V218" s="14">
        <v>40</v>
      </c>
      <c r="W218" s="14">
        <v>20807</v>
      </c>
      <c r="AA218" s="15">
        <v>20500</v>
      </c>
      <c r="AB218" s="14" t="s">
        <v>31</v>
      </c>
      <c r="AC218" s="14" t="s">
        <v>17</v>
      </c>
      <c r="AD218" s="14">
        <v>98.47</v>
      </c>
      <c r="AE218" s="16" t="s">
        <v>326</v>
      </c>
      <c r="AF218" s="14" t="s">
        <v>326</v>
      </c>
      <c r="AG218" s="14">
        <v>27</v>
      </c>
      <c r="AH218" s="14">
        <v>20807</v>
      </c>
      <c r="AI218" s="14">
        <v>23352</v>
      </c>
      <c r="AL218" s="15">
        <v>20906</v>
      </c>
      <c r="AM218" s="14" t="s">
        <v>48</v>
      </c>
      <c r="AN218" s="14" t="s">
        <v>49</v>
      </c>
      <c r="AO218" s="14">
        <v>98.71</v>
      </c>
      <c r="AP218" s="16" t="s">
        <v>327</v>
      </c>
      <c r="AR218" s="14">
        <v>17</v>
      </c>
      <c r="AS218" s="14">
        <v>20807</v>
      </c>
      <c r="BC218" s="14">
        <v>0</v>
      </c>
      <c r="BN218" s="14">
        <v>0</v>
      </c>
      <c r="BY218" s="14">
        <v>0</v>
      </c>
    </row>
    <row r="219" spans="1:77">
      <c r="A219" s="14">
        <v>30847</v>
      </c>
      <c r="B219" s="14" t="s">
        <v>100</v>
      </c>
      <c r="C219" s="14" t="str">
        <f>VLOOKUP(A219,[1]Sheet1!$A:$F,5,FALSE)</f>
        <v>전략</v>
      </c>
      <c r="D219" s="14" t="str">
        <f>VLOOKUP(A219,[1]Sheet1!$A:$F,6,FALSE)</f>
        <v>SP</v>
      </c>
      <c r="E219" s="15">
        <v>20902</v>
      </c>
      <c r="F219" s="14" t="s">
        <v>53</v>
      </c>
      <c r="G219" s="14" t="s">
        <v>13</v>
      </c>
      <c r="H219" s="14">
        <v>98.31</v>
      </c>
      <c r="I219" s="17" t="s">
        <v>783</v>
      </c>
      <c r="J219" s="14" t="s">
        <v>783</v>
      </c>
      <c r="K219" s="14">
        <v>20</v>
      </c>
      <c r="L219" s="14">
        <v>20807</v>
      </c>
      <c r="M219" s="14">
        <v>20808</v>
      </c>
      <c r="P219" s="15">
        <v>20700</v>
      </c>
      <c r="Q219" s="14" t="s">
        <v>15</v>
      </c>
      <c r="R219" s="14" t="s">
        <v>17</v>
      </c>
      <c r="S219" s="14">
        <v>98.86</v>
      </c>
      <c r="T219" s="16" t="s">
        <v>432</v>
      </c>
      <c r="V219" s="14">
        <v>40</v>
      </c>
      <c r="W219" s="14">
        <v>20807</v>
      </c>
      <c r="AA219" s="15">
        <v>20500</v>
      </c>
      <c r="AB219" s="14" t="s">
        <v>31</v>
      </c>
      <c r="AC219" s="14" t="s">
        <v>17</v>
      </c>
      <c r="AD219" s="14">
        <v>98.84</v>
      </c>
      <c r="AE219" s="16" t="s">
        <v>326</v>
      </c>
      <c r="AF219" s="14" t="s">
        <v>326</v>
      </c>
      <c r="AG219" s="14">
        <v>27</v>
      </c>
      <c r="AH219" s="14">
        <v>20807</v>
      </c>
      <c r="AI219" s="14">
        <v>23352</v>
      </c>
      <c r="AP219" s="14"/>
      <c r="AR219" s="14">
        <v>0</v>
      </c>
      <c r="BC219" s="14">
        <v>0</v>
      </c>
      <c r="BN219" s="14">
        <v>0</v>
      </c>
      <c r="BY219" s="14">
        <v>0</v>
      </c>
    </row>
    <row r="220" spans="1:77">
      <c r="A220" s="14">
        <v>31361</v>
      </c>
      <c r="B220" s="14" t="s">
        <v>110</v>
      </c>
      <c r="C220" s="14" t="str">
        <f>VLOOKUP(A220,[1]Sheet1!$A:$F,5,FALSE)</f>
        <v>전략</v>
      </c>
      <c r="D220" s="14" t="str">
        <f>VLOOKUP(A220,[1]Sheet1!$A:$F,6,FALSE)</f>
        <v>SP</v>
      </c>
      <c r="E220" s="15">
        <v>20902</v>
      </c>
      <c r="F220" s="14" t="s">
        <v>53</v>
      </c>
      <c r="G220" s="14" t="s">
        <v>343</v>
      </c>
      <c r="H220" s="14">
        <v>98.31</v>
      </c>
      <c r="I220" s="17" t="s">
        <v>784</v>
      </c>
      <c r="J220" s="14" t="s">
        <v>785</v>
      </c>
      <c r="K220" s="14">
        <v>22.1</v>
      </c>
      <c r="L220" s="14" t="s">
        <v>786</v>
      </c>
      <c r="M220" s="14" t="s">
        <v>787</v>
      </c>
      <c r="P220" s="15">
        <v>20706</v>
      </c>
      <c r="Q220" s="14" t="s">
        <v>52</v>
      </c>
      <c r="R220" s="14" t="s">
        <v>523</v>
      </c>
      <c r="S220" s="14">
        <v>98.45</v>
      </c>
      <c r="T220" s="16" t="s">
        <v>788</v>
      </c>
      <c r="U220" s="14" t="s">
        <v>789</v>
      </c>
      <c r="V220" s="14">
        <v>39.6</v>
      </c>
      <c r="W220" s="14" t="s">
        <v>790</v>
      </c>
      <c r="AA220" s="15">
        <v>20500</v>
      </c>
      <c r="AB220" s="14" t="s">
        <v>31</v>
      </c>
      <c r="AC220" s="14" t="s">
        <v>349</v>
      </c>
      <c r="AD220" s="14">
        <v>98.25</v>
      </c>
      <c r="AE220" s="16" t="s">
        <v>350</v>
      </c>
      <c r="AF220" s="14" t="s">
        <v>351</v>
      </c>
      <c r="AG220" s="14">
        <v>22.8</v>
      </c>
      <c r="AH220" s="14" t="s">
        <v>791</v>
      </c>
      <c r="AI220" s="14" t="s">
        <v>353</v>
      </c>
      <c r="AL220" s="15">
        <v>20906</v>
      </c>
      <c r="AM220" s="14" t="s">
        <v>48</v>
      </c>
      <c r="AN220" s="14" t="s">
        <v>792</v>
      </c>
      <c r="AO220" s="14">
        <v>96.82</v>
      </c>
      <c r="AP220" s="16" t="s">
        <v>327</v>
      </c>
      <c r="AR220" s="14">
        <v>17.899999999999999</v>
      </c>
      <c r="AS220" s="14" t="s">
        <v>793</v>
      </c>
      <c r="BC220" s="14">
        <v>0</v>
      </c>
      <c r="BN220" s="14">
        <v>0</v>
      </c>
      <c r="BY220" s="14">
        <v>0</v>
      </c>
    </row>
    <row r="221" spans="1:77">
      <c r="A221" s="14">
        <v>25032</v>
      </c>
      <c r="B221" s="14" t="s">
        <v>20</v>
      </c>
      <c r="C221" s="14" t="str">
        <f>VLOOKUP(A221,[1]Sheet1!$A:$F,5,FALSE)</f>
        <v>염료</v>
      </c>
      <c r="D221" s="14" t="str">
        <f>VLOOKUP(A221,[1]Sheet1!$A:$F,6,FALSE)</f>
        <v>1PLY</v>
      </c>
      <c r="E221" s="15">
        <v>20300</v>
      </c>
      <c r="F221" s="14" t="s">
        <v>12</v>
      </c>
      <c r="G221" s="14" t="s">
        <v>13</v>
      </c>
      <c r="H221" s="14">
        <v>98.32</v>
      </c>
      <c r="I221" s="17" t="s">
        <v>794</v>
      </c>
      <c r="J221" s="14" t="s">
        <v>794</v>
      </c>
      <c r="K221" s="14">
        <v>30</v>
      </c>
      <c r="L221" s="14">
        <v>23200</v>
      </c>
      <c r="M221" s="14">
        <v>23352</v>
      </c>
      <c r="P221" s="15">
        <v>20700</v>
      </c>
      <c r="Q221" s="14" t="s">
        <v>15</v>
      </c>
      <c r="R221" s="14" t="s">
        <v>17</v>
      </c>
      <c r="S221" s="14">
        <v>99.32</v>
      </c>
      <c r="T221" s="16" t="s">
        <v>432</v>
      </c>
      <c r="U221" s="14" t="s">
        <v>432</v>
      </c>
      <c r="V221" s="14">
        <v>40</v>
      </c>
      <c r="W221" s="14">
        <v>23200</v>
      </c>
      <c r="AE221" s="14"/>
      <c r="AG221" s="14">
        <v>0</v>
      </c>
      <c r="AP221" s="14"/>
      <c r="AR221" s="14">
        <v>0</v>
      </c>
      <c r="BC221" s="14">
        <v>0</v>
      </c>
      <c r="BN221" s="14">
        <v>0</v>
      </c>
      <c r="BY221" s="14">
        <v>0</v>
      </c>
    </row>
    <row r="222" spans="1:77">
      <c r="A222" s="14">
        <v>28731</v>
      </c>
      <c r="B222" s="14" t="s">
        <v>30</v>
      </c>
      <c r="C222" s="14" t="str">
        <f>VLOOKUP(A222,[1]Sheet1!$A:$F,5,FALSE)</f>
        <v>염료</v>
      </c>
      <c r="D222" s="14" t="str">
        <f>VLOOKUP(A222,[1]Sheet1!$A:$F,6,FALSE)</f>
        <v>2PLY</v>
      </c>
      <c r="E222" s="15">
        <v>20600</v>
      </c>
      <c r="F222" s="14" t="s">
        <v>32</v>
      </c>
      <c r="G222" s="14" t="s">
        <v>13</v>
      </c>
      <c r="H222" s="14">
        <v>98.32</v>
      </c>
      <c r="I222" s="17" t="s">
        <v>326</v>
      </c>
      <c r="J222" s="14" t="s">
        <v>326</v>
      </c>
      <c r="K222" s="14">
        <v>25</v>
      </c>
      <c r="L222" s="14">
        <v>23200</v>
      </c>
      <c r="M222" s="14">
        <v>23089</v>
      </c>
      <c r="P222" s="15">
        <v>20500</v>
      </c>
      <c r="Q222" s="14" t="s">
        <v>31</v>
      </c>
      <c r="R222" s="14" t="s">
        <v>13</v>
      </c>
      <c r="S222" s="14">
        <v>93.84</v>
      </c>
      <c r="T222" s="16" t="s">
        <v>326</v>
      </c>
      <c r="U222" s="14" t="s">
        <v>326</v>
      </c>
      <c r="V222" s="14">
        <v>25</v>
      </c>
      <c r="W222" s="14">
        <v>23200</v>
      </c>
      <c r="X222" s="14">
        <v>23352</v>
      </c>
      <c r="AA222" s="15">
        <v>20700</v>
      </c>
      <c r="AB222" s="14" t="s">
        <v>15</v>
      </c>
      <c r="AC222" s="14" t="s">
        <v>17</v>
      </c>
      <c r="AD222" s="14">
        <v>98.91</v>
      </c>
      <c r="AE222" s="16" t="s">
        <v>432</v>
      </c>
      <c r="AF222" s="14" t="s">
        <v>432</v>
      </c>
      <c r="AG222" s="14">
        <v>32.5</v>
      </c>
      <c r="AH222" s="14">
        <v>23200</v>
      </c>
      <c r="AP222" s="14"/>
      <c r="AR222" s="14">
        <v>0</v>
      </c>
      <c r="BC222" s="14">
        <v>0</v>
      </c>
      <c r="BN222" s="14">
        <v>0</v>
      </c>
      <c r="BY222" s="14">
        <v>0</v>
      </c>
    </row>
    <row r="223" spans="1:77">
      <c r="A223" s="14">
        <v>32688</v>
      </c>
      <c r="B223" s="14" t="s">
        <v>795</v>
      </c>
      <c r="C223" s="14" t="str">
        <f>VLOOKUP(A223,[1]Sheet1!$A:$F,5,FALSE)</f>
        <v>전략</v>
      </c>
      <c r="D223" s="14" t="str">
        <f>VLOOKUP(A223,[1]Sheet1!$A:$F,6,FALSE)</f>
        <v>SP</v>
      </c>
      <c r="E223" s="15">
        <v>20902</v>
      </c>
      <c r="F223" s="14" t="s">
        <v>53</v>
      </c>
      <c r="G223" s="14" t="s">
        <v>343</v>
      </c>
      <c r="H223" s="14">
        <v>98.34</v>
      </c>
      <c r="I223" s="17" t="s">
        <v>796</v>
      </c>
      <c r="J223" s="14" t="s">
        <v>796</v>
      </c>
      <c r="K223" s="14">
        <v>23.2</v>
      </c>
      <c r="L223" s="14" t="s">
        <v>797</v>
      </c>
      <c r="M223" s="14" t="s">
        <v>413</v>
      </c>
      <c r="P223" s="15">
        <v>20713</v>
      </c>
      <c r="Q223" s="14" t="s">
        <v>147</v>
      </c>
      <c r="R223" s="14" t="s">
        <v>17</v>
      </c>
      <c r="S223" s="14">
        <v>98.37</v>
      </c>
      <c r="T223" s="16" t="s">
        <v>376</v>
      </c>
      <c r="U223" s="14" t="s">
        <v>376</v>
      </c>
      <c r="V223" s="14">
        <v>25</v>
      </c>
      <c r="W223" s="14" t="s">
        <v>798</v>
      </c>
      <c r="AA223" s="15">
        <v>20500</v>
      </c>
      <c r="AB223" s="14" t="s">
        <v>31</v>
      </c>
      <c r="AC223" s="14" t="s">
        <v>17</v>
      </c>
      <c r="AD223" s="14">
        <v>98.71</v>
      </c>
      <c r="AE223" s="16" t="s">
        <v>326</v>
      </c>
      <c r="AF223" s="14" t="s">
        <v>326</v>
      </c>
      <c r="AG223" s="14">
        <v>27</v>
      </c>
      <c r="AH223" s="14" t="s">
        <v>798</v>
      </c>
      <c r="AI223" s="14" t="s">
        <v>521</v>
      </c>
      <c r="AL223" s="15">
        <v>20906</v>
      </c>
      <c r="AM223" s="14" t="s">
        <v>48</v>
      </c>
      <c r="AN223" s="14" t="s">
        <v>49</v>
      </c>
      <c r="AO223" s="14">
        <v>98.07</v>
      </c>
      <c r="AP223" s="16" t="s">
        <v>327</v>
      </c>
      <c r="AR223" s="14">
        <v>17.5</v>
      </c>
      <c r="AS223" s="14" t="s">
        <v>531</v>
      </c>
      <c r="BC223" s="14">
        <v>0</v>
      </c>
      <c r="BN223" s="14">
        <v>0</v>
      </c>
      <c r="BY223" s="14">
        <v>0</v>
      </c>
    </row>
    <row r="224" spans="1:77">
      <c r="A224" s="14">
        <v>25036</v>
      </c>
      <c r="B224" s="14" t="s">
        <v>23</v>
      </c>
      <c r="C224" s="14" t="str">
        <f>VLOOKUP(A224,[1]Sheet1!$A:$F,5,FALSE)</f>
        <v>염료</v>
      </c>
      <c r="D224" s="14" t="str">
        <f>VLOOKUP(A224,[1]Sheet1!$A:$F,6,FALSE)</f>
        <v>1PLY</v>
      </c>
      <c r="E224" s="15">
        <v>20300</v>
      </c>
      <c r="F224" s="14" t="s">
        <v>12</v>
      </c>
      <c r="G224" s="14" t="s">
        <v>13</v>
      </c>
      <c r="H224" s="14">
        <v>98.35</v>
      </c>
      <c r="I224" s="17" t="s">
        <v>799</v>
      </c>
      <c r="J224" s="14" t="s">
        <v>799</v>
      </c>
      <c r="K224" s="14">
        <v>30</v>
      </c>
      <c r="L224" s="14">
        <v>23200</v>
      </c>
      <c r="M224" s="14">
        <v>23352</v>
      </c>
      <c r="P224" s="15">
        <v>20700</v>
      </c>
      <c r="Q224" s="14" t="s">
        <v>15</v>
      </c>
      <c r="R224" s="14" t="s">
        <v>17</v>
      </c>
      <c r="S224" s="14">
        <v>99.12</v>
      </c>
      <c r="T224" s="16" t="s">
        <v>432</v>
      </c>
      <c r="U224" s="14" t="s">
        <v>432</v>
      </c>
      <c r="V224" s="14">
        <v>40</v>
      </c>
      <c r="W224" s="14">
        <v>23200</v>
      </c>
      <c r="AE224" s="14"/>
      <c r="AG224" s="14">
        <v>0</v>
      </c>
      <c r="AP224" s="14"/>
      <c r="AR224" s="14">
        <v>0</v>
      </c>
      <c r="BC224" s="14">
        <v>0</v>
      </c>
      <c r="BN224" s="14">
        <v>0</v>
      </c>
      <c r="BY224" s="14">
        <v>0</v>
      </c>
    </row>
    <row r="225" spans="1:77">
      <c r="A225" s="14">
        <v>32669</v>
      </c>
      <c r="B225" s="14" t="s">
        <v>800</v>
      </c>
      <c r="C225" s="14" t="str">
        <f>VLOOKUP(A225,[1]Sheet1!$A:$F,5,FALSE)</f>
        <v>HIGH-END</v>
      </c>
      <c r="D225" s="14" t="str">
        <f>VLOOKUP(A225,[1]Sheet1!$A:$F,6,FALSE)</f>
        <v>C-PPF</v>
      </c>
      <c r="E225" s="15">
        <v>23311</v>
      </c>
      <c r="F225" s="14" t="s">
        <v>221</v>
      </c>
      <c r="G225" s="14" t="s">
        <v>16</v>
      </c>
      <c r="H225" s="14">
        <v>98.35</v>
      </c>
      <c r="I225" s="17" t="s">
        <v>355</v>
      </c>
      <c r="K225" s="14">
        <v>10</v>
      </c>
      <c r="L225" s="14">
        <v>25994</v>
      </c>
      <c r="M225" s="14">
        <v>25800</v>
      </c>
      <c r="P225" s="15">
        <v>12400</v>
      </c>
      <c r="Q225" s="14" t="s">
        <v>217</v>
      </c>
      <c r="R225" s="14" t="s">
        <v>16</v>
      </c>
      <c r="S225" s="14">
        <v>92.44</v>
      </c>
      <c r="T225" s="16" t="s">
        <v>334</v>
      </c>
      <c r="U225" s="14" t="s">
        <v>334</v>
      </c>
      <c r="V225" s="14">
        <v>8</v>
      </c>
      <c r="W225" s="14">
        <v>25994</v>
      </c>
      <c r="Z225" s="14" t="s">
        <v>801</v>
      </c>
      <c r="AE225" s="14"/>
      <c r="AG225" s="14">
        <v>0</v>
      </c>
      <c r="AP225" s="14"/>
      <c r="AR225" s="14">
        <v>0</v>
      </c>
      <c r="BC225" s="14">
        <v>0</v>
      </c>
      <c r="BN225" s="14">
        <v>0</v>
      </c>
      <c r="BY225" s="14">
        <v>0</v>
      </c>
    </row>
    <row r="226" spans="1:77">
      <c r="A226" s="14">
        <v>32319</v>
      </c>
      <c r="B226" s="14" t="s">
        <v>181</v>
      </c>
      <c r="C226" s="14" t="str">
        <f>VLOOKUP(A226,[1]Sheet1!$A:$F,5,FALSE)</f>
        <v>전략</v>
      </c>
      <c r="D226" s="14" t="str">
        <f>VLOOKUP(A226,[1]Sheet1!$A:$F,6,FALSE)</f>
        <v>SP</v>
      </c>
      <c r="E226" s="15">
        <v>20902</v>
      </c>
      <c r="F226" s="14" t="s">
        <v>53</v>
      </c>
      <c r="G226" s="14" t="s">
        <v>13</v>
      </c>
      <c r="H226" s="14">
        <v>98.36</v>
      </c>
      <c r="I226" s="17" t="s">
        <v>802</v>
      </c>
      <c r="J226" s="14" t="s">
        <v>802</v>
      </c>
      <c r="K226" s="14">
        <v>20</v>
      </c>
      <c r="L226" s="14">
        <v>20807</v>
      </c>
      <c r="M226" s="14">
        <v>20808</v>
      </c>
      <c r="P226" s="15">
        <v>20702</v>
      </c>
      <c r="Q226" s="14" t="s">
        <v>44</v>
      </c>
      <c r="R226" s="14" t="s">
        <v>17</v>
      </c>
      <c r="S226" s="14">
        <v>99.33</v>
      </c>
      <c r="T226" s="16" t="s">
        <v>358</v>
      </c>
      <c r="V226" s="14">
        <v>35</v>
      </c>
      <c r="W226" s="14">
        <v>20807</v>
      </c>
      <c r="AA226" s="15">
        <v>20500</v>
      </c>
      <c r="AB226" s="14" t="s">
        <v>31</v>
      </c>
      <c r="AC226" s="14" t="s">
        <v>17</v>
      </c>
      <c r="AD226" s="14">
        <v>92.95</v>
      </c>
      <c r="AE226" s="14" t="s">
        <v>326</v>
      </c>
      <c r="AG226" s="14">
        <v>27</v>
      </c>
      <c r="AH226" s="14">
        <v>20807</v>
      </c>
      <c r="AI226" s="14">
        <v>25382</v>
      </c>
      <c r="AL226" s="15">
        <v>20906</v>
      </c>
      <c r="AM226" s="14" t="s">
        <v>48</v>
      </c>
      <c r="AN226" s="14" t="s">
        <v>49</v>
      </c>
      <c r="AO226" s="14">
        <v>95.85</v>
      </c>
      <c r="AP226" s="16" t="s">
        <v>327</v>
      </c>
      <c r="AR226" s="14">
        <v>15</v>
      </c>
      <c r="AS226" s="14">
        <v>20807</v>
      </c>
      <c r="BC226" s="14">
        <v>0</v>
      </c>
      <c r="BN226" s="14">
        <v>0</v>
      </c>
      <c r="BY226" s="14">
        <v>0</v>
      </c>
    </row>
    <row r="227" spans="1:77">
      <c r="A227" s="14">
        <v>31123</v>
      </c>
      <c r="B227" s="14" t="s">
        <v>50</v>
      </c>
      <c r="C227" s="14" t="str">
        <f>VLOOKUP(A227,[1]Sheet1!$A:$F,5,FALSE)</f>
        <v>전략</v>
      </c>
      <c r="D227" s="14" t="str">
        <f>VLOOKUP(A227,[1]Sheet1!$A:$F,6,FALSE)</f>
        <v>IR</v>
      </c>
      <c r="E227" s="15">
        <v>20601</v>
      </c>
      <c r="F227" s="14" t="s">
        <v>43</v>
      </c>
      <c r="G227" s="14" t="s">
        <v>13</v>
      </c>
      <c r="H227" s="14">
        <v>98.38</v>
      </c>
      <c r="I227" s="17" t="s">
        <v>803</v>
      </c>
      <c r="J227" s="14" t="s">
        <v>803</v>
      </c>
      <c r="K227" s="14">
        <v>20</v>
      </c>
      <c r="L227" s="14">
        <v>25101</v>
      </c>
      <c r="M227" s="14">
        <v>20808</v>
      </c>
      <c r="P227" s="15">
        <v>20704</v>
      </c>
      <c r="Q227" s="14" t="s">
        <v>47</v>
      </c>
      <c r="R227" s="14" t="s">
        <v>17</v>
      </c>
      <c r="S227" s="14">
        <v>98.9</v>
      </c>
      <c r="T227" s="16" t="s">
        <v>804</v>
      </c>
      <c r="U227" s="14" t="s">
        <v>804</v>
      </c>
      <c r="V227" s="14">
        <v>30</v>
      </c>
      <c r="W227" s="14">
        <v>25101</v>
      </c>
      <c r="AA227" s="15">
        <v>20500</v>
      </c>
      <c r="AB227" s="14" t="s">
        <v>31</v>
      </c>
      <c r="AC227" s="14" t="s">
        <v>17</v>
      </c>
      <c r="AD227" s="14">
        <v>98.89</v>
      </c>
      <c r="AE227" s="16" t="s">
        <v>326</v>
      </c>
      <c r="AF227" s="14" t="s">
        <v>326</v>
      </c>
      <c r="AG227" s="14">
        <v>27</v>
      </c>
      <c r="AH227" s="14">
        <v>25101</v>
      </c>
      <c r="AI227" s="14">
        <v>23352</v>
      </c>
      <c r="AP227" s="14"/>
      <c r="AR227" s="14">
        <v>0</v>
      </c>
      <c r="BC227" s="14">
        <v>0</v>
      </c>
      <c r="BN227" s="14">
        <v>0</v>
      </c>
      <c r="BY227" s="14">
        <v>0</v>
      </c>
    </row>
    <row r="228" spans="1:77">
      <c r="A228" s="14">
        <v>31709</v>
      </c>
      <c r="B228" s="14" t="s">
        <v>126</v>
      </c>
      <c r="C228" s="14" t="str">
        <f>VLOOKUP(A228,[1]Sheet1!$A:$F,5,FALSE)</f>
        <v>전략</v>
      </c>
      <c r="D228" s="14" t="str">
        <f>VLOOKUP(A228,[1]Sheet1!$A:$F,6,FALSE)</f>
        <v>SP</v>
      </c>
      <c r="E228" s="15">
        <v>20902</v>
      </c>
      <c r="F228" s="14" t="s">
        <v>53</v>
      </c>
      <c r="G228" s="14" t="s">
        <v>13</v>
      </c>
      <c r="H228" s="14">
        <v>98.39</v>
      </c>
      <c r="I228" s="17" t="s">
        <v>805</v>
      </c>
      <c r="J228" s="14" t="s">
        <v>805</v>
      </c>
      <c r="K228" s="14">
        <v>15</v>
      </c>
      <c r="L228" s="14">
        <v>20807</v>
      </c>
      <c r="M228" s="14">
        <v>25890</v>
      </c>
      <c r="P228" s="15">
        <v>20705</v>
      </c>
      <c r="Q228" s="14" t="s">
        <v>59</v>
      </c>
      <c r="R228" s="14" t="s">
        <v>17</v>
      </c>
      <c r="S228" s="14">
        <v>99.11</v>
      </c>
      <c r="T228" s="16" t="s">
        <v>513</v>
      </c>
      <c r="U228" s="14" t="s">
        <v>513</v>
      </c>
      <c r="V228" s="14">
        <v>30</v>
      </c>
      <c r="W228" s="14">
        <v>20807</v>
      </c>
      <c r="AA228" s="15">
        <v>20500</v>
      </c>
      <c r="AB228" s="14" t="s">
        <v>31</v>
      </c>
      <c r="AC228" s="14" t="s">
        <v>17</v>
      </c>
      <c r="AD228" s="14">
        <v>98.35</v>
      </c>
      <c r="AE228" s="16" t="s">
        <v>326</v>
      </c>
      <c r="AF228" s="14" t="s">
        <v>326</v>
      </c>
      <c r="AG228" s="14">
        <v>25</v>
      </c>
      <c r="AH228" s="14">
        <v>20807</v>
      </c>
      <c r="AI228" s="14">
        <v>23352</v>
      </c>
      <c r="AL228" s="15">
        <v>20906</v>
      </c>
      <c r="AM228" s="14" t="s">
        <v>48</v>
      </c>
      <c r="AN228" s="14" t="s">
        <v>49</v>
      </c>
      <c r="AO228" s="14">
        <v>97.26</v>
      </c>
      <c r="AP228" s="16" t="s">
        <v>327</v>
      </c>
      <c r="AR228" s="14">
        <v>17</v>
      </c>
      <c r="AS228" s="14">
        <v>20807</v>
      </c>
      <c r="BC228" s="14">
        <v>0</v>
      </c>
      <c r="BN228" s="14">
        <v>0</v>
      </c>
      <c r="BY228" s="14">
        <v>0</v>
      </c>
    </row>
    <row r="229" spans="1:77">
      <c r="A229" s="14">
        <v>31019</v>
      </c>
      <c r="B229" s="14" t="s">
        <v>103</v>
      </c>
      <c r="C229" s="14" t="str">
        <f>VLOOKUP(A229,[1]Sheet1!$A:$F,5,FALSE)</f>
        <v>전략</v>
      </c>
      <c r="D229" s="14" t="str">
        <f>VLOOKUP(A229,[1]Sheet1!$A:$F,6,FALSE)</f>
        <v>SP</v>
      </c>
      <c r="E229" s="15">
        <v>20902</v>
      </c>
      <c r="F229" s="14" t="s">
        <v>53</v>
      </c>
      <c r="G229" s="14" t="s">
        <v>343</v>
      </c>
      <c r="H229" s="14">
        <v>98.39</v>
      </c>
      <c r="I229" s="17" t="s">
        <v>806</v>
      </c>
      <c r="J229" s="14" t="s">
        <v>806</v>
      </c>
      <c r="K229" s="14">
        <v>17</v>
      </c>
      <c r="L229" s="14" t="s">
        <v>392</v>
      </c>
      <c r="M229" s="14">
        <v>20808</v>
      </c>
      <c r="P229" s="15">
        <v>20702</v>
      </c>
      <c r="Q229" s="14" t="s">
        <v>44</v>
      </c>
      <c r="R229" s="14" t="s">
        <v>17</v>
      </c>
      <c r="S229" s="14">
        <v>98.86</v>
      </c>
      <c r="T229" s="16" t="s">
        <v>347</v>
      </c>
      <c r="U229" s="14" t="s">
        <v>347</v>
      </c>
      <c r="V229" s="14">
        <v>35</v>
      </c>
      <c r="W229" s="14" t="s">
        <v>391</v>
      </c>
      <c r="AA229" s="15">
        <v>20500</v>
      </c>
      <c r="AB229" s="14" t="s">
        <v>31</v>
      </c>
      <c r="AC229" s="14" t="s">
        <v>17</v>
      </c>
      <c r="AD229" s="14">
        <v>98.84</v>
      </c>
      <c r="AE229" s="14" t="s">
        <v>347</v>
      </c>
      <c r="AG229" s="14">
        <v>27</v>
      </c>
      <c r="AH229" s="14" t="s">
        <v>391</v>
      </c>
      <c r="AI229" s="14" t="s">
        <v>393</v>
      </c>
      <c r="AL229" s="15">
        <v>20906</v>
      </c>
      <c r="AM229" s="14" t="s">
        <v>48</v>
      </c>
      <c r="AN229" s="14" t="s">
        <v>49</v>
      </c>
      <c r="AO229" s="14">
        <v>97.95</v>
      </c>
      <c r="AP229" s="16" t="s">
        <v>327</v>
      </c>
      <c r="AR229" s="14">
        <v>17.899999999999999</v>
      </c>
      <c r="AS229" s="14" t="s">
        <v>391</v>
      </c>
      <c r="BC229" s="14">
        <v>0</v>
      </c>
      <c r="BN229" s="14">
        <v>0</v>
      </c>
      <c r="BY229" s="14">
        <v>0</v>
      </c>
    </row>
    <row r="230" spans="1:77">
      <c r="A230" s="14">
        <v>27217</v>
      </c>
      <c r="B230" s="14" t="s">
        <v>25</v>
      </c>
      <c r="C230" s="14" t="str">
        <f>VLOOKUP(A230,[1]Sheet1!$A:$F,5,FALSE)</f>
        <v>염료</v>
      </c>
      <c r="D230" s="14" t="str">
        <f>VLOOKUP(A230,[1]Sheet1!$A:$F,6,FALSE)</f>
        <v>1PLY</v>
      </c>
      <c r="E230" s="15">
        <v>20300</v>
      </c>
      <c r="F230" s="14" t="s">
        <v>12</v>
      </c>
      <c r="G230" s="14" t="s">
        <v>13</v>
      </c>
      <c r="H230" s="14">
        <v>98.4</v>
      </c>
      <c r="I230" s="17" t="s">
        <v>807</v>
      </c>
      <c r="J230" s="14" t="s">
        <v>807</v>
      </c>
      <c r="K230" s="14">
        <v>30</v>
      </c>
      <c r="L230" s="14">
        <v>24715</v>
      </c>
      <c r="M230" s="14">
        <v>23352</v>
      </c>
      <c r="P230" s="15">
        <v>20700</v>
      </c>
      <c r="Q230" s="14" t="s">
        <v>15</v>
      </c>
      <c r="R230" s="14" t="s">
        <v>17</v>
      </c>
      <c r="S230" s="14">
        <v>99.28</v>
      </c>
      <c r="T230" s="16" t="s">
        <v>808</v>
      </c>
      <c r="U230" s="14" t="s">
        <v>808</v>
      </c>
      <c r="V230" s="14">
        <v>40</v>
      </c>
      <c r="W230" s="14">
        <v>24715</v>
      </c>
      <c r="AE230" s="14"/>
      <c r="AG230" s="14">
        <v>0</v>
      </c>
      <c r="AP230" s="14"/>
      <c r="AR230" s="14">
        <v>0</v>
      </c>
      <c r="BC230" s="14">
        <v>0</v>
      </c>
      <c r="BN230" s="14">
        <v>0</v>
      </c>
      <c r="BY230" s="14">
        <v>0</v>
      </c>
    </row>
    <row r="231" spans="1:77">
      <c r="A231" s="14">
        <v>32314</v>
      </c>
      <c r="B231" s="14" t="s">
        <v>177</v>
      </c>
      <c r="C231" s="14" t="str">
        <f>VLOOKUP(A231,[1]Sheet1!$A:$F,5,FALSE)</f>
        <v>전략</v>
      </c>
      <c r="D231" s="14" t="str">
        <f>VLOOKUP(A231,[1]Sheet1!$A:$F,6,FALSE)</f>
        <v>SP</v>
      </c>
      <c r="E231" s="15">
        <v>20902</v>
      </c>
      <c r="F231" s="14" t="s">
        <v>53</v>
      </c>
      <c r="G231" s="14" t="s">
        <v>13</v>
      </c>
      <c r="H231" s="14">
        <v>98.41</v>
      </c>
      <c r="I231" s="17" t="s">
        <v>809</v>
      </c>
      <c r="J231" s="14" t="s">
        <v>809</v>
      </c>
      <c r="K231" s="14">
        <v>20</v>
      </c>
      <c r="L231" s="14">
        <v>20807</v>
      </c>
      <c r="M231" s="14">
        <v>20808</v>
      </c>
      <c r="P231" s="15">
        <v>20702</v>
      </c>
      <c r="Q231" s="14" t="s">
        <v>44</v>
      </c>
      <c r="R231" s="14" t="s">
        <v>17</v>
      </c>
      <c r="S231" s="14">
        <v>99.35</v>
      </c>
      <c r="T231" s="16" t="s">
        <v>358</v>
      </c>
      <c r="V231" s="14">
        <v>35</v>
      </c>
      <c r="W231" s="14">
        <v>20807</v>
      </c>
      <c r="AA231" s="15">
        <v>20500</v>
      </c>
      <c r="AB231" s="14" t="s">
        <v>31</v>
      </c>
      <c r="AC231" s="14" t="s">
        <v>17</v>
      </c>
      <c r="AD231" s="14">
        <v>98.7</v>
      </c>
      <c r="AE231" s="16" t="s">
        <v>326</v>
      </c>
      <c r="AF231" s="14" t="s">
        <v>326</v>
      </c>
      <c r="AG231" s="14">
        <v>27</v>
      </c>
      <c r="AH231" s="14">
        <v>20807</v>
      </c>
      <c r="AI231" s="14">
        <v>25382</v>
      </c>
      <c r="AL231" s="15">
        <v>20906</v>
      </c>
      <c r="AM231" s="14" t="s">
        <v>48</v>
      </c>
      <c r="AN231" s="14" t="s">
        <v>49</v>
      </c>
      <c r="AO231" s="14">
        <v>99.01</v>
      </c>
      <c r="AP231" s="16" t="s">
        <v>327</v>
      </c>
      <c r="AR231" s="14">
        <v>15</v>
      </c>
      <c r="AS231" s="14">
        <v>20807</v>
      </c>
      <c r="BC231" s="14">
        <v>0</v>
      </c>
      <c r="BN231" s="14">
        <v>0</v>
      </c>
      <c r="BY231" s="14">
        <v>0</v>
      </c>
    </row>
    <row r="232" spans="1:77">
      <c r="A232" s="14">
        <v>28555</v>
      </c>
      <c r="B232" s="14" t="s">
        <v>810</v>
      </c>
      <c r="C232" s="14" t="str">
        <f>VLOOKUP(A232,[1]Sheet1!$A:$F,5,FALSE)</f>
        <v>전략</v>
      </c>
      <c r="D232" s="14" t="str">
        <f>VLOOKUP(A232,[1]Sheet1!$A:$F,6,FALSE)</f>
        <v>SAFETY</v>
      </c>
      <c r="E232" s="15">
        <v>20400</v>
      </c>
      <c r="F232" s="14" t="s">
        <v>34</v>
      </c>
      <c r="G232" s="14" t="s">
        <v>13</v>
      </c>
      <c r="H232" s="14">
        <v>98.43</v>
      </c>
      <c r="I232" s="17" t="s">
        <v>811</v>
      </c>
      <c r="K232" s="14">
        <v>30</v>
      </c>
      <c r="L232" s="14">
        <v>23200</v>
      </c>
      <c r="M232" s="14">
        <v>26215</v>
      </c>
      <c r="P232" s="15">
        <v>23100</v>
      </c>
      <c r="Q232" s="14" t="s">
        <v>54</v>
      </c>
      <c r="R232" s="14" t="s">
        <v>13</v>
      </c>
      <c r="S232" s="14">
        <v>96.81</v>
      </c>
      <c r="T232" s="16" t="s">
        <v>542</v>
      </c>
      <c r="V232" s="14">
        <v>15</v>
      </c>
      <c r="W232" s="14">
        <v>23200</v>
      </c>
      <c r="X232" s="14">
        <v>23352</v>
      </c>
      <c r="AA232" s="15">
        <v>20700</v>
      </c>
      <c r="AB232" s="14" t="s">
        <v>15</v>
      </c>
      <c r="AC232" s="14" t="s">
        <v>17</v>
      </c>
      <c r="AD232" s="14">
        <v>95.6</v>
      </c>
      <c r="AE232" s="16" t="s">
        <v>432</v>
      </c>
      <c r="AG232" s="14">
        <v>35</v>
      </c>
      <c r="AH232" s="14">
        <v>23200</v>
      </c>
      <c r="AP232" s="14"/>
      <c r="AR232" s="14">
        <v>0</v>
      </c>
      <c r="BC232" s="14">
        <v>0</v>
      </c>
      <c r="BN232" s="14">
        <v>0</v>
      </c>
      <c r="BY232" s="14">
        <v>0</v>
      </c>
    </row>
    <row r="233" spans="1:77">
      <c r="A233" s="14">
        <v>32223</v>
      </c>
      <c r="B233" s="14" t="s">
        <v>153</v>
      </c>
      <c r="C233" s="14" t="str">
        <f>VLOOKUP(A233,[1]Sheet1!$A:$F,5,FALSE)</f>
        <v>전략</v>
      </c>
      <c r="D233" s="14" t="str">
        <f>VLOOKUP(A233,[1]Sheet1!$A:$F,6,FALSE)</f>
        <v>SP</v>
      </c>
      <c r="E233" s="15">
        <v>20902</v>
      </c>
      <c r="F233" s="14" t="s">
        <v>53</v>
      </c>
      <c r="G233" s="14" t="s">
        <v>13</v>
      </c>
      <c r="H233" s="14">
        <v>98.43</v>
      </c>
      <c r="I233" s="17" t="s">
        <v>812</v>
      </c>
      <c r="J233" s="14" t="s">
        <v>812</v>
      </c>
      <c r="K233" s="14">
        <v>20</v>
      </c>
      <c r="L233" s="14" t="s">
        <v>813</v>
      </c>
      <c r="M233" s="14" t="s">
        <v>814</v>
      </c>
      <c r="P233" s="15">
        <v>20706</v>
      </c>
      <c r="Q233" s="14" t="s">
        <v>52</v>
      </c>
      <c r="R233" s="14" t="s">
        <v>523</v>
      </c>
      <c r="S233" s="14">
        <v>99.03</v>
      </c>
      <c r="T233" s="16" t="s">
        <v>815</v>
      </c>
      <c r="U233" s="14" t="s">
        <v>816</v>
      </c>
      <c r="V233" s="14">
        <v>38.4</v>
      </c>
      <c r="W233" s="14" t="s">
        <v>817</v>
      </c>
      <c r="X233" s="14">
        <v>25289</v>
      </c>
      <c r="AA233" s="15">
        <v>20500</v>
      </c>
      <c r="AB233" s="14" t="s">
        <v>31</v>
      </c>
      <c r="AC233" s="14" t="s">
        <v>533</v>
      </c>
      <c r="AD233" s="14">
        <v>98.3</v>
      </c>
      <c r="AE233" s="16" t="s">
        <v>423</v>
      </c>
      <c r="AF233" s="14" t="s">
        <v>423</v>
      </c>
      <c r="AG233" s="14">
        <v>26.9</v>
      </c>
      <c r="AH233" s="14" t="s">
        <v>818</v>
      </c>
      <c r="AI233" s="14" t="s">
        <v>819</v>
      </c>
      <c r="AL233" s="15">
        <v>20906</v>
      </c>
      <c r="AM233" s="14" t="s">
        <v>48</v>
      </c>
      <c r="AN233" s="14" t="s">
        <v>49</v>
      </c>
      <c r="AO233" s="14">
        <v>97.93</v>
      </c>
      <c r="AP233" s="16" t="s">
        <v>327</v>
      </c>
      <c r="AR233" s="14">
        <v>17.5</v>
      </c>
      <c r="AS233" s="14" t="s">
        <v>391</v>
      </c>
      <c r="BC233" s="14">
        <v>0</v>
      </c>
      <c r="BN233" s="14">
        <v>0</v>
      </c>
      <c r="BY233" s="14">
        <v>0</v>
      </c>
    </row>
    <row r="234" spans="1:77">
      <c r="A234" s="14">
        <v>32673</v>
      </c>
      <c r="B234" s="14" t="s">
        <v>820</v>
      </c>
      <c r="C234" s="14" t="str">
        <f>VLOOKUP(A234,[1]Sheet1!$A:$F,5,FALSE)</f>
        <v>전략</v>
      </c>
      <c r="D234" s="14" t="str">
        <f>VLOOKUP(A234,[1]Sheet1!$A:$F,6,FALSE)</f>
        <v>SP</v>
      </c>
      <c r="E234" s="15">
        <v>20902</v>
      </c>
      <c r="F234" s="14" t="s">
        <v>53</v>
      </c>
      <c r="G234" s="14" t="s">
        <v>343</v>
      </c>
      <c r="H234" s="14">
        <v>98.43</v>
      </c>
      <c r="I234" s="17" t="s">
        <v>821</v>
      </c>
      <c r="J234" s="14" t="s">
        <v>821</v>
      </c>
      <c r="K234" s="14">
        <v>20.5</v>
      </c>
      <c r="L234" s="14" t="s">
        <v>798</v>
      </c>
      <c r="M234" s="14" t="s">
        <v>480</v>
      </c>
      <c r="P234" s="15">
        <v>20713</v>
      </c>
      <c r="Q234" s="14" t="s">
        <v>147</v>
      </c>
      <c r="R234" s="14" t="s">
        <v>17</v>
      </c>
      <c r="S234" s="14">
        <v>98.71</v>
      </c>
      <c r="T234" s="16" t="s">
        <v>444</v>
      </c>
      <c r="U234" s="14" t="s">
        <v>558</v>
      </c>
      <c r="V234" s="14">
        <v>25</v>
      </c>
      <c r="W234" s="14" t="s">
        <v>688</v>
      </c>
      <c r="AA234" s="15">
        <v>20500</v>
      </c>
      <c r="AB234" s="14" t="s">
        <v>31</v>
      </c>
      <c r="AC234" s="14" t="s">
        <v>17</v>
      </c>
      <c r="AD234" s="14">
        <v>98.68</v>
      </c>
      <c r="AE234" s="16" t="s">
        <v>326</v>
      </c>
      <c r="AF234" s="14" t="s">
        <v>326</v>
      </c>
      <c r="AG234" s="14">
        <v>27</v>
      </c>
      <c r="AH234" s="14" t="s">
        <v>822</v>
      </c>
      <c r="AI234" s="14" t="s">
        <v>521</v>
      </c>
      <c r="AL234" s="15">
        <v>20906</v>
      </c>
      <c r="AM234" s="14" t="s">
        <v>48</v>
      </c>
      <c r="AN234" s="14" t="s">
        <v>49</v>
      </c>
      <c r="AO234" s="14">
        <v>98.41</v>
      </c>
      <c r="AP234" s="16" t="s">
        <v>327</v>
      </c>
      <c r="AR234" s="14">
        <v>18.100000000000001</v>
      </c>
      <c r="AS234" s="14" t="s">
        <v>532</v>
      </c>
      <c r="BC234" s="14">
        <v>0</v>
      </c>
      <c r="BN234" s="14">
        <v>0</v>
      </c>
      <c r="BY234" s="14">
        <v>0</v>
      </c>
    </row>
    <row r="235" spans="1:77">
      <c r="A235" s="14">
        <v>26572</v>
      </c>
      <c r="B235" s="14" t="s">
        <v>67</v>
      </c>
      <c r="C235" s="14" t="str">
        <f>VLOOKUP(A235,[1]Sheet1!$A:$F,5,FALSE)</f>
        <v>전략</v>
      </c>
      <c r="D235" s="14" t="str">
        <f>VLOOKUP(A235,[1]Sheet1!$A:$F,6,FALSE)</f>
        <v>SAFETY</v>
      </c>
      <c r="E235" s="15">
        <v>20700</v>
      </c>
      <c r="F235" s="14" t="s">
        <v>15</v>
      </c>
      <c r="G235" s="14" t="s">
        <v>823</v>
      </c>
      <c r="H235" s="14">
        <v>98.44</v>
      </c>
      <c r="I235" s="17" t="s">
        <v>432</v>
      </c>
      <c r="J235" s="14" t="s">
        <v>432</v>
      </c>
      <c r="K235" s="14">
        <v>36.700000000000003</v>
      </c>
      <c r="L235" s="14" t="s">
        <v>824</v>
      </c>
      <c r="P235" s="15">
        <v>23100</v>
      </c>
      <c r="Q235" s="14" t="s">
        <v>54</v>
      </c>
      <c r="R235" s="14" t="s">
        <v>487</v>
      </c>
      <c r="S235" s="14">
        <v>95.53</v>
      </c>
      <c r="T235" s="16" t="s">
        <v>486</v>
      </c>
      <c r="U235" s="14" t="s">
        <v>486</v>
      </c>
      <c r="V235" s="14">
        <v>16.899999999999999</v>
      </c>
      <c r="W235" s="14" t="s">
        <v>824</v>
      </c>
      <c r="X235" s="14">
        <v>23652</v>
      </c>
      <c r="AE235" s="14"/>
      <c r="AG235" s="14">
        <v>0</v>
      </c>
      <c r="AP235" s="14"/>
      <c r="AR235" s="14">
        <v>0</v>
      </c>
      <c r="BC235" s="14">
        <v>0</v>
      </c>
      <c r="BN235" s="14">
        <v>0</v>
      </c>
      <c r="BY235" s="14">
        <v>0</v>
      </c>
    </row>
    <row r="236" spans="1:77">
      <c r="A236" s="14">
        <v>28732</v>
      </c>
      <c r="B236" s="14" t="s">
        <v>33</v>
      </c>
      <c r="C236" s="14" t="str">
        <f>VLOOKUP(A236,[1]Sheet1!$A:$F,5,FALSE)</f>
        <v>염료</v>
      </c>
      <c r="D236" s="14" t="str">
        <f>VLOOKUP(A236,[1]Sheet1!$A:$F,6,FALSE)</f>
        <v>2PLY</v>
      </c>
      <c r="E236" s="15">
        <v>20600</v>
      </c>
      <c r="F236" s="14" t="s">
        <v>32</v>
      </c>
      <c r="G236" s="14" t="s">
        <v>13</v>
      </c>
      <c r="H236" s="14">
        <v>98.52</v>
      </c>
      <c r="I236" s="17" t="s">
        <v>326</v>
      </c>
      <c r="K236" s="14">
        <v>30</v>
      </c>
      <c r="L236" s="14">
        <v>23200</v>
      </c>
      <c r="M236" s="14">
        <v>23348</v>
      </c>
      <c r="P236" s="15">
        <v>20500</v>
      </c>
      <c r="Q236" s="14" t="s">
        <v>31</v>
      </c>
      <c r="R236" s="14" t="s">
        <v>13</v>
      </c>
      <c r="S236" s="14">
        <v>98.31</v>
      </c>
      <c r="T236" s="16" t="s">
        <v>326</v>
      </c>
      <c r="U236" s="14" t="s">
        <v>326</v>
      </c>
      <c r="V236" s="14">
        <v>30</v>
      </c>
      <c r="W236" s="14">
        <v>23200</v>
      </c>
      <c r="X236" s="14">
        <v>23352</v>
      </c>
      <c r="AA236" s="15">
        <v>20700</v>
      </c>
      <c r="AB236" s="14" t="s">
        <v>15</v>
      </c>
      <c r="AC236" s="14" t="s">
        <v>17</v>
      </c>
      <c r="AD236" s="14">
        <v>98.22</v>
      </c>
      <c r="AE236" s="16" t="s">
        <v>432</v>
      </c>
      <c r="AF236" s="14" t="s">
        <v>825</v>
      </c>
      <c r="AG236" s="14">
        <v>35</v>
      </c>
      <c r="AH236" s="14">
        <v>23200</v>
      </c>
      <c r="AP236" s="14"/>
      <c r="AR236" s="14">
        <v>0</v>
      </c>
      <c r="BC236" s="14">
        <v>0</v>
      </c>
      <c r="BN236" s="14">
        <v>0</v>
      </c>
      <c r="BY236" s="14">
        <v>0</v>
      </c>
    </row>
    <row r="237" spans="1:77">
      <c r="A237" s="14">
        <v>25026</v>
      </c>
      <c r="B237" s="14" t="s">
        <v>11</v>
      </c>
      <c r="C237" s="14" t="str">
        <f>VLOOKUP(A237,[1]Sheet1!$A:$F,5,FALSE)</f>
        <v>염료</v>
      </c>
      <c r="D237" s="14" t="str">
        <f>VLOOKUP(A237,[1]Sheet1!$A:$F,6,FALSE)</f>
        <v>1PLY</v>
      </c>
      <c r="E237" s="15">
        <v>20300</v>
      </c>
      <c r="F237" s="14" t="s">
        <v>12</v>
      </c>
      <c r="G237" s="14" t="s">
        <v>343</v>
      </c>
      <c r="H237" s="14">
        <v>98.54</v>
      </c>
      <c r="I237" s="17" t="s">
        <v>826</v>
      </c>
      <c r="J237" s="14" t="s">
        <v>826</v>
      </c>
      <c r="K237" s="14">
        <v>29.8</v>
      </c>
      <c r="L237" s="14">
        <v>23200</v>
      </c>
      <c r="M237" s="14">
        <v>23352</v>
      </c>
      <c r="P237" s="15">
        <v>20700</v>
      </c>
      <c r="Q237" s="14" t="s">
        <v>15</v>
      </c>
      <c r="R237" s="14" t="s">
        <v>827</v>
      </c>
      <c r="S237" s="14">
        <v>99.16</v>
      </c>
      <c r="T237" s="16" t="s">
        <v>432</v>
      </c>
      <c r="U237" s="14" t="s">
        <v>828</v>
      </c>
      <c r="V237" s="14">
        <v>47.8</v>
      </c>
      <c r="W237" s="14">
        <v>23200</v>
      </c>
      <c r="AE237" s="14"/>
      <c r="AG237" s="14">
        <v>0</v>
      </c>
      <c r="AP237" s="14"/>
      <c r="AR237" s="14">
        <v>0</v>
      </c>
      <c r="BC237" s="14">
        <v>0</v>
      </c>
      <c r="BN237" s="14">
        <v>0</v>
      </c>
      <c r="BY237" s="14">
        <v>0</v>
      </c>
    </row>
    <row r="238" spans="1:77">
      <c r="A238" s="14">
        <v>32308</v>
      </c>
      <c r="B238" s="14" t="s">
        <v>175</v>
      </c>
      <c r="C238" s="14" t="str">
        <f>VLOOKUP(A238,[1]Sheet1!$A:$F,5,FALSE)</f>
        <v>전략</v>
      </c>
      <c r="D238" s="14" t="str">
        <f>VLOOKUP(A238,[1]Sheet1!$A:$F,6,FALSE)</f>
        <v>SP</v>
      </c>
      <c r="E238" s="15">
        <v>20902</v>
      </c>
      <c r="F238" s="14" t="s">
        <v>53</v>
      </c>
      <c r="G238" s="14" t="s">
        <v>343</v>
      </c>
      <c r="H238" s="14">
        <v>98.54</v>
      </c>
      <c r="I238" s="17" t="s">
        <v>601</v>
      </c>
      <c r="J238" s="14" t="s">
        <v>601</v>
      </c>
      <c r="K238" s="14">
        <v>23.7</v>
      </c>
      <c r="L238" s="14" t="s">
        <v>762</v>
      </c>
      <c r="M238" s="14" t="s">
        <v>380</v>
      </c>
      <c r="P238" s="15">
        <v>20702</v>
      </c>
      <c r="Q238" s="14" t="s">
        <v>44</v>
      </c>
      <c r="R238" s="14" t="s">
        <v>17</v>
      </c>
      <c r="S238" s="14">
        <v>99.12</v>
      </c>
      <c r="T238" s="16" t="s">
        <v>381</v>
      </c>
      <c r="U238" s="14" t="s">
        <v>685</v>
      </c>
      <c r="V238" s="14">
        <v>35</v>
      </c>
      <c r="W238" s="14" t="s">
        <v>762</v>
      </c>
      <c r="AA238" s="15">
        <v>20500</v>
      </c>
      <c r="AB238" s="14" t="s">
        <v>31</v>
      </c>
      <c r="AC238" s="14" t="s">
        <v>17</v>
      </c>
      <c r="AD238" s="14">
        <v>98.1</v>
      </c>
      <c r="AE238" s="16" t="s">
        <v>326</v>
      </c>
      <c r="AF238" s="14" t="s">
        <v>326</v>
      </c>
      <c r="AG238" s="14">
        <v>27</v>
      </c>
      <c r="AH238" s="14" t="s">
        <v>430</v>
      </c>
      <c r="AI238" s="14" t="s">
        <v>493</v>
      </c>
      <c r="AL238" s="15">
        <v>20906</v>
      </c>
      <c r="AM238" s="14" t="s">
        <v>48</v>
      </c>
      <c r="AN238" s="14" t="s">
        <v>49</v>
      </c>
      <c r="AO238" s="14">
        <v>97.06</v>
      </c>
      <c r="AP238" s="16" t="s">
        <v>327</v>
      </c>
      <c r="AR238" s="14">
        <v>15.9</v>
      </c>
      <c r="AS238" s="14" t="s">
        <v>425</v>
      </c>
      <c r="BC238" s="14">
        <v>0</v>
      </c>
      <c r="BN238" s="14">
        <v>0</v>
      </c>
      <c r="BY238" s="14">
        <v>0</v>
      </c>
    </row>
    <row r="239" spans="1:77">
      <c r="A239" s="14">
        <v>25033</v>
      </c>
      <c r="B239" s="14" t="s">
        <v>21</v>
      </c>
      <c r="C239" s="14" t="str">
        <f>VLOOKUP(A239,[1]Sheet1!$A:$F,5,FALSE)</f>
        <v>염료</v>
      </c>
      <c r="D239" s="14" t="str">
        <f>VLOOKUP(A239,[1]Sheet1!$A:$F,6,FALSE)</f>
        <v>1PLY</v>
      </c>
      <c r="E239" s="15">
        <v>20300</v>
      </c>
      <c r="F239" s="14" t="s">
        <v>12</v>
      </c>
      <c r="G239" s="14" t="s">
        <v>16</v>
      </c>
      <c r="H239" s="14">
        <v>98.55</v>
      </c>
      <c r="I239" s="17" t="s">
        <v>829</v>
      </c>
      <c r="J239" s="14" t="s">
        <v>830</v>
      </c>
      <c r="K239" s="14">
        <v>22.5</v>
      </c>
      <c r="L239" s="14">
        <v>23200</v>
      </c>
      <c r="M239" s="14">
        <v>23352</v>
      </c>
      <c r="P239" s="15">
        <v>20700</v>
      </c>
      <c r="Q239" s="14" t="s">
        <v>15</v>
      </c>
      <c r="R239" s="14" t="s">
        <v>823</v>
      </c>
      <c r="S239" s="14">
        <v>99.04</v>
      </c>
      <c r="T239" s="16" t="s">
        <v>432</v>
      </c>
      <c r="U239" s="14" t="s">
        <v>432</v>
      </c>
      <c r="V239" s="14">
        <v>40</v>
      </c>
      <c r="W239" s="14">
        <v>23200</v>
      </c>
      <c r="AE239" s="14"/>
      <c r="AG239" s="14">
        <v>0</v>
      </c>
      <c r="AP239" s="14"/>
      <c r="AR239" s="14">
        <v>0</v>
      </c>
      <c r="BC239" s="14">
        <v>0</v>
      </c>
      <c r="BN239" s="14">
        <v>0</v>
      </c>
      <c r="BY239" s="14">
        <v>0</v>
      </c>
    </row>
    <row r="240" spans="1:77">
      <c r="A240" s="14">
        <v>31402</v>
      </c>
      <c r="B240" s="14" t="s">
        <v>116</v>
      </c>
      <c r="C240" s="14" t="str">
        <f>VLOOKUP(A240,[1]Sheet1!$A:$F,5,FALSE)</f>
        <v>전략</v>
      </c>
      <c r="D240" s="14" t="str">
        <f>VLOOKUP(A240,[1]Sheet1!$A:$F,6,FALSE)</f>
        <v>SP</v>
      </c>
      <c r="E240" s="15">
        <v>20902</v>
      </c>
      <c r="F240" s="14" t="s">
        <v>53</v>
      </c>
      <c r="G240" s="14" t="s">
        <v>13</v>
      </c>
      <c r="H240" s="14">
        <v>98.56</v>
      </c>
      <c r="I240" s="17" t="s">
        <v>831</v>
      </c>
      <c r="J240" s="14" t="s">
        <v>831</v>
      </c>
      <c r="K240" s="14">
        <v>15</v>
      </c>
      <c r="L240" s="14">
        <v>20807</v>
      </c>
      <c r="M240" s="14">
        <v>20808</v>
      </c>
      <c r="P240" s="15">
        <v>20706</v>
      </c>
      <c r="Q240" s="14" t="s">
        <v>52</v>
      </c>
      <c r="R240" s="14" t="s">
        <v>73</v>
      </c>
      <c r="S240" s="14">
        <v>97.37</v>
      </c>
      <c r="T240" s="16" t="s">
        <v>325</v>
      </c>
      <c r="V240" s="14">
        <v>30</v>
      </c>
      <c r="W240" s="14">
        <v>20807</v>
      </c>
      <c r="AA240" s="15">
        <v>20500</v>
      </c>
      <c r="AB240" s="14" t="s">
        <v>31</v>
      </c>
      <c r="AC240" s="14" t="s">
        <v>17</v>
      </c>
      <c r="AD240" s="14">
        <v>97.75</v>
      </c>
      <c r="AE240" s="14" t="s">
        <v>326</v>
      </c>
      <c r="AG240" s="14">
        <v>27</v>
      </c>
      <c r="AH240" s="14">
        <v>20807</v>
      </c>
      <c r="AI240" s="14">
        <v>23352</v>
      </c>
      <c r="AL240" s="15">
        <v>20906</v>
      </c>
      <c r="AM240" s="14" t="s">
        <v>48</v>
      </c>
      <c r="AN240" s="14" t="s">
        <v>49</v>
      </c>
      <c r="AO240" s="14">
        <v>97.7</v>
      </c>
      <c r="AP240" s="16" t="s">
        <v>327</v>
      </c>
      <c r="AR240" s="14">
        <v>17</v>
      </c>
      <c r="AS240" s="14">
        <v>20807</v>
      </c>
      <c r="BC240" s="14">
        <v>0</v>
      </c>
      <c r="BN240" s="14">
        <v>0</v>
      </c>
      <c r="BY240" s="14">
        <v>0</v>
      </c>
    </row>
    <row r="241" spans="1:77">
      <c r="A241" s="14">
        <v>32628</v>
      </c>
      <c r="B241" s="14" t="s">
        <v>207</v>
      </c>
      <c r="C241" s="14" t="str">
        <f>VLOOKUP(A241,[1]Sheet1!$A:$F,5,FALSE)</f>
        <v>전략</v>
      </c>
      <c r="D241" s="14" t="str">
        <f>VLOOKUP(A241,[1]Sheet1!$A:$F,6,FALSE)</f>
        <v>SP</v>
      </c>
      <c r="E241" s="15">
        <v>20902</v>
      </c>
      <c r="F241" s="14" t="s">
        <v>53</v>
      </c>
      <c r="G241" s="14" t="s">
        <v>343</v>
      </c>
      <c r="H241" s="14">
        <v>98.56</v>
      </c>
      <c r="I241" s="17" t="s">
        <v>832</v>
      </c>
      <c r="J241" s="14" t="s">
        <v>832</v>
      </c>
      <c r="K241" s="14">
        <v>24.1</v>
      </c>
      <c r="L241" s="14" t="s">
        <v>391</v>
      </c>
      <c r="M241" s="14">
        <v>20808</v>
      </c>
      <c r="P241" s="15">
        <v>20706</v>
      </c>
      <c r="Q241" s="14" t="s">
        <v>52</v>
      </c>
      <c r="R241" s="14" t="s">
        <v>17</v>
      </c>
      <c r="S241" s="14">
        <v>99.05</v>
      </c>
      <c r="T241" s="16" t="s">
        <v>410</v>
      </c>
      <c r="U241" s="14" t="s">
        <v>503</v>
      </c>
      <c r="V241" s="14">
        <v>40</v>
      </c>
      <c r="W241" s="14" t="s">
        <v>391</v>
      </c>
      <c r="AA241" s="15">
        <v>20500</v>
      </c>
      <c r="AB241" s="14" t="s">
        <v>31</v>
      </c>
      <c r="AC241" s="14" t="s">
        <v>533</v>
      </c>
      <c r="AD241" s="14">
        <v>97.67</v>
      </c>
      <c r="AE241" s="16" t="s">
        <v>326</v>
      </c>
      <c r="AF241" s="14" t="s">
        <v>326</v>
      </c>
      <c r="AG241" s="14">
        <v>24.6</v>
      </c>
      <c r="AH241" s="14" t="s">
        <v>391</v>
      </c>
      <c r="AI241" s="14" t="s">
        <v>393</v>
      </c>
      <c r="AL241" s="15">
        <v>20906</v>
      </c>
      <c r="AM241" s="14" t="s">
        <v>48</v>
      </c>
      <c r="AN241" s="14" t="s">
        <v>49</v>
      </c>
      <c r="AO241" s="14">
        <v>97.89</v>
      </c>
      <c r="AP241" s="16" t="s">
        <v>327</v>
      </c>
      <c r="AR241" s="14">
        <v>17.899999999999999</v>
      </c>
      <c r="AS241" s="14" t="s">
        <v>391</v>
      </c>
      <c r="BC241" s="14">
        <v>0</v>
      </c>
      <c r="BN241" s="14">
        <v>0</v>
      </c>
      <c r="BY241" s="14">
        <v>0</v>
      </c>
    </row>
    <row r="242" spans="1:77">
      <c r="A242" s="14">
        <v>32430</v>
      </c>
      <c r="B242" s="14" t="s">
        <v>41</v>
      </c>
      <c r="C242" s="14" t="str">
        <f>VLOOKUP(A242,[1]Sheet1!$A:$F,5,FALSE)</f>
        <v>염료</v>
      </c>
      <c r="D242" s="14" t="str">
        <f>VLOOKUP(A242,[1]Sheet1!$A:$F,6,FALSE)</f>
        <v>COLEX</v>
      </c>
      <c r="E242" s="15">
        <v>20600</v>
      </c>
      <c r="F242" s="14" t="s">
        <v>32</v>
      </c>
      <c r="G242" s="14" t="s">
        <v>16</v>
      </c>
      <c r="H242" s="14">
        <v>98.63</v>
      </c>
      <c r="I242" s="17" t="s">
        <v>616</v>
      </c>
      <c r="J242" s="14" t="s">
        <v>616</v>
      </c>
      <c r="K242" s="14">
        <v>50</v>
      </c>
      <c r="L242" s="14" t="s">
        <v>833</v>
      </c>
      <c r="T242" s="14"/>
      <c r="V242" s="14">
        <v>0</v>
      </c>
      <c r="AE242" s="14"/>
      <c r="AG242" s="14">
        <v>0</v>
      </c>
      <c r="AP242" s="14"/>
      <c r="AR242" s="14">
        <v>0</v>
      </c>
      <c r="BC242" s="14">
        <v>0</v>
      </c>
      <c r="BN242" s="14">
        <v>0</v>
      </c>
      <c r="BY242" s="14">
        <v>0</v>
      </c>
    </row>
    <row r="243" spans="1:77">
      <c r="A243" s="14">
        <v>32687</v>
      </c>
      <c r="B243" s="14" t="s">
        <v>834</v>
      </c>
      <c r="C243" s="14" t="str">
        <f>VLOOKUP(A243,[1]Sheet1!$A:$F,5,FALSE)</f>
        <v>전략</v>
      </c>
      <c r="D243" s="14" t="str">
        <f>VLOOKUP(A243,[1]Sheet1!$A:$F,6,FALSE)</f>
        <v>SP</v>
      </c>
      <c r="E243" s="15">
        <v>20902</v>
      </c>
      <c r="F243" s="14" t="s">
        <v>53</v>
      </c>
      <c r="G243" s="14" t="s">
        <v>16</v>
      </c>
      <c r="H243" s="14">
        <v>98.64</v>
      </c>
      <c r="I243" s="17" t="s">
        <v>835</v>
      </c>
      <c r="J243" s="14" t="s">
        <v>836</v>
      </c>
      <c r="K243" s="14">
        <v>23.7</v>
      </c>
      <c r="L243" s="14" t="s">
        <v>837</v>
      </c>
      <c r="M243" s="14" t="s">
        <v>346</v>
      </c>
      <c r="P243" s="15">
        <v>20713</v>
      </c>
      <c r="Q243" s="14" t="s">
        <v>147</v>
      </c>
      <c r="R243" s="14" t="s">
        <v>17</v>
      </c>
      <c r="S243" s="14">
        <v>98.82</v>
      </c>
      <c r="T243" s="16" t="s">
        <v>376</v>
      </c>
      <c r="U243" s="14" t="s">
        <v>376</v>
      </c>
      <c r="V243" s="14">
        <v>25</v>
      </c>
      <c r="W243" s="14" t="s">
        <v>837</v>
      </c>
      <c r="AA243" s="15">
        <v>20500</v>
      </c>
      <c r="AB243" s="14" t="s">
        <v>31</v>
      </c>
      <c r="AC243" s="14" t="s">
        <v>17</v>
      </c>
      <c r="AD243" s="14">
        <v>98.45</v>
      </c>
      <c r="AE243" s="16" t="s">
        <v>326</v>
      </c>
      <c r="AF243" s="14" t="s">
        <v>326</v>
      </c>
      <c r="AG243" s="14">
        <v>27</v>
      </c>
      <c r="AH243" s="14" t="s">
        <v>837</v>
      </c>
      <c r="AI243" s="14" t="s">
        <v>521</v>
      </c>
      <c r="AL243" s="15">
        <v>20906</v>
      </c>
      <c r="AM243" s="14" t="s">
        <v>48</v>
      </c>
      <c r="AN243" s="14" t="s">
        <v>49</v>
      </c>
      <c r="AO243" s="14">
        <v>97.63</v>
      </c>
      <c r="AP243" s="16" t="s">
        <v>327</v>
      </c>
      <c r="AR243" s="14">
        <v>17</v>
      </c>
      <c r="AS243" s="14" t="s">
        <v>837</v>
      </c>
      <c r="BC243" s="14">
        <v>0</v>
      </c>
      <c r="BN243" s="14">
        <v>0</v>
      </c>
      <c r="BY243" s="14">
        <v>0</v>
      </c>
    </row>
    <row r="244" spans="1:77">
      <c r="A244" s="14">
        <v>25037</v>
      </c>
      <c r="B244" s="14" t="s">
        <v>24</v>
      </c>
      <c r="C244" s="14" t="str">
        <f>VLOOKUP(A244,[1]Sheet1!$A:$F,5,FALSE)</f>
        <v>염료</v>
      </c>
      <c r="D244" s="14" t="str">
        <f>VLOOKUP(A244,[1]Sheet1!$A:$F,6,FALSE)</f>
        <v>1PLY</v>
      </c>
      <c r="E244" s="15">
        <v>20300</v>
      </c>
      <c r="F244" s="14" t="s">
        <v>12</v>
      </c>
      <c r="G244" s="14" t="s">
        <v>13</v>
      </c>
      <c r="H244" s="14">
        <v>98.67</v>
      </c>
      <c r="I244" s="17" t="s">
        <v>838</v>
      </c>
      <c r="J244" s="14" t="s">
        <v>838</v>
      </c>
      <c r="K244" s="14">
        <v>30</v>
      </c>
      <c r="L244" s="14">
        <v>23200</v>
      </c>
      <c r="M244" s="14">
        <v>23352</v>
      </c>
      <c r="P244" s="15">
        <v>20700</v>
      </c>
      <c r="Q244" s="14" t="s">
        <v>15</v>
      </c>
      <c r="R244" s="14" t="s">
        <v>17</v>
      </c>
      <c r="S244" s="14">
        <v>99.23</v>
      </c>
      <c r="T244" s="16" t="s">
        <v>432</v>
      </c>
      <c r="U244" s="14" t="s">
        <v>432</v>
      </c>
      <c r="V244" s="14">
        <v>40</v>
      </c>
      <c r="W244" s="14">
        <v>23200</v>
      </c>
      <c r="AE244" s="14"/>
      <c r="AG244" s="14">
        <v>0</v>
      </c>
      <c r="AP244" s="14"/>
      <c r="AR244" s="14">
        <v>0</v>
      </c>
      <c r="BC244" s="14">
        <v>0</v>
      </c>
      <c r="BN244" s="14">
        <v>0</v>
      </c>
      <c r="BY244" s="14">
        <v>0</v>
      </c>
    </row>
    <row r="245" spans="1:77">
      <c r="A245" s="14">
        <v>25278</v>
      </c>
      <c r="B245" s="14" t="s">
        <v>61</v>
      </c>
      <c r="C245" s="14" t="str">
        <f>VLOOKUP(A245,[1]Sheet1!$A:$F,5,FALSE)</f>
        <v>전략</v>
      </c>
      <c r="D245" s="14" t="str">
        <f>VLOOKUP(A245,[1]Sheet1!$A:$F,6,FALSE)</f>
        <v>SAFETY</v>
      </c>
      <c r="E245" s="15">
        <v>20700</v>
      </c>
      <c r="F245" s="14" t="s">
        <v>15</v>
      </c>
      <c r="G245" s="14" t="s">
        <v>17</v>
      </c>
      <c r="H245" s="14">
        <v>98.67</v>
      </c>
      <c r="I245" s="17" t="s">
        <v>432</v>
      </c>
      <c r="J245" s="14" t="s">
        <v>432</v>
      </c>
      <c r="K245" s="14">
        <v>35</v>
      </c>
      <c r="L245" s="14" t="s">
        <v>839</v>
      </c>
      <c r="P245" s="15">
        <v>23100</v>
      </c>
      <c r="Q245" s="14" t="s">
        <v>54</v>
      </c>
      <c r="R245" s="14" t="s">
        <v>343</v>
      </c>
      <c r="S245" s="14">
        <v>96.67</v>
      </c>
      <c r="T245" s="16" t="s">
        <v>542</v>
      </c>
      <c r="U245" s="14" t="s">
        <v>840</v>
      </c>
      <c r="V245" s="14">
        <v>15.6</v>
      </c>
      <c r="W245" s="14" t="s">
        <v>839</v>
      </c>
      <c r="X245" s="14">
        <v>23352</v>
      </c>
      <c r="AE245" s="14"/>
      <c r="AG245" s="14">
        <v>0</v>
      </c>
      <c r="AP245" s="14"/>
      <c r="AR245" s="14">
        <v>0</v>
      </c>
      <c r="BC245" s="14">
        <v>0</v>
      </c>
      <c r="BN245" s="14">
        <v>0</v>
      </c>
      <c r="BY245" s="14">
        <v>0</v>
      </c>
    </row>
    <row r="246" spans="1:77">
      <c r="A246" s="14">
        <v>32222</v>
      </c>
      <c r="B246" s="14" t="s">
        <v>152</v>
      </c>
      <c r="C246" s="14" t="str">
        <f>VLOOKUP(A246,[1]Sheet1!$A:$F,5,FALSE)</f>
        <v>전략</v>
      </c>
      <c r="D246" s="14" t="str">
        <f>VLOOKUP(A246,[1]Sheet1!$A:$F,6,FALSE)</f>
        <v>SP</v>
      </c>
      <c r="E246" s="15">
        <v>20902</v>
      </c>
      <c r="F246" s="14" t="s">
        <v>53</v>
      </c>
      <c r="G246" s="14" t="s">
        <v>487</v>
      </c>
      <c r="H246" s="14">
        <v>98.69</v>
      </c>
      <c r="I246" s="17" t="s">
        <v>841</v>
      </c>
      <c r="J246" s="14" t="s">
        <v>841</v>
      </c>
      <c r="K246" s="14">
        <v>23.8</v>
      </c>
      <c r="L246" s="14" t="s">
        <v>391</v>
      </c>
      <c r="M246" s="14" t="s">
        <v>346</v>
      </c>
      <c r="P246" s="15">
        <v>20706</v>
      </c>
      <c r="Q246" s="14" t="s">
        <v>52</v>
      </c>
      <c r="R246" s="14" t="s">
        <v>564</v>
      </c>
      <c r="S246" s="14">
        <v>98.81</v>
      </c>
      <c r="T246" s="16" t="s">
        <v>410</v>
      </c>
      <c r="U246" s="14" t="s">
        <v>503</v>
      </c>
      <c r="V246" s="14">
        <v>39.9</v>
      </c>
      <c r="W246" s="14" t="s">
        <v>391</v>
      </c>
      <c r="AA246" s="15">
        <v>20500</v>
      </c>
      <c r="AB246" s="14" t="s">
        <v>31</v>
      </c>
      <c r="AC246" s="14" t="s">
        <v>349</v>
      </c>
      <c r="AD246" s="14">
        <v>97.78</v>
      </c>
      <c r="AE246" s="16" t="s">
        <v>423</v>
      </c>
      <c r="AF246" s="14" t="s">
        <v>423</v>
      </c>
      <c r="AG246" s="14">
        <v>26</v>
      </c>
      <c r="AH246" s="14" t="s">
        <v>392</v>
      </c>
      <c r="AI246" s="14" t="s">
        <v>842</v>
      </c>
      <c r="AL246" s="15">
        <v>20906</v>
      </c>
      <c r="AM246" s="14" t="s">
        <v>48</v>
      </c>
      <c r="AN246" s="14" t="s">
        <v>49</v>
      </c>
      <c r="AO246" s="14">
        <v>97.51</v>
      </c>
      <c r="AP246" s="16" t="s">
        <v>327</v>
      </c>
      <c r="AR246" s="14">
        <v>17.5</v>
      </c>
      <c r="AS246" s="14" t="s">
        <v>391</v>
      </c>
      <c r="BC246" s="14">
        <v>0</v>
      </c>
      <c r="BN246" s="14">
        <v>0</v>
      </c>
      <c r="BY246" s="14">
        <v>0</v>
      </c>
    </row>
    <row r="247" spans="1:77">
      <c r="A247" s="14">
        <v>32659</v>
      </c>
      <c r="B247" s="14" t="s">
        <v>266</v>
      </c>
      <c r="C247" s="14" t="str">
        <f>VLOOKUP(A247,[1]Sheet1!$A:$F,5,FALSE)</f>
        <v>HIGH-END</v>
      </c>
      <c r="D247" s="14" t="str">
        <f>VLOOKUP(A247,[1]Sheet1!$A:$F,6,FALSE)</f>
        <v>C-PPF</v>
      </c>
      <c r="E247" s="15">
        <v>20904</v>
      </c>
      <c r="F247" s="14" t="s">
        <v>156</v>
      </c>
      <c r="G247" s="14" t="s">
        <v>16</v>
      </c>
      <c r="H247" s="14">
        <v>98.69</v>
      </c>
      <c r="I247" s="17" t="s">
        <v>843</v>
      </c>
      <c r="J247" s="14" t="s">
        <v>843</v>
      </c>
      <c r="K247" s="14">
        <v>10</v>
      </c>
      <c r="L247" s="14">
        <v>22875</v>
      </c>
      <c r="M247" s="14" t="s">
        <v>844</v>
      </c>
      <c r="P247" s="15">
        <v>20500</v>
      </c>
      <c r="Q247" s="14" t="s">
        <v>31</v>
      </c>
      <c r="R247" s="14" t="s">
        <v>16</v>
      </c>
      <c r="S247" s="14">
        <v>99.1</v>
      </c>
      <c r="T247" s="16" t="s">
        <v>845</v>
      </c>
      <c r="U247" s="14" t="s">
        <v>845</v>
      </c>
      <c r="V247" s="14">
        <v>10</v>
      </c>
      <c r="W247" s="14">
        <v>22875</v>
      </c>
      <c r="X247" s="14">
        <v>26207</v>
      </c>
      <c r="AA247" s="15">
        <v>12400</v>
      </c>
      <c r="AB247" s="14" t="s">
        <v>217</v>
      </c>
      <c r="AC247" s="14" t="s">
        <v>16</v>
      </c>
      <c r="AD247" s="14">
        <v>85.78</v>
      </c>
      <c r="AE247" s="16" t="s">
        <v>469</v>
      </c>
      <c r="AF247" s="14" t="s">
        <v>846</v>
      </c>
      <c r="AG247" s="14">
        <v>8.8000000000000007</v>
      </c>
      <c r="AH247" s="14">
        <v>22875</v>
      </c>
      <c r="AK247" s="14">
        <v>32621</v>
      </c>
      <c r="AP247" s="14"/>
      <c r="AR247" s="14">
        <v>0</v>
      </c>
      <c r="BC247" s="14">
        <v>0</v>
      </c>
      <c r="BN247" s="14">
        <v>0</v>
      </c>
      <c r="BY247" s="14">
        <v>0</v>
      </c>
    </row>
    <row r="248" spans="1:77">
      <c r="A248" s="14">
        <v>31849</v>
      </c>
      <c r="B248" s="14" t="s">
        <v>229</v>
      </c>
      <c r="C248" s="14" t="str">
        <f>VLOOKUP(A248,[1]Sheet1!$A:$F,5,FALSE)</f>
        <v>HIGH-END</v>
      </c>
      <c r="D248" s="14" t="str">
        <f>VLOOKUP(A248,[1]Sheet1!$A:$F,6,FALSE)</f>
        <v>C-PPF</v>
      </c>
      <c r="E248" s="15">
        <v>20902</v>
      </c>
      <c r="F248" s="14" t="s">
        <v>53</v>
      </c>
      <c r="G248" s="14" t="s">
        <v>16</v>
      </c>
      <c r="H248" s="14">
        <v>98.71</v>
      </c>
      <c r="I248" s="17" t="s">
        <v>847</v>
      </c>
      <c r="J248" s="14" t="s">
        <v>847</v>
      </c>
      <c r="K248" s="14">
        <v>15</v>
      </c>
      <c r="L248" s="14">
        <v>25051</v>
      </c>
      <c r="M248" s="14">
        <v>26119</v>
      </c>
      <c r="P248" s="15">
        <v>20500</v>
      </c>
      <c r="Q248" s="14" t="s">
        <v>31</v>
      </c>
      <c r="R248" s="14" t="s">
        <v>16</v>
      </c>
      <c r="S248" s="14">
        <v>98.17</v>
      </c>
      <c r="T248" s="16" t="s">
        <v>760</v>
      </c>
      <c r="U248" s="14" t="s">
        <v>760</v>
      </c>
      <c r="V248" s="14">
        <v>10</v>
      </c>
      <c r="W248" s="14">
        <v>25051</v>
      </c>
      <c r="X248" s="14">
        <v>26207</v>
      </c>
      <c r="AA248" s="15">
        <v>12400</v>
      </c>
      <c r="AB248" s="14" t="s">
        <v>217</v>
      </c>
      <c r="AC248" s="14" t="s">
        <v>16</v>
      </c>
      <c r="AD248" s="14">
        <v>98.13</v>
      </c>
      <c r="AE248" s="16" t="s">
        <v>848</v>
      </c>
      <c r="AF248" s="14" t="s">
        <v>848</v>
      </c>
      <c r="AG248" s="14">
        <v>8</v>
      </c>
      <c r="AH248" s="14">
        <v>25051</v>
      </c>
      <c r="AI248" s="14">
        <v>22325</v>
      </c>
      <c r="AP248" s="14"/>
      <c r="AR248" s="14">
        <v>0</v>
      </c>
      <c r="BC248" s="14">
        <v>0</v>
      </c>
      <c r="BN248" s="14">
        <v>0</v>
      </c>
      <c r="BY248" s="14">
        <v>0</v>
      </c>
    </row>
    <row r="249" spans="1:77">
      <c r="A249" s="14">
        <v>32621</v>
      </c>
      <c r="B249" s="14" t="s">
        <v>42</v>
      </c>
      <c r="C249" s="14" t="str">
        <f>VLOOKUP(A249,[1]Sheet1!$A:$F,5,FALSE)</f>
        <v>염료</v>
      </c>
      <c r="D249" s="14" t="str">
        <f>VLOOKUP(A249,[1]Sheet1!$A:$F,6,FALSE)</f>
        <v>COLEX</v>
      </c>
      <c r="E249" s="15">
        <v>20500</v>
      </c>
      <c r="F249" s="14" t="s">
        <v>31</v>
      </c>
      <c r="G249" s="14" t="s">
        <v>17</v>
      </c>
      <c r="H249" s="14">
        <v>98.76</v>
      </c>
      <c r="I249" s="17" t="s">
        <v>398</v>
      </c>
      <c r="J249" s="14" t="s">
        <v>849</v>
      </c>
      <c r="K249" s="14">
        <v>16</v>
      </c>
      <c r="L249" s="14">
        <v>24670</v>
      </c>
      <c r="M249" s="14">
        <v>24405</v>
      </c>
      <c r="T249" s="14"/>
      <c r="V249" s="14">
        <v>0</v>
      </c>
      <c r="AE249" s="14"/>
      <c r="AG249" s="14">
        <v>0</v>
      </c>
      <c r="AP249" s="14"/>
      <c r="AR249" s="14">
        <v>0</v>
      </c>
      <c r="BC249" s="14">
        <v>0</v>
      </c>
      <c r="BN249" s="14">
        <v>0</v>
      </c>
      <c r="BY249" s="14">
        <v>0</v>
      </c>
    </row>
    <row r="250" spans="1:77">
      <c r="A250" s="14">
        <v>30567</v>
      </c>
      <c r="B250" s="14" t="s">
        <v>96</v>
      </c>
      <c r="C250" s="14" t="str">
        <f>VLOOKUP(A250,[1]Sheet1!$A:$F,5,FALSE)</f>
        <v>전략</v>
      </c>
      <c r="D250" s="14" t="str">
        <f>VLOOKUP(A250,[1]Sheet1!$A:$F,6,FALSE)</f>
        <v>SP</v>
      </c>
      <c r="E250" s="15">
        <v>20902</v>
      </c>
      <c r="F250" s="14" t="s">
        <v>53</v>
      </c>
      <c r="G250" s="14" t="s">
        <v>13</v>
      </c>
      <c r="H250" s="14">
        <v>98.8</v>
      </c>
      <c r="I250" s="17" t="s">
        <v>850</v>
      </c>
      <c r="J250" s="14" t="s">
        <v>850</v>
      </c>
      <c r="K250" s="14">
        <v>20</v>
      </c>
      <c r="L250" s="14">
        <v>20807</v>
      </c>
      <c r="M250" s="14">
        <v>25101</v>
      </c>
      <c r="P250" s="15">
        <v>20702</v>
      </c>
      <c r="Q250" s="14" t="s">
        <v>44</v>
      </c>
      <c r="R250" s="14" t="s">
        <v>17</v>
      </c>
      <c r="S250" s="14">
        <v>99.19</v>
      </c>
      <c r="T250" s="16" t="s">
        <v>358</v>
      </c>
      <c r="V250" s="14">
        <v>35</v>
      </c>
      <c r="W250" s="14">
        <v>20807</v>
      </c>
      <c r="AA250" s="15">
        <v>20500</v>
      </c>
      <c r="AB250" s="14" t="s">
        <v>31</v>
      </c>
      <c r="AC250" s="14" t="s">
        <v>17</v>
      </c>
      <c r="AD250" s="14">
        <v>98.36</v>
      </c>
      <c r="AE250" s="16" t="s">
        <v>423</v>
      </c>
      <c r="AF250" s="14" t="s">
        <v>423</v>
      </c>
      <c r="AG250" s="14">
        <v>27</v>
      </c>
      <c r="AH250" s="14">
        <v>20807</v>
      </c>
      <c r="AI250" s="14">
        <v>23352</v>
      </c>
      <c r="AL250" s="15">
        <v>20906</v>
      </c>
      <c r="AM250" s="14" t="s">
        <v>48</v>
      </c>
      <c r="AN250" s="14" t="s">
        <v>49</v>
      </c>
      <c r="AO250" s="14">
        <v>98.33</v>
      </c>
      <c r="AP250" s="16" t="s">
        <v>327</v>
      </c>
      <c r="AR250" s="14">
        <v>19.3</v>
      </c>
      <c r="AS250" s="14">
        <v>20807</v>
      </c>
      <c r="BC250" s="14">
        <v>0</v>
      </c>
      <c r="BN250" s="14">
        <v>0</v>
      </c>
      <c r="BY250" s="14">
        <v>0</v>
      </c>
    </row>
    <row r="251" spans="1:77">
      <c r="A251" s="14">
        <v>31772</v>
      </c>
      <c r="B251" s="14" t="s">
        <v>213</v>
      </c>
      <c r="C251" s="14" t="str">
        <f>VLOOKUP(A251,[1]Sheet1!$A:$F,5,FALSE)</f>
        <v>전략</v>
      </c>
      <c r="D251" s="14" t="str">
        <f>VLOOKUP(A251,[1]Sheet1!$A:$F,6,FALSE)</f>
        <v>WP4</v>
      </c>
      <c r="E251" s="15">
        <v>20710</v>
      </c>
      <c r="F251" s="14" t="s">
        <v>214</v>
      </c>
      <c r="G251" s="14" t="s">
        <v>16</v>
      </c>
      <c r="H251" s="14">
        <v>98.8</v>
      </c>
      <c r="I251" s="17" t="s">
        <v>851</v>
      </c>
      <c r="J251" s="14" t="s">
        <v>851</v>
      </c>
      <c r="K251" s="14">
        <v>12</v>
      </c>
      <c r="L251" s="14" t="s">
        <v>852</v>
      </c>
      <c r="M251" s="14" t="s">
        <v>853</v>
      </c>
      <c r="P251" s="15">
        <v>23100</v>
      </c>
      <c r="Q251" s="14" t="s">
        <v>54</v>
      </c>
      <c r="R251" s="14" t="s">
        <v>16</v>
      </c>
      <c r="S251" s="14">
        <v>98.02</v>
      </c>
      <c r="T251" s="16" t="s">
        <v>330</v>
      </c>
      <c r="U251" s="14" t="s">
        <v>330</v>
      </c>
      <c r="V251" s="14">
        <v>15</v>
      </c>
      <c r="W251" s="14" t="s">
        <v>854</v>
      </c>
      <c r="X251" s="14" t="s">
        <v>855</v>
      </c>
      <c r="AE251" s="14"/>
      <c r="AG251" s="14">
        <v>0</v>
      </c>
      <c r="AP251" s="14"/>
      <c r="AR251" s="14">
        <v>0</v>
      </c>
      <c r="BC251" s="14">
        <v>0</v>
      </c>
      <c r="BN251" s="14">
        <v>0</v>
      </c>
      <c r="BY251" s="14">
        <v>0</v>
      </c>
    </row>
    <row r="252" spans="1:77">
      <c r="A252" s="14">
        <v>31915</v>
      </c>
      <c r="B252" s="14" t="s">
        <v>856</v>
      </c>
      <c r="C252" s="14" t="str">
        <f>VLOOKUP(A252,[1]Sheet1!$A:$F,5,FALSE)</f>
        <v>전략</v>
      </c>
      <c r="D252" s="14" t="str">
        <f>VLOOKUP(A252,[1]Sheet1!$A:$F,6,FALSE)</f>
        <v>IR</v>
      </c>
      <c r="E252" s="15">
        <v>20600</v>
      </c>
      <c r="F252" s="14" t="s">
        <v>32</v>
      </c>
      <c r="G252" s="14" t="s">
        <v>13</v>
      </c>
      <c r="H252" s="14">
        <v>98.8</v>
      </c>
      <c r="I252" s="17" t="s">
        <v>329</v>
      </c>
      <c r="J252" s="14" t="s">
        <v>329</v>
      </c>
      <c r="K252" s="14">
        <v>15</v>
      </c>
      <c r="L252" s="14">
        <v>20807</v>
      </c>
      <c r="M252" s="14">
        <v>23542</v>
      </c>
      <c r="P252" s="15">
        <v>20601</v>
      </c>
      <c r="Q252" s="14" t="s">
        <v>43</v>
      </c>
      <c r="R252" s="14" t="s">
        <v>13</v>
      </c>
      <c r="S252" s="14">
        <v>98.61</v>
      </c>
      <c r="T252" s="16" t="s">
        <v>857</v>
      </c>
      <c r="U252" s="14" t="s">
        <v>857</v>
      </c>
      <c r="V252" s="14">
        <v>15</v>
      </c>
      <c r="W252" s="14">
        <v>20807</v>
      </c>
      <c r="X252" s="14">
        <v>20807</v>
      </c>
      <c r="AA252" s="15">
        <v>20706</v>
      </c>
      <c r="AB252" s="14" t="s">
        <v>52</v>
      </c>
      <c r="AC252" s="14" t="s">
        <v>17</v>
      </c>
      <c r="AD252" s="14">
        <v>94.54</v>
      </c>
      <c r="AE252" s="16" t="s">
        <v>325</v>
      </c>
      <c r="AG252" s="14">
        <v>40</v>
      </c>
      <c r="AH252" s="14">
        <v>20807</v>
      </c>
      <c r="AL252" s="15">
        <v>23100</v>
      </c>
      <c r="AM252" s="14" t="s">
        <v>54</v>
      </c>
      <c r="AN252" s="14" t="s">
        <v>16</v>
      </c>
      <c r="AO252" s="14">
        <v>97.42</v>
      </c>
      <c r="AP252" s="16" t="s">
        <v>359</v>
      </c>
      <c r="AQ252" s="14" t="s">
        <v>359</v>
      </c>
      <c r="AR252" s="14">
        <v>20</v>
      </c>
      <c r="AS252" s="14">
        <v>20807</v>
      </c>
      <c r="AT252" s="14">
        <v>23352</v>
      </c>
      <c r="BC252" s="14">
        <v>0</v>
      </c>
      <c r="BN252" s="14">
        <v>0</v>
      </c>
      <c r="BY252" s="14">
        <v>0</v>
      </c>
    </row>
    <row r="253" spans="1:77">
      <c r="A253" s="14">
        <v>32556</v>
      </c>
      <c r="B253" s="14" t="s">
        <v>219</v>
      </c>
      <c r="C253" s="14" t="str">
        <f>VLOOKUP(A253,[1]Sheet1!$A:$F,5,FALSE)</f>
        <v>전략</v>
      </c>
      <c r="D253" s="14" t="str">
        <f>VLOOKUP(A253,[1]Sheet1!$A:$F,6,FALSE)</f>
        <v>WP4</v>
      </c>
      <c r="E253" s="15">
        <v>20710</v>
      </c>
      <c r="F253" s="14" t="s">
        <v>214</v>
      </c>
      <c r="G253" s="14" t="s">
        <v>16</v>
      </c>
      <c r="H253" s="14">
        <v>98.83</v>
      </c>
      <c r="I253" s="17" t="s">
        <v>851</v>
      </c>
      <c r="J253" s="14" t="s">
        <v>851</v>
      </c>
      <c r="K253" s="14">
        <v>12.1</v>
      </c>
      <c r="L253" s="14" t="s">
        <v>858</v>
      </c>
      <c r="M253" s="14" t="s">
        <v>859</v>
      </c>
      <c r="P253" s="15">
        <v>23100</v>
      </c>
      <c r="Q253" s="14" t="s">
        <v>54</v>
      </c>
      <c r="R253" s="14" t="s">
        <v>16</v>
      </c>
      <c r="S253" s="14">
        <v>98.36</v>
      </c>
      <c r="T253" s="16" t="s">
        <v>330</v>
      </c>
      <c r="U253" s="14" t="s">
        <v>330</v>
      </c>
      <c r="V253" s="14">
        <v>15.3</v>
      </c>
      <c r="W253" s="14" t="s">
        <v>860</v>
      </c>
      <c r="X253" s="14" t="s">
        <v>861</v>
      </c>
      <c r="AE253" s="14"/>
      <c r="AG253" s="14">
        <v>0</v>
      </c>
      <c r="AP253" s="14"/>
      <c r="AR253" s="14">
        <v>0</v>
      </c>
      <c r="BC253" s="14">
        <v>0</v>
      </c>
      <c r="BN253" s="14">
        <v>0</v>
      </c>
      <c r="BY253" s="14">
        <v>0</v>
      </c>
    </row>
    <row r="254" spans="1:77">
      <c r="A254" s="14">
        <v>31540</v>
      </c>
      <c r="B254" s="14" t="s">
        <v>27</v>
      </c>
      <c r="C254" s="14" t="str">
        <f>VLOOKUP(A254,[1]Sheet1!$A:$F,5,FALSE)</f>
        <v>염료</v>
      </c>
      <c r="D254" s="14" t="str">
        <f>VLOOKUP(A254,[1]Sheet1!$A:$F,6,FALSE)</f>
        <v>1PLY</v>
      </c>
      <c r="E254" s="15">
        <v>20300</v>
      </c>
      <c r="F254" s="14" t="s">
        <v>12</v>
      </c>
      <c r="G254" s="14" t="s">
        <v>13</v>
      </c>
      <c r="H254" s="14">
        <v>98.84</v>
      </c>
      <c r="I254" s="17" t="s">
        <v>862</v>
      </c>
      <c r="J254" s="14" t="s">
        <v>862</v>
      </c>
      <c r="K254" s="14">
        <v>20</v>
      </c>
      <c r="L254" s="14">
        <v>23200</v>
      </c>
      <c r="M254" s="14">
        <v>23352</v>
      </c>
      <c r="P254" s="15">
        <v>20700</v>
      </c>
      <c r="Q254" s="14" t="s">
        <v>15</v>
      </c>
      <c r="R254" s="14" t="s">
        <v>17</v>
      </c>
      <c r="S254" s="14">
        <v>99.13</v>
      </c>
      <c r="T254" s="16" t="s">
        <v>432</v>
      </c>
      <c r="U254" s="14" t="s">
        <v>432</v>
      </c>
      <c r="V254" s="14">
        <v>40</v>
      </c>
      <c r="W254" s="14">
        <v>23200</v>
      </c>
      <c r="AE254" s="14"/>
      <c r="AG254" s="14">
        <v>0</v>
      </c>
      <c r="AP254" s="14"/>
      <c r="AR254" s="14">
        <v>0</v>
      </c>
      <c r="BC254" s="14">
        <v>0</v>
      </c>
      <c r="BN254" s="14">
        <v>0</v>
      </c>
      <c r="BY254" s="14">
        <v>0</v>
      </c>
    </row>
    <row r="255" spans="1:77">
      <c r="A255" s="14">
        <v>32244</v>
      </c>
      <c r="B255" s="14" t="s">
        <v>157</v>
      </c>
      <c r="C255" s="14" t="str">
        <f>VLOOKUP(A255,[1]Sheet1!$A:$F,5,FALSE)</f>
        <v>전략</v>
      </c>
      <c r="D255" s="14" t="str">
        <f>VLOOKUP(A255,[1]Sheet1!$A:$F,6,FALSE)</f>
        <v>SP</v>
      </c>
      <c r="E255" s="15">
        <v>20902</v>
      </c>
      <c r="F255" s="14" t="s">
        <v>53</v>
      </c>
      <c r="G255" s="14" t="s">
        <v>13</v>
      </c>
      <c r="H255" s="14">
        <v>98.84</v>
      </c>
      <c r="I255" s="17" t="s">
        <v>863</v>
      </c>
      <c r="J255" s="14" t="s">
        <v>863</v>
      </c>
      <c r="K255" s="14">
        <v>15</v>
      </c>
      <c r="L255" s="14">
        <v>20807</v>
      </c>
      <c r="M255" s="14">
        <v>20808</v>
      </c>
      <c r="P255" s="15">
        <v>20702</v>
      </c>
      <c r="Q255" s="14" t="s">
        <v>44</v>
      </c>
      <c r="R255" s="14" t="s">
        <v>17</v>
      </c>
      <c r="S255" s="14">
        <v>98.83</v>
      </c>
      <c r="T255" s="16" t="s">
        <v>347</v>
      </c>
      <c r="U255" s="14" t="s">
        <v>347</v>
      </c>
      <c r="V255" s="14">
        <v>35</v>
      </c>
      <c r="W255" s="14">
        <v>20807</v>
      </c>
      <c r="AA255" s="15">
        <v>20500</v>
      </c>
      <c r="AB255" s="14" t="s">
        <v>31</v>
      </c>
      <c r="AC255" s="14" t="s">
        <v>17</v>
      </c>
      <c r="AD255" s="14">
        <v>98.81</v>
      </c>
      <c r="AE255" s="16" t="s">
        <v>326</v>
      </c>
      <c r="AF255" s="14" t="s">
        <v>326</v>
      </c>
      <c r="AG255" s="14">
        <v>27</v>
      </c>
      <c r="AH255" s="14">
        <v>20807</v>
      </c>
      <c r="AI255" s="14">
        <v>25382</v>
      </c>
      <c r="AL255" s="15">
        <v>20906</v>
      </c>
      <c r="AM255" s="14" t="s">
        <v>48</v>
      </c>
      <c r="AN255" s="14" t="s">
        <v>49</v>
      </c>
      <c r="AO255" s="14">
        <v>95.95</v>
      </c>
      <c r="AP255" s="16" t="s">
        <v>327</v>
      </c>
      <c r="AR255" s="14">
        <v>15.5</v>
      </c>
      <c r="AS255" s="14">
        <v>20807</v>
      </c>
      <c r="BC255" s="14">
        <v>0</v>
      </c>
      <c r="BN255" s="14">
        <v>0</v>
      </c>
      <c r="BY255" s="14">
        <v>0</v>
      </c>
    </row>
    <row r="256" spans="1:77">
      <c r="A256" s="14">
        <v>25038</v>
      </c>
      <c r="B256" s="14" t="s">
        <v>864</v>
      </c>
      <c r="C256" s="14" t="str">
        <f>VLOOKUP(A256,[1]Sheet1!$A:$F,5,FALSE)</f>
        <v>염료</v>
      </c>
      <c r="D256" s="14" t="str">
        <f>VLOOKUP(A256,[1]Sheet1!$A:$F,6,FALSE)</f>
        <v>1PLY</v>
      </c>
      <c r="E256" s="15">
        <v>20300</v>
      </c>
      <c r="F256" s="14" t="s">
        <v>12</v>
      </c>
      <c r="G256" s="14" t="s">
        <v>13</v>
      </c>
      <c r="H256" s="14">
        <v>98.85</v>
      </c>
      <c r="I256" s="17" t="s">
        <v>865</v>
      </c>
      <c r="J256" s="14" t="s">
        <v>865</v>
      </c>
      <c r="K256" s="14">
        <v>30</v>
      </c>
      <c r="L256" s="14">
        <v>23200</v>
      </c>
      <c r="M256" s="14">
        <v>23352</v>
      </c>
      <c r="P256" s="15">
        <v>20700</v>
      </c>
      <c r="Q256" s="14" t="s">
        <v>15</v>
      </c>
      <c r="R256" s="14" t="s">
        <v>17</v>
      </c>
      <c r="S256" s="14">
        <v>99.53</v>
      </c>
      <c r="T256" s="16" t="s">
        <v>432</v>
      </c>
      <c r="V256" s="14">
        <v>40</v>
      </c>
      <c r="W256" s="14">
        <v>23200</v>
      </c>
      <c r="AE256" s="14"/>
      <c r="AG256" s="14">
        <v>0</v>
      </c>
      <c r="AP256" s="14"/>
      <c r="AR256" s="14">
        <v>0</v>
      </c>
      <c r="BC256" s="14">
        <v>0</v>
      </c>
      <c r="BN256" s="14">
        <v>0</v>
      </c>
      <c r="BY256" s="14">
        <v>0</v>
      </c>
    </row>
    <row r="257" spans="1:77">
      <c r="A257" s="14">
        <v>32426</v>
      </c>
      <c r="B257" s="14" t="s">
        <v>866</v>
      </c>
      <c r="C257" s="14" t="str">
        <f>VLOOKUP(A257,[1]Sheet1!$A:$F,5,FALSE)</f>
        <v>전략</v>
      </c>
      <c r="D257" s="14" t="str">
        <f>VLOOKUP(A257,[1]Sheet1!$A:$F,6,FALSE)</f>
        <v>SP</v>
      </c>
      <c r="E257" s="15">
        <v>20902</v>
      </c>
      <c r="F257" s="14" t="s">
        <v>53</v>
      </c>
      <c r="G257" s="14" t="s">
        <v>13</v>
      </c>
      <c r="H257" s="14">
        <v>98.85</v>
      </c>
      <c r="I257" s="17" t="s">
        <v>867</v>
      </c>
      <c r="J257" s="14" t="s">
        <v>867</v>
      </c>
      <c r="K257" s="14">
        <v>15</v>
      </c>
      <c r="L257" s="14">
        <v>20807</v>
      </c>
      <c r="M257" s="14">
        <v>25889</v>
      </c>
      <c r="P257" s="15">
        <v>20705</v>
      </c>
      <c r="Q257" s="14" t="s">
        <v>59</v>
      </c>
      <c r="R257" s="14" t="s">
        <v>17</v>
      </c>
      <c r="S257" s="14">
        <v>98.46</v>
      </c>
      <c r="T257" s="16" t="s">
        <v>513</v>
      </c>
      <c r="U257" s="14" t="s">
        <v>513</v>
      </c>
      <c r="V257" s="14">
        <v>30</v>
      </c>
      <c r="W257" s="14">
        <v>20807</v>
      </c>
      <c r="AA257" s="15">
        <v>20500</v>
      </c>
      <c r="AB257" s="14" t="s">
        <v>31</v>
      </c>
      <c r="AC257" s="14" t="s">
        <v>17</v>
      </c>
      <c r="AD257" s="14">
        <v>98.43</v>
      </c>
      <c r="AE257" s="14" t="s">
        <v>326</v>
      </c>
      <c r="AG257" s="14">
        <v>25</v>
      </c>
      <c r="AH257" s="14">
        <v>20807</v>
      </c>
      <c r="AI257" s="14">
        <v>23352</v>
      </c>
      <c r="AL257" s="15">
        <v>20906</v>
      </c>
      <c r="AM257" s="14" t="s">
        <v>48</v>
      </c>
      <c r="AN257" s="14" t="s">
        <v>49</v>
      </c>
      <c r="AO257" s="14">
        <v>98.41</v>
      </c>
      <c r="AP257" s="16" t="s">
        <v>327</v>
      </c>
      <c r="AR257" s="14">
        <v>17</v>
      </c>
      <c r="AS257" s="14">
        <v>20807</v>
      </c>
      <c r="BC257" s="14">
        <v>0</v>
      </c>
      <c r="BN257" s="14">
        <v>0</v>
      </c>
      <c r="BY257" s="14">
        <v>0</v>
      </c>
    </row>
    <row r="258" spans="1:77">
      <c r="A258" s="14">
        <v>31864</v>
      </c>
      <c r="B258" s="14" t="s">
        <v>29</v>
      </c>
      <c r="C258" s="14" t="str">
        <f>VLOOKUP(A258,[1]Sheet1!$A:$F,5,FALSE)</f>
        <v>염료</v>
      </c>
      <c r="D258" s="14" t="str">
        <f>VLOOKUP(A258,[1]Sheet1!$A:$F,6,FALSE)</f>
        <v>1PLY</v>
      </c>
      <c r="E258" s="15">
        <v>20300</v>
      </c>
      <c r="F258" s="14" t="s">
        <v>12</v>
      </c>
      <c r="G258" s="14" t="s">
        <v>13</v>
      </c>
      <c r="H258" s="14">
        <v>98.88</v>
      </c>
      <c r="I258" s="17" t="s">
        <v>868</v>
      </c>
      <c r="J258" s="14" t="s">
        <v>868</v>
      </c>
      <c r="K258" s="14">
        <v>25</v>
      </c>
      <c r="L258" s="14">
        <v>23200</v>
      </c>
      <c r="M258" s="14">
        <v>23352</v>
      </c>
      <c r="P258" s="15">
        <v>20700</v>
      </c>
      <c r="Q258" s="14" t="s">
        <v>15</v>
      </c>
      <c r="R258" s="14" t="s">
        <v>17</v>
      </c>
      <c r="S258" s="14">
        <v>99.13</v>
      </c>
      <c r="T258" s="16" t="s">
        <v>808</v>
      </c>
      <c r="U258" s="14" t="s">
        <v>808</v>
      </c>
      <c r="V258" s="14">
        <v>40</v>
      </c>
      <c r="W258" s="14">
        <v>23200</v>
      </c>
      <c r="AE258" s="14"/>
      <c r="AG258" s="14">
        <v>0</v>
      </c>
      <c r="AP258" s="14"/>
      <c r="AR258" s="14">
        <v>0</v>
      </c>
      <c r="BC258" s="14">
        <v>0</v>
      </c>
      <c r="BN258" s="14">
        <v>0</v>
      </c>
      <c r="BY258" s="14">
        <v>0</v>
      </c>
    </row>
    <row r="259" spans="1:77">
      <c r="A259" s="14">
        <v>25029</v>
      </c>
      <c r="B259" s="14" t="s">
        <v>18</v>
      </c>
      <c r="C259" s="14" t="str">
        <f>VLOOKUP(A259,[1]Sheet1!$A:$F,5,FALSE)</f>
        <v>염료</v>
      </c>
      <c r="D259" s="14" t="str">
        <f>VLOOKUP(A259,[1]Sheet1!$A:$F,6,FALSE)</f>
        <v>1PLY</v>
      </c>
      <c r="E259" s="15">
        <v>20300</v>
      </c>
      <c r="F259" s="14" t="s">
        <v>12</v>
      </c>
      <c r="G259" s="14" t="s">
        <v>13</v>
      </c>
      <c r="H259" s="14">
        <v>98.89</v>
      </c>
      <c r="I259" s="17" t="s">
        <v>869</v>
      </c>
      <c r="J259" s="14" t="s">
        <v>869</v>
      </c>
      <c r="K259" s="14">
        <v>30</v>
      </c>
      <c r="L259" s="14">
        <v>23200</v>
      </c>
      <c r="M259" s="14">
        <v>23352</v>
      </c>
      <c r="P259" s="15">
        <v>20700</v>
      </c>
      <c r="Q259" s="14" t="s">
        <v>15</v>
      </c>
      <c r="R259" s="14" t="s">
        <v>827</v>
      </c>
      <c r="S259" s="14">
        <v>99.42</v>
      </c>
      <c r="T259" s="16" t="s">
        <v>808</v>
      </c>
      <c r="U259" s="14" t="s">
        <v>870</v>
      </c>
      <c r="V259" s="14">
        <v>47</v>
      </c>
      <c r="W259" s="14">
        <v>23200</v>
      </c>
      <c r="AE259" s="14"/>
      <c r="AG259" s="14">
        <v>0</v>
      </c>
      <c r="AP259" s="14"/>
      <c r="AR259" s="14">
        <v>0</v>
      </c>
      <c r="BC259" s="14">
        <v>0</v>
      </c>
      <c r="BN259" s="14">
        <v>0</v>
      </c>
      <c r="BY259" s="14">
        <v>0</v>
      </c>
    </row>
    <row r="260" spans="1:77">
      <c r="A260" s="14">
        <v>25495</v>
      </c>
      <c r="B260" s="14" t="s">
        <v>66</v>
      </c>
      <c r="C260" s="14" t="str">
        <f>VLOOKUP(A260,[1]Sheet1!$A:$F,5,FALSE)</f>
        <v>전략</v>
      </c>
      <c r="D260" s="14" t="str">
        <f>VLOOKUP(A260,[1]Sheet1!$A:$F,6,FALSE)</f>
        <v>SAFETY</v>
      </c>
      <c r="E260" s="15">
        <v>20700</v>
      </c>
      <c r="F260" s="14" t="s">
        <v>15</v>
      </c>
      <c r="G260" s="14" t="s">
        <v>17</v>
      </c>
      <c r="H260" s="14">
        <v>98.93</v>
      </c>
      <c r="I260" s="17" t="s">
        <v>808</v>
      </c>
      <c r="J260" s="14" t="s">
        <v>871</v>
      </c>
      <c r="K260" s="14">
        <v>35</v>
      </c>
      <c r="L260" s="14" t="s">
        <v>872</v>
      </c>
      <c r="T260" s="14"/>
      <c r="V260" s="14">
        <v>0</v>
      </c>
      <c r="AE260" s="14"/>
      <c r="AG260" s="14">
        <v>0</v>
      </c>
      <c r="AP260" s="14"/>
      <c r="AR260" s="14">
        <v>0</v>
      </c>
      <c r="BC260" s="14">
        <v>0</v>
      </c>
      <c r="BN260" s="14">
        <v>0</v>
      </c>
      <c r="BY260" s="14">
        <v>0</v>
      </c>
    </row>
    <row r="261" spans="1:77">
      <c r="A261" s="14">
        <v>31809</v>
      </c>
      <c r="B261" s="14" t="s">
        <v>228</v>
      </c>
      <c r="C261" s="14" t="str">
        <f>VLOOKUP(A261,[1]Sheet1!$A:$F,5,FALSE)</f>
        <v>HIGH-END</v>
      </c>
      <c r="D261" s="14" t="str">
        <f>VLOOKUP(A261,[1]Sheet1!$A:$F,6,FALSE)</f>
        <v>C-PPF</v>
      </c>
      <c r="E261" s="15">
        <v>20902</v>
      </c>
      <c r="F261" s="14" t="s">
        <v>53</v>
      </c>
      <c r="G261" s="14" t="s">
        <v>16</v>
      </c>
      <c r="H261" s="14">
        <v>98.94</v>
      </c>
      <c r="I261" s="17" t="s">
        <v>873</v>
      </c>
      <c r="J261" s="14" t="s">
        <v>873</v>
      </c>
      <c r="K261" s="14">
        <v>15</v>
      </c>
      <c r="L261" s="14">
        <v>25051</v>
      </c>
      <c r="M261" s="14">
        <v>26119</v>
      </c>
      <c r="P261" s="15">
        <v>20500</v>
      </c>
      <c r="Q261" s="14" t="s">
        <v>31</v>
      </c>
      <c r="R261" s="14" t="s">
        <v>16</v>
      </c>
      <c r="S261" s="14">
        <v>99.11</v>
      </c>
      <c r="T261" s="16" t="s">
        <v>760</v>
      </c>
      <c r="U261" s="14" t="s">
        <v>760</v>
      </c>
      <c r="V261" s="14">
        <v>10</v>
      </c>
      <c r="W261" s="14">
        <v>25051</v>
      </c>
      <c r="Z261" s="14">
        <v>31244</v>
      </c>
      <c r="AA261" s="15">
        <v>12400</v>
      </c>
      <c r="AB261" s="14" t="s">
        <v>217</v>
      </c>
      <c r="AC261" s="14" t="s">
        <v>16</v>
      </c>
      <c r="AD261" s="14">
        <v>99.28</v>
      </c>
      <c r="AE261" s="16" t="s">
        <v>874</v>
      </c>
      <c r="AF261" s="14" t="s">
        <v>874</v>
      </c>
      <c r="AG261" s="14">
        <v>8</v>
      </c>
      <c r="AH261" s="14">
        <v>25051</v>
      </c>
      <c r="AK261" s="14">
        <v>32621</v>
      </c>
      <c r="AP261" s="14"/>
      <c r="AR261" s="14">
        <v>0</v>
      </c>
      <c r="BC261" s="14">
        <v>0</v>
      </c>
      <c r="BN261" s="14">
        <v>0</v>
      </c>
      <c r="BY261" s="14">
        <v>0</v>
      </c>
    </row>
    <row r="262" spans="1:77">
      <c r="A262" s="14">
        <v>32254</v>
      </c>
      <c r="B262" s="14" t="s">
        <v>245</v>
      </c>
      <c r="C262" s="14" t="str">
        <f>VLOOKUP(A262,[1]Sheet1!$A:$F,5,FALSE)</f>
        <v>HIGH-END</v>
      </c>
      <c r="D262" s="14" t="str">
        <f>VLOOKUP(A262,[1]Sheet1!$A:$F,6,FALSE)</f>
        <v>C-PPF</v>
      </c>
      <c r="E262" s="15">
        <v>23312</v>
      </c>
      <c r="F262" s="14" t="s">
        <v>215</v>
      </c>
      <c r="G262" s="14" t="s">
        <v>16</v>
      </c>
      <c r="H262" s="14">
        <v>99</v>
      </c>
      <c r="I262" s="17" t="s">
        <v>875</v>
      </c>
      <c r="J262" s="14" t="s">
        <v>875</v>
      </c>
      <c r="K262" s="14">
        <v>10</v>
      </c>
      <c r="L262" s="14">
        <v>25051</v>
      </c>
      <c r="M262" s="14">
        <v>26119</v>
      </c>
      <c r="P262" s="15">
        <v>23311</v>
      </c>
      <c r="Q262" s="14" t="s">
        <v>221</v>
      </c>
      <c r="R262" s="14" t="s">
        <v>16</v>
      </c>
      <c r="S262" s="14">
        <v>98.99</v>
      </c>
      <c r="T262" s="16" t="s">
        <v>321</v>
      </c>
      <c r="U262" s="14" t="s">
        <v>321</v>
      </c>
      <c r="V262" s="14">
        <v>10</v>
      </c>
      <c r="W262" s="14">
        <v>25051</v>
      </c>
      <c r="X262" s="14">
        <v>25800</v>
      </c>
      <c r="AA262" s="15">
        <v>12400</v>
      </c>
      <c r="AB262" s="14" t="s">
        <v>217</v>
      </c>
      <c r="AC262" s="14" t="s">
        <v>16</v>
      </c>
      <c r="AD262" s="14">
        <v>99.18</v>
      </c>
      <c r="AE262" s="16" t="s">
        <v>469</v>
      </c>
      <c r="AG262" s="14">
        <v>10</v>
      </c>
      <c r="AH262" s="14">
        <v>25051</v>
      </c>
      <c r="AK262" s="14">
        <v>32621</v>
      </c>
      <c r="AP262" s="14"/>
      <c r="AR262" s="14">
        <v>0</v>
      </c>
      <c r="BC262" s="14">
        <v>0</v>
      </c>
      <c r="BN262" s="14">
        <v>0</v>
      </c>
      <c r="BY262" s="14">
        <v>0</v>
      </c>
    </row>
    <row r="263" spans="1:77">
      <c r="A263" s="14">
        <v>31567</v>
      </c>
      <c r="B263" s="14" t="s">
        <v>222</v>
      </c>
      <c r="C263" s="14" t="str">
        <f>VLOOKUP(A263,[1]Sheet1!$A:$F,5,FALSE)</f>
        <v>HIGH-END</v>
      </c>
      <c r="D263" s="14" t="str">
        <f>VLOOKUP(A263,[1]Sheet1!$A:$F,6,FALSE)</f>
        <v>C-PPF</v>
      </c>
      <c r="E263" s="15">
        <v>23311</v>
      </c>
      <c r="F263" s="14" t="s">
        <v>221</v>
      </c>
      <c r="G263" s="14" t="s">
        <v>16</v>
      </c>
      <c r="H263" s="14">
        <v>99.01</v>
      </c>
      <c r="I263" s="17" t="s">
        <v>876</v>
      </c>
      <c r="K263" s="14">
        <v>10</v>
      </c>
      <c r="L263" s="14">
        <v>25178</v>
      </c>
      <c r="O263" s="14">
        <v>31566</v>
      </c>
      <c r="P263" s="15">
        <v>12400</v>
      </c>
      <c r="Q263" s="14" t="s">
        <v>217</v>
      </c>
      <c r="R263" s="14" t="s">
        <v>16</v>
      </c>
      <c r="S263" s="14">
        <v>97.6</v>
      </c>
      <c r="T263" s="16" t="s">
        <v>848</v>
      </c>
      <c r="U263" s="14" t="s">
        <v>848</v>
      </c>
      <c r="V263" s="14">
        <v>8</v>
      </c>
      <c r="W263" s="14">
        <v>25178</v>
      </c>
      <c r="X263" s="14">
        <v>22325</v>
      </c>
      <c r="AE263" s="14"/>
      <c r="AG263" s="14">
        <v>0</v>
      </c>
      <c r="AP263" s="14"/>
      <c r="AR263" s="14">
        <v>0</v>
      </c>
      <c r="BC263" s="14">
        <v>0</v>
      </c>
      <c r="BN263" s="14">
        <v>0</v>
      </c>
      <c r="BY263" s="14">
        <v>0</v>
      </c>
    </row>
    <row r="264" spans="1:77">
      <c r="A264" s="14">
        <v>25030</v>
      </c>
      <c r="B264" s="14" t="s">
        <v>19</v>
      </c>
      <c r="C264" s="14" t="str">
        <f>VLOOKUP(A264,[1]Sheet1!$A:$F,5,FALSE)</f>
        <v>염료</v>
      </c>
      <c r="D264" s="14" t="str">
        <f>VLOOKUP(A264,[1]Sheet1!$A:$F,6,FALSE)</f>
        <v>1PLY</v>
      </c>
      <c r="E264" s="15">
        <v>20300</v>
      </c>
      <c r="F264" s="14" t="s">
        <v>12</v>
      </c>
      <c r="G264" s="14" t="s">
        <v>13</v>
      </c>
      <c r="H264" s="14">
        <v>99.02</v>
      </c>
      <c r="I264" s="17" t="s">
        <v>877</v>
      </c>
      <c r="J264" s="14" t="s">
        <v>877</v>
      </c>
      <c r="K264" s="14">
        <v>30</v>
      </c>
      <c r="L264" s="14">
        <v>23200</v>
      </c>
      <c r="M264" s="14">
        <v>23352</v>
      </c>
      <c r="P264" s="15">
        <v>20700</v>
      </c>
      <c r="Q264" s="14" t="s">
        <v>15</v>
      </c>
      <c r="R264" s="14" t="s">
        <v>827</v>
      </c>
      <c r="S264" s="14">
        <v>99.35</v>
      </c>
      <c r="T264" s="16" t="s">
        <v>432</v>
      </c>
      <c r="U264" s="14" t="s">
        <v>825</v>
      </c>
      <c r="V264" s="14">
        <v>44.7</v>
      </c>
      <c r="W264" s="14">
        <v>23200</v>
      </c>
      <c r="AE264" s="14"/>
      <c r="AG264" s="14">
        <v>0</v>
      </c>
      <c r="AP264" s="14"/>
      <c r="AR264" s="14">
        <v>0</v>
      </c>
      <c r="BC264" s="14">
        <v>0</v>
      </c>
      <c r="BN264" s="14">
        <v>0</v>
      </c>
      <c r="BY264" s="14">
        <v>0</v>
      </c>
    </row>
    <row r="265" spans="1:77">
      <c r="A265" s="14">
        <v>30863</v>
      </c>
      <c r="B265" s="14" t="s">
        <v>69</v>
      </c>
      <c r="C265" s="14" t="str">
        <f>VLOOKUP(A265,[1]Sheet1!$A:$F,5,FALSE)</f>
        <v>전략</v>
      </c>
      <c r="D265" s="14" t="str">
        <f>VLOOKUP(A265,[1]Sheet1!$A:$F,6,FALSE)</f>
        <v>SAFETY</v>
      </c>
      <c r="E265" s="15">
        <v>23100</v>
      </c>
      <c r="F265" s="14" t="s">
        <v>54</v>
      </c>
      <c r="G265" s="14" t="s">
        <v>343</v>
      </c>
      <c r="H265" s="14">
        <v>99.02</v>
      </c>
      <c r="I265" s="17" t="s">
        <v>486</v>
      </c>
      <c r="J265" s="14" t="s">
        <v>486</v>
      </c>
      <c r="K265" s="14">
        <v>19.399999999999999</v>
      </c>
      <c r="L265" s="14">
        <v>26216</v>
      </c>
      <c r="M265" s="14">
        <v>23652</v>
      </c>
      <c r="P265" s="15">
        <v>23200</v>
      </c>
      <c r="Q265" s="14" t="s">
        <v>63</v>
      </c>
      <c r="R265" s="14" t="s">
        <v>487</v>
      </c>
      <c r="S265" s="14">
        <v>98</v>
      </c>
      <c r="T265" s="16" t="s">
        <v>486</v>
      </c>
      <c r="U265" s="14" t="s">
        <v>486</v>
      </c>
      <c r="V265" s="14">
        <v>19.8</v>
      </c>
      <c r="W265" s="14">
        <v>26216</v>
      </c>
      <c r="Z265" s="14" t="s">
        <v>878</v>
      </c>
      <c r="AE265" s="14"/>
      <c r="AG265" s="14">
        <v>0</v>
      </c>
      <c r="AP265" s="14"/>
      <c r="AR265" s="14">
        <v>0</v>
      </c>
      <c r="BC265" s="14">
        <v>0</v>
      </c>
      <c r="BN265" s="14">
        <v>0</v>
      </c>
      <c r="BY265" s="14">
        <v>0</v>
      </c>
    </row>
    <row r="266" spans="1:77">
      <c r="A266" s="14">
        <v>32502</v>
      </c>
      <c r="B266" s="14" t="s">
        <v>261</v>
      </c>
      <c r="C266" s="14" t="str">
        <f>VLOOKUP(A266,[1]Sheet1!$A:$F,5,FALSE)</f>
        <v>HIGH-END</v>
      </c>
      <c r="D266" s="14" t="str">
        <f>VLOOKUP(A266,[1]Sheet1!$A:$F,6,FALSE)</f>
        <v>C-PPF</v>
      </c>
      <c r="E266" s="15">
        <v>23315</v>
      </c>
      <c r="F266" s="14" t="s">
        <v>246</v>
      </c>
      <c r="G266" s="14" t="s">
        <v>16</v>
      </c>
      <c r="H266" s="14">
        <v>99.03</v>
      </c>
      <c r="I266" s="17" t="s">
        <v>879</v>
      </c>
      <c r="J266" s="14" t="s">
        <v>879</v>
      </c>
      <c r="K266" s="14">
        <v>10</v>
      </c>
      <c r="L266" s="14">
        <v>25628</v>
      </c>
      <c r="M266" s="14">
        <v>26119</v>
      </c>
      <c r="P266" s="15">
        <v>20920</v>
      </c>
      <c r="Q266" s="14" t="s">
        <v>231</v>
      </c>
      <c r="R266" s="14" t="s">
        <v>16</v>
      </c>
      <c r="S266" s="14">
        <v>99.02</v>
      </c>
      <c r="T266" s="16" t="s">
        <v>333</v>
      </c>
      <c r="U266" s="14" t="s">
        <v>333</v>
      </c>
      <c r="V266" s="14">
        <v>7</v>
      </c>
      <c r="W266" s="14">
        <v>25628</v>
      </c>
      <c r="X266" s="14">
        <v>26119</v>
      </c>
      <c r="AA266" s="15">
        <v>20500</v>
      </c>
      <c r="AB266" s="14" t="s">
        <v>31</v>
      </c>
      <c r="AC266" s="14" t="s">
        <v>16</v>
      </c>
      <c r="AD266" s="14">
        <v>99.01</v>
      </c>
      <c r="AE266" s="16" t="s">
        <v>321</v>
      </c>
      <c r="AF266" s="14" t="s">
        <v>321</v>
      </c>
      <c r="AG266" s="14">
        <v>10</v>
      </c>
      <c r="AH266" s="14">
        <v>25628</v>
      </c>
      <c r="AI266" s="14">
        <v>25800</v>
      </c>
      <c r="AL266" s="15">
        <v>12400</v>
      </c>
      <c r="AM266" s="14" t="s">
        <v>217</v>
      </c>
      <c r="AN266" s="14" t="s">
        <v>16</v>
      </c>
      <c r="AO266" s="14">
        <v>98.9</v>
      </c>
      <c r="AP266" s="16" t="s">
        <v>469</v>
      </c>
      <c r="AQ266" s="14" t="s">
        <v>469</v>
      </c>
      <c r="AR266" s="14">
        <v>8</v>
      </c>
      <c r="AS266" s="14">
        <v>25628</v>
      </c>
      <c r="AV266" s="14">
        <v>32621</v>
      </c>
      <c r="BC266" s="14">
        <v>0</v>
      </c>
      <c r="BN266" s="14">
        <v>0</v>
      </c>
      <c r="BY266" s="14">
        <v>0</v>
      </c>
    </row>
    <row r="267" spans="1:77">
      <c r="A267" s="14">
        <v>25035</v>
      </c>
      <c r="B267" s="14" t="s">
        <v>22</v>
      </c>
      <c r="C267" s="14" t="str">
        <f>VLOOKUP(A267,[1]Sheet1!$A:$F,5,FALSE)</f>
        <v>염료</v>
      </c>
      <c r="D267" s="14" t="str">
        <f>VLOOKUP(A267,[1]Sheet1!$A:$F,6,FALSE)</f>
        <v>1PLY</v>
      </c>
      <c r="E267" s="15">
        <v>20300</v>
      </c>
      <c r="F267" s="14" t="s">
        <v>12</v>
      </c>
      <c r="G267" s="14" t="s">
        <v>13</v>
      </c>
      <c r="H267" s="14">
        <v>99.04</v>
      </c>
      <c r="I267" s="17" t="s">
        <v>880</v>
      </c>
      <c r="J267" s="14" t="s">
        <v>880</v>
      </c>
      <c r="K267" s="14">
        <v>30</v>
      </c>
      <c r="L267" s="14">
        <v>23200</v>
      </c>
      <c r="M267" s="14" t="s">
        <v>881</v>
      </c>
      <c r="P267" s="15">
        <v>20700</v>
      </c>
      <c r="Q267" s="14" t="s">
        <v>15</v>
      </c>
      <c r="R267" s="14" t="s">
        <v>17</v>
      </c>
      <c r="S267" s="14">
        <v>99.17</v>
      </c>
      <c r="T267" s="16" t="s">
        <v>432</v>
      </c>
      <c r="U267" s="14" t="s">
        <v>432</v>
      </c>
      <c r="V267" s="14">
        <v>40</v>
      </c>
      <c r="W267" s="14">
        <v>23200</v>
      </c>
      <c r="AE267" s="14"/>
      <c r="AG267" s="14">
        <v>0</v>
      </c>
      <c r="AP267" s="14"/>
      <c r="AR267" s="14">
        <v>0</v>
      </c>
      <c r="BC267" s="14">
        <v>0</v>
      </c>
      <c r="BN267" s="14">
        <v>0</v>
      </c>
      <c r="BY267" s="14">
        <v>0</v>
      </c>
    </row>
    <row r="268" spans="1:77">
      <c r="A268" s="14">
        <v>32413</v>
      </c>
      <c r="B268" s="14" t="s">
        <v>247</v>
      </c>
      <c r="C268" s="14" t="str">
        <f>VLOOKUP(A268,[1]Sheet1!$A:$F,5,FALSE)</f>
        <v>HIGH-END</v>
      </c>
      <c r="D268" s="14" t="str">
        <f>VLOOKUP(A268,[1]Sheet1!$A:$F,6,FALSE)</f>
        <v>C-PPF</v>
      </c>
      <c r="E268" s="15">
        <v>23311</v>
      </c>
      <c r="F268" s="14" t="s">
        <v>221</v>
      </c>
      <c r="G268" s="14" t="s">
        <v>16</v>
      </c>
      <c r="H268" s="14">
        <v>99.04</v>
      </c>
      <c r="I268" s="17" t="s">
        <v>876</v>
      </c>
      <c r="J268" s="14" t="s">
        <v>876</v>
      </c>
      <c r="K268" s="14">
        <v>10</v>
      </c>
      <c r="L268" s="14">
        <v>25258</v>
      </c>
      <c r="M268" s="14">
        <v>25800</v>
      </c>
      <c r="P268" s="15">
        <v>12400</v>
      </c>
      <c r="Q268" s="14" t="s">
        <v>217</v>
      </c>
      <c r="R268" s="14" t="s">
        <v>16</v>
      </c>
      <c r="S268" s="14">
        <v>96.24</v>
      </c>
      <c r="T268" s="16" t="s">
        <v>882</v>
      </c>
      <c r="U268" s="14" t="s">
        <v>882</v>
      </c>
      <c r="V268" s="14">
        <v>8.4</v>
      </c>
      <c r="W268" s="14">
        <v>25258</v>
      </c>
      <c r="Z268" s="14">
        <v>31729</v>
      </c>
      <c r="AE268" s="14"/>
      <c r="AG268" s="14">
        <v>0</v>
      </c>
      <c r="AP268" s="14"/>
      <c r="AR268" s="14">
        <v>0</v>
      </c>
      <c r="BC268" s="14">
        <v>0</v>
      </c>
      <c r="BN268" s="14">
        <v>0</v>
      </c>
      <c r="BY268" s="14">
        <v>0</v>
      </c>
    </row>
    <row r="269" spans="1:77">
      <c r="A269" s="14">
        <v>31541</v>
      </c>
      <c r="B269" s="14" t="s">
        <v>28</v>
      </c>
      <c r="C269" s="14" t="str">
        <f>VLOOKUP(A269,[1]Sheet1!$A:$F,5,FALSE)</f>
        <v>염료</v>
      </c>
      <c r="D269" s="14" t="str">
        <f>VLOOKUP(A269,[1]Sheet1!$A:$F,6,FALSE)</f>
        <v>1PLY</v>
      </c>
      <c r="E269" s="15">
        <v>20300</v>
      </c>
      <c r="F269" s="14" t="s">
        <v>12</v>
      </c>
      <c r="G269" s="14" t="s">
        <v>13</v>
      </c>
      <c r="H269" s="14">
        <v>99.07</v>
      </c>
      <c r="I269" s="17" t="s">
        <v>883</v>
      </c>
      <c r="J269" s="14" t="s">
        <v>883</v>
      </c>
      <c r="K269" s="14">
        <v>25</v>
      </c>
      <c r="L269" s="14">
        <v>23200</v>
      </c>
      <c r="M269" s="14">
        <v>23352</v>
      </c>
      <c r="P269" s="15">
        <v>20700</v>
      </c>
      <c r="Q269" s="14" t="s">
        <v>15</v>
      </c>
      <c r="R269" s="14" t="s">
        <v>17</v>
      </c>
      <c r="S269" s="14">
        <v>98.24</v>
      </c>
      <c r="T269" s="16" t="s">
        <v>432</v>
      </c>
      <c r="V269" s="14">
        <v>40</v>
      </c>
      <c r="W269" s="14">
        <v>23200</v>
      </c>
      <c r="AE269" s="14"/>
      <c r="AG269" s="14">
        <v>0</v>
      </c>
      <c r="AP269" s="14"/>
      <c r="AR269" s="14">
        <v>0</v>
      </c>
      <c r="BC269" s="14">
        <v>0</v>
      </c>
      <c r="BN269" s="14">
        <v>0</v>
      </c>
      <c r="BY269" s="14">
        <v>0</v>
      </c>
    </row>
    <row r="270" spans="1:77">
      <c r="A270" s="14">
        <v>32385</v>
      </c>
      <c r="B270" s="14" t="s">
        <v>39</v>
      </c>
      <c r="C270" s="14" t="str">
        <f>VLOOKUP(A270,[1]Sheet1!$A:$F,5,FALSE)</f>
        <v>염료</v>
      </c>
      <c r="D270" s="14" t="str">
        <f>VLOOKUP(A270,[1]Sheet1!$A:$F,6,FALSE)</f>
        <v>COLEX</v>
      </c>
      <c r="E270" s="15">
        <v>20700</v>
      </c>
      <c r="F270" s="14" t="s">
        <v>15</v>
      </c>
      <c r="G270" s="14" t="s">
        <v>17</v>
      </c>
      <c r="H270" s="14">
        <v>99.17</v>
      </c>
      <c r="I270" s="17" t="s">
        <v>432</v>
      </c>
      <c r="K270" s="14">
        <v>35</v>
      </c>
      <c r="L270" s="14">
        <v>26157</v>
      </c>
      <c r="T270" s="14"/>
      <c r="V270" s="14">
        <v>0</v>
      </c>
      <c r="AE270" s="14"/>
      <c r="AG270" s="14">
        <v>0</v>
      </c>
      <c r="AP270" s="14"/>
      <c r="AR270" s="14">
        <v>0</v>
      </c>
      <c r="BC270" s="14">
        <v>0</v>
      </c>
      <c r="BN270" s="14">
        <v>0</v>
      </c>
      <c r="BY270" s="14">
        <v>0</v>
      </c>
    </row>
    <row r="271" spans="1:77">
      <c r="A271" s="14">
        <v>32528</v>
      </c>
      <c r="B271" s="14" t="s">
        <v>74</v>
      </c>
      <c r="C271" s="14" t="str">
        <f>VLOOKUP(A271,[1]Sheet1!$A:$F,5,FALSE)</f>
        <v>전략</v>
      </c>
      <c r="D271" s="14" t="str">
        <f>VLOOKUP(A271,[1]Sheet1!$A:$F,6,FALSE)</f>
        <v>SAFETY</v>
      </c>
      <c r="E271" s="15">
        <v>20700</v>
      </c>
      <c r="F271" s="14" t="s">
        <v>15</v>
      </c>
      <c r="G271" s="14" t="s">
        <v>17</v>
      </c>
      <c r="H271" s="14">
        <v>99.17</v>
      </c>
      <c r="I271" s="17" t="s">
        <v>432</v>
      </c>
      <c r="J271" s="14" t="s">
        <v>432</v>
      </c>
      <c r="K271" s="14">
        <v>35.6</v>
      </c>
      <c r="L271" s="14">
        <v>25646</v>
      </c>
      <c r="P271" s="15">
        <v>23100</v>
      </c>
      <c r="Q271" s="14" t="s">
        <v>54</v>
      </c>
      <c r="R271" s="14" t="s">
        <v>16</v>
      </c>
      <c r="S271" s="14">
        <v>98.24</v>
      </c>
      <c r="T271" s="16" t="s">
        <v>370</v>
      </c>
      <c r="U271" s="14" t="s">
        <v>370</v>
      </c>
      <c r="V271" s="14">
        <v>15</v>
      </c>
      <c r="W271" s="14">
        <v>25646</v>
      </c>
      <c r="X271" s="14">
        <v>23352</v>
      </c>
      <c r="AE271" s="14"/>
      <c r="AG271" s="14">
        <v>0</v>
      </c>
      <c r="AP271" s="14"/>
      <c r="AR271" s="14">
        <v>0</v>
      </c>
      <c r="BC271" s="14">
        <v>0</v>
      </c>
      <c r="BN271" s="14">
        <v>0</v>
      </c>
      <c r="BY271" s="14">
        <v>0</v>
      </c>
    </row>
    <row r="272" spans="1:77">
      <c r="A272" s="14">
        <v>29059</v>
      </c>
      <c r="B272" s="14" t="s">
        <v>68</v>
      </c>
      <c r="C272" s="14" t="str">
        <f>VLOOKUP(A272,[1]Sheet1!$A:$F,5,FALSE)</f>
        <v>전략</v>
      </c>
      <c r="D272" s="14" t="str">
        <f>VLOOKUP(A272,[1]Sheet1!$A:$F,6,FALSE)</f>
        <v>SAFETY</v>
      </c>
      <c r="E272" s="15">
        <v>20700</v>
      </c>
      <c r="F272" s="14" t="s">
        <v>15</v>
      </c>
      <c r="G272" s="14" t="s">
        <v>17</v>
      </c>
      <c r="H272" s="14">
        <v>99.34</v>
      </c>
      <c r="I272" s="17" t="s">
        <v>808</v>
      </c>
      <c r="J272" s="14" t="s">
        <v>870</v>
      </c>
      <c r="K272" s="14">
        <v>35</v>
      </c>
      <c r="L272" s="14" t="s">
        <v>884</v>
      </c>
      <c r="P272" s="15">
        <v>23100</v>
      </c>
      <c r="Q272" s="14" t="s">
        <v>54</v>
      </c>
      <c r="R272" s="14" t="s">
        <v>16</v>
      </c>
      <c r="S272" s="14">
        <v>99.28</v>
      </c>
      <c r="T272" s="16" t="s">
        <v>885</v>
      </c>
      <c r="U272" s="14" t="s">
        <v>885</v>
      </c>
      <c r="V272" s="14">
        <v>20</v>
      </c>
      <c r="W272" s="14" t="s">
        <v>886</v>
      </c>
      <c r="X272" s="14">
        <v>23352</v>
      </c>
      <c r="AE272" s="14"/>
      <c r="AG272" s="14">
        <v>0</v>
      </c>
      <c r="AP272" s="14"/>
      <c r="AR272" s="14">
        <v>0</v>
      </c>
      <c r="BC272" s="14">
        <v>0</v>
      </c>
      <c r="BN272" s="14">
        <v>0</v>
      </c>
      <c r="BY272" s="14">
        <v>0</v>
      </c>
    </row>
    <row r="273" spans="1:77">
      <c r="A273" s="14">
        <v>31655</v>
      </c>
      <c r="B273" s="14" t="s">
        <v>223</v>
      </c>
      <c r="C273" s="14" t="str">
        <f>VLOOKUP(A273,[1]Sheet1!$A:$F,5,FALSE)</f>
        <v>HIGH-END</v>
      </c>
      <c r="D273" s="14" t="str">
        <f>VLOOKUP(A273,[1]Sheet1!$A:$F,6,FALSE)</f>
        <v>C-PPF</v>
      </c>
      <c r="E273" s="15">
        <v>23311</v>
      </c>
      <c r="F273" s="14" t="s">
        <v>221</v>
      </c>
      <c r="G273" s="14" t="s">
        <v>16</v>
      </c>
      <c r="H273" s="14">
        <v>99.39</v>
      </c>
      <c r="I273" s="17" t="s">
        <v>876</v>
      </c>
      <c r="J273" s="14" t="s">
        <v>876</v>
      </c>
      <c r="K273" s="14">
        <v>10</v>
      </c>
      <c r="L273" s="14" t="s">
        <v>887</v>
      </c>
      <c r="O273" s="14">
        <v>31244</v>
      </c>
      <c r="P273" s="15">
        <v>12400</v>
      </c>
      <c r="Q273" s="14" t="s">
        <v>217</v>
      </c>
      <c r="R273" s="14" t="s">
        <v>16</v>
      </c>
      <c r="S273" s="14">
        <v>96.93</v>
      </c>
      <c r="T273" s="16" t="s">
        <v>888</v>
      </c>
      <c r="U273" s="14" t="s">
        <v>888</v>
      </c>
      <c r="V273" s="14">
        <v>10</v>
      </c>
      <c r="W273" s="14" t="s">
        <v>889</v>
      </c>
      <c r="Z273" s="14">
        <v>31655</v>
      </c>
      <c r="AE273" s="14"/>
      <c r="AG273" s="14">
        <v>0</v>
      </c>
      <c r="AP273" s="14"/>
      <c r="AR273" s="14">
        <v>0</v>
      </c>
      <c r="BC273" s="14">
        <v>0</v>
      </c>
      <c r="BN273" s="14">
        <v>0</v>
      </c>
      <c r="BY273" s="14">
        <v>0</v>
      </c>
    </row>
    <row r="274" spans="1:77">
      <c r="A274" s="14">
        <v>31722</v>
      </c>
      <c r="B274" s="14" t="s">
        <v>226</v>
      </c>
      <c r="C274" s="14" t="str">
        <f>VLOOKUP(A274,[1]Sheet1!$A:$F,5,FALSE)</f>
        <v>HIGH-END</v>
      </c>
      <c r="D274" s="14" t="str">
        <f>VLOOKUP(A274,[1]Sheet1!$A:$F,6,FALSE)</f>
        <v>C-PPF</v>
      </c>
      <c r="E274" s="15">
        <v>23311</v>
      </c>
      <c r="F274" s="14" t="s">
        <v>221</v>
      </c>
      <c r="G274" s="14" t="s">
        <v>16</v>
      </c>
      <c r="H274" s="14">
        <v>99.44</v>
      </c>
      <c r="I274" s="17" t="s">
        <v>876</v>
      </c>
      <c r="J274" s="14" t="s">
        <v>876</v>
      </c>
      <c r="K274" s="14">
        <v>10</v>
      </c>
      <c r="L274" s="14" t="s">
        <v>890</v>
      </c>
      <c r="M274" s="14">
        <v>25800</v>
      </c>
      <c r="P274" s="15">
        <v>12400</v>
      </c>
      <c r="Q274" s="14" t="s">
        <v>217</v>
      </c>
      <c r="R274" s="14" t="s">
        <v>16</v>
      </c>
      <c r="S274" s="14">
        <v>99.34</v>
      </c>
      <c r="T274" s="16" t="s">
        <v>891</v>
      </c>
      <c r="U274" s="14" t="s">
        <v>892</v>
      </c>
      <c r="V274" s="14">
        <v>8.9</v>
      </c>
      <c r="W274" s="14" t="s">
        <v>890</v>
      </c>
      <c r="Z274" s="14" t="s">
        <v>893</v>
      </c>
      <c r="AE274" s="14"/>
      <c r="AG274" s="14">
        <v>0</v>
      </c>
      <c r="AP274" s="14"/>
      <c r="AR274" s="14">
        <v>0</v>
      </c>
      <c r="BC274" s="14">
        <v>0</v>
      </c>
      <c r="BN274" s="14">
        <v>0</v>
      </c>
      <c r="BY274" s="14">
        <v>0</v>
      </c>
    </row>
    <row r="275" spans="1:77">
      <c r="A275" s="14">
        <v>31729</v>
      </c>
      <c r="B275" s="14" t="s">
        <v>227</v>
      </c>
      <c r="C275" s="14" t="str">
        <f>VLOOKUP(A275,[1]Sheet1!$A:$F,5,FALSE)</f>
        <v>HIGH-END</v>
      </c>
      <c r="D275" s="14" t="str">
        <f>VLOOKUP(A275,[1]Sheet1!$A:$F,6,FALSE)</f>
        <v>C-PPF</v>
      </c>
      <c r="E275" s="15">
        <v>20700</v>
      </c>
      <c r="F275" s="14" t="s">
        <v>15</v>
      </c>
      <c r="G275" s="14" t="s">
        <v>17</v>
      </c>
      <c r="H275" s="14">
        <v>99.44</v>
      </c>
      <c r="I275" s="17" t="s">
        <v>432</v>
      </c>
      <c r="J275" s="14" t="s">
        <v>825</v>
      </c>
      <c r="K275" s="14">
        <v>35</v>
      </c>
      <c r="L275" s="14">
        <v>24670</v>
      </c>
      <c r="T275" s="14"/>
      <c r="V275" s="14">
        <v>0</v>
      </c>
      <c r="AE275" s="14"/>
      <c r="AG275" s="14">
        <v>0</v>
      </c>
      <c r="AP275" s="14"/>
      <c r="AR275" s="14">
        <v>0</v>
      </c>
      <c r="BC275" s="14">
        <v>0</v>
      </c>
      <c r="BN275" s="14">
        <v>0</v>
      </c>
      <c r="BY275" s="14">
        <v>0</v>
      </c>
    </row>
    <row r="276" spans="1:77">
      <c r="A276" s="14">
        <v>32474</v>
      </c>
      <c r="B276" s="14" t="s">
        <v>259</v>
      </c>
      <c r="C276" s="14" t="str">
        <f>VLOOKUP(A276,[1]Sheet1!$A:$F,5,FALSE)</f>
        <v>HIGH-END</v>
      </c>
      <c r="D276" s="14" t="str">
        <f>VLOOKUP(A276,[1]Sheet1!$A:$F,6,FALSE)</f>
        <v>C-PPF</v>
      </c>
      <c r="E276" s="15">
        <v>20904</v>
      </c>
      <c r="F276" s="14" t="s">
        <v>156</v>
      </c>
      <c r="G276" s="14" t="s">
        <v>16</v>
      </c>
      <c r="H276" s="14">
        <v>99.47</v>
      </c>
      <c r="I276" s="17" t="s">
        <v>894</v>
      </c>
      <c r="J276" s="14" t="s">
        <v>894</v>
      </c>
      <c r="K276" s="14">
        <v>15</v>
      </c>
      <c r="L276" s="14">
        <v>25178</v>
      </c>
      <c r="M276" s="14" t="s">
        <v>895</v>
      </c>
      <c r="P276" s="15">
        <v>23311</v>
      </c>
      <c r="Q276" s="14" t="s">
        <v>221</v>
      </c>
      <c r="R276" s="14" t="s">
        <v>16</v>
      </c>
      <c r="S276" s="14">
        <v>97.72</v>
      </c>
      <c r="T276" s="16" t="s">
        <v>760</v>
      </c>
      <c r="U276" s="14" t="s">
        <v>760</v>
      </c>
      <c r="V276" s="14">
        <v>10</v>
      </c>
      <c r="W276" s="14">
        <v>25178</v>
      </c>
      <c r="X276" s="14">
        <v>26207</v>
      </c>
      <c r="AA276" s="15">
        <v>12400</v>
      </c>
      <c r="AB276" s="14" t="s">
        <v>217</v>
      </c>
      <c r="AC276" s="14" t="s">
        <v>16</v>
      </c>
      <c r="AD276" s="14">
        <v>97.05</v>
      </c>
      <c r="AE276" s="16" t="s">
        <v>896</v>
      </c>
      <c r="AF276" s="14" t="s">
        <v>896</v>
      </c>
      <c r="AG276" s="14">
        <v>9.8000000000000007</v>
      </c>
      <c r="AH276" s="14">
        <v>25178</v>
      </c>
      <c r="AK276" s="14">
        <v>32090</v>
      </c>
      <c r="AP276" s="14"/>
      <c r="AR276" s="14">
        <v>0</v>
      </c>
      <c r="BC276" s="14">
        <v>0</v>
      </c>
      <c r="BN276" s="14">
        <v>0</v>
      </c>
      <c r="BY276" s="14">
        <v>0</v>
      </c>
    </row>
    <row r="277" spans="1:77">
      <c r="A277" s="14">
        <v>32431</v>
      </c>
      <c r="B277" s="14" t="s">
        <v>251</v>
      </c>
      <c r="C277" s="14" t="str">
        <f>VLOOKUP(A277,[1]Sheet1!$A:$F,5,FALSE)</f>
        <v>HIGH-END</v>
      </c>
      <c r="D277" s="14" t="str">
        <f>VLOOKUP(A277,[1]Sheet1!$A:$F,6,FALSE)</f>
        <v>C-PPF</v>
      </c>
      <c r="E277" s="15">
        <v>23311</v>
      </c>
      <c r="F277" s="14" t="s">
        <v>221</v>
      </c>
      <c r="G277" s="14" t="s">
        <v>16</v>
      </c>
      <c r="H277" s="14">
        <v>99.5</v>
      </c>
      <c r="I277" s="17" t="s">
        <v>321</v>
      </c>
      <c r="J277" s="14" t="s">
        <v>321</v>
      </c>
      <c r="K277" s="14">
        <v>10</v>
      </c>
      <c r="L277" s="14">
        <v>25829</v>
      </c>
      <c r="O277" s="14">
        <v>32430</v>
      </c>
      <c r="P277" s="15">
        <v>12400</v>
      </c>
      <c r="Q277" s="14" t="s">
        <v>217</v>
      </c>
      <c r="R277" s="14" t="s">
        <v>16</v>
      </c>
      <c r="S277" s="14">
        <v>97.61</v>
      </c>
      <c r="T277" s="16" t="s">
        <v>334</v>
      </c>
      <c r="U277" s="14" t="s">
        <v>334</v>
      </c>
      <c r="V277" s="14">
        <v>8</v>
      </c>
      <c r="W277" s="14">
        <v>25829</v>
      </c>
      <c r="Z277" s="14">
        <v>31729</v>
      </c>
      <c r="AE277" s="14"/>
      <c r="AG277" s="14">
        <v>0</v>
      </c>
      <c r="AP277" s="14"/>
      <c r="AR277" s="14">
        <v>0</v>
      </c>
      <c r="BC277" s="14">
        <v>0</v>
      </c>
      <c r="BN277" s="14">
        <v>0</v>
      </c>
      <c r="BY277" s="14">
        <v>0</v>
      </c>
    </row>
    <row r="278" spans="1:77">
      <c r="A278" s="14">
        <v>32610</v>
      </c>
      <c r="B278" s="14" t="s">
        <v>897</v>
      </c>
      <c r="C278" s="14" t="str">
        <f>VLOOKUP(A278,[1]Sheet1!$A:$F,5,FALSE)</f>
        <v>HIGH-END</v>
      </c>
      <c r="D278" s="14" t="str">
        <f>VLOOKUP(A278,[1]Sheet1!$A:$F,6,FALSE)</f>
        <v>C-PPF</v>
      </c>
      <c r="E278" s="15">
        <v>23311</v>
      </c>
      <c r="F278" s="14" t="s">
        <v>221</v>
      </c>
      <c r="G278" s="14" t="s">
        <v>16</v>
      </c>
      <c r="H278" s="14">
        <v>99.51</v>
      </c>
      <c r="I278" s="17" t="s">
        <v>876</v>
      </c>
      <c r="J278" s="14" t="s">
        <v>876</v>
      </c>
      <c r="K278" s="14">
        <v>10</v>
      </c>
      <c r="L278" s="14">
        <v>25178</v>
      </c>
      <c r="M278" s="14">
        <v>25800</v>
      </c>
      <c r="O278" s="14">
        <v>32429</v>
      </c>
      <c r="P278" s="15">
        <v>12400</v>
      </c>
      <c r="Q278" s="14" t="s">
        <v>217</v>
      </c>
      <c r="R278" s="14" t="s">
        <v>16</v>
      </c>
      <c r="S278" s="14">
        <v>98.46</v>
      </c>
      <c r="T278" s="16" t="s">
        <v>334</v>
      </c>
      <c r="U278" s="14" t="s">
        <v>334</v>
      </c>
      <c r="V278" s="14">
        <v>8.4</v>
      </c>
      <c r="W278" s="14">
        <v>25178</v>
      </c>
      <c r="Z278" s="14">
        <v>31729</v>
      </c>
      <c r="AE278" s="14"/>
      <c r="AG278" s="14">
        <v>0</v>
      </c>
      <c r="AP278" s="14"/>
      <c r="AR278" s="14">
        <v>0</v>
      </c>
      <c r="BC278" s="14">
        <v>0</v>
      </c>
      <c r="BN278" s="14">
        <v>0</v>
      </c>
      <c r="BY278" s="14">
        <v>0</v>
      </c>
    </row>
    <row r="279" spans="1:77">
      <c r="A279" s="14">
        <v>32111</v>
      </c>
      <c r="B279" s="14" t="s">
        <v>241</v>
      </c>
      <c r="C279" s="14" t="str">
        <f>VLOOKUP(A279,[1]Sheet1!$A:$F,5,FALSE)</f>
        <v>HIGH-END</v>
      </c>
      <c r="D279" s="14" t="str">
        <f>VLOOKUP(A279,[1]Sheet1!$A:$F,6,FALSE)</f>
        <v>C-PPF</v>
      </c>
      <c r="E279" s="15">
        <v>20904</v>
      </c>
      <c r="F279" s="14" t="s">
        <v>156</v>
      </c>
      <c r="G279" s="14" t="s">
        <v>16</v>
      </c>
      <c r="H279" s="14">
        <v>99.53</v>
      </c>
      <c r="I279" s="17" t="s">
        <v>894</v>
      </c>
      <c r="J279" s="14" t="s">
        <v>894</v>
      </c>
      <c r="K279" s="14">
        <v>15</v>
      </c>
      <c r="L279" s="14">
        <v>25178</v>
      </c>
      <c r="M279" s="14" t="s">
        <v>898</v>
      </c>
      <c r="P279" s="15">
        <v>23311</v>
      </c>
      <c r="Q279" s="14" t="s">
        <v>221</v>
      </c>
      <c r="R279" s="14" t="s">
        <v>16</v>
      </c>
      <c r="S279" s="14">
        <v>98.74</v>
      </c>
      <c r="T279" s="16" t="s">
        <v>760</v>
      </c>
      <c r="U279" s="14" t="s">
        <v>760</v>
      </c>
      <c r="V279" s="14">
        <v>10</v>
      </c>
      <c r="W279" s="14">
        <v>25178</v>
      </c>
      <c r="X279" s="14">
        <v>26207</v>
      </c>
      <c r="Z279" s="14">
        <v>31668</v>
      </c>
      <c r="AA279" s="15">
        <v>12400</v>
      </c>
      <c r="AB279" s="14" t="s">
        <v>217</v>
      </c>
      <c r="AC279" s="14" t="s">
        <v>16</v>
      </c>
      <c r="AD279" s="14">
        <v>98.07</v>
      </c>
      <c r="AE279" s="16" t="s">
        <v>899</v>
      </c>
      <c r="AF279" s="14" t="s">
        <v>899</v>
      </c>
      <c r="AG279" s="14">
        <v>10</v>
      </c>
      <c r="AH279" s="14">
        <v>25178</v>
      </c>
      <c r="AK279" s="14">
        <v>32090</v>
      </c>
      <c r="AP279" s="14"/>
      <c r="AR279" s="14">
        <v>0</v>
      </c>
      <c r="BC279" s="14">
        <v>0</v>
      </c>
      <c r="BN279" s="14">
        <v>0</v>
      </c>
      <c r="BY279" s="14">
        <v>0</v>
      </c>
    </row>
    <row r="280" spans="1:77">
      <c r="A280" s="14">
        <v>31704</v>
      </c>
      <c r="B280" s="14" t="s">
        <v>225</v>
      </c>
      <c r="C280" s="14" t="str">
        <f>VLOOKUP(A280,[1]Sheet1!$A:$F,5,FALSE)</f>
        <v>HIGH-END</v>
      </c>
      <c r="D280" s="14" t="str">
        <f>VLOOKUP(A280,[1]Sheet1!$A:$F,6,FALSE)</f>
        <v>C-PPF</v>
      </c>
      <c r="E280" s="15">
        <v>23311</v>
      </c>
      <c r="F280" s="14" t="s">
        <v>221</v>
      </c>
      <c r="G280" s="14" t="s">
        <v>16</v>
      </c>
      <c r="H280" s="14">
        <v>99.55</v>
      </c>
      <c r="I280" s="17" t="s">
        <v>876</v>
      </c>
      <c r="J280" s="14" t="s">
        <v>900</v>
      </c>
      <c r="K280" s="14">
        <v>10</v>
      </c>
      <c r="L280" s="14" t="s">
        <v>901</v>
      </c>
      <c r="O280" s="14" t="s">
        <v>902</v>
      </c>
      <c r="P280" s="15">
        <v>12400</v>
      </c>
      <c r="Q280" s="14" t="s">
        <v>217</v>
      </c>
      <c r="R280" s="14" t="s">
        <v>16</v>
      </c>
      <c r="S280" s="14">
        <v>99.1</v>
      </c>
      <c r="T280" s="16" t="s">
        <v>874</v>
      </c>
      <c r="U280" s="14" t="s">
        <v>903</v>
      </c>
      <c r="V280" s="14">
        <v>8.3000000000000007</v>
      </c>
      <c r="W280" s="14" t="s">
        <v>904</v>
      </c>
      <c r="Z280" s="14" t="s">
        <v>801</v>
      </c>
      <c r="AE280" s="14"/>
      <c r="AG280" s="14">
        <v>0</v>
      </c>
      <c r="AP280" s="14"/>
      <c r="AR280" s="14">
        <v>0</v>
      </c>
      <c r="BC280" s="14">
        <v>0</v>
      </c>
      <c r="BN280" s="14">
        <v>0</v>
      </c>
      <c r="BY280" s="14">
        <v>0</v>
      </c>
    </row>
    <row r="281" spans="1:77">
      <c r="A281" s="14">
        <v>32023</v>
      </c>
      <c r="B281" s="14" t="s">
        <v>237</v>
      </c>
      <c r="C281" s="14" t="str">
        <f>VLOOKUP(A281,[1]Sheet1!$A:$F,5,FALSE)</f>
        <v>HIGH-END</v>
      </c>
      <c r="D281" s="14" t="str">
        <f>VLOOKUP(A281,[1]Sheet1!$A:$F,6,FALSE)</f>
        <v>C-PPF</v>
      </c>
      <c r="E281" s="15">
        <v>20500</v>
      </c>
      <c r="F281" s="14" t="s">
        <v>31</v>
      </c>
      <c r="G281" s="14" t="s">
        <v>16</v>
      </c>
      <c r="H281" s="14">
        <v>99.56</v>
      </c>
      <c r="I281" s="17" t="s">
        <v>876</v>
      </c>
      <c r="J281" s="14" t="s">
        <v>876</v>
      </c>
      <c r="K281" s="14">
        <v>10</v>
      </c>
      <c r="L281" s="14" t="s">
        <v>890</v>
      </c>
      <c r="M281" s="14">
        <v>25800</v>
      </c>
      <c r="O281" s="14">
        <v>32429</v>
      </c>
      <c r="P281" s="15">
        <v>12400</v>
      </c>
      <c r="Q281" s="14" t="s">
        <v>217</v>
      </c>
      <c r="R281" s="14" t="s">
        <v>16</v>
      </c>
      <c r="S281" s="14">
        <v>97.42</v>
      </c>
      <c r="T281" s="16" t="s">
        <v>899</v>
      </c>
      <c r="U281" s="14" t="s">
        <v>905</v>
      </c>
      <c r="V281" s="14">
        <v>10</v>
      </c>
      <c r="W281" s="14" t="s">
        <v>890</v>
      </c>
      <c r="Z281" s="14">
        <v>32090</v>
      </c>
      <c r="AE281" s="14"/>
      <c r="AG281" s="14">
        <v>0</v>
      </c>
      <c r="AP281" s="14"/>
      <c r="AR281" s="14">
        <v>0</v>
      </c>
      <c r="BC281" s="14">
        <v>0</v>
      </c>
      <c r="BN281" s="14">
        <v>0</v>
      </c>
      <c r="BY281" s="14">
        <v>0</v>
      </c>
    </row>
    <row r="282" spans="1:77">
      <c r="A282" s="14">
        <v>32415</v>
      </c>
      <c r="B282" s="14" t="s">
        <v>249</v>
      </c>
      <c r="C282" s="14" t="str">
        <f>VLOOKUP(A282,[1]Sheet1!$A:$F,5,FALSE)</f>
        <v>HIGH-END</v>
      </c>
      <c r="D282" s="14" t="str">
        <f>VLOOKUP(A282,[1]Sheet1!$A:$F,6,FALSE)</f>
        <v>C-PPF</v>
      </c>
      <c r="E282" s="15">
        <v>23311</v>
      </c>
      <c r="F282" s="14" t="s">
        <v>221</v>
      </c>
      <c r="G282" s="14" t="s">
        <v>16</v>
      </c>
      <c r="H282" s="14">
        <v>99.59</v>
      </c>
      <c r="I282" s="17" t="s">
        <v>334</v>
      </c>
      <c r="J282" s="14" t="s">
        <v>906</v>
      </c>
      <c r="K282" s="14">
        <v>10</v>
      </c>
      <c r="L282" s="14" t="s">
        <v>890</v>
      </c>
      <c r="M282" s="14">
        <v>25800</v>
      </c>
      <c r="P282" s="15">
        <v>12400</v>
      </c>
      <c r="Q282" s="14" t="s">
        <v>217</v>
      </c>
      <c r="R282" s="14" t="s">
        <v>16</v>
      </c>
      <c r="S282" s="14">
        <v>99.26</v>
      </c>
      <c r="T282" s="16" t="s">
        <v>334</v>
      </c>
      <c r="U282" s="14" t="s">
        <v>334</v>
      </c>
      <c r="V282" s="14">
        <v>8</v>
      </c>
      <c r="W282" s="14" t="s">
        <v>890</v>
      </c>
      <c r="Z282" s="14">
        <v>31729</v>
      </c>
      <c r="AE282" s="14"/>
      <c r="AG282" s="14">
        <v>0</v>
      </c>
      <c r="AP282" s="14"/>
      <c r="AR282" s="14">
        <v>0</v>
      </c>
      <c r="BC282" s="14">
        <v>0</v>
      </c>
      <c r="BN282" s="14">
        <v>0</v>
      </c>
      <c r="BY282" s="14">
        <v>0</v>
      </c>
    </row>
    <row r="283" spans="1:77">
      <c r="A283" s="14">
        <v>32453</v>
      </c>
      <c r="B283" s="14" t="s">
        <v>255</v>
      </c>
      <c r="C283" s="14" t="str">
        <f>VLOOKUP(A283,[1]Sheet1!$A:$F,5,FALSE)</f>
        <v>HIGH-END</v>
      </c>
      <c r="D283" s="14" t="str">
        <f>VLOOKUP(A283,[1]Sheet1!$A:$F,6,FALSE)</f>
        <v>C-PPF</v>
      </c>
      <c r="E283" s="15">
        <v>23311</v>
      </c>
      <c r="F283" s="14" t="s">
        <v>221</v>
      </c>
      <c r="G283" s="14" t="s">
        <v>16</v>
      </c>
      <c r="H283" s="14">
        <v>99.59</v>
      </c>
      <c r="I283" s="17" t="s">
        <v>907</v>
      </c>
      <c r="J283" s="14" t="s">
        <v>908</v>
      </c>
      <c r="K283" s="14">
        <v>10</v>
      </c>
      <c r="L283" s="14">
        <v>25178</v>
      </c>
      <c r="M283" s="14">
        <v>25800</v>
      </c>
      <c r="P283" s="15">
        <v>12400</v>
      </c>
      <c r="Q283" s="14" t="s">
        <v>217</v>
      </c>
      <c r="R283" s="14" t="s">
        <v>16</v>
      </c>
      <c r="S283" s="14">
        <v>96.34</v>
      </c>
      <c r="T283" s="16" t="s">
        <v>896</v>
      </c>
      <c r="U283" s="14" t="s">
        <v>896</v>
      </c>
      <c r="V283" s="14">
        <v>10</v>
      </c>
      <c r="W283" s="14">
        <v>25178</v>
      </c>
      <c r="Z283" s="14">
        <v>32090</v>
      </c>
      <c r="AE283" s="14"/>
      <c r="AG283" s="14">
        <v>0</v>
      </c>
      <c r="AP283" s="14"/>
      <c r="AR283" s="14">
        <v>0</v>
      </c>
      <c r="BC283" s="14">
        <v>0</v>
      </c>
      <c r="BN283" s="14">
        <v>0</v>
      </c>
      <c r="BY283" s="14">
        <v>0</v>
      </c>
    </row>
    <row r="284" spans="1:77">
      <c r="A284" s="14">
        <v>31984</v>
      </c>
      <c r="B284" s="14" t="s">
        <v>234</v>
      </c>
      <c r="C284" s="14" t="str">
        <f>VLOOKUP(A284,[1]Sheet1!$A:$F,5,FALSE)</f>
        <v>HIGH-END</v>
      </c>
      <c r="D284" s="14" t="str">
        <f>VLOOKUP(A284,[1]Sheet1!$A:$F,6,FALSE)</f>
        <v>C-PPF</v>
      </c>
      <c r="E284" s="15">
        <v>20902</v>
      </c>
      <c r="F284" s="14" t="s">
        <v>53</v>
      </c>
      <c r="G284" s="14" t="s">
        <v>16</v>
      </c>
      <c r="H284" s="14">
        <v>99.6</v>
      </c>
      <c r="I284" s="17" t="s">
        <v>894</v>
      </c>
      <c r="J284" s="14" t="s">
        <v>894</v>
      </c>
      <c r="K284" s="14">
        <v>15</v>
      </c>
      <c r="L284" s="14">
        <v>25178</v>
      </c>
      <c r="M284" s="14" t="s">
        <v>895</v>
      </c>
      <c r="P284" s="15">
        <v>20500</v>
      </c>
      <c r="Q284" s="14" t="s">
        <v>31</v>
      </c>
      <c r="R284" s="14" t="s">
        <v>16</v>
      </c>
      <c r="S284" s="14">
        <v>99.29</v>
      </c>
      <c r="T284" s="16" t="s">
        <v>760</v>
      </c>
      <c r="U284" s="14" t="s">
        <v>760</v>
      </c>
      <c r="V284" s="14">
        <v>10</v>
      </c>
      <c r="W284" s="14">
        <v>25178</v>
      </c>
      <c r="X284" s="14">
        <v>26207</v>
      </c>
      <c r="AA284" s="15">
        <v>12400</v>
      </c>
      <c r="AB284" s="14" t="s">
        <v>217</v>
      </c>
      <c r="AC284" s="14" t="s">
        <v>16</v>
      </c>
      <c r="AD284" s="14">
        <v>97.43</v>
      </c>
      <c r="AE284" s="16" t="s">
        <v>469</v>
      </c>
      <c r="AF284" s="14" t="s">
        <v>469</v>
      </c>
      <c r="AG284" s="14">
        <v>11.9</v>
      </c>
      <c r="AH284" s="14">
        <v>25178</v>
      </c>
      <c r="AK284" s="14" t="s">
        <v>909</v>
      </c>
      <c r="AP284" s="14"/>
      <c r="AR284" s="14">
        <v>0</v>
      </c>
      <c r="BC284" s="14">
        <v>0</v>
      </c>
      <c r="BN284" s="14">
        <v>0</v>
      </c>
      <c r="BY284" s="14">
        <v>0</v>
      </c>
    </row>
    <row r="285" spans="1:77">
      <c r="A285" s="14">
        <v>32199</v>
      </c>
      <c r="B285" s="14" t="s">
        <v>244</v>
      </c>
      <c r="C285" s="14" t="str">
        <f>VLOOKUP(A285,[1]Sheet1!$A:$F,5,FALSE)</f>
        <v>HIGH-END</v>
      </c>
      <c r="D285" s="14" t="str">
        <f>VLOOKUP(A285,[1]Sheet1!$A:$F,6,FALSE)</f>
        <v>C-PPF</v>
      </c>
      <c r="E285" s="15">
        <v>20902</v>
      </c>
      <c r="F285" s="14" t="s">
        <v>53</v>
      </c>
      <c r="G285" s="14" t="s">
        <v>16</v>
      </c>
      <c r="H285" s="14">
        <v>99.6</v>
      </c>
      <c r="I285" s="17" t="s">
        <v>894</v>
      </c>
      <c r="J285" s="14" t="s">
        <v>894</v>
      </c>
      <c r="K285" s="14">
        <v>15</v>
      </c>
      <c r="L285" s="14">
        <v>25178</v>
      </c>
      <c r="M285" s="14" t="s">
        <v>895</v>
      </c>
      <c r="P285" s="15">
        <v>20500</v>
      </c>
      <c r="Q285" s="14" t="s">
        <v>31</v>
      </c>
      <c r="R285" s="14" t="s">
        <v>16</v>
      </c>
      <c r="S285" s="14">
        <v>99.29</v>
      </c>
      <c r="T285" s="16" t="s">
        <v>760</v>
      </c>
      <c r="U285" s="14" t="s">
        <v>760</v>
      </c>
      <c r="V285" s="14">
        <v>10</v>
      </c>
      <c r="W285" s="14">
        <v>25178</v>
      </c>
      <c r="X285" s="14">
        <v>26207</v>
      </c>
      <c r="AA285" s="15">
        <v>12400</v>
      </c>
      <c r="AB285" s="14" t="s">
        <v>217</v>
      </c>
      <c r="AC285" s="14" t="s">
        <v>16</v>
      </c>
      <c r="AD285" s="14">
        <v>97.43</v>
      </c>
      <c r="AE285" s="16" t="s">
        <v>338</v>
      </c>
      <c r="AF285" s="14" t="s">
        <v>469</v>
      </c>
      <c r="AG285" s="14">
        <v>11.9</v>
      </c>
      <c r="AH285" s="14">
        <v>25178</v>
      </c>
      <c r="AK285" s="14" t="s">
        <v>909</v>
      </c>
      <c r="AP285" s="14"/>
      <c r="AR285" s="14">
        <v>0</v>
      </c>
      <c r="BC285" s="14">
        <v>0</v>
      </c>
      <c r="BN285" s="14">
        <v>0</v>
      </c>
      <c r="BY285" s="14">
        <v>0</v>
      </c>
    </row>
    <row r="286" spans="1:77">
      <c r="A286" s="14">
        <v>32414</v>
      </c>
      <c r="B286" s="14" t="s">
        <v>248</v>
      </c>
      <c r="C286" s="14" t="str">
        <f>VLOOKUP(A286,[1]Sheet1!$A:$F,5,FALSE)</f>
        <v>HIGH-END</v>
      </c>
      <c r="D286" s="14" t="str">
        <f>VLOOKUP(A286,[1]Sheet1!$A:$F,6,FALSE)</f>
        <v>C-PPF</v>
      </c>
      <c r="E286" s="15">
        <v>23311</v>
      </c>
      <c r="F286" s="14" t="s">
        <v>221</v>
      </c>
      <c r="G286" s="14" t="s">
        <v>16</v>
      </c>
      <c r="H286" s="14">
        <v>99.61</v>
      </c>
      <c r="I286" s="17" t="s">
        <v>910</v>
      </c>
      <c r="J286" s="14" t="s">
        <v>910</v>
      </c>
      <c r="K286" s="14">
        <v>10</v>
      </c>
      <c r="L286" s="14">
        <v>25178</v>
      </c>
      <c r="M286" s="14">
        <v>25800</v>
      </c>
      <c r="P286" s="15">
        <v>12400</v>
      </c>
      <c r="Q286" s="14" t="s">
        <v>217</v>
      </c>
      <c r="R286" s="14" t="s">
        <v>16</v>
      </c>
      <c r="S286" s="14">
        <v>98.94</v>
      </c>
      <c r="T286" s="16" t="s">
        <v>334</v>
      </c>
      <c r="U286" s="14" t="s">
        <v>911</v>
      </c>
      <c r="V286" s="14">
        <v>8.1</v>
      </c>
      <c r="W286" s="14">
        <v>25178</v>
      </c>
      <c r="Z286" s="14">
        <v>31729</v>
      </c>
      <c r="AE286" s="14"/>
      <c r="AG286" s="14">
        <v>0</v>
      </c>
      <c r="AP286" s="14"/>
      <c r="AR286" s="14">
        <v>0</v>
      </c>
      <c r="BC286" s="14">
        <v>0</v>
      </c>
      <c r="BN286" s="14">
        <v>0</v>
      </c>
      <c r="BY286" s="14">
        <v>0</v>
      </c>
    </row>
    <row r="287" spans="1:77">
      <c r="A287" s="14">
        <v>32739</v>
      </c>
      <c r="B287" s="14" t="s">
        <v>912</v>
      </c>
      <c r="C287" s="14" t="str">
        <f>VLOOKUP(A287,[1]Sheet1!$A:$F,5,FALSE)</f>
        <v>HIGH-END</v>
      </c>
      <c r="D287" s="14" t="str">
        <f>VLOOKUP(A287,[1]Sheet1!$A:$F,6,FALSE)</f>
        <v>C-PPF</v>
      </c>
      <c r="E287" s="15">
        <v>23311</v>
      </c>
      <c r="F287" s="14" t="s">
        <v>221</v>
      </c>
      <c r="G287" s="14" t="s">
        <v>16</v>
      </c>
      <c r="H287" s="14">
        <v>99.61</v>
      </c>
      <c r="I287" s="17" t="s">
        <v>910</v>
      </c>
      <c r="J287" s="14" t="s">
        <v>910</v>
      </c>
      <c r="K287" s="14">
        <v>10</v>
      </c>
      <c r="L287" s="14">
        <v>25178</v>
      </c>
      <c r="M287" s="14">
        <v>25800</v>
      </c>
      <c r="P287" s="15">
        <v>12400</v>
      </c>
      <c r="Q287" s="14" t="s">
        <v>217</v>
      </c>
      <c r="R287" s="14" t="s">
        <v>16</v>
      </c>
      <c r="S287" s="14">
        <v>99.27</v>
      </c>
      <c r="T287" s="16" t="s">
        <v>896</v>
      </c>
      <c r="U287" s="14" t="s">
        <v>896</v>
      </c>
      <c r="V287" s="14">
        <v>10</v>
      </c>
      <c r="W287" s="14">
        <v>25178</v>
      </c>
      <c r="Z287" s="14">
        <v>32090</v>
      </c>
      <c r="AE287" s="14"/>
      <c r="AG287" s="14">
        <v>0</v>
      </c>
      <c r="AP287" s="14"/>
      <c r="AR287" s="14">
        <v>0</v>
      </c>
      <c r="BC287" s="14">
        <v>0</v>
      </c>
      <c r="BN287" s="14">
        <v>0</v>
      </c>
      <c r="BY287" s="14">
        <v>0</v>
      </c>
    </row>
    <row r="288" spans="1:77">
      <c r="A288" s="14">
        <v>32198</v>
      </c>
      <c r="B288" s="14" t="s">
        <v>243</v>
      </c>
      <c r="C288" s="14" t="str">
        <f>VLOOKUP(A288,[1]Sheet1!$A:$F,5,FALSE)</f>
        <v>HIGH-END</v>
      </c>
      <c r="D288" s="14" t="str">
        <f>VLOOKUP(A288,[1]Sheet1!$A:$F,6,FALSE)</f>
        <v>C-PPF</v>
      </c>
      <c r="E288" s="15">
        <v>23311</v>
      </c>
      <c r="F288" s="14" t="s">
        <v>221</v>
      </c>
      <c r="G288" s="14" t="s">
        <v>16</v>
      </c>
      <c r="H288" s="14">
        <v>99.62</v>
      </c>
      <c r="I288" s="17" t="s">
        <v>876</v>
      </c>
      <c r="J288" s="14" t="s">
        <v>876</v>
      </c>
      <c r="K288" s="14">
        <v>10</v>
      </c>
      <c r="L288" s="14">
        <v>25178</v>
      </c>
      <c r="M288" s="14">
        <v>25800</v>
      </c>
      <c r="P288" s="15">
        <v>12400</v>
      </c>
      <c r="Q288" s="14" t="s">
        <v>217</v>
      </c>
      <c r="R288" s="14" t="s">
        <v>16</v>
      </c>
      <c r="S288" s="14">
        <v>96.56</v>
      </c>
      <c r="T288" s="16" t="s">
        <v>338</v>
      </c>
      <c r="U288" s="14" t="s">
        <v>338</v>
      </c>
      <c r="V288" s="14">
        <v>10</v>
      </c>
      <c r="W288" s="14">
        <v>25178</v>
      </c>
      <c r="Z288" s="14">
        <v>32090</v>
      </c>
      <c r="AE288" s="14"/>
      <c r="AG288" s="14">
        <v>0</v>
      </c>
      <c r="AP288" s="14"/>
      <c r="AR288" s="14">
        <v>0</v>
      </c>
      <c r="BC288" s="14">
        <v>0</v>
      </c>
      <c r="BN288" s="14">
        <v>0</v>
      </c>
      <c r="BY288" s="14">
        <v>0</v>
      </c>
    </row>
    <row r="289" spans="1:77">
      <c r="A289" s="14">
        <v>31966</v>
      </c>
      <c r="B289" s="14" t="s">
        <v>233</v>
      </c>
      <c r="C289" s="14" t="str">
        <f>VLOOKUP(A289,[1]Sheet1!$A:$F,5,FALSE)</f>
        <v>HIGH-END</v>
      </c>
      <c r="D289" s="14" t="str">
        <f>VLOOKUP(A289,[1]Sheet1!$A:$F,6,FALSE)</f>
        <v>C-PPF</v>
      </c>
      <c r="E289" s="15">
        <v>23311</v>
      </c>
      <c r="F289" s="14" t="s">
        <v>221</v>
      </c>
      <c r="G289" s="14" t="s">
        <v>16</v>
      </c>
      <c r="H289" s="14">
        <v>99.64</v>
      </c>
      <c r="I289" s="17" t="s">
        <v>876</v>
      </c>
      <c r="J289" s="14" t="s">
        <v>876</v>
      </c>
      <c r="K289" s="14">
        <v>10</v>
      </c>
      <c r="L289" s="14" t="s">
        <v>890</v>
      </c>
      <c r="M289" s="14">
        <v>25800</v>
      </c>
      <c r="P289" s="15">
        <v>12400</v>
      </c>
      <c r="Q289" s="14" t="s">
        <v>217</v>
      </c>
      <c r="R289" s="14" t="s">
        <v>16</v>
      </c>
      <c r="S289" s="14">
        <v>99.23</v>
      </c>
      <c r="T289" s="16" t="s">
        <v>882</v>
      </c>
      <c r="U289" s="14" t="s">
        <v>913</v>
      </c>
      <c r="V289" s="14">
        <v>8</v>
      </c>
      <c r="W289" s="14" t="s">
        <v>890</v>
      </c>
      <c r="Z289" s="14">
        <v>32621</v>
      </c>
      <c r="AE289" s="14"/>
      <c r="AG289" s="14">
        <v>0</v>
      </c>
      <c r="AP289" s="14"/>
      <c r="AR289" s="14">
        <v>0</v>
      </c>
      <c r="BC289" s="14">
        <v>0</v>
      </c>
      <c r="BN289" s="14">
        <v>0</v>
      </c>
      <c r="BY289" s="14">
        <v>0</v>
      </c>
    </row>
    <row r="290" spans="1:77">
      <c r="A290" s="14">
        <v>32470</v>
      </c>
      <c r="B290" s="14" t="s">
        <v>257</v>
      </c>
      <c r="C290" s="14" t="str">
        <f>VLOOKUP(A290,[1]Sheet1!$A:$F,5,FALSE)</f>
        <v>HIGH-END</v>
      </c>
      <c r="D290" s="14" t="str">
        <f>VLOOKUP(A290,[1]Sheet1!$A:$F,6,FALSE)</f>
        <v>C-PPF</v>
      </c>
      <c r="E290" s="15">
        <v>23311</v>
      </c>
      <c r="F290" s="14" t="s">
        <v>221</v>
      </c>
      <c r="G290" s="14" t="s">
        <v>16</v>
      </c>
      <c r="H290" s="14">
        <v>99.65</v>
      </c>
      <c r="I290" s="17" t="s">
        <v>876</v>
      </c>
      <c r="J290" s="14" t="s">
        <v>876</v>
      </c>
      <c r="K290" s="14">
        <v>10</v>
      </c>
      <c r="L290" s="14">
        <v>25051</v>
      </c>
      <c r="M290" s="14" t="s">
        <v>914</v>
      </c>
      <c r="P290" s="15">
        <v>12400</v>
      </c>
      <c r="Q290" s="14" t="s">
        <v>217</v>
      </c>
      <c r="R290" s="14" t="s">
        <v>16</v>
      </c>
      <c r="S290" s="14">
        <v>95.07</v>
      </c>
      <c r="T290" s="16" t="s">
        <v>915</v>
      </c>
      <c r="U290" s="14" t="s">
        <v>915</v>
      </c>
      <c r="V290" s="14">
        <v>8</v>
      </c>
      <c r="W290" s="14">
        <v>25051</v>
      </c>
      <c r="Z290" s="14">
        <v>32621</v>
      </c>
      <c r="AE290" s="14"/>
      <c r="AG290" s="14">
        <v>0</v>
      </c>
      <c r="AP290" s="14"/>
      <c r="AR290" s="14">
        <v>0</v>
      </c>
      <c r="BC290" s="14">
        <v>0</v>
      </c>
      <c r="BN290" s="14">
        <v>0</v>
      </c>
      <c r="BY290" s="14">
        <v>0</v>
      </c>
    </row>
    <row r="291" spans="1:77">
      <c r="A291" s="14">
        <v>32041</v>
      </c>
      <c r="B291" s="14" t="s">
        <v>238</v>
      </c>
      <c r="C291" s="14" t="str">
        <f>VLOOKUP(A291,[1]Sheet1!$A:$F,5,FALSE)</f>
        <v>HIGH-END</v>
      </c>
      <c r="D291" s="14" t="str">
        <f>VLOOKUP(A291,[1]Sheet1!$A:$F,6,FALSE)</f>
        <v>C-PPF</v>
      </c>
      <c r="E291" s="15">
        <v>20500</v>
      </c>
      <c r="F291" s="14" t="s">
        <v>31</v>
      </c>
      <c r="G291" s="14" t="s">
        <v>16</v>
      </c>
      <c r="H291" s="14">
        <v>99.66</v>
      </c>
      <c r="I291" s="17" t="s">
        <v>876</v>
      </c>
      <c r="K291" s="14">
        <v>10</v>
      </c>
      <c r="L291" s="14">
        <v>25178</v>
      </c>
      <c r="M291" s="14">
        <v>25800</v>
      </c>
      <c r="P291" s="15">
        <v>12400</v>
      </c>
      <c r="Q291" s="14" t="s">
        <v>217</v>
      </c>
      <c r="R291" s="14" t="s">
        <v>16</v>
      </c>
      <c r="S291" s="14">
        <v>94.76</v>
      </c>
      <c r="T291" s="16" t="s">
        <v>338</v>
      </c>
      <c r="U291" s="14" t="s">
        <v>338</v>
      </c>
      <c r="V291" s="14">
        <v>10</v>
      </c>
      <c r="W291" s="14">
        <v>25178</v>
      </c>
      <c r="Z291" s="14">
        <v>32621</v>
      </c>
      <c r="AE291" s="14"/>
      <c r="AG291" s="14">
        <v>0</v>
      </c>
      <c r="AP291" s="14"/>
      <c r="AR291" s="14">
        <v>0</v>
      </c>
      <c r="BC291" s="14">
        <v>0</v>
      </c>
      <c r="BN291" s="14">
        <v>0</v>
      </c>
      <c r="BY291" s="14">
        <v>0</v>
      </c>
    </row>
    <row r="292" spans="1:77">
      <c r="A292" s="14">
        <v>32534</v>
      </c>
      <c r="B292" s="14" t="s">
        <v>262</v>
      </c>
      <c r="C292" s="14" t="str">
        <f>VLOOKUP(A292,[1]Sheet1!$A:$F,5,FALSE)</f>
        <v>HIGH-END</v>
      </c>
      <c r="D292" s="14" t="str">
        <f>VLOOKUP(A292,[1]Sheet1!$A:$F,6,FALSE)</f>
        <v>C-PPF</v>
      </c>
      <c r="E292" s="15">
        <v>23311</v>
      </c>
      <c r="F292" s="14" t="s">
        <v>221</v>
      </c>
      <c r="G292" s="14" t="s">
        <v>16</v>
      </c>
      <c r="H292" s="14">
        <v>99.67</v>
      </c>
      <c r="I292" s="17" t="s">
        <v>876</v>
      </c>
      <c r="K292" s="14">
        <v>10</v>
      </c>
      <c r="L292" s="14">
        <v>25925</v>
      </c>
      <c r="M292" s="14">
        <v>26207</v>
      </c>
      <c r="P292" s="15">
        <v>12400</v>
      </c>
      <c r="Q292" s="14" t="s">
        <v>217</v>
      </c>
      <c r="R292" s="14" t="s">
        <v>16</v>
      </c>
      <c r="S292" s="14">
        <v>99.5</v>
      </c>
      <c r="T292" s="16" t="s">
        <v>882</v>
      </c>
      <c r="V292" s="14">
        <v>8</v>
      </c>
      <c r="W292" s="14">
        <v>25925</v>
      </c>
      <c r="Z292" s="14">
        <v>31729</v>
      </c>
      <c r="AE292" s="14"/>
      <c r="AG292" s="14">
        <v>0</v>
      </c>
      <c r="AP292" s="14"/>
      <c r="AR292" s="14">
        <v>0</v>
      </c>
      <c r="BC292" s="14">
        <v>0</v>
      </c>
      <c r="BN292" s="14">
        <v>0</v>
      </c>
      <c r="BY292" s="14">
        <v>0</v>
      </c>
    </row>
    <row r="293" spans="1:77">
      <c r="A293" s="14">
        <v>32571</v>
      </c>
      <c r="B293" s="14" t="s">
        <v>263</v>
      </c>
      <c r="C293" s="14" t="str">
        <f>VLOOKUP(A293,[1]Sheet1!$A:$F,5,FALSE)</f>
        <v>HIGH-END</v>
      </c>
      <c r="D293" s="14" t="str">
        <f>VLOOKUP(A293,[1]Sheet1!$A:$F,6,FALSE)</f>
        <v>C-PPF</v>
      </c>
      <c r="E293" s="15">
        <v>23312</v>
      </c>
      <c r="F293" s="14" t="s">
        <v>215</v>
      </c>
      <c r="G293" s="14" t="s">
        <v>16</v>
      </c>
      <c r="H293" s="14">
        <v>99.69</v>
      </c>
      <c r="I293" s="17" t="s">
        <v>916</v>
      </c>
      <c r="J293" s="14" t="s">
        <v>916</v>
      </c>
      <c r="K293" s="14">
        <v>10</v>
      </c>
      <c r="L293" s="14">
        <v>25628</v>
      </c>
      <c r="M293" s="14">
        <v>26261</v>
      </c>
      <c r="P293" s="15">
        <v>23316</v>
      </c>
      <c r="Q293" s="14" t="s">
        <v>260</v>
      </c>
      <c r="R293" s="14" t="s">
        <v>16</v>
      </c>
      <c r="S293" s="14">
        <v>95.84</v>
      </c>
      <c r="T293" s="16" t="s">
        <v>917</v>
      </c>
      <c r="U293" s="14" t="s">
        <v>917</v>
      </c>
      <c r="V293" s="14">
        <v>10</v>
      </c>
      <c r="W293" s="14">
        <v>25628</v>
      </c>
      <c r="X293" s="14">
        <v>26261</v>
      </c>
      <c r="AA293" s="15">
        <v>20500</v>
      </c>
      <c r="AB293" s="14" t="s">
        <v>31</v>
      </c>
      <c r="AC293" s="14" t="s">
        <v>16</v>
      </c>
      <c r="AD293" s="14">
        <v>97.59</v>
      </c>
      <c r="AE293" s="16" t="s">
        <v>321</v>
      </c>
      <c r="AF293" s="14" t="s">
        <v>321</v>
      </c>
      <c r="AG293" s="14">
        <v>10</v>
      </c>
      <c r="AH293" s="14">
        <v>25628</v>
      </c>
      <c r="AI293" s="14">
        <v>25800</v>
      </c>
      <c r="AL293" s="15">
        <v>12400</v>
      </c>
      <c r="AM293" s="14" t="s">
        <v>217</v>
      </c>
      <c r="AN293" s="14" t="s">
        <v>16</v>
      </c>
      <c r="AO293" s="14">
        <v>94.23</v>
      </c>
      <c r="AP293" s="16" t="s">
        <v>899</v>
      </c>
      <c r="AQ293" s="14" t="s">
        <v>899</v>
      </c>
      <c r="AR293" s="14">
        <v>10</v>
      </c>
      <c r="AS293" s="14">
        <v>25628</v>
      </c>
      <c r="AV293" s="14">
        <v>32090</v>
      </c>
      <c r="BC293" s="14">
        <v>0</v>
      </c>
      <c r="BN293" s="14">
        <v>0</v>
      </c>
      <c r="BY293" s="14">
        <v>0</v>
      </c>
    </row>
    <row r="294" spans="1:77">
      <c r="A294" s="14">
        <v>32637</v>
      </c>
      <c r="B294" s="14" t="s">
        <v>208</v>
      </c>
      <c r="C294" s="14" t="str">
        <f>VLOOKUP(A294,[1]Sheet1!$A:$F,5,FALSE)</f>
        <v>전략</v>
      </c>
      <c r="D294" s="14" t="str">
        <f>VLOOKUP(A294,[1]Sheet1!$A:$F,6,FALSE)</f>
        <v>SP</v>
      </c>
      <c r="E294" s="15">
        <v>20902</v>
      </c>
      <c r="F294" s="14" t="s">
        <v>53</v>
      </c>
      <c r="G294" s="14" t="s">
        <v>13</v>
      </c>
      <c r="H294" s="14">
        <v>100</v>
      </c>
      <c r="I294" s="17" t="s">
        <v>918</v>
      </c>
      <c r="J294" s="14" t="s">
        <v>918</v>
      </c>
      <c r="K294" s="14">
        <v>20</v>
      </c>
      <c r="L294" s="14">
        <v>20807</v>
      </c>
      <c r="M294" s="14">
        <v>20808</v>
      </c>
      <c r="P294" s="15">
        <v>20706</v>
      </c>
      <c r="Q294" s="14" t="s">
        <v>52</v>
      </c>
      <c r="R294" s="14" t="s">
        <v>17</v>
      </c>
      <c r="S294" s="14">
        <v>100</v>
      </c>
      <c r="T294" s="16" t="s">
        <v>325</v>
      </c>
      <c r="V294" s="14">
        <v>40</v>
      </c>
      <c r="W294" s="14">
        <v>20807</v>
      </c>
      <c r="AA294" s="15">
        <v>20500</v>
      </c>
      <c r="AB294" s="14" t="s">
        <v>31</v>
      </c>
      <c r="AC294" s="14" t="s">
        <v>17</v>
      </c>
      <c r="AD294" s="14">
        <v>100</v>
      </c>
      <c r="AE294" s="16" t="s">
        <v>326</v>
      </c>
      <c r="AF294" s="14" t="s">
        <v>326</v>
      </c>
      <c r="AG294" s="14">
        <v>20</v>
      </c>
      <c r="AH294" s="14">
        <v>20807</v>
      </c>
      <c r="AI294" s="14">
        <v>23352</v>
      </c>
      <c r="AL294" s="15">
        <v>20906</v>
      </c>
      <c r="AM294" s="14" t="s">
        <v>48</v>
      </c>
      <c r="AN294" s="14" t="s">
        <v>49</v>
      </c>
      <c r="AO294" s="14">
        <v>100</v>
      </c>
      <c r="AP294" s="16" t="s">
        <v>327</v>
      </c>
      <c r="AR294" s="14">
        <v>20</v>
      </c>
      <c r="AS294" s="14">
        <v>20807</v>
      </c>
      <c r="BC294" s="14">
        <v>0</v>
      </c>
      <c r="BN294" s="14">
        <v>0</v>
      </c>
      <c r="BY294" s="14">
        <v>0</v>
      </c>
    </row>
    <row r="301" spans="1:77">
      <c r="I301" s="18"/>
    </row>
  </sheetData>
  <autoFilter ref="A2:CC294" xr:uid="{00000000-0009-0000-0000-000004000000}">
    <sortState xmlns:xlrd2="http://schemas.microsoft.com/office/spreadsheetml/2017/richdata2" ref="A3:CC294">
      <sortCondition ref="H2:H294"/>
    </sortState>
  </autoFilter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R1643"/>
  <sheetViews>
    <sheetView workbookViewId="0">
      <selection activeCell="C6" sqref="C6"/>
    </sheetView>
  </sheetViews>
  <sheetFormatPr defaultColWidth="6.375" defaultRowHeight="12"/>
  <cols>
    <col min="1" max="1" width="11" style="5" bestFit="1" customWidth="1"/>
    <col min="2" max="2" width="8.375" style="5" customWidth="1"/>
    <col min="3" max="3" width="11" style="5" bestFit="1" customWidth="1"/>
    <col min="4" max="4" width="7.25" style="5" bestFit="1" customWidth="1"/>
    <col min="5" max="6" width="8" style="5" bestFit="1" customWidth="1"/>
    <col min="7" max="7" width="7.125" style="5" bestFit="1" customWidth="1"/>
    <col min="8" max="9" width="7.875" style="5" bestFit="1" customWidth="1"/>
    <col min="10" max="10" width="7.125" style="5" bestFit="1" customWidth="1"/>
    <col min="11" max="12" width="7.875" style="5" bestFit="1" customWidth="1"/>
    <col min="13" max="13" width="7.125" style="5" bestFit="1" customWidth="1"/>
    <col min="14" max="15" width="7.875" style="5" bestFit="1" customWidth="1"/>
    <col min="16" max="16" width="7.875" style="5" customWidth="1"/>
    <col min="17" max="17" width="9.375" style="5" customWidth="1"/>
    <col min="18" max="18" width="9.25" style="5" customWidth="1"/>
    <col min="19" max="16384" width="6.375" style="5"/>
  </cols>
  <sheetData>
    <row r="1" spans="1:18">
      <c r="D1" s="48" t="s">
        <v>1259</v>
      </c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</row>
    <row r="2" spans="1:18">
      <c r="B2" s="6"/>
      <c r="C2" s="6"/>
      <c r="D2" s="48" t="s">
        <v>1254</v>
      </c>
      <c r="E2" s="48"/>
      <c r="F2" s="48"/>
      <c r="G2" s="48" t="s">
        <v>1255</v>
      </c>
      <c r="H2" s="48"/>
      <c r="I2" s="48"/>
      <c r="J2" s="48" t="s">
        <v>1256</v>
      </c>
      <c r="K2" s="48"/>
      <c r="L2" s="48"/>
      <c r="M2" s="48" t="s">
        <v>1257</v>
      </c>
      <c r="N2" s="48"/>
      <c r="O2" s="48"/>
      <c r="P2" s="48" t="s">
        <v>1258</v>
      </c>
      <c r="Q2" s="48"/>
      <c r="R2" s="48"/>
    </row>
    <row r="3" spans="1:18">
      <c r="B3" s="7"/>
      <c r="C3" s="7"/>
      <c r="D3" s="8" t="s">
        <v>289</v>
      </c>
      <c r="E3" s="8" t="s">
        <v>289</v>
      </c>
      <c r="F3" s="8" t="s">
        <v>289</v>
      </c>
      <c r="G3" s="8">
        <v>4</v>
      </c>
      <c r="H3" s="8">
        <v>4</v>
      </c>
      <c r="I3" s="8">
        <v>4</v>
      </c>
      <c r="J3" s="8">
        <v>3</v>
      </c>
      <c r="K3" s="8">
        <v>3</v>
      </c>
      <c r="L3" s="8">
        <v>3</v>
      </c>
      <c r="M3" s="8">
        <v>2</v>
      </c>
      <c r="N3" s="8">
        <v>2</v>
      </c>
      <c r="O3" s="8">
        <v>2</v>
      </c>
      <c r="P3" s="8">
        <v>2</v>
      </c>
      <c r="Q3" s="8">
        <v>2</v>
      </c>
      <c r="R3" s="8">
        <v>2</v>
      </c>
    </row>
    <row r="4" spans="1:18">
      <c r="A4" s="10" t="s">
        <v>291</v>
      </c>
      <c r="B4" s="3" t="s">
        <v>4</v>
      </c>
      <c r="C4" s="3" t="s">
        <v>5</v>
      </c>
      <c r="D4" s="3" t="s">
        <v>2</v>
      </c>
      <c r="E4" s="3" t="s">
        <v>1</v>
      </c>
      <c r="F4" s="3" t="s">
        <v>1247</v>
      </c>
      <c r="G4" s="3" t="s">
        <v>2</v>
      </c>
      <c r="H4" s="3" t="s">
        <v>1</v>
      </c>
      <c r="I4" s="3" t="s">
        <v>1247</v>
      </c>
      <c r="J4" s="3" t="s">
        <v>2</v>
      </c>
      <c r="K4" s="3" t="s">
        <v>1</v>
      </c>
      <c r="L4" s="3" t="s">
        <v>1247</v>
      </c>
      <c r="M4" s="3" t="s">
        <v>0</v>
      </c>
      <c r="N4" s="3" t="s">
        <v>1</v>
      </c>
      <c r="O4" s="3" t="s">
        <v>2</v>
      </c>
      <c r="P4" s="3" t="s">
        <v>0</v>
      </c>
      <c r="Q4" s="3" t="s">
        <v>1</v>
      </c>
      <c r="R4" s="3" t="s">
        <v>2</v>
      </c>
    </row>
    <row r="5" spans="1:18">
      <c r="A5" s="10"/>
      <c r="B5" s="9"/>
      <c r="C5" s="9"/>
      <c r="D5" s="3" t="s">
        <v>286</v>
      </c>
      <c r="E5" s="3" t="s">
        <v>287</v>
      </c>
      <c r="F5" s="3" t="s">
        <v>288</v>
      </c>
      <c r="G5" s="3" t="s">
        <v>286</v>
      </c>
      <c r="H5" s="3" t="s">
        <v>287</v>
      </c>
      <c r="I5" s="3" t="s">
        <v>288</v>
      </c>
      <c r="J5" s="3" t="s">
        <v>286</v>
      </c>
      <c r="K5" s="3" t="s">
        <v>287</v>
      </c>
      <c r="L5" s="3" t="s">
        <v>288</v>
      </c>
      <c r="M5" s="3" t="s">
        <v>286</v>
      </c>
      <c r="N5" s="3" t="s">
        <v>287</v>
      </c>
      <c r="O5" s="3" t="s">
        <v>288</v>
      </c>
      <c r="P5" s="3" t="s">
        <v>286</v>
      </c>
      <c r="Q5" s="3" t="s">
        <v>287</v>
      </c>
      <c r="R5" s="3" t="s">
        <v>288</v>
      </c>
    </row>
    <row r="6" spans="1:18">
      <c r="A6" s="10" t="s">
        <v>290</v>
      </c>
      <c r="B6" s="34" t="s">
        <v>1245</v>
      </c>
      <c r="C6" s="34" t="s">
        <v>1672</v>
      </c>
      <c r="D6" s="34" t="s">
        <v>1260</v>
      </c>
      <c r="E6" s="34" t="s">
        <v>1261</v>
      </c>
      <c r="F6" s="34" t="s">
        <v>1262</v>
      </c>
      <c r="G6" s="34" t="s">
        <v>1263</v>
      </c>
      <c r="H6" s="34" t="s">
        <v>1264</v>
      </c>
      <c r="I6" s="34" t="s">
        <v>1265</v>
      </c>
      <c r="J6" s="34" t="s">
        <v>1266</v>
      </c>
      <c r="K6" s="34" t="s">
        <v>1267</v>
      </c>
      <c r="L6" s="34" t="s">
        <v>1268</v>
      </c>
      <c r="M6" s="34" t="s">
        <v>1269</v>
      </c>
      <c r="N6" s="34" t="s">
        <v>1270</v>
      </c>
      <c r="O6" s="34" t="s">
        <v>1271</v>
      </c>
      <c r="P6" s="34" t="s">
        <v>1272</v>
      </c>
      <c r="Q6" s="34" t="s">
        <v>1273</v>
      </c>
      <c r="R6" s="34" t="s">
        <v>1274</v>
      </c>
    </row>
    <row r="7" spans="1:18">
      <c r="A7" s="36" t="s">
        <v>292</v>
      </c>
      <c r="B7" s="6">
        <v>25003</v>
      </c>
      <c r="C7" s="6" t="s">
        <v>1030</v>
      </c>
      <c r="D7" s="6">
        <v>99.01</v>
      </c>
      <c r="E7" s="6">
        <v>99.01</v>
      </c>
      <c r="F7" s="6">
        <v>99.01</v>
      </c>
      <c r="G7" s="6">
        <v>98.64</v>
      </c>
      <c r="H7" s="6">
        <v>98.72</v>
      </c>
      <c r="I7" s="6">
        <v>98.71</v>
      </c>
      <c r="J7" s="6">
        <v>98.64</v>
      </c>
      <c r="K7" s="6">
        <v>98.72</v>
      </c>
      <c r="L7" s="6">
        <v>98.71</v>
      </c>
      <c r="M7" s="6">
        <v>98.64</v>
      </c>
      <c r="N7" s="6">
        <v>98.72</v>
      </c>
      <c r="O7" s="6">
        <v>98.71</v>
      </c>
      <c r="P7" s="6">
        <v>98.64</v>
      </c>
      <c r="Q7" s="6">
        <v>98.72</v>
      </c>
      <c r="R7" s="6">
        <v>98.71</v>
      </c>
    </row>
    <row r="8" spans="1:18">
      <c r="B8" s="6">
        <v>25003</v>
      </c>
      <c r="C8" s="6" t="s">
        <v>1030</v>
      </c>
      <c r="D8" s="6">
        <v>99</v>
      </c>
      <c r="E8" s="6">
        <v>99</v>
      </c>
      <c r="F8" s="6">
        <v>99</v>
      </c>
      <c r="G8" s="6">
        <v>99.04</v>
      </c>
      <c r="H8" s="6">
        <v>99.18</v>
      </c>
      <c r="I8" s="6">
        <v>99.21</v>
      </c>
      <c r="J8" s="6">
        <v>99.04</v>
      </c>
      <c r="K8" s="6">
        <v>99.18</v>
      </c>
      <c r="L8" s="6">
        <v>99.21</v>
      </c>
      <c r="M8" s="6">
        <v>99.07</v>
      </c>
      <c r="N8" s="6">
        <v>99.18</v>
      </c>
      <c r="O8" s="6">
        <v>99.18</v>
      </c>
      <c r="P8" s="6">
        <v>99.05</v>
      </c>
      <c r="Q8" s="6">
        <v>99.16</v>
      </c>
      <c r="R8" s="6">
        <v>99.16</v>
      </c>
    </row>
    <row r="9" spans="1:18">
      <c r="B9" s="6">
        <v>25008</v>
      </c>
      <c r="C9" s="6" t="s">
        <v>1039</v>
      </c>
      <c r="D9" s="6">
        <v>98.41</v>
      </c>
      <c r="E9" s="6">
        <v>98.41</v>
      </c>
      <c r="F9" s="6">
        <v>98.41</v>
      </c>
      <c r="G9" s="6">
        <v>98.64</v>
      </c>
      <c r="H9" s="6">
        <v>98.72</v>
      </c>
      <c r="I9" s="6">
        <v>98.71</v>
      </c>
      <c r="J9" s="6">
        <v>98.64</v>
      </c>
      <c r="K9" s="6">
        <v>98.72</v>
      </c>
      <c r="L9" s="6">
        <v>98.71</v>
      </c>
      <c r="M9" s="6">
        <v>98.64</v>
      </c>
      <c r="N9" s="6">
        <v>98.72</v>
      </c>
      <c r="O9" s="6">
        <v>98.71</v>
      </c>
      <c r="P9" s="6">
        <v>98.64</v>
      </c>
      <c r="Q9" s="6">
        <v>98.72</v>
      </c>
      <c r="R9" s="6">
        <v>98.71</v>
      </c>
    </row>
    <row r="10" spans="1:18">
      <c r="B10" s="6">
        <v>25008</v>
      </c>
      <c r="C10" s="6" t="s">
        <v>1039</v>
      </c>
      <c r="D10" s="6">
        <v>98.61</v>
      </c>
      <c r="E10" s="6">
        <v>98.61</v>
      </c>
      <c r="F10" s="6">
        <v>98.61</v>
      </c>
      <c r="G10" s="6">
        <v>99.04</v>
      </c>
      <c r="H10" s="6">
        <v>99.18</v>
      </c>
      <c r="I10" s="6">
        <v>99.21</v>
      </c>
      <c r="J10" s="6">
        <v>99.04</v>
      </c>
      <c r="K10" s="6">
        <v>99.18</v>
      </c>
      <c r="L10" s="6">
        <v>99.21</v>
      </c>
      <c r="M10" s="6">
        <v>99.07</v>
      </c>
      <c r="N10" s="6">
        <v>99.18</v>
      </c>
      <c r="O10" s="6">
        <v>99.18</v>
      </c>
      <c r="P10" s="6">
        <v>99.05</v>
      </c>
      <c r="Q10" s="6">
        <v>99.16</v>
      </c>
      <c r="R10" s="6">
        <v>99.16</v>
      </c>
    </row>
    <row r="11" spans="1:18">
      <c r="B11" s="6">
        <v>25026</v>
      </c>
      <c r="C11" s="6" t="s">
        <v>11</v>
      </c>
      <c r="D11" s="6">
        <v>98.78</v>
      </c>
      <c r="E11" s="6">
        <v>98.89</v>
      </c>
      <c r="F11" s="6">
        <v>98.57</v>
      </c>
      <c r="G11" s="6">
        <v>98.64</v>
      </c>
      <c r="H11" s="6">
        <v>98.72</v>
      </c>
      <c r="I11" s="6">
        <v>98.71</v>
      </c>
      <c r="J11" s="6">
        <v>98.64</v>
      </c>
      <c r="K11" s="6">
        <v>98.72</v>
      </c>
      <c r="L11" s="6">
        <v>98.71</v>
      </c>
      <c r="M11" s="6">
        <v>98.64</v>
      </c>
      <c r="N11" s="6">
        <v>98.72</v>
      </c>
      <c r="O11" s="6">
        <v>98.71</v>
      </c>
      <c r="P11" s="6">
        <v>98.64</v>
      </c>
      <c r="Q11" s="6">
        <v>98.72</v>
      </c>
      <c r="R11" s="6">
        <v>98.71</v>
      </c>
    </row>
    <row r="12" spans="1:18">
      <c r="B12" s="6">
        <v>25026</v>
      </c>
      <c r="C12" s="6" t="s">
        <v>11</v>
      </c>
      <c r="D12" s="6">
        <v>99.28</v>
      </c>
      <c r="E12" s="6">
        <v>99.24</v>
      </c>
      <c r="F12" s="6">
        <v>99.2</v>
      </c>
      <c r="G12" s="6">
        <v>99.04</v>
      </c>
      <c r="H12" s="6">
        <v>99.18</v>
      </c>
      <c r="I12" s="6">
        <v>99.21</v>
      </c>
      <c r="J12" s="6">
        <v>99.04</v>
      </c>
      <c r="K12" s="6">
        <v>99.18</v>
      </c>
      <c r="L12" s="6">
        <v>99.21</v>
      </c>
      <c r="M12" s="6">
        <v>99.07</v>
      </c>
      <c r="N12" s="6">
        <v>99.18</v>
      </c>
      <c r="O12" s="6">
        <v>99.18</v>
      </c>
      <c r="P12" s="6">
        <v>99.05</v>
      </c>
      <c r="Q12" s="6">
        <v>99.16</v>
      </c>
      <c r="R12" s="6">
        <v>99.16</v>
      </c>
    </row>
    <row r="13" spans="1:18">
      <c r="B13" s="6">
        <v>25029</v>
      </c>
      <c r="C13" s="6" t="s">
        <v>18</v>
      </c>
      <c r="D13" s="6">
        <v>98.61</v>
      </c>
      <c r="E13" s="6">
        <v>98.8</v>
      </c>
      <c r="F13" s="6">
        <v>98.84</v>
      </c>
      <c r="G13" s="6">
        <v>98.64</v>
      </c>
      <c r="H13" s="6">
        <v>98.72</v>
      </c>
      <c r="I13" s="6">
        <v>98.71</v>
      </c>
      <c r="J13" s="6">
        <v>98.64</v>
      </c>
      <c r="K13" s="6">
        <v>98.72</v>
      </c>
      <c r="L13" s="6">
        <v>98.71</v>
      </c>
      <c r="M13" s="6">
        <v>98.64</v>
      </c>
      <c r="N13" s="6">
        <v>98.72</v>
      </c>
      <c r="O13" s="6">
        <v>98.71</v>
      </c>
      <c r="P13" s="6">
        <v>98.64</v>
      </c>
      <c r="Q13" s="6">
        <v>98.72</v>
      </c>
      <c r="R13" s="6">
        <v>98.71</v>
      </c>
    </row>
    <row r="14" spans="1:18">
      <c r="B14" s="6">
        <v>25029</v>
      </c>
      <c r="C14" s="6" t="s">
        <v>18</v>
      </c>
      <c r="D14" s="6">
        <v>99.31</v>
      </c>
      <c r="E14" s="6">
        <v>99.48</v>
      </c>
      <c r="F14" s="6">
        <v>99.4</v>
      </c>
      <c r="G14" s="6">
        <v>99.04</v>
      </c>
      <c r="H14" s="6">
        <v>99.18</v>
      </c>
      <c r="I14" s="6">
        <v>99.21</v>
      </c>
      <c r="J14" s="6">
        <v>99.04</v>
      </c>
      <c r="K14" s="6">
        <v>99.18</v>
      </c>
      <c r="L14" s="6">
        <v>99.21</v>
      </c>
      <c r="M14" s="6">
        <v>99.07</v>
      </c>
      <c r="N14" s="6">
        <v>99.18</v>
      </c>
      <c r="O14" s="6">
        <v>99.18</v>
      </c>
      <c r="P14" s="6">
        <v>99.05</v>
      </c>
      <c r="Q14" s="6">
        <v>99.16</v>
      </c>
      <c r="R14" s="6">
        <v>99.16</v>
      </c>
    </row>
    <row r="15" spans="1:18">
      <c r="B15" s="6">
        <v>25030</v>
      </c>
      <c r="C15" s="6" t="s">
        <v>19</v>
      </c>
      <c r="D15" s="6">
        <v>99.08</v>
      </c>
      <c r="E15" s="6">
        <v>98.9</v>
      </c>
      <c r="F15" s="6">
        <v>99.01</v>
      </c>
      <c r="G15" s="6">
        <v>98.64</v>
      </c>
      <c r="H15" s="6">
        <v>98.72</v>
      </c>
      <c r="I15" s="6">
        <v>98.71</v>
      </c>
      <c r="J15" s="6">
        <v>98.64</v>
      </c>
      <c r="K15" s="6">
        <v>98.72</v>
      </c>
      <c r="L15" s="6">
        <v>98.71</v>
      </c>
      <c r="M15" s="6">
        <v>98.64</v>
      </c>
      <c r="N15" s="6">
        <v>98.72</v>
      </c>
      <c r="O15" s="6">
        <v>98.71</v>
      </c>
      <c r="P15" s="6">
        <v>98.64</v>
      </c>
      <c r="Q15" s="6">
        <v>98.72</v>
      </c>
      <c r="R15" s="6">
        <v>98.71</v>
      </c>
    </row>
    <row r="16" spans="1:18">
      <c r="B16" s="6">
        <v>25030</v>
      </c>
      <c r="C16" s="6" t="s">
        <v>19</v>
      </c>
      <c r="D16" s="6">
        <v>99.15</v>
      </c>
      <c r="E16" s="6">
        <v>99.4</v>
      </c>
      <c r="F16" s="6">
        <v>99.32</v>
      </c>
      <c r="G16" s="6">
        <v>99.04</v>
      </c>
      <c r="H16" s="6">
        <v>99.18</v>
      </c>
      <c r="I16" s="6">
        <v>99.21</v>
      </c>
      <c r="J16" s="6">
        <v>99.04</v>
      </c>
      <c r="K16" s="6">
        <v>99.18</v>
      </c>
      <c r="L16" s="6">
        <v>99.21</v>
      </c>
      <c r="M16" s="6">
        <v>99.07</v>
      </c>
      <c r="N16" s="6">
        <v>99.18</v>
      </c>
      <c r="O16" s="6">
        <v>99.18</v>
      </c>
      <c r="P16" s="6">
        <v>99.05</v>
      </c>
      <c r="Q16" s="6">
        <v>99.16</v>
      </c>
      <c r="R16" s="6">
        <v>99.16</v>
      </c>
    </row>
    <row r="17" spans="2:18">
      <c r="B17" s="6">
        <v>25032</v>
      </c>
      <c r="C17" s="6" t="s">
        <v>20</v>
      </c>
      <c r="D17" s="6">
        <v>99</v>
      </c>
      <c r="E17" s="6">
        <v>99</v>
      </c>
      <c r="F17" s="6">
        <v>98.73</v>
      </c>
      <c r="G17" s="6">
        <v>98.64</v>
      </c>
      <c r="H17" s="6">
        <v>98.72</v>
      </c>
      <c r="I17" s="6">
        <v>98.71</v>
      </c>
      <c r="J17" s="6">
        <v>98.64</v>
      </c>
      <c r="K17" s="6">
        <v>98.72</v>
      </c>
      <c r="L17" s="6">
        <v>98.71</v>
      </c>
      <c r="M17" s="6">
        <v>98.64</v>
      </c>
      <c r="N17" s="6">
        <v>98.72</v>
      </c>
      <c r="O17" s="6">
        <v>98.71</v>
      </c>
      <c r="P17" s="6">
        <v>98.64</v>
      </c>
      <c r="Q17" s="6">
        <v>98.72</v>
      </c>
      <c r="R17" s="6">
        <v>98.71</v>
      </c>
    </row>
    <row r="18" spans="2:18">
      <c r="B18" s="6">
        <v>25032</v>
      </c>
      <c r="C18" s="6" t="s">
        <v>20</v>
      </c>
      <c r="D18" s="6">
        <v>99.33</v>
      </c>
      <c r="E18" s="6">
        <v>99.33</v>
      </c>
      <c r="F18" s="6">
        <v>99.39</v>
      </c>
      <c r="G18" s="6">
        <v>99.04</v>
      </c>
      <c r="H18" s="6">
        <v>99.18</v>
      </c>
      <c r="I18" s="6">
        <v>99.21</v>
      </c>
      <c r="J18" s="6">
        <v>99.04</v>
      </c>
      <c r="K18" s="6">
        <v>99.18</v>
      </c>
      <c r="L18" s="6">
        <v>99.21</v>
      </c>
      <c r="M18" s="6">
        <v>99.07</v>
      </c>
      <c r="N18" s="6">
        <v>99.18</v>
      </c>
      <c r="O18" s="6">
        <v>99.18</v>
      </c>
      <c r="P18" s="6">
        <v>99.05</v>
      </c>
      <c r="Q18" s="6">
        <v>99.16</v>
      </c>
      <c r="R18" s="6">
        <v>99.16</v>
      </c>
    </row>
    <row r="19" spans="2:18">
      <c r="B19" s="6">
        <v>25033</v>
      </c>
      <c r="C19" s="6" t="s">
        <v>21</v>
      </c>
      <c r="D19" s="6">
        <v>98.43</v>
      </c>
      <c r="E19" s="6">
        <v>98.5</v>
      </c>
      <c r="F19" s="6">
        <v>98.35</v>
      </c>
      <c r="G19" s="6">
        <v>98.64</v>
      </c>
      <c r="H19" s="6">
        <v>98.72</v>
      </c>
      <c r="I19" s="6">
        <v>98.71</v>
      </c>
      <c r="J19" s="6">
        <v>98.64</v>
      </c>
      <c r="K19" s="6">
        <v>98.72</v>
      </c>
      <c r="L19" s="6">
        <v>98.71</v>
      </c>
      <c r="M19" s="6">
        <v>98.64</v>
      </c>
      <c r="N19" s="6">
        <v>98.72</v>
      </c>
      <c r="O19" s="6">
        <v>98.71</v>
      </c>
      <c r="P19" s="6">
        <v>98.64</v>
      </c>
      <c r="Q19" s="6">
        <v>98.72</v>
      </c>
      <c r="R19" s="6">
        <v>98.71</v>
      </c>
    </row>
    <row r="20" spans="2:18">
      <c r="B20" s="6">
        <v>25033</v>
      </c>
      <c r="C20" s="6" t="s">
        <v>21</v>
      </c>
      <c r="D20" s="6">
        <v>98.09</v>
      </c>
      <c r="E20" s="6">
        <v>98.67</v>
      </c>
      <c r="F20" s="6">
        <v>98.72</v>
      </c>
      <c r="G20" s="6">
        <v>99.04</v>
      </c>
      <c r="H20" s="6">
        <v>99.18</v>
      </c>
      <c r="I20" s="6">
        <v>99.21</v>
      </c>
      <c r="J20" s="6">
        <v>99.04</v>
      </c>
      <c r="K20" s="6">
        <v>99.18</v>
      </c>
      <c r="L20" s="6">
        <v>99.21</v>
      </c>
      <c r="M20" s="6">
        <v>99.07</v>
      </c>
      <c r="N20" s="6">
        <v>99.18</v>
      </c>
      <c r="O20" s="6">
        <v>99.18</v>
      </c>
      <c r="P20" s="6">
        <v>99.05</v>
      </c>
      <c r="Q20" s="6">
        <v>99.16</v>
      </c>
      <c r="R20" s="6">
        <v>99.16</v>
      </c>
    </row>
    <row r="21" spans="2:18">
      <c r="B21" s="6">
        <v>25034</v>
      </c>
      <c r="C21" s="6" t="s">
        <v>1031</v>
      </c>
      <c r="D21" s="6">
        <v>98.73</v>
      </c>
      <c r="E21" s="6">
        <v>98.73</v>
      </c>
      <c r="F21" s="6">
        <v>98.73</v>
      </c>
      <c r="G21" s="6">
        <v>98.64</v>
      </c>
      <c r="H21" s="6">
        <v>98.72</v>
      </c>
      <c r="I21" s="6">
        <v>98.71</v>
      </c>
      <c r="J21" s="6">
        <v>98.64</v>
      </c>
      <c r="K21" s="6">
        <v>98.72</v>
      </c>
      <c r="L21" s="6">
        <v>98.71</v>
      </c>
      <c r="M21" s="6">
        <v>98.64</v>
      </c>
      <c r="N21" s="6">
        <v>98.72</v>
      </c>
      <c r="O21" s="6">
        <v>98.71</v>
      </c>
      <c r="P21" s="6">
        <v>98.64</v>
      </c>
      <c r="Q21" s="6">
        <v>98.72</v>
      </c>
      <c r="R21" s="6">
        <v>98.71</v>
      </c>
    </row>
    <row r="22" spans="2:18">
      <c r="B22" s="6">
        <v>25034</v>
      </c>
      <c r="C22" s="6" t="s">
        <v>1031</v>
      </c>
      <c r="D22" s="6">
        <v>99.36</v>
      </c>
      <c r="E22" s="6">
        <v>99.36</v>
      </c>
      <c r="F22" s="6">
        <v>99.36</v>
      </c>
      <c r="G22" s="6">
        <v>99.04</v>
      </c>
      <c r="H22" s="6">
        <v>99.18</v>
      </c>
      <c r="I22" s="6">
        <v>99.21</v>
      </c>
      <c r="J22" s="6">
        <v>99.04</v>
      </c>
      <c r="K22" s="6">
        <v>99.18</v>
      </c>
      <c r="L22" s="6">
        <v>99.21</v>
      </c>
      <c r="M22" s="6">
        <v>99.07</v>
      </c>
      <c r="N22" s="6">
        <v>99.18</v>
      </c>
      <c r="O22" s="6">
        <v>99.18</v>
      </c>
      <c r="P22" s="6">
        <v>99.05</v>
      </c>
      <c r="Q22" s="6">
        <v>99.16</v>
      </c>
      <c r="R22" s="6">
        <v>99.16</v>
      </c>
    </row>
    <row r="23" spans="2:18">
      <c r="B23" s="6">
        <v>25035</v>
      </c>
      <c r="C23" s="6" t="s">
        <v>22</v>
      </c>
      <c r="D23" s="6">
        <v>98.98</v>
      </c>
      <c r="E23" s="6">
        <v>99.03</v>
      </c>
      <c r="F23" s="6">
        <v>99.03</v>
      </c>
      <c r="G23" s="6">
        <v>98.64</v>
      </c>
      <c r="H23" s="6">
        <v>98.72</v>
      </c>
      <c r="I23" s="6">
        <v>98.71</v>
      </c>
      <c r="J23" s="6">
        <v>98.64</v>
      </c>
      <c r="K23" s="6">
        <v>98.72</v>
      </c>
      <c r="L23" s="6">
        <v>98.71</v>
      </c>
      <c r="M23" s="6">
        <v>98.64</v>
      </c>
      <c r="N23" s="6">
        <v>98.72</v>
      </c>
      <c r="O23" s="6">
        <v>98.71</v>
      </c>
      <c r="P23" s="6">
        <v>98.64</v>
      </c>
      <c r="Q23" s="6">
        <v>98.72</v>
      </c>
      <c r="R23" s="6">
        <v>98.71</v>
      </c>
    </row>
    <row r="24" spans="2:18">
      <c r="B24" s="6">
        <v>25035</v>
      </c>
      <c r="C24" s="6" t="s">
        <v>22</v>
      </c>
      <c r="D24" s="6">
        <v>99.66</v>
      </c>
      <c r="E24" s="6">
        <v>99.25</v>
      </c>
      <c r="F24" s="6">
        <v>99.25</v>
      </c>
      <c r="G24" s="6">
        <v>99.04</v>
      </c>
      <c r="H24" s="6">
        <v>99.18</v>
      </c>
      <c r="I24" s="6">
        <v>99.21</v>
      </c>
      <c r="J24" s="6">
        <v>99.04</v>
      </c>
      <c r="K24" s="6">
        <v>99.18</v>
      </c>
      <c r="L24" s="6">
        <v>99.21</v>
      </c>
      <c r="M24" s="6">
        <v>99.07</v>
      </c>
      <c r="N24" s="6">
        <v>99.18</v>
      </c>
      <c r="O24" s="6">
        <v>99.18</v>
      </c>
      <c r="P24" s="6">
        <v>99.05</v>
      </c>
      <c r="Q24" s="6">
        <v>99.16</v>
      </c>
      <c r="R24" s="6">
        <v>99.16</v>
      </c>
    </row>
    <row r="25" spans="2:18">
      <c r="B25" s="6">
        <v>25036</v>
      </c>
      <c r="C25" s="6" t="s">
        <v>23</v>
      </c>
      <c r="D25" s="6">
        <v>99.06</v>
      </c>
      <c r="E25" s="6">
        <v>98.79</v>
      </c>
      <c r="F25" s="6">
        <v>98.79</v>
      </c>
      <c r="G25" s="6">
        <v>98.64</v>
      </c>
      <c r="H25" s="6">
        <v>98.72</v>
      </c>
      <c r="I25" s="6">
        <v>98.71</v>
      </c>
      <c r="J25" s="6">
        <v>98.64</v>
      </c>
      <c r="K25" s="6">
        <v>98.72</v>
      </c>
      <c r="L25" s="6">
        <v>98.71</v>
      </c>
      <c r="M25" s="6">
        <v>98.64</v>
      </c>
      <c r="N25" s="6">
        <v>98.72</v>
      </c>
      <c r="O25" s="6">
        <v>98.71</v>
      </c>
      <c r="P25" s="6">
        <v>98.64</v>
      </c>
      <c r="Q25" s="6">
        <v>98.72</v>
      </c>
      <c r="R25" s="6">
        <v>98.71</v>
      </c>
    </row>
    <row r="26" spans="2:18">
      <c r="B26" s="6">
        <v>25036</v>
      </c>
      <c r="C26" s="6" t="s">
        <v>23</v>
      </c>
      <c r="D26" s="6">
        <v>99</v>
      </c>
      <c r="E26" s="6">
        <v>99.04</v>
      </c>
      <c r="F26" s="6">
        <v>99.04</v>
      </c>
      <c r="G26" s="6">
        <v>99.04</v>
      </c>
      <c r="H26" s="6">
        <v>99.18</v>
      </c>
      <c r="I26" s="6">
        <v>99.21</v>
      </c>
      <c r="J26" s="6">
        <v>99.04</v>
      </c>
      <c r="K26" s="6">
        <v>99.18</v>
      </c>
      <c r="L26" s="6">
        <v>99.21</v>
      </c>
      <c r="M26" s="6">
        <v>99.07</v>
      </c>
      <c r="N26" s="6">
        <v>99.18</v>
      </c>
      <c r="O26" s="6">
        <v>99.18</v>
      </c>
      <c r="P26" s="6">
        <v>99.05</v>
      </c>
      <c r="Q26" s="6">
        <v>99.16</v>
      </c>
      <c r="R26" s="6">
        <v>99.16</v>
      </c>
    </row>
    <row r="27" spans="2:18">
      <c r="B27" s="6">
        <v>25037</v>
      </c>
      <c r="C27" s="6" t="s">
        <v>24</v>
      </c>
      <c r="D27" s="6">
        <v>97.88</v>
      </c>
      <c r="E27" s="6">
        <v>98.61</v>
      </c>
      <c r="F27" s="6">
        <v>98.61</v>
      </c>
      <c r="G27" s="6">
        <v>98.64</v>
      </c>
      <c r="H27" s="6">
        <v>98.72</v>
      </c>
      <c r="I27" s="6">
        <v>98.71</v>
      </c>
      <c r="J27" s="6">
        <v>98.64</v>
      </c>
      <c r="K27" s="6">
        <v>98.72</v>
      </c>
      <c r="L27" s="6">
        <v>98.71</v>
      </c>
      <c r="M27" s="6">
        <v>98.64</v>
      </c>
      <c r="N27" s="6">
        <v>98.72</v>
      </c>
      <c r="O27" s="6">
        <v>98.71</v>
      </c>
      <c r="P27" s="6">
        <v>98.64</v>
      </c>
      <c r="Q27" s="6">
        <v>98.72</v>
      </c>
      <c r="R27" s="6">
        <v>98.71</v>
      </c>
    </row>
    <row r="28" spans="2:18">
      <c r="B28" s="6">
        <v>25037</v>
      </c>
      <c r="C28" s="6" t="s">
        <v>24</v>
      </c>
      <c r="D28" s="6">
        <v>99.17</v>
      </c>
      <c r="E28" s="6">
        <v>99.23</v>
      </c>
      <c r="F28" s="6">
        <v>99.23</v>
      </c>
      <c r="G28" s="6">
        <v>99.04</v>
      </c>
      <c r="H28" s="6">
        <v>99.18</v>
      </c>
      <c r="I28" s="6">
        <v>99.21</v>
      </c>
      <c r="J28" s="6">
        <v>99.04</v>
      </c>
      <c r="K28" s="6">
        <v>99.18</v>
      </c>
      <c r="L28" s="6">
        <v>99.21</v>
      </c>
      <c r="M28" s="6">
        <v>99.07</v>
      </c>
      <c r="N28" s="6">
        <v>99.18</v>
      </c>
      <c r="O28" s="6">
        <v>99.18</v>
      </c>
      <c r="P28" s="6">
        <v>99.05</v>
      </c>
      <c r="Q28" s="6">
        <v>99.16</v>
      </c>
      <c r="R28" s="6">
        <v>99.16</v>
      </c>
    </row>
    <row r="29" spans="2:18">
      <c r="B29" s="6">
        <v>25038</v>
      </c>
      <c r="C29" s="6" t="s">
        <v>864</v>
      </c>
      <c r="D29" s="6">
        <v>0</v>
      </c>
      <c r="E29" s="6">
        <v>98.85</v>
      </c>
      <c r="F29" s="6">
        <v>98.85</v>
      </c>
      <c r="G29" s="6">
        <v>98.64</v>
      </c>
      <c r="H29" s="6">
        <v>98.72</v>
      </c>
      <c r="I29" s="6">
        <v>98.71</v>
      </c>
      <c r="J29" s="6">
        <v>98.64</v>
      </c>
      <c r="K29" s="6">
        <v>98.72</v>
      </c>
      <c r="L29" s="6">
        <v>98.71</v>
      </c>
      <c r="M29" s="6">
        <v>98.64</v>
      </c>
      <c r="N29" s="6">
        <v>98.72</v>
      </c>
      <c r="O29" s="6">
        <v>98.71</v>
      </c>
      <c r="P29" s="6">
        <v>98.64</v>
      </c>
      <c r="Q29" s="6">
        <v>98.72</v>
      </c>
      <c r="R29" s="6">
        <v>98.71</v>
      </c>
    </row>
    <row r="30" spans="2:18">
      <c r="B30" s="6">
        <v>25038</v>
      </c>
      <c r="C30" s="6" t="s">
        <v>864</v>
      </c>
      <c r="D30" s="6">
        <v>0</v>
      </c>
      <c r="E30" s="6">
        <v>99.53</v>
      </c>
      <c r="F30" s="6">
        <v>99.53</v>
      </c>
      <c r="G30" s="6">
        <v>99.04</v>
      </c>
      <c r="H30" s="6">
        <v>99.18</v>
      </c>
      <c r="I30" s="6">
        <v>99.21</v>
      </c>
      <c r="J30" s="6">
        <v>99.04</v>
      </c>
      <c r="K30" s="6">
        <v>99.18</v>
      </c>
      <c r="L30" s="6">
        <v>99.21</v>
      </c>
      <c r="M30" s="6">
        <v>99.07</v>
      </c>
      <c r="N30" s="6">
        <v>99.18</v>
      </c>
      <c r="O30" s="6">
        <v>99.18</v>
      </c>
      <c r="P30" s="6">
        <v>99.05</v>
      </c>
      <c r="Q30" s="6">
        <v>99.16</v>
      </c>
      <c r="R30" s="6">
        <v>99.16</v>
      </c>
    </row>
    <row r="31" spans="2:18">
      <c r="B31" s="6">
        <v>25096</v>
      </c>
      <c r="C31" s="6" t="s">
        <v>1037</v>
      </c>
      <c r="D31" s="6">
        <v>98.56</v>
      </c>
      <c r="E31" s="6">
        <v>98.56</v>
      </c>
      <c r="F31" s="6">
        <v>98.56</v>
      </c>
      <c r="G31" s="6">
        <v>98.82</v>
      </c>
      <c r="H31" s="6">
        <v>98.82</v>
      </c>
      <c r="I31" s="6">
        <v>98.82</v>
      </c>
      <c r="J31" s="6">
        <v>98.51</v>
      </c>
      <c r="K31" s="6">
        <v>98.48</v>
      </c>
      <c r="L31" s="6">
        <v>98.48</v>
      </c>
      <c r="M31" s="6">
        <v>98.51</v>
      </c>
      <c r="N31" s="6">
        <v>98.48</v>
      </c>
      <c r="O31" s="6">
        <v>98.48</v>
      </c>
      <c r="P31" s="6">
        <v>98.51</v>
      </c>
      <c r="Q31" s="6">
        <v>98.48</v>
      </c>
      <c r="R31" s="6">
        <v>98.48</v>
      </c>
    </row>
    <row r="32" spans="2:18">
      <c r="B32" s="6">
        <v>25096</v>
      </c>
      <c r="C32" s="6" t="s">
        <v>1037</v>
      </c>
      <c r="D32" s="6">
        <v>97.56</v>
      </c>
      <c r="E32" s="6">
        <v>97.56</v>
      </c>
      <c r="F32" s="6">
        <v>97.56</v>
      </c>
      <c r="G32" s="6">
        <v>97.11</v>
      </c>
      <c r="H32" s="6">
        <v>97.11</v>
      </c>
      <c r="I32" s="6">
        <v>97.11</v>
      </c>
      <c r="J32" s="6">
        <v>96.92</v>
      </c>
      <c r="K32" s="6">
        <v>97.18</v>
      </c>
      <c r="L32" s="6">
        <v>97.09</v>
      </c>
      <c r="M32" s="6">
        <v>97.55</v>
      </c>
      <c r="N32" s="6">
        <v>98.2</v>
      </c>
      <c r="O32" s="6">
        <v>98.27</v>
      </c>
      <c r="P32" s="6">
        <v>98.52</v>
      </c>
      <c r="Q32" s="6">
        <v>98.45</v>
      </c>
      <c r="R32" s="6">
        <v>98.28</v>
      </c>
    </row>
    <row r="33" spans="2:18">
      <c r="B33" s="6">
        <v>25096</v>
      </c>
      <c r="C33" s="6" t="s">
        <v>1037</v>
      </c>
      <c r="D33" s="6">
        <v>98.63</v>
      </c>
      <c r="E33" s="6">
        <v>98.63</v>
      </c>
      <c r="F33" s="6">
        <v>98.63</v>
      </c>
      <c r="G33" s="6">
        <v>99.36</v>
      </c>
      <c r="H33" s="6">
        <v>99.36</v>
      </c>
      <c r="I33" s="6">
        <v>99.36</v>
      </c>
      <c r="J33" s="6">
        <v>99.2</v>
      </c>
      <c r="K33" s="6">
        <v>99.14</v>
      </c>
      <c r="L33" s="6">
        <v>99.05</v>
      </c>
      <c r="M33" s="6">
        <v>99.07</v>
      </c>
      <c r="N33" s="6">
        <v>99.18</v>
      </c>
      <c r="O33" s="6">
        <v>99.18</v>
      </c>
      <c r="P33" s="6">
        <v>99.05</v>
      </c>
      <c r="Q33" s="6">
        <v>99.16</v>
      </c>
      <c r="R33" s="6">
        <v>99.16</v>
      </c>
    </row>
    <row r="34" spans="2:18">
      <c r="B34" s="6">
        <v>25115</v>
      </c>
      <c r="C34" s="6" t="s">
        <v>1082</v>
      </c>
      <c r="D34" s="6">
        <v>99.06</v>
      </c>
      <c r="E34" s="6">
        <v>99.06</v>
      </c>
      <c r="F34" s="6">
        <v>99.06</v>
      </c>
      <c r="G34" s="6">
        <v>98.82</v>
      </c>
      <c r="H34" s="6">
        <v>98.82</v>
      </c>
      <c r="I34" s="6">
        <v>98.82</v>
      </c>
      <c r="J34" s="6">
        <v>98.51</v>
      </c>
      <c r="K34" s="6">
        <v>98.48</v>
      </c>
      <c r="L34" s="6">
        <v>98.48</v>
      </c>
      <c r="M34" s="6">
        <v>98.51</v>
      </c>
      <c r="N34" s="6">
        <v>98.48</v>
      </c>
      <c r="O34" s="6">
        <v>98.48</v>
      </c>
      <c r="P34" s="6">
        <v>98.51</v>
      </c>
      <c r="Q34" s="6">
        <v>98.48</v>
      </c>
      <c r="R34" s="6">
        <v>98.48</v>
      </c>
    </row>
    <row r="35" spans="2:18">
      <c r="B35" s="6">
        <v>25115</v>
      </c>
      <c r="C35" s="6" t="s">
        <v>1082</v>
      </c>
      <c r="D35" s="6">
        <v>97.9</v>
      </c>
      <c r="E35" s="6">
        <v>97.9</v>
      </c>
      <c r="F35" s="6">
        <v>97.9</v>
      </c>
      <c r="G35" s="6">
        <v>97.11</v>
      </c>
      <c r="H35" s="6">
        <v>97.11</v>
      </c>
      <c r="I35" s="6">
        <v>97.11</v>
      </c>
      <c r="J35" s="6">
        <v>96.92</v>
      </c>
      <c r="K35" s="6">
        <v>97.18</v>
      </c>
      <c r="L35" s="6">
        <v>97.09</v>
      </c>
      <c r="M35" s="6">
        <v>97.55</v>
      </c>
      <c r="N35" s="6">
        <v>98.2</v>
      </c>
      <c r="O35" s="6">
        <v>98.27</v>
      </c>
      <c r="P35" s="6">
        <v>98.52</v>
      </c>
      <c r="Q35" s="6">
        <v>98.45</v>
      </c>
      <c r="R35" s="6">
        <v>98.28</v>
      </c>
    </row>
    <row r="36" spans="2:18">
      <c r="B36" s="6">
        <v>25115</v>
      </c>
      <c r="C36" s="6" t="s">
        <v>1082</v>
      </c>
      <c r="D36" s="6">
        <v>99.57</v>
      </c>
      <c r="E36" s="6">
        <v>99.57</v>
      </c>
      <c r="F36" s="6">
        <v>99.57</v>
      </c>
      <c r="G36" s="6">
        <v>99.36</v>
      </c>
      <c r="H36" s="6">
        <v>99.36</v>
      </c>
      <c r="I36" s="6">
        <v>99.36</v>
      </c>
      <c r="J36" s="6">
        <v>99.2</v>
      </c>
      <c r="K36" s="6">
        <v>99.14</v>
      </c>
      <c r="L36" s="6">
        <v>99.05</v>
      </c>
      <c r="M36" s="6">
        <v>99.07</v>
      </c>
      <c r="N36" s="6">
        <v>99.18</v>
      </c>
      <c r="O36" s="6">
        <v>99.18</v>
      </c>
      <c r="P36" s="6">
        <v>99.05</v>
      </c>
      <c r="Q36" s="6">
        <v>99.16</v>
      </c>
      <c r="R36" s="6">
        <v>99.16</v>
      </c>
    </row>
    <row r="37" spans="2:18">
      <c r="B37" s="6">
        <v>25118</v>
      </c>
      <c r="C37" s="6" t="s">
        <v>1034</v>
      </c>
      <c r="D37" s="6">
        <v>99.15</v>
      </c>
      <c r="E37" s="6">
        <v>99.15</v>
      </c>
      <c r="F37" s="6">
        <v>99.15</v>
      </c>
      <c r="G37" s="6">
        <v>98.82</v>
      </c>
      <c r="H37" s="6">
        <v>98.82</v>
      </c>
      <c r="I37" s="6">
        <v>98.82</v>
      </c>
      <c r="J37" s="6">
        <v>98.51</v>
      </c>
      <c r="K37" s="6">
        <v>98.48</v>
      </c>
      <c r="L37" s="6">
        <v>98.48</v>
      </c>
      <c r="M37" s="6">
        <v>98.51</v>
      </c>
      <c r="N37" s="6">
        <v>98.48</v>
      </c>
      <c r="O37" s="6">
        <v>98.48</v>
      </c>
      <c r="P37" s="6">
        <v>98.51</v>
      </c>
      <c r="Q37" s="6">
        <v>98.48</v>
      </c>
      <c r="R37" s="6">
        <v>98.48</v>
      </c>
    </row>
    <row r="38" spans="2:18">
      <c r="B38" s="6">
        <v>25118</v>
      </c>
      <c r="C38" s="6" t="s">
        <v>1034</v>
      </c>
      <c r="D38" s="6">
        <v>99.43</v>
      </c>
      <c r="E38" s="6">
        <v>99.43</v>
      </c>
      <c r="F38" s="6">
        <v>99.43</v>
      </c>
      <c r="G38" s="6">
        <v>97.11</v>
      </c>
      <c r="H38" s="6">
        <v>97.11</v>
      </c>
      <c r="I38" s="6">
        <v>97.11</v>
      </c>
      <c r="J38" s="6">
        <v>96.92</v>
      </c>
      <c r="K38" s="6">
        <v>97.18</v>
      </c>
      <c r="L38" s="6">
        <v>97.09</v>
      </c>
      <c r="M38" s="6">
        <v>97.55</v>
      </c>
      <c r="N38" s="6">
        <v>98.2</v>
      </c>
      <c r="O38" s="6">
        <v>98.27</v>
      </c>
      <c r="P38" s="6">
        <v>98.52</v>
      </c>
      <c r="Q38" s="6">
        <v>98.45</v>
      </c>
      <c r="R38" s="6">
        <v>98.28</v>
      </c>
    </row>
    <row r="39" spans="2:18">
      <c r="B39" s="6">
        <v>25118</v>
      </c>
      <c r="C39" s="6" t="s">
        <v>1034</v>
      </c>
      <c r="D39" s="6">
        <v>98.85</v>
      </c>
      <c r="E39" s="6">
        <v>98.85</v>
      </c>
      <c r="F39" s="6">
        <v>98.85</v>
      </c>
      <c r="G39" s="6">
        <v>99.36</v>
      </c>
      <c r="H39" s="6">
        <v>99.36</v>
      </c>
      <c r="I39" s="6">
        <v>99.36</v>
      </c>
      <c r="J39" s="6">
        <v>99.2</v>
      </c>
      <c r="K39" s="6">
        <v>99.14</v>
      </c>
      <c r="L39" s="6">
        <v>99.05</v>
      </c>
      <c r="M39" s="6">
        <v>99.07</v>
      </c>
      <c r="N39" s="6">
        <v>99.18</v>
      </c>
      <c r="O39" s="6">
        <v>99.18</v>
      </c>
      <c r="P39" s="6">
        <v>99.05</v>
      </c>
      <c r="Q39" s="6">
        <v>99.16</v>
      </c>
      <c r="R39" s="6">
        <v>99.16</v>
      </c>
    </row>
    <row r="40" spans="2:18">
      <c r="B40" s="6">
        <v>25166</v>
      </c>
      <c r="C40" s="6" t="s">
        <v>1094</v>
      </c>
      <c r="D40" s="6">
        <v>94.62</v>
      </c>
      <c r="E40" s="6">
        <v>94.62</v>
      </c>
      <c r="F40" s="6">
        <v>94.62</v>
      </c>
      <c r="G40" s="6">
        <v>97.31</v>
      </c>
      <c r="H40" s="6">
        <v>97.35</v>
      </c>
      <c r="I40" s="6">
        <v>97.35</v>
      </c>
      <c r="J40" s="6">
        <v>98.51</v>
      </c>
      <c r="K40" s="6">
        <v>98.48</v>
      </c>
      <c r="L40" s="6">
        <v>98.48</v>
      </c>
      <c r="M40" s="6">
        <v>98.51</v>
      </c>
      <c r="N40" s="6">
        <v>98.48</v>
      </c>
      <c r="O40" s="6">
        <v>98.48</v>
      </c>
      <c r="P40" s="6">
        <v>98.51</v>
      </c>
      <c r="Q40" s="6">
        <v>98.48</v>
      </c>
      <c r="R40" s="6">
        <v>98.48</v>
      </c>
    </row>
    <row r="41" spans="2:18">
      <c r="B41" s="6">
        <v>25166</v>
      </c>
      <c r="C41" s="6" t="s">
        <v>1094</v>
      </c>
      <c r="D41" s="6">
        <v>98.64</v>
      </c>
      <c r="E41" s="6">
        <v>98.64</v>
      </c>
      <c r="F41" s="6">
        <v>98.64</v>
      </c>
      <c r="G41" s="6">
        <v>96.33</v>
      </c>
      <c r="H41" s="6">
        <v>97.32</v>
      </c>
      <c r="I41" s="6">
        <v>97.05</v>
      </c>
      <c r="J41" s="6">
        <v>96.92</v>
      </c>
      <c r="K41" s="6">
        <v>97.18</v>
      </c>
      <c r="L41" s="6">
        <v>97.09</v>
      </c>
      <c r="M41" s="6">
        <v>97.55</v>
      </c>
      <c r="N41" s="6">
        <v>98.2</v>
      </c>
      <c r="O41" s="6">
        <v>98.27</v>
      </c>
      <c r="P41" s="6">
        <v>98.52</v>
      </c>
      <c r="Q41" s="6">
        <v>98.45</v>
      </c>
      <c r="R41" s="6">
        <v>98.28</v>
      </c>
    </row>
    <row r="42" spans="2:18">
      <c r="B42" s="6">
        <v>25166</v>
      </c>
      <c r="C42" s="6" t="s">
        <v>1094</v>
      </c>
      <c r="D42" s="6">
        <v>98.9</v>
      </c>
      <c r="E42" s="6">
        <v>98.9</v>
      </c>
      <c r="F42" s="6">
        <v>98.9</v>
      </c>
      <c r="G42" s="6">
        <v>98.68</v>
      </c>
      <c r="H42" s="6">
        <v>98.7</v>
      </c>
      <c r="I42" s="6">
        <v>98.63</v>
      </c>
      <c r="J42" s="6">
        <v>99.2</v>
      </c>
      <c r="K42" s="6">
        <v>99.14</v>
      </c>
      <c r="L42" s="6">
        <v>99.05</v>
      </c>
      <c r="M42" s="6">
        <v>99.07</v>
      </c>
      <c r="N42" s="6">
        <v>99.18</v>
      </c>
      <c r="O42" s="6">
        <v>99.18</v>
      </c>
      <c r="P42" s="6">
        <v>99.05</v>
      </c>
      <c r="Q42" s="6">
        <v>99.16</v>
      </c>
      <c r="R42" s="6">
        <v>99.16</v>
      </c>
    </row>
    <row r="43" spans="2:18">
      <c r="B43" s="6">
        <v>25181</v>
      </c>
      <c r="C43" s="6" t="s">
        <v>777</v>
      </c>
      <c r="D43" s="6">
        <v>0</v>
      </c>
      <c r="E43" s="6">
        <v>99.29</v>
      </c>
      <c r="F43" s="6">
        <v>99.29</v>
      </c>
      <c r="G43" s="6">
        <v>96.33</v>
      </c>
      <c r="H43" s="6">
        <v>97.32</v>
      </c>
      <c r="I43" s="6">
        <v>97.05</v>
      </c>
      <c r="J43" s="6">
        <v>96.92</v>
      </c>
      <c r="K43" s="6">
        <v>97.18</v>
      </c>
      <c r="L43" s="6">
        <v>97.09</v>
      </c>
      <c r="M43" s="6">
        <v>97.55</v>
      </c>
      <c r="N43" s="6">
        <v>98.2</v>
      </c>
      <c r="O43" s="6">
        <v>98.27</v>
      </c>
      <c r="P43" s="6">
        <v>98.52</v>
      </c>
      <c r="Q43" s="6">
        <v>98.45</v>
      </c>
      <c r="R43" s="6">
        <v>98.28</v>
      </c>
    </row>
    <row r="44" spans="2:18">
      <c r="B44" s="6">
        <v>25181</v>
      </c>
      <c r="C44" s="6" t="s">
        <v>777</v>
      </c>
      <c r="D44" s="6">
        <v>0</v>
      </c>
      <c r="E44" s="6">
        <v>98.25</v>
      </c>
      <c r="F44" s="6">
        <v>98.25</v>
      </c>
      <c r="G44" s="6">
        <v>98.28</v>
      </c>
      <c r="H44" s="6">
        <v>98.17</v>
      </c>
      <c r="I44" s="6">
        <v>98.68</v>
      </c>
      <c r="J44" s="6">
        <v>98.28</v>
      </c>
      <c r="K44" s="6">
        <v>98.17</v>
      </c>
      <c r="L44" s="6">
        <v>98.68</v>
      </c>
      <c r="M44" s="6">
        <v>98.26</v>
      </c>
      <c r="N44" s="6">
        <v>98.22</v>
      </c>
      <c r="O44" s="6">
        <v>98.39</v>
      </c>
      <c r="P44" s="6">
        <v>96.61</v>
      </c>
      <c r="Q44" s="6">
        <v>97.38</v>
      </c>
      <c r="R44" s="6">
        <v>96.74</v>
      </c>
    </row>
    <row r="45" spans="2:18">
      <c r="B45" s="6">
        <v>25181</v>
      </c>
      <c r="C45" s="6" t="s">
        <v>777</v>
      </c>
      <c r="D45" s="6">
        <v>0</v>
      </c>
      <c r="E45" s="6">
        <v>99.28</v>
      </c>
      <c r="F45" s="6">
        <v>99.28</v>
      </c>
      <c r="G45" s="6">
        <v>98.68</v>
      </c>
      <c r="H45" s="6">
        <v>98.7</v>
      </c>
      <c r="I45" s="6">
        <v>98.63</v>
      </c>
      <c r="J45" s="6">
        <v>99.2</v>
      </c>
      <c r="K45" s="6">
        <v>99.14</v>
      </c>
      <c r="L45" s="6">
        <v>99.05</v>
      </c>
      <c r="M45" s="6">
        <v>99.07</v>
      </c>
      <c r="N45" s="6">
        <v>99.18</v>
      </c>
      <c r="O45" s="6">
        <v>99.18</v>
      </c>
      <c r="P45" s="6">
        <v>99.05</v>
      </c>
      <c r="Q45" s="6">
        <v>99.16</v>
      </c>
      <c r="R45" s="6">
        <v>99.16</v>
      </c>
    </row>
    <row r="46" spans="2:18">
      <c r="B46" s="6">
        <v>25207</v>
      </c>
      <c r="C46" s="6" t="s">
        <v>1062</v>
      </c>
      <c r="D46" s="6">
        <v>98.84</v>
      </c>
      <c r="E46" s="6">
        <v>98.84</v>
      </c>
      <c r="F46" s="6">
        <v>98.84</v>
      </c>
      <c r="G46" s="6">
        <v>97.31</v>
      </c>
      <c r="H46" s="6">
        <v>97.35</v>
      </c>
      <c r="I46" s="6">
        <v>97.35</v>
      </c>
      <c r="J46" s="6">
        <v>98.51</v>
      </c>
      <c r="K46" s="6">
        <v>98.48</v>
      </c>
      <c r="L46" s="6">
        <v>98.48</v>
      </c>
      <c r="M46" s="6">
        <v>98.51</v>
      </c>
      <c r="N46" s="6">
        <v>98.48</v>
      </c>
      <c r="O46" s="6">
        <v>98.48</v>
      </c>
      <c r="P46" s="6">
        <v>98.51</v>
      </c>
      <c r="Q46" s="6">
        <v>98.48</v>
      </c>
      <c r="R46" s="6">
        <v>98.48</v>
      </c>
    </row>
    <row r="47" spans="2:18">
      <c r="B47" s="6">
        <v>25207</v>
      </c>
      <c r="C47" s="6" t="s">
        <v>1062</v>
      </c>
      <c r="D47" s="6">
        <v>95</v>
      </c>
      <c r="E47" s="6">
        <v>95</v>
      </c>
      <c r="F47" s="6">
        <v>95</v>
      </c>
      <c r="G47" s="6">
        <v>96.33</v>
      </c>
      <c r="H47" s="6">
        <v>97.32</v>
      </c>
      <c r="I47" s="6">
        <v>97.05</v>
      </c>
      <c r="J47" s="6">
        <v>96.92</v>
      </c>
      <c r="K47" s="6">
        <v>97.18</v>
      </c>
      <c r="L47" s="6">
        <v>97.09</v>
      </c>
      <c r="M47" s="6">
        <v>97.55</v>
      </c>
      <c r="N47" s="6">
        <v>98.2</v>
      </c>
      <c r="O47" s="6">
        <v>98.27</v>
      </c>
      <c r="P47" s="6">
        <v>98.52</v>
      </c>
      <c r="Q47" s="6">
        <v>98.45</v>
      </c>
      <c r="R47" s="6">
        <v>98.28</v>
      </c>
    </row>
    <row r="48" spans="2:18">
      <c r="B48" s="6">
        <v>25207</v>
      </c>
      <c r="C48" s="6" t="s">
        <v>1062</v>
      </c>
      <c r="D48" s="6">
        <v>98.45</v>
      </c>
      <c r="E48" s="6">
        <v>98.45</v>
      </c>
      <c r="F48" s="6">
        <v>98.45</v>
      </c>
      <c r="G48" s="6">
        <v>98.68</v>
      </c>
      <c r="H48" s="6">
        <v>98.7</v>
      </c>
      <c r="I48" s="6">
        <v>98.63</v>
      </c>
      <c r="J48" s="6">
        <v>99.2</v>
      </c>
      <c r="K48" s="6">
        <v>99.14</v>
      </c>
      <c r="L48" s="6">
        <v>99.05</v>
      </c>
      <c r="M48" s="6">
        <v>99.07</v>
      </c>
      <c r="N48" s="6">
        <v>99.18</v>
      </c>
      <c r="O48" s="6">
        <v>99.18</v>
      </c>
      <c r="P48" s="6">
        <v>99.05</v>
      </c>
      <c r="Q48" s="6">
        <v>99.16</v>
      </c>
      <c r="R48" s="6">
        <v>99.16</v>
      </c>
    </row>
    <row r="49" spans="2:18">
      <c r="B49" s="6">
        <v>25277</v>
      </c>
      <c r="C49" s="6" t="s">
        <v>60</v>
      </c>
      <c r="D49" s="6">
        <v>94.98</v>
      </c>
      <c r="E49" s="6">
        <v>94.98</v>
      </c>
      <c r="F49" s="6">
        <v>96.67</v>
      </c>
      <c r="G49" s="6">
        <v>98.85</v>
      </c>
      <c r="H49" s="6">
        <v>99.19</v>
      </c>
      <c r="I49" s="6">
        <v>99.17</v>
      </c>
      <c r="J49" s="6">
        <v>98.94</v>
      </c>
      <c r="K49" s="6">
        <v>99.02</v>
      </c>
      <c r="L49" s="6">
        <v>99.03</v>
      </c>
      <c r="M49" s="6">
        <v>98.93</v>
      </c>
      <c r="N49" s="6">
        <v>99.01</v>
      </c>
      <c r="O49" s="6">
        <v>99.01</v>
      </c>
      <c r="P49" s="6">
        <v>99.05</v>
      </c>
      <c r="Q49" s="6">
        <v>99.16</v>
      </c>
      <c r="R49" s="6">
        <v>99.16</v>
      </c>
    </row>
    <row r="50" spans="2:18">
      <c r="B50" s="6">
        <v>25277</v>
      </c>
      <c r="C50" s="6" t="s">
        <v>60</v>
      </c>
      <c r="D50" s="6">
        <v>98.47</v>
      </c>
      <c r="E50" s="6">
        <v>98.47</v>
      </c>
      <c r="F50" s="6">
        <v>97.63</v>
      </c>
      <c r="G50" s="6">
        <v>98.47</v>
      </c>
      <c r="H50" s="6">
        <v>98.97</v>
      </c>
      <c r="I50" s="6">
        <v>98.97</v>
      </c>
      <c r="J50" s="6">
        <v>98.44</v>
      </c>
      <c r="K50" s="6">
        <v>98.01</v>
      </c>
      <c r="L50" s="6">
        <v>98.17</v>
      </c>
      <c r="M50" s="6">
        <v>98.29</v>
      </c>
      <c r="N50" s="6">
        <v>97.91</v>
      </c>
      <c r="O50" s="6">
        <v>97.88</v>
      </c>
      <c r="P50" s="6">
        <v>98.29</v>
      </c>
      <c r="Q50" s="6">
        <v>97.91</v>
      </c>
      <c r="R50" s="6">
        <v>97.88</v>
      </c>
    </row>
    <row r="51" spans="2:18">
      <c r="B51" s="6">
        <v>25278</v>
      </c>
      <c r="C51" s="6" t="s">
        <v>61</v>
      </c>
      <c r="D51" s="6">
        <v>97.69</v>
      </c>
      <c r="E51" s="6">
        <v>98.92</v>
      </c>
      <c r="F51" s="6">
        <v>98.83</v>
      </c>
      <c r="G51" s="6">
        <v>99.09</v>
      </c>
      <c r="H51" s="6">
        <v>98.98</v>
      </c>
      <c r="I51" s="6">
        <v>98.98</v>
      </c>
      <c r="J51" s="6">
        <v>98.94</v>
      </c>
      <c r="K51" s="6">
        <v>99.02</v>
      </c>
      <c r="L51" s="6">
        <v>99.03</v>
      </c>
      <c r="M51" s="6">
        <v>98.93</v>
      </c>
      <c r="N51" s="6">
        <v>99.01</v>
      </c>
      <c r="O51" s="6">
        <v>99.01</v>
      </c>
      <c r="P51" s="6">
        <v>99.05</v>
      </c>
      <c r="Q51" s="6">
        <v>99.16</v>
      </c>
      <c r="R51" s="6">
        <v>99.16</v>
      </c>
    </row>
    <row r="52" spans="2:18">
      <c r="B52" s="6">
        <v>25278</v>
      </c>
      <c r="C52" s="6" t="s">
        <v>61</v>
      </c>
      <c r="D52" s="6">
        <v>93.49</v>
      </c>
      <c r="E52" s="6">
        <v>96.96</v>
      </c>
      <c r="F52" s="6">
        <v>95.7</v>
      </c>
      <c r="G52" s="6">
        <v>97.65</v>
      </c>
      <c r="H52" s="6">
        <v>97.65</v>
      </c>
      <c r="I52" s="6">
        <v>96.92</v>
      </c>
      <c r="J52" s="6">
        <v>98.44</v>
      </c>
      <c r="K52" s="6">
        <v>98.01</v>
      </c>
      <c r="L52" s="6">
        <v>98.17</v>
      </c>
      <c r="M52" s="6">
        <v>98.29</v>
      </c>
      <c r="N52" s="6">
        <v>97.91</v>
      </c>
      <c r="O52" s="6">
        <v>97.88</v>
      </c>
      <c r="P52" s="6">
        <v>98.29</v>
      </c>
      <c r="Q52" s="6">
        <v>97.91</v>
      </c>
      <c r="R52" s="6">
        <v>97.88</v>
      </c>
    </row>
    <row r="53" spans="2:18">
      <c r="B53" s="6">
        <v>25279</v>
      </c>
      <c r="C53" s="6" t="s">
        <v>62</v>
      </c>
      <c r="D53" s="6">
        <v>96.68</v>
      </c>
      <c r="E53" s="6">
        <v>96.68</v>
      </c>
      <c r="F53" s="6">
        <v>97.11</v>
      </c>
      <c r="G53" s="6">
        <v>96.68</v>
      </c>
      <c r="H53" s="6">
        <v>96.68</v>
      </c>
      <c r="I53" s="6">
        <v>97.11</v>
      </c>
      <c r="J53" s="6">
        <v>98.44</v>
      </c>
      <c r="K53" s="6">
        <v>98.01</v>
      </c>
      <c r="L53" s="6">
        <v>98.17</v>
      </c>
      <c r="M53" s="6">
        <v>98.29</v>
      </c>
      <c r="N53" s="6">
        <v>97.91</v>
      </c>
      <c r="O53" s="6">
        <v>97.88</v>
      </c>
      <c r="P53" s="6">
        <v>98.29</v>
      </c>
      <c r="Q53" s="6">
        <v>97.91</v>
      </c>
      <c r="R53" s="6">
        <v>97.88</v>
      </c>
    </row>
    <row r="54" spans="2:18">
      <c r="B54" s="6">
        <v>25279</v>
      </c>
      <c r="C54" s="6" t="s">
        <v>62</v>
      </c>
      <c r="D54" s="6">
        <v>95.88</v>
      </c>
      <c r="E54" s="6">
        <v>95.88</v>
      </c>
      <c r="F54" s="6">
        <v>96.46</v>
      </c>
      <c r="G54" s="6">
        <v>95.88</v>
      </c>
      <c r="H54" s="6">
        <v>95.88</v>
      </c>
      <c r="I54" s="6">
        <v>96.46</v>
      </c>
      <c r="J54" s="6">
        <v>97.75</v>
      </c>
      <c r="K54" s="6">
        <v>97.5</v>
      </c>
      <c r="L54" s="6">
        <v>98</v>
      </c>
      <c r="M54" s="6">
        <v>97.75</v>
      </c>
      <c r="N54" s="6">
        <v>97.5</v>
      </c>
      <c r="O54" s="6">
        <v>98</v>
      </c>
      <c r="P54" s="6">
        <v>97.75</v>
      </c>
      <c r="Q54" s="6">
        <v>97.5</v>
      </c>
      <c r="R54" s="6">
        <v>98</v>
      </c>
    </row>
    <row r="55" spans="2:18">
      <c r="B55" s="6">
        <v>25280</v>
      </c>
      <c r="C55" s="6" t="s">
        <v>64</v>
      </c>
      <c r="D55" s="6">
        <v>98.94</v>
      </c>
      <c r="E55" s="6">
        <v>98.16</v>
      </c>
      <c r="F55" s="6">
        <v>98.56</v>
      </c>
      <c r="G55" s="6">
        <v>98.94</v>
      </c>
      <c r="H55" s="6">
        <v>98.16</v>
      </c>
      <c r="I55" s="6">
        <v>98.56</v>
      </c>
      <c r="J55" s="6">
        <v>98.44</v>
      </c>
      <c r="K55" s="6">
        <v>98.01</v>
      </c>
      <c r="L55" s="6">
        <v>98.17</v>
      </c>
      <c r="M55" s="6">
        <v>98.29</v>
      </c>
      <c r="N55" s="6">
        <v>97.91</v>
      </c>
      <c r="O55" s="6">
        <v>97.88</v>
      </c>
      <c r="P55" s="6">
        <v>98.29</v>
      </c>
      <c r="Q55" s="6">
        <v>97.91</v>
      </c>
      <c r="R55" s="6">
        <v>97.88</v>
      </c>
    </row>
    <row r="56" spans="2:18">
      <c r="B56" s="6">
        <v>25280</v>
      </c>
      <c r="C56" s="6" t="s">
        <v>64</v>
      </c>
      <c r="D56" s="6">
        <v>98.92</v>
      </c>
      <c r="E56" s="6">
        <v>98.13</v>
      </c>
      <c r="F56" s="6">
        <v>98.33</v>
      </c>
      <c r="G56" s="6">
        <v>98.92</v>
      </c>
      <c r="H56" s="6">
        <v>98.13</v>
      </c>
      <c r="I56" s="6">
        <v>98.33</v>
      </c>
      <c r="J56" s="6">
        <v>97.75</v>
      </c>
      <c r="K56" s="6">
        <v>97.5</v>
      </c>
      <c r="L56" s="6">
        <v>98</v>
      </c>
      <c r="M56" s="6">
        <v>97.75</v>
      </c>
      <c r="N56" s="6">
        <v>97.5</v>
      </c>
      <c r="O56" s="6">
        <v>98</v>
      </c>
      <c r="P56" s="6">
        <v>97.75</v>
      </c>
      <c r="Q56" s="6">
        <v>97.5</v>
      </c>
      <c r="R56" s="6">
        <v>98</v>
      </c>
    </row>
    <row r="57" spans="2:18">
      <c r="B57" s="6">
        <v>25280</v>
      </c>
      <c r="C57" s="6" t="s">
        <v>64</v>
      </c>
      <c r="D57" s="6">
        <v>98.91</v>
      </c>
      <c r="E57" s="6">
        <v>98.09</v>
      </c>
      <c r="F57" s="6">
        <v>98.31</v>
      </c>
      <c r="G57" s="6">
        <v>98.91</v>
      </c>
      <c r="H57" s="6">
        <v>98.09</v>
      </c>
      <c r="I57" s="6">
        <v>98.31</v>
      </c>
      <c r="J57" s="6">
        <v>98.91</v>
      </c>
      <c r="K57" s="6">
        <v>98.09</v>
      </c>
      <c r="L57" s="6">
        <v>98.31</v>
      </c>
      <c r="M57" s="6">
        <v>98.91</v>
      </c>
      <c r="N57" s="6">
        <v>98.09</v>
      </c>
      <c r="O57" s="6">
        <v>98.31</v>
      </c>
      <c r="P57" s="6">
        <v>98.91</v>
      </c>
      <c r="Q57" s="6">
        <v>98.09</v>
      </c>
      <c r="R57" s="6">
        <v>98.31</v>
      </c>
    </row>
    <row r="58" spans="2:18">
      <c r="B58" s="6">
        <v>25293</v>
      </c>
      <c r="C58" s="6" t="s">
        <v>1035</v>
      </c>
      <c r="D58" s="6">
        <v>98.01</v>
      </c>
      <c r="E58" s="6">
        <v>98.01</v>
      </c>
      <c r="F58" s="6">
        <v>98.01</v>
      </c>
      <c r="G58" s="6">
        <v>98.64</v>
      </c>
      <c r="H58" s="6">
        <v>98.72</v>
      </c>
      <c r="I58" s="6">
        <v>98.71</v>
      </c>
      <c r="J58" s="6">
        <v>98.64</v>
      </c>
      <c r="K58" s="6">
        <v>98.72</v>
      </c>
      <c r="L58" s="6">
        <v>98.71</v>
      </c>
      <c r="M58" s="6">
        <v>98.64</v>
      </c>
      <c r="N58" s="6">
        <v>98.72</v>
      </c>
      <c r="O58" s="6">
        <v>98.71</v>
      </c>
      <c r="P58" s="6">
        <v>98.64</v>
      </c>
      <c r="Q58" s="6">
        <v>98.72</v>
      </c>
      <c r="R58" s="6">
        <v>98.71</v>
      </c>
    </row>
    <row r="59" spans="2:18">
      <c r="B59" s="6">
        <v>25293</v>
      </c>
      <c r="C59" s="6" t="s">
        <v>1035</v>
      </c>
      <c r="D59" s="6">
        <v>98.82</v>
      </c>
      <c r="E59" s="6">
        <v>98.82</v>
      </c>
      <c r="F59" s="6">
        <v>98.82</v>
      </c>
      <c r="G59" s="6">
        <v>99.04</v>
      </c>
      <c r="H59" s="6">
        <v>99.18</v>
      </c>
      <c r="I59" s="6">
        <v>99.21</v>
      </c>
      <c r="J59" s="6">
        <v>99.04</v>
      </c>
      <c r="K59" s="6">
        <v>99.18</v>
      </c>
      <c r="L59" s="6">
        <v>99.21</v>
      </c>
      <c r="M59" s="6">
        <v>99.07</v>
      </c>
      <c r="N59" s="6">
        <v>99.18</v>
      </c>
      <c r="O59" s="6">
        <v>99.18</v>
      </c>
      <c r="P59" s="6">
        <v>99.05</v>
      </c>
      <c r="Q59" s="6">
        <v>99.16</v>
      </c>
      <c r="R59" s="6">
        <v>99.16</v>
      </c>
    </row>
    <row r="60" spans="2:18">
      <c r="B60" s="6">
        <v>25299</v>
      </c>
      <c r="C60" s="6" t="s">
        <v>1057</v>
      </c>
      <c r="D60" s="6">
        <v>99.54</v>
      </c>
      <c r="E60" s="6">
        <v>99.54</v>
      </c>
      <c r="F60" s="6">
        <v>99.54</v>
      </c>
      <c r="G60" s="6">
        <v>98.64</v>
      </c>
      <c r="H60" s="6">
        <v>98.72</v>
      </c>
      <c r="I60" s="6">
        <v>98.71</v>
      </c>
      <c r="J60" s="6">
        <v>98.64</v>
      </c>
      <c r="K60" s="6">
        <v>98.72</v>
      </c>
      <c r="L60" s="6">
        <v>98.71</v>
      </c>
      <c r="M60" s="6">
        <v>98.64</v>
      </c>
      <c r="N60" s="6">
        <v>98.72</v>
      </c>
      <c r="O60" s="6">
        <v>98.71</v>
      </c>
      <c r="P60" s="6">
        <v>98.64</v>
      </c>
      <c r="Q60" s="6">
        <v>98.72</v>
      </c>
      <c r="R60" s="6">
        <v>98.71</v>
      </c>
    </row>
    <row r="61" spans="2:18">
      <c r="B61" s="6">
        <v>25299</v>
      </c>
      <c r="C61" s="6" t="s">
        <v>1057</v>
      </c>
      <c r="D61" s="6">
        <v>99.07</v>
      </c>
      <c r="E61" s="6">
        <v>99.07</v>
      </c>
      <c r="F61" s="6">
        <v>99.07</v>
      </c>
      <c r="G61" s="6">
        <v>99.04</v>
      </c>
      <c r="H61" s="6">
        <v>99.18</v>
      </c>
      <c r="I61" s="6">
        <v>99.21</v>
      </c>
      <c r="J61" s="6">
        <v>99.04</v>
      </c>
      <c r="K61" s="6">
        <v>99.18</v>
      </c>
      <c r="L61" s="6">
        <v>99.21</v>
      </c>
      <c r="M61" s="6">
        <v>99.07</v>
      </c>
      <c r="N61" s="6">
        <v>99.18</v>
      </c>
      <c r="O61" s="6">
        <v>99.18</v>
      </c>
      <c r="P61" s="6">
        <v>99.05</v>
      </c>
      <c r="Q61" s="6">
        <v>99.16</v>
      </c>
      <c r="R61" s="6">
        <v>99.16</v>
      </c>
    </row>
    <row r="62" spans="2:18">
      <c r="B62" s="6">
        <v>25435</v>
      </c>
      <c r="C62" s="6" t="s">
        <v>1033</v>
      </c>
      <c r="D62" s="6">
        <v>99.04</v>
      </c>
      <c r="E62" s="6">
        <v>99.04</v>
      </c>
      <c r="F62" s="6">
        <v>99.04</v>
      </c>
      <c r="G62" s="6">
        <v>98.64</v>
      </c>
      <c r="H62" s="6">
        <v>98.72</v>
      </c>
      <c r="I62" s="6">
        <v>98.71</v>
      </c>
      <c r="J62" s="6">
        <v>98.64</v>
      </c>
      <c r="K62" s="6">
        <v>98.72</v>
      </c>
      <c r="L62" s="6">
        <v>98.71</v>
      </c>
      <c r="M62" s="6">
        <v>98.64</v>
      </c>
      <c r="N62" s="6">
        <v>98.72</v>
      </c>
      <c r="O62" s="6">
        <v>98.71</v>
      </c>
      <c r="P62" s="6">
        <v>98.64</v>
      </c>
      <c r="Q62" s="6">
        <v>98.72</v>
      </c>
      <c r="R62" s="6">
        <v>98.71</v>
      </c>
    </row>
    <row r="63" spans="2:18">
      <c r="B63" s="6">
        <v>25435</v>
      </c>
      <c r="C63" s="6" t="s">
        <v>1033</v>
      </c>
      <c r="D63" s="6">
        <v>99.39</v>
      </c>
      <c r="E63" s="6">
        <v>99.39</v>
      </c>
      <c r="F63" s="6">
        <v>99.39</v>
      </c>
      <c r="G63" s="6">
        <v>99.04</v>
      </c>
      <c r="H63" s="6">
        <v>99.18</v>
      </c>
      <c r="I63" s="6">
        <v>99.21</v>
      </c>
      <c r="J63" s="6">
        <v>99.04</v>
      </c>
      <c r="K63" s="6">
        <v>99.18</v>
      </c>
      <c r="L63" s="6">
        <v>99.21</v>
      </c>
      <c r="M63" s="6">
        <v>99.07</v>
      </c>
      <c r="N63" s="6">
        <v>99.18</v>
      </c>
      <c r="O63" s="6">
        <v>99.18</v>
      </c>
      <c r="P63" s="6">
        <v>99.05</v>
      </c>
      <c r="Q63" s="6">
        <v>99.16</v>
      </c>
      <c r="R63" s="6">
        <v>99.16</v>
      </c>
    </row>
    <row r="64" spans="2:18">
      <c r="B64" s="6">
        <v>25439</v>
      </c>
      <c r="C64" s="6" t="s">
        <v>1061</v>
      </c>
      <c r="D64" s="6">
        <v>98.47</v>
      </c>
      <c r="E64" s="6">
        <v>98.47</v>
      </c>
      <c r="F64" s="6">
        <v>98.47</v>
      </c>
      <c r="G64" s="6">
        <v>98.82</v>
      </c>
      <c r="H64" s="6">
        <v>98.82</v>
      </c>
      <c r="I64" s="6">
        <v>98.82</v>
      </c>
      <c r="J64" s="6">
        <v>98.51</v>
      </c>
      <c r="K64" s="6">
        <v>98.48</v>
      </c>
      <c r="L64" s="6">
        <v>98.48</v>
      </c>
      <c r="M64" s="6">
        <v>98.51</v>
      </c>
      <c r="N64" s="6">
        <v>98.48</v>
      </c>
      <c r="O64" s="6">
        <v>98.48</v>
      </c>
      <c r="P64" s="6">
        <v>98.51</v>
      </c>
      <c r="Q64" s="6">
        <v>98.48</v>
      </c>
      <c r="R64" s="6">
        <v>98.48</v>
      </c>
    </row>
    <row r="65" spans="2:18">
      <c r="B65" s="6">
        <v>25439</v>
      </c>
      <c r="C65" s="6" t="s">
        <v>1061</v>
      </c>
      <c r="D65" s="6">
        <v>95.91</v>
      </c>
      <c r="E65" s="6">
        <v>95.91</v>
      </c>
      <c r="F65" s="6">
        <v>95.91</v>
      </c>
      <c r="G65" s="6">
        <v>97.11</v>
      </c>
      <c r="H65" s="6">
        <v>97.11</v>
      </c>
      <c r="I65" s="6">
        <v>97.11</v>
      </c>
      <c r="J65" s="6">
        <v>96.92</v>
      </c>
      <c r="K65" s="6">
        <v>97.18</v>
      </c>
      <c r="L65" s="6">
        <v>97.09</v>
      </c>
      <c r="M65" s="6">
        <v>97.55</v>
      </c>
      <c r="N65" s="6">
        <v>98.2</v>
      </c>
      <c r="O65" s="6">
        <v>98.27</v>
      </c>
      <c r="P65" s="6">
        <v>98.52</v>
      </c>
      <c r="Q65" s="6">
        <v>98.45</v>
      </c>
      <c r="R65" s="6">
        <v>98.28</v>
      </c>
    </row>
    <row r="66" spans="2:18">
      <c r="B66" s="6">
        <v>25439</v>
      </c>
      <c r="C66" s="6" t="s">
        <v>1061</v>
      </c>
      <c r="D66" s="6">
        <v>99.42</v>
      </c>
      <c r="E66" s="6">
        <v>99.42</v>
      </c>
      <c r="F66" s="6">
        <v>99.42</v>
      </c>
      <c r="G66" s="6">
        <v>99.36</v>
      </c>
      <c r="H66" s="6">
        <v>99.36</v>
      </c>
      <c r="I66" s="6">
        <v>99.36</v>
      </c>
      <c r="J66" s="6">
        <v>99.2</v>
      </c>
      <c r="K66" s="6">
        <v>99.14</v>
      </c>
      <c r="L66" s="6">
        <v>99.05</v>
      </c>
      <c r="M66" s="6">
        <v>99.07</v>
      </c>
      <c r="N66" s="6">
        <v>99.18</v>
      </c>
      <c r="O66" s="6">
        <v>99.18</v>
      </c>
      <c r="P66" s="6">
        <v>99.05</v>
      </c>
      <c r="Q66" s="6">
        <v>99.16</v>
      </c>
      <c r="R66" s="6">
        <v>99.16</v>
      </c>
    </row>
    <row r="67" spans="2:18">
      <c r="B67" s="6">
        <v>25441</v>
      </c>
      <c r="C67" s="6" t="s">
        <v>1029</v>
      </c>
      <c r="D67" s="6">
        <v>97.67</v>
      </c>
      <c r="E67" s="6">
        <v>97.67</v>
      </c>
      <c r="F67" s="6">
        <v>97.67</v>
      </c>
      <c r="G67" s="6">
        <v>98.64</v>
      </c>
      <c r="H67" s="6">
        <v>98.72</v>
      </c>
      <c r="I67" s="6">
        <v>98.71</v>
      </c>
      <c r="J67" s="6">
        <v>98.64</v>
      </c>
      <c r="K67" s="6">
        <v>98.72</v>
      </c>
      <c r="L67" s="6">
        <v>98.71</v>
      </c>
      <c r="M67" s="6">
        <v>98.64</v>
      </c>
      <c r="N67" s="6">
        <v>98.72</v>
      </c>
      <c r="O67" s="6">
        <v>98.71</v>
      </c>
      <c r="P67" s="6">
        <v>98.64</v>
      </c>
      <c r="Q67" s="6">
        <v>98.72</v>
      </c>
      <c r="R67" s="6">
        <v>98.71</v>
      </c>
    </row>
    <row r="68" spans="2:18">
      <c r="B68" s="6">
        <v>25441</v>
      </c>
      <c r="C68" s="6" t="s">
        <v>1029</v>
      </c>
      <c r="D68" s="6">
        <v>99.45</v>
      </c>
      <c r="E68" s="6">
        <v>99.45</v>
      </c>
      <c r="F68" s="6">
        <v>99.45</v>
      </c>
      <c r="G68" s="6">
        <v>99.04</v>
      </c>
      <c r="H68" s="6">
        <v>99.18</v>
      </c>
      <c r="I68" s="6">
        <v>99.21</v>
      </c>
      <c r="J68" s="6">
        <v>99.04</v>
      </c>
      <c r="K68" s="6">
        <v>99.18</v>
      </c>
      <c r="L68" s="6">
        <v>99.21</v>
      </c>
      <c r="M68" s="6">
        <v>99.07</v>
      </c>
      <c r="N68" s="6">
        <v>99.18</v>
      </c>
      <c r="O68" s="6">
        <v>99.18</v>
      </c>
      <c r="P68" s="6">
        <v>99.05</v>
      </c>
      <c r="Q68" s="6">
        <v>99.16</v>
      </c>
      <c r="R68" s="6">
        <v>99.16</v>
      </c>
    </row>
    <row r="69" spans="2:18">
      <c r="B69" s="6">
        <v>25442</v>
      </c>
      <c r="C69" s="6" t="s">
        <v>1032</v>
      </c>
      <c r="D69" s="6">
        <v>99</v>
      </c>
      <c r="E69" s="6">
        <v>99</v>
      </c>
      <c r="F69" s="6">
        <v>99</v>
      </c>
      <c r="G69" s="6">
        <v>98.82</v>
      </c>
      <c r="H69" s="6">
        <v>98.82</v>
      </c>
      <c r="I69" s="6">
        <v>98.82</v>
      </c>
      <c r="J69" s="6">
        <v>98.51</v>
      </c>
      <c r="K69" s="6">
        <v>98.48</v>
      </c>
      <c r="L69" s="6">
        <v>98.48</v>
      </c>
      <c r="M69" s="6">
        <v>98.51</v>
      </c>
      <c r="N69" s="6">
        <v>98.48</v>
      </c>
      <c r="O69" s="6">
        <v>98.48</v>
      </c>
      <c r="P69" s="6">
        <v>98.51</v>
      </c>
      <c r="Q69" s="6">
        <v>98.48</v>
      </c>
      <c r="R69" s="6">
        <v>98.48</v>
      </c>
    </row>
    <row r="70" spans="2:18">
      <c r="B70" s="6">
        <v>25442</v>
      </c>
      <c r="C70" s="6" t="s">
        <v>1032</v>
      </c>
      <c r="D70" s="6">
        <v>98.56</v>
      </c>
      <c r="E70" s="6">
        <v>98.56</v>
      </c>
      <c r="F70" s="6">
        <v>98.56</v>
      </c>
      <c r="G70" s="6">
        <v>97.11</v>
      </c>
      <c r="H70" s="6">
        <v>97.11</v>
      </c>
      <c r="I70" s="6">
        <v>97.11</v>
      </c>
      <c r="J70" s="6">
        <v>96.92</v>
      </c>
      <c r="K70" s="6">
        <v>97.18</v>
      </c>
      <c r="L70" s="6">
        <v>97.09</v>
      </c>
      <c r="M70" s="6">
        <v>97.55</v>
      </c>
      <c r="N70" s="6">
        <v>98.2</v>
      </c>
      <c r="O70" s="6">
        <v>98.27</v>
      </c>
      <c r="P70" s="6">
        <v>98.52</v>
      </c>
      <c r="Q70" s="6">
        <v>98.45</v>
      </c>
      <c r="R70" s="6">
        <v>98.28</v>
      </c>
    </row>
    <row r="71" spans="2:18">
      <c r="B71" s="6">
        <v>25442</v>
      </c>
      <c r="C71" s="6" t="s">
        <v>1032</v>
      </c>
      <c r="D71" s="6">
        <v>99.56</v>
      </c>
      <c r="E71" s="6">
        <v>99.56</v>
      </c>
      <c r="F71" s="6">
        <v>99.56</v>
      </c>
      <c r="G71" s="6">
        <v>99.36</v>
      </c>
      <c r="H71" s="6">
        <v>99.36</v>
      </c>
      <c r="I71" s="6">
        <v>99.36</v>
      </c>
      <c r="J71" s="6">
        <v>99.2</v>
      </c>
      <c r="K71" s="6">
        <v>99.14</v>
      </c>
      <c r="L71" s="6">
        <v>99.05</v>
      </c>
      <c r="M71" s="6">
        <v>99.07</v>
      </c>
      <c r="N71" s="6">
        <v>99.18</v>
      </c>
      <c r="O71" s="6">
        <v>99.18</v>
      </c>
      <c r="P71" s="6">
        <v>99.05</v>
      </c>
      <c r="Q71" s="6">
        <v>99.16</v>
      </c>
      <c r="R71" s="6">
        <v>99.16</v>
      </c>
    </row>
    <row r="72" spans="2:18">
      <c r="B72" s="6">
        <v>25495</v>
      </c>
      <c r="C72" s="6" t="s">
        <v>66</v>
      </c>
      <c r="D72" s="6">
        <v>99.08</v>
      </c>
      <c r="E72" s="6">
        <v>99.03</v>
      </c>
      <c r="F72" s="6">
        <v>99.05</v>
      </c>
      <c r="G72" s="6">
        <v>99.09</v>
      </c>
      <c r="H72" s="6">
        <v>98.98</v>
      </c>
      <c r="I72" s="6">
        <v>98.98</v>
      </c>
      <c r="J72" s="6">
        <v>98.94</v>
      </c>
      <c r="K72" s="6">
        <v>99.02</v>
      </c>
      <c r="L72" s="6">
        <v>99.03</v>
      </c>
      <c r="M72" s="6">
        <v>98.93</v>
      </c>
      <c r="N72" s="6">
        <v>99.01</v>
      </c>
      <c r="O72" s="6">
        <v>99.01</v>
      </c>
      <c r="P72" s="6">
        <v>99.05</v>
      </c>
      <c r="Q72" s="6">
        <v>99.16</v>
      </c>
      <c r="R72" s="6">
        <v>99.16</v>
      </c>
    </row>
    <row r="73" spans="2:18">
      <c r="B73" s="6">
        <v>26030</v>
      </c>
      <c r="C73" s="6" t="s">
        <v>1040</v>
      </c>
      <c r="D73" s="6">
        <v>97.7</v>
      </c>
      <c r="E73" s="6">
        <v>97.7</v>
      </c>
      <c r="F73" s="6">
        <v>97.7</v>
      </c>
      <c r="G73" s="6">
        <v>98.64</v>
      </c>
      <c r="H73" s="6">
        <v>98.72</v>
      </c>
      <c r="I73" s="6">
        <v>98.71</v>
      </c>
      <c r="J73" s="6">
        <v>98.64</v>
      </c>
      <c r="K73" s="6">
        <v>98.72</v>
      </c>
      <c r="L73" s="6">
        <v>98.71</v>
      </c>
      <c r="M73" s="6">
        <v>98.64</v>
      </c>
      <c r="N73" s="6">
        <v>98.72</v>
      </c>
      <c r="O73" s="6">
        <v>98.71</v>
      </c>
      <c r="P73" s="6">
        <v>98.64</v>
      </c>
      <c r="Q73" s="6">
        <v>98.72</v>
      </c>
      <c r="R73" s="6">
        <v>98.71</v>
      </c>
    </row>
    <row r="74" spans="2:18">
      <c r="B74" s="6">
        <v>26030</v>
      </c>
      <c r="C74" s="6" t="s">
        <v>1040</v>
      </c>
      <c r="D74" s="6">
        <v>99.26</v>
      </c>
      <c r="E74" s="6">
        <v>99.26</v>
      </c>
      <c r="F74" s="6">
        <v>99.26</v>
      </c>
      <c r="G74" s="6">
        <v>99.04</v>
      </c>
      <c r="H74" s="6">
        <v>99.18</v>
      </c>
      <c r="I74" s="6">
        <v>99.21</v>
      </c>
      <c r="J74" s="6">
        <v>99.04</v>
      </c>
      <c r="K74" s="6">
        <v>99.18</v>
      </c>
      <c r="L74" s="6">
        <v>99.21</v>
      </c>
      <c r="M74" s="6">
        <v>99.07</v>
      </c>
      <c r="N74" s="6">
        <v>99.18</v>
      </c>
      <c r="O74" s="6">
        <v>99.18</v>
      </c>
      <c r="P74" s="6">
        <v>99.05</v>
      </c>
      <c r="Q74" s="6">
        <v>99.16</v>
      </c>
      <c r="R74" s="6">
        <v>99.16</v>
      </c>
    </row>
    <row r="75" spans="2:18">
      <c r="B75" s="6">
        <v>26193</v>
      </c>
      <c r="C75" s="6" t="s">
        <v>35</v>
      </c>
      <c r="D75" s="6">
        <v>99.41</v>
      </c>
      <c r="E75" s="6">
        <v>97.95</v>
      </c>
      <c r="F75" s="6">
        <v>98.46</v>
      </c>
      <c r="G75" s="6">
        <v>98.98</v>
      </c>
      <c r="H75" s="6">
        <v>98.78</v>
      </c>
      <c r="I75" s="6">
        <v>98.73</v>
      </c>
      <c r="J75" s="6">
        <v>98.98</v>
      </c>
      <c r="K75" s="6">
        <v>98.78</v>
      </c>
      <c r="L75" s="6">
        <v>98.73</v>
      </c>
      <c r="M75" s="6">
        <v>97.55</v>
      </c>
      <c r="N75" s="6">
        <v>98.2</v>
      </c>
      <c r="O75" s="6">
        <v>98.27</v>
      </c>
      <c r="P75" s="6">
        <v>98.52</v>
      </c>
      <c r="Q75" s="6">
        <v>98.45</v>
      </c>
      <c r="R75" s="6">
        <v>98.28</v>
      </c>
    </row>
    <row r="76" spans="2:18">
      <c r="B76" s="6">
        <v>26299</v>
      </c>
      <c r="C76" s="6" t="s">
        <v>1095</v>
      </c>
      <c r="D76" s="6">
        <v>98.01</v>
      </c>
      <c r="E76" s="6">
        <v>98.01</v>
      </c>
      <c r="F76" s="6">
        <v>98.01</v>
      </c>
      <c r="G76" s="6">
        <v>98.64</v>
      </c>
      <c r="H76" s="6">
        <v>98.72</v>
      </c>
      <c r="I76" s="6">
        <v>98.71</v>
      </c>
      <c r="J76" s="6">
        <v>98.64</v>
      </c>
      <c r="K76" s="6">
        <v>98.72</v>
      </c>
      <c r="L76" s="6">
        <v>98.71</v>
      </c>
      <c r="M76" s="6">
        <v>98.64</v>
      </c>
      <c r="N76" s="6">
        <v>98.72</v>
      </c>
      <c r="O76" s="6">
        <v>98.71</v>
      </c>
      <c r="P76" s="6">
        <v>98.64</v>
      </c>
      <c r="Q76" s="6">
        <v>98.72</v>
      </c>
      <c r="R76" s="6">
        <v>98.71</v>
      </c>
    </row>
    <row r="77" spans="2:18">
      <c r="B77" s="6">
        <v>26299</v>
      </c>
      <c r="C77" s="6" t="s">
        <v>1095</v>
      </c>
      <c r="D77" s="6">
        <v>99.47</v>
      </c>
      <c r="E77" s="6">
        <v>99.47</v>
      </c>
      <c r="F77" s="6">
        <v>99.47</v>
      </c>
      <c r="G77" s="6">
        <v>99.04</v>
      </c>
      <c r="H77" s="6">
        <v>99.18</v>
      </c>
      <c r="I77" s="6">
        <v>99.21</v>
      </c>
      <c r="J77" s="6">
        <v>99.04</v>
      </c>
      <c r="K77" s="6">
        <v>99.18</v>
      </c>
      <c r="L77" s="6">
        <v>99.21</v>
      </c>
      <c r="M77" s="6">
        <v>99.07</v>
      </c>
      <c r="N77" s="6">
        <v>99.18</v>
      </c>
      <c r="O77" s="6">
        <v>99.18</v>
      </c>
      <c r="P77" s="6">
        <v>99.05</v>
      </c>
      <c r="Q77" s="6">
        <v>99.16</v>
      </c>
      <c r="R77" s="6">
        <v>99.16</v>
      </c>
    </row>
    <row r="78" spans="2:18">
      <c r="B78" s="6">
        <v>26300</v>
      </c>
      <c r="C78" s="6" t="s">
        <v>1036</v>
      </c>
      <c r="D78" s="6">
        <v>98.23</v>
      </c>
      <c r="E78" s="6">
        <v>98.23</v>
      </c>
      <c r="F78" s="6">
        <v>98.23</v>
      </c>
      <c r="G78" s="6">
        <v>98.64</v>
      </c>
      <c r="H78" s="6">
        <v>98.72</v>
      </c>
      <c r="I78" s="6">
        <v>98.71</v>
      </c>
      <c r="J78" s="6">
        <v>98.64</v>
      </c>
      <c r="K78" s="6">
        <v>98.72</v>
      </c>
      <c r="L78" s="6">
        <v>98.71</v>
      </c>
      <c r="M78" s="6">
        <v>98.64</v>
      </c>
      <c r="N78" s="6">
        <v>98.72</v>
      </c>
      <c r="O78" s="6">
        <v>98.71</v>
      </c>
      <c r="P78" s="6">
        <v>98.64</v>
      </c>
      <c r="Q78" s="6">
        <v>98.72</v>
      </c>
      <c r="R78" s="6">
        <v>98.71</v>
      </c>
    </row>
    <row r="79" spans="2:18">
      <c r="B79" s="6">
        <v>26300</v>
      </c>
      <c r="C79" s="6" t="s">
        <v>1036</v>
      </c>
      <c r="D79" s="6">
        <v>99.64</v>
      </c>
      <c r="E79" s="6">
        <v>99.64</v>
      </c>
      <c r="F79" s="6">
        <v>99.64</v>
      </c>
      <c r="G79" s="6">
        <v>99.04</v>
      </c>
      <c r="H79" s="6">
        <v>99.18</v>
      </c>
      <c r="I79" s="6">
        <v>99.21</v>
      </c>
      <c r="J79" s="6">
        <v>99.04</v>
      </c>
      <c r="K79" s="6">
        <v>99.18</v>
      </c>
      <c r="L79" s="6">
        <v>99.21</v>
      </c>
      <c r="M79" s="6">
        <v>99.07</v>
      </c>
      <c r="N79" s="6">
        <v>99.18</v>
      </c>
      <c r="O79" s="6">
        <v>99.18</v>
      </c>
      <c r="P79" s="6">
        <v>99.05</v>
      </c>
      <c r="Q79" s="6">
        <v>99.16</v>
      </c>
      <c r="R79" s="6">
        <v>99.16</v>
      </c>
    </row>
    <row r="80" spans="2:18">
      <c r="B80" s="6">
        <v>26301</v>
      </c>
      <c r="C80" s="6" t="s">
        <v>1038</v>
      </c>
      <c r="D80" s="6">
        <v>98.73</v>
      </c>
      <c r="E80" s="6">
        <v>98.73</v>
      </c>
      <c r="F80" s="6">
        <v>98.73</v>
      </c>
      <c r="G80" s="6">
        <v>98.64</v>
      </c>
      <c r="H80" s="6">
        <v>98.72</v>
      </c>
      <c r="I80" s="6">
        <v>98.71</v>
      </c>
      <c r="J80" s="6">
        <v>98.64</v>
      </c>
      <c r="K80" s="6">
        <v>98.72</v>
      </c>
      <c r="L80" s="6">
        <v>98.71</v>
      </c>
      <c r="M80" s="6">
        <v>98.64</v>
      </c>
      <c r="N80" s="6">
        <v>98.72</v>
      </c>
      <c r="O80" s="6">
        <v>98.71</v>
      </c>
      <c r="P80" s="6">
        <v>98.64</v>
      </c>
      <c r="Q80" s="6">
        <v>98.72</v>
      </c>
      <c r="R80" s="6">
        <v>98.71</v>
      </c>
    </row>
    <row r="81" spans="2:18">
      <c r="B81" s="6">
        <v>26301</v>
      </c>
      <c r="C81" s="6" t="s">
        <v>1038</v>
      </c>
      <c r="D81" s="6">
        <v>99.14</v>
      </c>
      <c r="E81" s="6">
        <v>99.14</v>
      </c>
      <c r="F81" s="6">
        <v>99.14</v>
      </c>
      <c r="G81" s="6">
        <v>99.04</v>
      </c>
      <c r="H81" s="6">
        <v>99.18</v>
      </c>
      <c r="I81" s="6">
        <v>99.21</v>
      </c>
      <c r="J81" s="6">
        <v>99.04</v>
      </c>
      <c r="K81" s="6">
        <v>99.18</v>
      </c>
      <c r="L81" s="6">
        <v>99.21</v>
      </c>
      <c r="M81" s="6">
        <v>99.07</v>
      </c>
      <c r="N81" s="6">
        <v>99.18</v>
      </c>
      <c r="O81" s="6">
        <v>99.18</v>
      </c>
      <c r="P81" s="6">
        <v>99.05</v>
      </c>
      <c r="Q81" s="6">
        <v>99.16</v>
      </c>
      <c r="R81" s="6">
        <v>99.16</v>
      </c>
    </row>
    <row r="82" spans="2:18">
      <c r="B82" s="6">
        <v>26572</v>
      </c>
      <c r="C82" s="6" t="s">
        <v>67</v>
      </c>
      <c r="D82" s="6">
        <v>98.79</v>
      </c>
      <c r="E82" s="6">
        <v>98.58</v>
      </c>
      <c r="F82" s="6">
        <v>98.43</v>
      </c>
      <c r="G82" s="6">
        <v>98.79</v>
      </c>
      <c r="H82" s="6">
        <v>98.58</v>
      </c>
      <c r="I82" s="6">
        <v>98.43</v>
      </c>
      <c r="J82" s="6">
        <v>98.94</v>
      </c>
      <c r="K82" s="6">
        <v>99.02</v>
      </c>
      <c r="L82" s="6">
        <v>99.03</v>
      </c>
      <c r="M82" s="6">
        <v>98.93</v>
      </c>
      <c r="N82" s="6">
        <v>99.01</v>
      </c>
      <c r="O82" s="6">
        <v>99.01</v>
      </c>
      <c r="P82" s="6">
        <v>99.05</v>
      </c>
      <c r="Q82" s="6">
        <v>99.16</v>
      </c>
      <c r="R82" s="6">
        <v>99.16</v>
      </c>
    </row>
    <row r="83" spans="2:18">
      <c r="B83" s="6">
        <v>26572</v>
      </c>
      <c r="C83" s="6" t="s">
        <v>67</v>
      </c>
      <c r="D83" s="6">
        <v>98.81</v>
      </c>
      <c r="E83" s="6">
        <v>96</v>
      </c>
      <c r="F83" s="6">
        <v>95.97</v>
      </c>
      <c r="G83" s="6">
        <v>98.81</v>
      </c>
      <c r="H83" s="6">
        <v>96</v>
      </c>
      <c r="I83" s="6">
        <v>95.97</v>
      </c>
      <c r="J83" s="6">
        <v>98.44</v>
      </c>
      <c r="K83" s="6">
        <v>98.01</v>
      </c>
      <c r="L83" s="6">
        <v>98.17</v>
      </c>
      <c r="M83" s="6">
        <v>98.29</v>
      </c>
      <c r="N83" s="6">
        <v>97.91</v>
      </c>
      <c r="O83" s="6">
        <v>97.88</v>
      </c>
      <c r="P83" s="6">
        <v>98.29</v>
      </c>
      <c r="Q83" s="6">
        <v>97.91</v>
      </c>
      <c r="R83" s="6">
        <v>97.88</v>
      </c>
    </row>
    <row r="84" spans="2:18">
      <c r="B84" s="6">
        <v>27217</v>
      </c>
      <c r="C84" s="6" t="s">
        <v>25</v>
      </c>
      <c r="D84" s="6">
        <v>0</v>
      </c>
      <c r="E84" s="6">
        <v>0</v>
      </c>
      <c r="F84" s="6">
        <v>98.4</v>
      </c>
      <c r="G84" s="6">
        <v>98.64</v>
      </c>
      <c r="H84" s="6">
        <v>98.72</v>
      </c>
      <c r="I84" s="6">
        <v>98.71</v>
      </c>
      <c r="J84" s="6">
        <v>98.64</v>
      </c>
      <c r="K84" s="6">
        <v>98.72</v>
      </c>
      <c r="L84" s="6">
        <v>98.71</v>
      </c>
      <c r="M84" s="6">
        <v>98.64</v>
      </c>
      <c r="N84" s="6">
        <v>98.72</v>
      </c>
      <c r="O84" s="6">
        <v>98.71</v>
      </c>
      <c r="P84" s="6">
        <v>98.64</v>
      </c>
      <c r="Q84" s="6">
        <v>98.72</v>
      </c>
      <c r="R84" s="6">
        <v>98.71</v>
      </c>
    </row>
    <row r="85" spans="2:18">
      <c r="B85" s="6">
        <v>27217</v>
      </c>
      <c r="C85" s="6" t="s">
        <v>25</v>
      </c>
      <c r="D85" s="6">
        <v>0</v>
      </c>
      <c r="E85" s="6">
        <v>0</v>
      </c>
      <c r="F85" s="6">
        <v>99.28</v>
      </c>
      <c r="G85" s="6">
        <v>99.04</v>
      </c>
      <c r="H85" s="6">
        <v>99.18</v>
      </c>
      <c r="I85" s="6">
        <v>99.21</v>
      </c>
      <c r="J85" s="6">
        <v>99.04</v>
      </c>
      <c r="K85" s="6">
        <v>99.18</v>
      </c>
      <c r="L85" s="6">
        <v>99.21</v>
      </c>
      <c r="M85" s="6">
        <v>99.07</v>
      </c>
      <c r="N85" s="6">
        <v>99.18</v>
      </c>
      <c r="O85" s="6">
        <v>99.18</v>
      </c>
      <c r="P85" s="6">
        <v>99.05</v>
      </c>
      <c r="Q85" s="6">
        <v>99.16</v>
      </c>
      <c r="R85" s="6">
        <v>99.16</v>
      </c>
    </row>
    <row r="86" spans="2:18">
      <c r="B86" s="6">
        <v>28065</v>
      </c>
      <c r="C86" s="6" t="s">
        <v>1042</v>
      </c>
      <c r="D86" s="6">
        <v>98.42</v>
      </c>
      <c r="E86" s="6">
        <v>98.42</v>
      </c>
      <c r="F86" s="6">
        <v>98.42</v>
      </c>
      <c r="G86" s="6">
        <v>98.64</v>
      </c>
      <c r="H86" s="6">
        <v>98.72</v>
      </c>
      <c r="I86" s="6">
        <v>98.71</v>
      </c>
      <c r="J86" s="6">
        <v>98.64</v>
      </c>
      <c r="K86" s="6">
        <v>98.72</v>
      </c>
      <c r="L86" s="6">
        <v>98.71</v>
      </c>
      <c r="M86" s="6">
        <v>98.64</v>
      </c>
      <c r="N86" s="6">
        <v>98.72</v>
      </c>
      <c r="O86" s="6">
        <v>98.71</v>
      </c>
      <c r="P86" s="6">
        <v>98.64</v>
      </c>
      <c r="Q86" s="6">
        <v>98.72</v>
      </c>
      <c r="R86" s="6">
        <v>98.71</v>
      </c>
    </row>
    <row r="87" spans="2:18">
      <c r="B87" s="6">
        <v>28065</v>
      </c>
      <c r="C87" s="6" t="s">
        <v>1042</v>
      </c>
      <c r="D87" s="6">
        <v>95.98</v>
      </c>
      <c r="E87" s="6">
        <v>95.98</v>
      </c>
      <c r="F87" s="6">
        <v>95.98</v>
      </c>
      <c r="G87" s="6">
        <v>99.04</v>
      </c>
      <c r="H87" s="6">
        <v>99.18</v>
      </c>
      <c r="I87" s="6">
        <v>99.21</v>
      </c>
      <c r="J87" s="6">
        <v>99.04</v>
      </c>
      <c r="K87" s="6">
        <v>99.18</v>
      </c>
      <c r="L87" s="6">
        <v>99.21</v>
      </c>
      <c r="M87" s="6">
        <v>99.07</v>
      </c>
      <c r="N87" s="6">
        <v>99.18</v>
      </c>
      <c r="O87" s="6">
        <v>99.18</v>
      </c>
      <c r="P87" s="6">
        <v>99.05</v>
      </c>
      <c r="Q87" s="6">
        <v>99.16</v>
      </c>
      <c r="R87" s="6">
        <v>99.16</v>
      </c>
    </row>
    <row r="88" spans="2:18">
      <c r="B88" s="6">
        <v>28308</v>
      </c>
      <c r="C88" s="6" t="s">
        <v>1041</v>
      </c>
      <c r="D88" s="6">
        <v>98.75</v>
      </c>
      <c r="E88" s="6">
        <v>98.75</v>
      </c>
      <c r="F88" s="6">
        <v>98.75</v>
      </c>
      <c r="G88" s="6">
        <v>98.82</v>
      </c>
      <c r="H88" s="6">
        <v>98.82</v>
      </c>
      <c r="I88" s="6">
        <v>98.82</v>
      </c>
      <c r="J88" s="6">
        <v>98.51</v>
      </c>
      <c r="K88" s="6">
        <v>98.48</v>
      </c>
      <c r="L88" s="6">
        <v>98.48</v>
      </c>
      <c r="M88" s="6">
        <v>98.51</v>
      </c>
      <c r="N88" s="6">
        <v>98.48</v>
      </c>
      <c r="O88" s="6">
        <v>98.48</v>
      </c>
      <c r="P88" s="6">
        <v>98.51</v>
      </c>
      <c r="Q88" s="6">
        <v>98.48</v>
      </c>
      <c r="R88" s="6">
        <v>98.48</v>
      </c>
    </row>
    <row r="89" spans="2:18">
      <c r="B89" s="6">
        <v>28308</v>
      </c>
      <c r="C89" s="6" t="s">
        <v>1041</v>
      </c>
      <c r="D89" s="6">
        <v>95.36</v>
      </c>
      <c r="E89" s="6">
        <v>95.36</v>
      </c>
      <c r="F89" s="6">
        <v>95.36</v>
      </c>
      <c r="G89" s="6">
        <v>97.11</v>
      </c>
      <c r="H89" s="6">
        <v>97.11</v>
      </c>
      <c r="I89" s="6">
        <v>97.11</v>
      </c>
      <c r="J89" s="6">
        <v>96.92</v>
      </c>
      <c r="K89" s="6">
        <v>97.18</v>
      </c>
      <c r="L89" s="6">
        <v>97.09</v>
      </c>
      <c r="M89" s="6">
        <v>97.55</v>
      </c>
      <c r="N89" s="6">
        <v>98.2</v>
      </c>
      <c r="O89" s="6">
        <v>98.27</v>
      </c>
      <c r="P89" s="6">
        <v>98.52</v>
      </c>
      <c r="Q89" s="6">
        <v>98.45</v>
      </c>
      <c r="R89" s="6">
        <v>98.28</v>
      </c>
    </row>
    <row r="90" spans="2:18">
      <c r="B90" s="6">
        <v>28308</v>
      </c>
      <c r="C90" s="6" t="s">
        <v>1041</v>
      </c>
      <c r="D90" s="6">
        <v>99.45</v>
      </c>
      <c r="E90" s="6">
        <v>99.45</v>
      </c>
      <c r="F90" s="6">
        <v>99.45</v>
      </c>
      <c r="G90" s="6">
        <v>99.36</v>
      </c>
      <c r="H90" s="6">
        <v>99.36</v>
      </c>
      <c r="I90" s="6">
        <v>99.36</v>
      </c>
      <c r="J90" s="6">
        <v>99.2</v>
      </c>
      <c r="K90" s="6">
        <v>99.14</v>
      </c>
      <c r="L90" s="6">
        <v>99.05</v>
      </c>
      <c r="M90" s="6">
        <v>99.07</v>
      </c>
      <c r="N90" s="6">
        <v>99.18</v>
      </c>
      <c r="O90" s="6">
        <v>99.18</v>
      </c>
      <c r="P90" s="6">
        <v>99.05</v>
      </c>
      <c r="Q90" s="6">
        <v>99.16</v>
      </c>
      <c r="R90" s="6">
        <v>99.16</v>
      </c>
    </row>
    <row r="91" spans="2:18">
      <c r="B91" s="6">
        <v>28555</v>
      </c>
      <c r="C91" s="6" t="s">
        <v>1129</v>
      </c>
      <c r="D91" s="6">
        <v>0</v>
      </c>
      <c r="E91" s="6">
        <v>98.43</v>
      </c>
      <c r="F91" s="6">
        <v>98.43</v>
      </c>
      <c r="G91" s="6">
        <v>0</v>
      </c>
      <c r="H91" s="6">
        <v>98.43</v>
      </c>
      <c r="I91" s="6">
        <v>98.43</v>
      </c>
      <c r="J91" s="6">
        <v>0</v>
      </c>
      <c r="K91" s="6">
        <v>98.43</v>
      </c>
      <c r="L91" s="6">
        <v>98.43</v>
      </c>
      <c r="M91" s="6">
        <v>0</v>
      </c>
      <c r="N91" s="6">
        <v>98.43</v>
      </c>
      <c r="O91" s="6">
        <v>98.43</v>
      </c>
      <c r="P91" s="6">
        <v>98.51</v>
      </c>
      <c r="Q91" s="6">
        <v>98.48</v>
      </c>
      <c r="R91" s="6">
        <v>98.48</v>
      </c>
    </row>
    <row r="92" spans="2:18">
      <c r="B92" s="6">
        <v>28555</v>
      </c>
      <c r="C92" s="6" t="s">
        <v>1129</v>
      </c>
      <c r="D92" s="6">
        <v>0</v>
      </c>
      <c r="E92" s="6">
        <v>95.6</v>
      </c>
      <c r="F92" s="6">
        <v>95.6</v>
      </c>
      <c r="G92" s="6">
        <v>99.09</v>
      </c>
      <c r="H92" s="6">
        <v>98.98</v>
      </c>
      <c r="I92" s="6">
        <v>98.98</v>
      </c>
      <c r="J92" s="6">
        <v>98.94</v>
      </c>
      <c r="K92" s="6">
        <v>99.02</v>
      </c>
      <c r="L92" s="6">
        <v>99.03</v>
      </c>
      <c r="M92" s="6">
        <v>98.93</v>
      </c>
      <c r="N92" s="6">
        <v>99.01</v>
      </c>
      <c r="O92" s="6">
        <v>99.01</v>
      </c>
      <c r="P92" s="6">
        <v>99.05</v>
      </c>
      <c r="Q92" s="6">
        <v>99.16</v>
      </c>
      <c r="R92" s="6">
        <v>99.16</v>
      </c>
    </row>
    <row r="93" spans="2:18">
      <c r="B93" s="6">
        <v>28555</v>
      </c>
      <c r="C93" s="6" t="s">
        <v>1129</v>
      </c>
      <c r="D93" s="6">
        <v>0</v>
      </c>
      <c r="E93" s="6">
        <v>96.81</v>
      </c>
      <c r="F93" s="6">
        <v>96.81</v>
      </c>
      <c r="G93" s="6">
        <v>97.65</v>
      </c>
      <c r="H93" s="6">
        <v>97.65</v>
      </c>
      <c r="I93" s="6">
        <v>96.92</v>
      </c>
      <c r="J93" s="6">
        <v>98.44</v>
      </c>
      <c r="K93" s="6">
        <v>98.01</v>
      </c>
      <c r="L93" s="6">
        <v>98.17</v>
      </c>
      <c r="M93" s="6">
        <v>98.29</v>
      </c>
      <c r="N93" s="6">
        <v>97.91</v>
      </c>
      <c r="O93" s="6">
        <v>97.88</v>
      </c>
      <c r="P93" s="6">
        <v>98.29</v>
      </c>
      <c r="Q93" s="6">
        <v>97.91</v>
      </c>
      <c r="R93" s="6">
        <v>97.88</v>
      </c>
    </row>
    <row r="94" spans="2:18">
      <c r="B94" s="6">
        <v>28731</v>
      </c>
      <c r="C94" s="6" t="s">
        <v>30</v>
      </c>
      <c r="D94" s="6">
        <v>96.49</v>
      </c>
      <c r="E94" s="6">
        <v>96.49</v>
      </c>
      <c r="F94" s="6">
        <v>95.34</v>
      </c>
      <c r="G94" s="6">
        <v>96.33</v>
      </c>
      <c r="H94" s="6">
        <v>97.32</v>
      </c>
      <c r="I94" s="6">
        <v>97.05</v>
      </c>
      <c r="J94" s="6">
        <v>96.92</v>
      </c>
      <c r="K94" s="6">
        <v>97.18</v>
      </c>
      <c r="L94" s="6">
        <v>97.09</v>
      </c>
      <c r="M94" s="6">
        <v>97.55</v>
      </c>
      <c r="N94" s="6">
        <v>98.2</v>
      </c>
      <c r="O94" s="6">
        <v>98.27</v>
      </c>
      <c r="P94" s="6">
        <v>98.52</v>
      </c>
      <c r="Q94" s="6">
        <v>98.45</v>
      </c>
      <c r="R94" s="6">
        <v>98.28</v>
      </c>
    </row>
    <row r="95" spans="2:18">
      <c r="B95" s="6">
        <v>28731</v>
      </c>
      <c r="C95" s="6" t="s">
        <v>30</v>
      </c>
      <c r="D95" s="6">
        <v>98.28</v>
      </c>
      <c r="E95" s="6">
        <v>98.28</v>
      </c>
      <c r="F95" s="6">
        <v>98.65</v>
      </c>
      <c r="G95" s="6">
        <v>98.28</v>
      </c>
      <c r="H95" s="6">
        <v>98.17</v>
      </c>
      <c r="I95" s="6">
        <v>98.68</v>
      </c>
      <c r="J95" s="6">
        <v>98.28</v>
      </c>
      <c r="K95" s="6">
        <v>98.17</v>
      </c>
      <c r="L95" s="6">
        <v>98.68</v>
      </c>
      <c r="M95" s="6">
        <v>98.26</v>
      </c>
      <c r="N95" s="6">
        <v>98.22</v>
      </c>
      <c r="O95" s="6">
        <v>98.39</v>
      </c>
      <c r="P95" s="6">
        <v>96.61</v>
      </c>
      <c r="Q95" s="6">
        <v>97.38</v>
      </c>
      <c r="R95" s="6">
        <v>96.74</v>
      </c>
    </row>
    <row r="96" spans="2:18">
      <c r="B96" s="6">
        <v>28731</v>
      </c>
      <c r="C96" s="6" t="s">
        <v>30</v>
      </c>
      <c r="D96" s="6">
        <v>98.91</v>
      </c>
      <c r="E96" s="6">
        <v>98.91</v>
      </c>
      <c r="F96" s="6">
        <v>98.57</v>
      </c>
      <c r="G96" s="6">
        <v>98.68</v>
      </c>
      <c r="H96" s="6">
        <v>98.7</v>
      </c>
      <c r="I96" s="6">
        <v>98.63</v>
      </c>
      <c r="J96" s="6">
        <v>99.2</v>
      </c>
      <c r="K96" s="6">
        <v>99.14</v>
      </c>
      <c r="L96" s="6">
        <v>99.05</v>
      </c>
      <c r="M96" s="6">
        <v>99.07</v>
      </c>
      <c r="N96" s="6">
        <v>99.18</v>
      </c>
      <c r="O96" s="6">
        <v>99.18</v>
      </c>
      <c r="P96" s="6">
        <v>99.05</v>
      </c>
      <c r="Q96" s="6">
        <v>99.16</v>
      </c>
      <c r="R96" s="6">
        <v>99.16</v>
      </c>
    </row>
    <row r="97" spans="2:18">
      <c r="B97" s="6">
        <v>28732</v>
      </c>
      <c r="C97" s="6" t="s">
        <v>33</v>
      </c>
      <c r="D97" s="6">
        <v>0</v>
      </c>
      <c r="E97" s="6">
        <v>99.17</v>
      </c>
      <c r="F97" s="6">
        <v>98.72</v>
      </c>
      <c r="G97" s="6">
        <v>96.33</v>
      </c>
      <c r="H97" s="6">
        <v>97.32</v>
      </c>
      <c r="I97" s="6">
        <v>97.05</v>
      </c>
      <c r="J97" s="6">
        <v>96.92</v>
      </c>
      <c r="K97" s="6">
        <v>97.18</v>
      </c>
      <c r="L97" s="6">
        <v>97.09</v>
      </c>
      <c r="M97" s="6">
        <v>97.55</v>
      </c>
      <c r="N97" s="6">
        <v>98.2</v>
      </c>
      <c r="O97" s="6">
        <v>98.27</v>
      </c>
      <c r="P97" s="6">
        <v>98.52</v>
      </c>
      <c r="Q97" s="6">
        <v>98.45</v>
      </c>
      <c r="R97" s="6">
        <v>98.28</v>
      </c>
    </row>
    <row r="98" spans="2:18">
      <c r="B98" s="6">
        <v>28732</v>
      </c>
      <c r="C98" s="6" t="s">
        <v>33</v>
      </c>
      <c r="D98" s="6">
        <v>0</v>
      </c>
      <c r="E98" s="6">
        <v>97.96</v>
      </c>
      <c r="F98" s="6">
        <v>98.86</v>
      </c>
      <c r="G98" s="6">
        <v>98.28</v>
      </c>
      <c r="H98" s="6">
        <v>98.17</v>
      </c>
      <c r="I98" s="6">
        <v>98.68</v>
      </c>
      <c r="J98" s="6">
        <v>98.28</v>
      </c>
      <c r="K98" s="6">
        <v>98.17</v>
      </c>
      <c r="L98" s="6">
        <v>98.68</v>
      </c>
      <c r="M98" s="6">
        <v>98.26</v>
      </c>
      <c r="N98" s="6">
        <v>98.22</v>
      </c>
      <c r="O98" s="6">
        <v>98.39</v>
      </c>
      <c r="P98" s="6">
        <v>96.61</v>
      </c>
      <c r="Q98" s="6">
        <v>97.38</v>
      </c>
      <c r="R98" s="6">
        <v>96.74</v>
      </c>
    </row>
    <row r="99" spans="2:18">
      <c r="B99" s="6">
        <v>28732</v>
      </c>
      <c r="C99" s="6" t="s">
        <v>33</v>
      </c>
      <c r="D99" s="6">
        <v>0</v>
      </c>
      <c r="E99" s="6">
        <v>98.32</v>
      </c>
      <c r="F99" s="6">
        <v>98.54</v>
      </c>
      <c r="G99" s="6">
        <v>98.68</v>
      </c>
      <c r="H99" s="6">
        <v>98.7</v>
      </c>
      <c r="I99" s="6">
        <v>98.63</v>
      </c>
      <c r="J99" s="6">
        <v>99.2</v>
      </c>
      <c r="K99" s="6">
        <v>99.14</v>
      </c>
      <c r="L99" s="6">
        <v>99.05</v>
      </c>
      <c r="M99" s="6">
        <v>99.07</v>
      </c>
      <c r="N99" s="6">
        <v>99.18</v>
      </c>
      <c r="O99" s="6">
        <v>99.18</v>
      </c>
      <c r="P99" s="6">
        <v>99.05</v>
      </c>
      <c r="Q99" s="6">
        <v>99.16</v>
      </c>
      <c r="R99" s="6">
        <v>99.16</v>
      </c>
    </row>
    <row r="100" spans="2:18">
      <c r="B100" s="6">
        <v>29059</v>
      </c>
      <c r="C100" s="6" t="s">
        <v>68</v>
      </c>
      <c r="D100" s="6">
        <v>99.19</v>
      </c>
      <c r="E100" s="6">
        <v>99.35</v>
      </c>
      <c r="F100" s="6">
        <v>99.3</v>
      </c>
      <c r="G100" s="6">
        <v>98.85</v>
      </c>
      <c r="H100" s="6">
        <v>99.19</v>
      </c>
      <c r="I100" s="6">
        <v>99.17</v>
      </c>
      <c r="J100" s="6">
        <v>98.94</v>
      </c>
      <c r="K100" s="6">
        <v>99.02</v>
      </c>
      <c r="L100" s="6">
        <v>99.03</v>
      </c>
      <c r="M100" s="6">
        <v>98.93</v>
      </c>
      <c r="N100" s="6">
        <v>99.01</v>
      </c>
      <c r="O100" s="6">
        <v>99.01</v>
      </c>
      <c r="P100" s="6">
        <v>99.05</v>
      </c>
      <c r="Q100" s="6">
        <v>99.16</v>
      </c>
      <c r="R100" s="6">
        <v>99.16</v>
      </c>
    </row>
    <row r="101" spans="2:18">
      <c r="B101" s="6">
        <v>29059</v>
      </c>
      <c r="C101" s="6" t="s">
        <v>68</v>
      </c>
      <c r="D101" s="6">
        <v>98.47</v>
      </c>
      <c r="E101" s="6">
        <v>98.99</v>
      </c>
      <c r="F101" s="6">
        <v>99.03</v>
      </c>
      <c r="G101" s="6">
        <v>98.47</v>
      </c>
      <c r="H101" s="6">
        <v>98.97</v>
      </c>
      <c r="I101" s="6">
        <v>98.97</v>
      </c>
      <c r="J101" s="6">
        <v>98.44</v>
      </c>
      <c r="K101" s="6">
        <v>98.01</v>
      </c>
      <c r="L101" s="6">
        <v>98.17</v>
      </c>
      <c r="M101" s="6">
        <v>98.29</v>
      </c>
      <c r="N101" s="6">
        <v>97.91</v>
      </c>
      <c r="O101" s="6">
        <v>97.88</v>
      </c>
      <c r="P101" s="6">
        <v>98.29</v>
      </c>
      <c r="Q101" s="6">
        <v>97.91</v>
      </c>
      <c r="R101" s="6">
        <v>97.88</v>
      </c>
    </row>
    <row r="102" spans="2:18">
      <c r="B102" s="6">
        <v>30026</v>
      </c>
      <c r="C102" s="6" t="s">
        <v>75</v>
      </c>
      <c r="D102" s="6">
        <v>98</v>
      </c>
      <c r="E102" s="6">
        <v>98.26</v>
      </c>
      <c r="F102" s="6">
        <v>98.26</v>
      </c>
      <c r="G102" s="6">
        <v>98.74</v>
      </c>
      <c r="H102" s="6">
        <v>98.55</v>
      </c>
      <c r="I102" s="6">
        <v>98.22</v>
      </c>
      <c r="J102" s="6">
        <v>98.64</v>
      </c>
      <c r="K102" s="6">
        <v>98.48</v>
      </c>
      <c r="L102" s="6">
        <v>98.3</v>
      </c>
      <c r="M102" s="6">
        <v>98.62</v>
      </c>
      <c r="N102" s="6">
        <v>98.46</v>
      </c>
      <c r="O102" s="6">
        <v>98.28</v>
      </c>
      <c r="P102" s="6">
        <v>98.52</v>
      </c>
      <c r="Q102" s="6">
        <v>98.45</v>
      </c>
      <c r="R102" s="6">
        <v>98.28</v>
      </c>
    </row>
    <row r="103" spans="2:18">
      <c r="B103" s="6">
        <v>30026</v>
      </c>
      <c r="C103" s="6" t="s">
        <v>75</v>
      </c>
      <c r="D103" s="6">
        <v>98.04</v>
      </c>
      <c r="E103" s="6">
        <v>98.29</v>
      </c>
      <c r="F103" s="6">
        <v>98.4</v>
      </c>
      <c r="G103" s="6">
        <v>98.78</v>
      </c>
      <c r="H103" s="6">
        <v>98.67</v>
      </c>
      <c r="I103" s="6">
        <v>98.6</v>
      </c>
      <c r="J103" s="6">
        <v>98.77</v>
      </c>
      <c r="K103" s="6">
        <v>98.75</v>
      </c>
      <c r="L103" s="6">
        <v>98.72</v>
      </c>
      <c r="M103" s="6">
        <v>98.71</v>
      </c>
      <c r="N103" s="6">
        <v>98.7</v>
      </c>
      <c r="O103" s="6">
        <v>98.68</v>
      </c>
      <c r="P103" s="6">
        <v>98.71</v>
      </c>
      <c r="Q103" s="6">
        <v>98.7</v>
      </c>
      <c r="R103" s="6">
        <v>98.68</v>
      </c>
    </row>
    <row r="104" spans="2:18">
      <c r="B104" s="6">
        <v>30026</v>
      </c>
      <c r="C104" s="6" t="s">
        <v>75</v>
      </c>
      <c r="D104" s="6">
        <v>97.14</v>
      </c>
      <c r="E104" s="6">
        <v>97.5</v>
      </c>
      <c r="F104" s="6">
        <v>97.4</v>
      </c>
      <c r="G104" s="6">
        <v>97.49</v>
      </c>
      <c r="H104" s="6">
        <v>97.66</v>
      </c>
      <c r="I104" s="6">
        <v>97.52</v>
      </c>
      <c r="J104" s="6">
        <v>97.72</v>
      </c>
      <c r="K104" s="6">
        <v>97.84</v>
      </c>
      <c r="L104" s="6">
        <v>97.75</v>
      </c>
      <c r="M104" s="6">
        <v>97.72</v>
      </c>
      <c r="N104" s="6">
        <v>97.83</v>
      </c>
      <c r="O104" s="6">
        <v>97.74</v>
      </c>
      <c r="P104" s="6">
        <v>97.73</v>
      </c>
      <c r="Q104" s="6">
        <v>97.84</v>
      </c>
      <c r="R104" s="6">
        <v>97.75</v>
      </c>
    </row>
    <row r="105" spans="2:18">
      <c r="B105" s="6">
        <v>30026</v>
      </c>
      <c r="C105" s="6" t="s">
        <v>75</v>
      </c>
      <c r="D105" s="6">
        <v>97.96</v>
      </c>
      <c r="E105" s="6">
        <v>98.23</v>
      </c>
      <c r="F105" s="6">
        <v>98.23</v>
      </c>
      <c r="G105" s="6">
        <v>98.15</v>
      </c>
      <c r="H105" s="6">
        <v>97.53</v>
      </c>
      <c r="I105" s="6">
        <v>97.49</v>
      </c>
      <c r="J105" s="6">
        <v>98.01</v>
      </c>
      <c r="K105" s="6">
        <v>97.7</v>
      </c>
      <c r="L105" s="6">
        <v>97.61</v>
      </c>
      <c r="M105" s="6">
        <v>98.02</v>
      </c>
      <c r="N105" s="6">
        <v>97.7</v>
      </c>
      <c r="O105" s="6">
        <v>97.61</v>
      </c>
      <c r="P105" s="6">
        <v>98.02</v>
      </c>
      <c r="Q105" s="6">
        <v>97.7</v>
      </c>
      <c r="R105" s="6">
        <v>97.61</v>
      </c>
    </row>
    <row r="106" spans="2:18">
      <c r="B106" s="6">
        <v>30027</v>
      </c>
      <c r="C106" s="6" t="s">
        <v>76</v>
      </c>
      <c r="D106" s="6">
        <v>98.94</v>
      </c>
      <c r="E106" s="6">
        <v>98.95</v>
      </c>
      <c r="F106" s="6">
        <v>98.79</v>
      </c>
      <c r="G106" s="6">
        <v>98.71</v>
      </c>
      <c r="H106" s="6">
        <v>98.48</v>
      </c>
      <c r="I106" s="6">
        <v>98.36</v>
      </c>
      <c r="J106" s="6">
        <v>98.64</v>
      </c>
      <c r="K106" s="6">
        <v>98.48</v>
      </c>
      <c r="L106" s="6">
        <v>98.3</v>
      </c>
      <c r="M106" s="6">
        <v>98.62</v>
      </c>
      <c r="N106" s="6">
        <v>98.46</v>
      </c>
      <c r="O106" s="6">
        <v>98.28</v>
      </c>
      <c r="P106" s="6">
        <v>98.52</v>
      </c>
      <c r="Q106" s="6">
        <v>98.45</v>
      </c>
      <c r="R106" s="6">
        <v>98.28</v>
      </c>
    </row>
    <row r="107" spans="2:18">
      <c r="B107" s="6">
        <v>30027</v>
      </c>
      <c r="C107" s="6" t="s">
        <v>76</v>
      </c>
      <c r="D107" s="6">
        <v>98.92</v>
      </c>
      <c r="E107" s="6">
        <v>98.95</v>
      </c>
      <c r="F107" s="6">
        <v>98.93</v>
      </c>
      <c r="G107" s="6">
        <v>98.99</v>
      </c>
      <c r="H107" s="6">
        <v>99.06</v>
      </c>
      <c r="I107" s="6">
        <v>99.02</v>
      </c>
      <c r="J107" s="6">
        <v>98.77</v>
      </c>
      <c r="K107" s="6">
        <v>98.75</v>
      </c>
      <c r="L107" s="6">
        <v>98.72</v>
      </c>
      <c r="M107" s="6">
        <v>98.71</v>
      </c>
      <c r="N107" s="6">
        <v>98.7</v>
      </c>
      <c r="O107" s="6">
        <v>98.68</v>
      </c>
      <c r="P107" s="6">
        <v>98.71</v>
      </c>
      <c r="Q107" s="6">
        <v>98.7</v>
      </c>
      <c r="R107" s="6">
        <v>98.68</v>
      </c>
    </row>
    <row r="108" spans="2:18">
      <c r="B108" s="6">
        <v>30027</v>
      </c>
      <c r="C108" s="6" t="s">
        <v>76</v>
      </c>
      <c r="D108" s="6">
        <v>97.41</v>
      </c>
      <c r="E108" s="6">
        <v>97.39</v>
      </c>
      <c r="F108" s="6">
        <v>96.78</v>
      </c>
      <c r="G108" s="6">
        <v>98.03</v>
      </c>
      <c r="H108" s="6">
        <v>98.12</v>
      </c>
      <c r="I108" s="6">
        <v>98.05</v>
      </c>
      <c r="J108" s="6">
        <v>97.72</v>
      </c>
      <c r="K108" s="6">
        <v>97.84</v>
      </c>
      <c r="L108" s="6">
        <v>97.75</v>
      </c>
      <c r="M108" s="6">
        <v>97.72</v>
      </c>
      <c r="N108" s="6">
        <v>97.83</v>
      </c>
      <c r="O108" s="6">
        <v>97.74</v>
      </c>
      <c r="P108" s="6">
        <v>97.73</v>
      </c>
      <c r="Q108" s="6">
        <v>97.84</v>
      </c>
      <c r="R108" s="6">
        <v>97.75</v>
      </c>
    </row>
    <row r="109" spans="2:18">
      <c r="B109" s="6">
        <v>30027</v>
      </c>
      <c r="C109" s="6" t="s">
        <v>76</v>
      </c>
      <c r="D109" s="6">
        <v>98.91</v>
      </c>
      <c r="E109" s="6">
        <v>98.58</v>
      </c>
      <c r="F109" s="6">
        <v>98.64</v>
      </c>
      <c r="G109" s="6">
        <v>98.04</v>
      </c>
      <c r="H109" s="6">
        <v>97.78</v>
      </c>
      <c r="I109" s="6">
        <v>97.69</v>
      </c>
      <c r="J109" s="6">
        <v>98.01</v>
      </c>
      <c r="K109" s="6">
        <v>97.7</v>
      </c>
      <c r="L109" s="6">
        <v>97.61</v>
      </c>
      <c r="M109" s="6">
        <v>98.02</v>
      </c>
      <c r="N109" s="6">
        <v>97.7</v>
      </c>
      <c r="O109" s="6">
        <v>97.61</v>
      </c>
      <c r="P109" s="6">
        <v>98.02</v>
      </c>
      <c r="Q109" s="6">
        <v>97.7</v>
      </c>
      <c r="R109" s="6">
        <v>97.61</v>
      </c>
    </row>
    <row r="110" spans="2:18">
      <c r="B110" s="6">
        <v>30063</v>
      </c>
      <c r="C110" s="6" t="s">
        <v>1083</v>
      </c>
      <c r="D110" s="6">
        <v>97.02</v>
      </c>
      <c r="E110" s="6">
        <v>97.02</v>
      </c>
      <c r="F110" s="6">
        <v>98.27</v>
      </c>
      <c r="G110" s="6">
        <v>98.64</v>
      </c>
      <c r="H110" s="6">
        <v>98.72</v>
      </c>
      <c r="I110" s="6">
        <v>98.71</v>
      </c>
      <c r="J110" s="6">
        <v>98.64</v>
      </c>
      <c r="K110" s="6">
        <v>98.72</v>
      </c>
      <c r="L110" s="6">
        <v>98.71</v>
      </c>
      <c r="M110" s="6">
        <v>98.64</v>
      </c>
      <c r="N110" s="6">
        <v>98.72</v>
      </c>
      <c r="O110" s="6">
        <v>98.71</v>
      </c>
      <c r="P110" s="6">
        <v>98.64</v>
      </c>
      <c r="Q110" s="6">
        <v>98.72</v>
      </c>
      <c r="R110" s="6">
        <v>98.71</v>
      </c>
    </row>
    <row r="111" spans="2:18">
      <c r="B111" s="6">
        <v>30063</v>
      </c>
      <c r="C111" s="6" t="s">
        <v>1083</v>
      </c>
      <c r="D111" s="6">
        <v>98.77</v>
      </c>
      <c r="E111" s="6">
        <v>98.77</v>
      </c>
      <c r="F111" s="6">
        <v>99.12</v>
      </c>
      <c r="G111" s="6">
        <v>99.04</v>
      </c>
      <c r="H111" s="6">
        <v>99.18</v>
      </c>
      <c r="I111" s="6">
        <v>99.21</v>
      </c>
      <c r="J111" s="6">
        <v>99.04</v>
      </c>
      <c r="K111" s="6">
        <v>99.18</v>
      </c>
      <c r="L111" s="6">
        <v>99.21</v>
      </c>
      <c r="M111" s="6">
        <v>99.07</v>
      </c>
      <c r="N111" s="6">
        <v>99.18</v>
      </c>
      <c r="O111" s="6">
        <v>99.18</v>
      </c>
      <c r="P111" s="6">
        <v>99.05</v>
      </c>
      <c r="Q111" s="6">
        <v>99.16</v>
      </c>
      <c r="R111" s="6">
        <v>99.16</v>
      </c>
    </row>
    <row r="112" spans="2:18">
      <c r="B112" s="6">
        <v>30148</v>
      </c>
      <c r="C112" s="6" t="s">
        <v>45</v>
      </c>
      <c r="D112" s="6">
        <v>0</v>
      </c>
      <c r="E112" s="6">
        <v>99.13</v>
      </c>
      <c r="F112" s="6">
        <v>99.13</v>
      </c>
      <c r="G112" s="6">
        <v>98.75</v>
      </c>
      <c r="H112" s="6">
        <v>98.86</v>
      </c>
      <c r="I112" s="6">
        <v>98.84</v>
      </c>
      <c r="J112" s="6">
        <v>98.72</v>
      </c>
      <c r="K112" s="6">
        <v>98.41</v>
      </c>
      <c r="L112" s="6">
        <v>98.27</v>
      </c>
      <c r="M112" s="6">
        <v>98.62</v>
      </c>
      <c r="N112" s="6">
        <v>98.46</v>
      </c>
      <c r="O112" s="6">
        <v>98.28</v>
      </c>
      <c r="P112" s="6">
        <v>98.52</v>
      </c>
      <c r="Q112" s="6">
        <v>98.45</v>
      </c>
      <c r="R112" s="6">
        <v>98.28</v>
      </c>
    </row>
    <row r="113" spans="2:18">
      <c r="B113" s="6">
        <v>30148</v>
      </c>
      <c r="C113" s="6" t="s">
        <v>45</v>
      </c>
      <c r="D113" s="6">
        <v>0</v>
      </c>
      <c r="E113" s="6">
        <v>97.5</v>
      </c>
      <c r="F113" s="6">
        <v>97.5</v>
      </c>
      <c r="G113" s="6">
        <v>98.01</v>
      </c>
      <c r="H113" s="6">
        <v>97.96</v>
      </c>
      <c r="I113" s="6">
        <v>97.94</v>
      </c>
      <c r="J113" s="6">
        <v>97.54</v>
      </c>
      <c r="K113" s="6">
        <v>97.47</v>
      </c>
      <c r="L113" s="6">
        <v>97.49</v>
      </c>
      <c r="M113" s="6">
        <v>97.54</v>
      </c>
      <c r="N113" s="6">
        <v>97.47</v>
      </c>
      <c r="O113" s="6">
        <v>97.49</v>
      </c>
      <c r="P113" s="6">
        <v>97.54</v>
      </c>
      <c r="Q113" s="6">
        <v>97.47</v>
      </c>
      <c r="R113" s="6">
        <v>97.49</v>
      </c>
    </row>
    <row r="114" spans="2:18">
      <c r="B114" s="6">
        <v>30148</v>
      </c>
      <c r="C114" s="6" t="s">
        <v>45</v>
      </c>
      <c r="D114" s="6">
        <v>0</v>
      </c>
      <c r="E114" s="6">
        <v>98.29</v>
      </c>
      <c r="F114" s="6">
        <v>98.29</v>
      </c>
      <c r="G114" s="6">
        <v>0</v>
      </c>
      <c r="H114" s="6">
        <v>98.29</v>
      </c>
      <c r="I114" s="6">
        <v>98.29</v>
      </c>
      <c r="J114" s="6">
        <v>90.86</v>
      </c>
      <c r="K114" s="6">
        <v>96.97</v>
      </c>
      <c r="L114" s="6">
        <v>96.91</v>
      </c>
      <c r="M114" s="6">
        <v>98.71</v>
      </c>
      <c r="N114" s="6">
        <v>98.7</v>
      </c>
      <c r="O114" s="6">
        <v>98.68</v>
      </c>
      <c r="P114" s="6">
        <v>98.71</v>
      </c>
      <c r="Q114" s="6">
        <v>98.7</v>
      </c>
      <c r="R114" s="6">
        <v>98.68</v>
      </c>
    </row>
    <row r="115" spans="2:18">
      <c r="B115" s="6">
        <v>30150</v>
      </c>
      <c r="C115" s="6" t="s">
        <v>77</v>
      </c>
      <c r="D115" s="6">
        <v>98.79</v>
      </c>
      <c r="E115" s="6">
        <v>98.54</v>
      </c>
      <c r="F115" s="6">
        <v>98.27</v>
      </c>
      <c r="G115" s="6">
        <v>98.71</v>
      </c>
      <c r="H115" s="6">
        <v>98.48</v>
      </c>
      <c r="I115" s="6">
        <v>98.36</v>
      </c>
      <c r="J115" s="6">
        <v>98.64</v>
      </c>
      <c r="K115" s="6">
        <v>98.48</v>
      </c>
      <c r="L115" s="6">
        <v>98.3</v>
      </c>
      <c r="M115" s="6">
        <v>98.62</v>
      </c>
      <c r="N115" s="6">
        <v>98.46</v>
      </c>
      <c r="O115" s="6">
        <v>98.28</v>
      </c>
      <c r="P115" s="6">
        <v>98.52</v>
      </c>
      <c r="Q115" s="6">
        <v>98.45</v>
      </c>
      <c r="R115" s="6">
        <v>98.28</v>
      </c>
    </row>
    <row r="116" spans="2:18">
      <c r="B116" s="6">
        <v>30150</v>
      </c>
      <c r="C116" s="6" t="s">
        <v>77</v>
      </c>
      <c r="D116" s="6">
        <v>98.78</v>
      </c>
      <c r="E116" s="6">
        <v>98.76</v>
      </c>
      <c r="F116" s="6">
        <v>98.89</v>
      </c>
      <c r="G116" s="6">
        <v>98.91</v>
      </c>
      <c r="H116" s="6">
        <v>98.92</v>
      </c>
      <c r="I116" s="6">
        <v>98.82</v>
      </c>
      <c r="J116" s="6">
        <v>98.86</v>
      </c>
      <c r="K116" s="6">
        <v>98.85</v>
      </c>
      <c r="L116" s="6">
        <v>98.75</v>
      </c>
      <c r="M116" s="6">
        <v>98.86</v>
      </c>
      <c r="N116" s="6">
        <v>98.82</v>
      </c>
      <c r="O116" s="6">
        <v>98.74</v>
      </c>
      <c r="P116" s="6">
        <v>98.83</v>
      </c>
      <c r="Q116" s="6">
        <v>98.81</v>
      </c>
      <c r="R116" s="6">
        <v>98.73</v>
      </c>
    </row>
    <row r="117" spans="2:18">
      <c r="B117" s="6">
        <v>30150</v>
      </c>
      <c r="C117" s="6" t="s">
        <v>77</v>
      </c>
      <c r="D117" s="6">
        <v>98.12</v>
      </c>
      <c r="E117" s="6">
        <v>97.94</v>
      </c>
      <c r="F117" s="6">
        <v>97.8</v>
      </c>
      <c r="G117" s="6">
        <v>98.03</v>
      </c>
      <c r="H117" s="6">
        <v>98.12</v>
      </c>
      <c r="I117" s="6">
        <v>98.05</v>
      </c>
      <c r="J117" s="6">
        <v>97.72</v>
      </c>
      <c r="K117" s="6">
        <v>97.84</v>
      </c>
      <c r="L117" s="6">
        <v>97.75</v>
      </c>
      <c r="M117" s="6">
        <v>97.72</v>
      </c>
      <c r="N117" s="6">
        <v>97.83</v>
      </c>
      <c r="O117" s="6">
        <v>97.74</v>
      </c>
      <c r="P117" s="6">
        <v>97.73</v>
      </c>
      <c r="Q117" s="6">
        <v>97.84</v>
      </c>
      <c r="R117" s="6">
        <v>97.75</v>
      </c>
    </row>
    <row r="118" spans="2:18">
      <c r="B118" s="6">
        <v>30150</v>
      </c>
      <c r="C118" s="6" t="s">
        <v>77</v>
      </c>
      <c r="D118" s="6">
        <v>97.84</v>
      </c>
      <c r="E118" s="6">
        <v>97.65</v>
      </c>
      <c r="F118" s="6">
        <v>97.71</v>
      </c>
      <c r="G118" s="6">
        <v>98.04</v>
      </c>
      <c r="H118" s="6">
        <v>97.78</v>
      </c>
      <c r="I118" s="6">
        <v>97.69</v>
      </c>
      <c r="J118" s="6">
        <v>98.01</v>
      </c>
      <c r="K118" s="6">
        <v>97.7</v>
      </c>
      <c r="L118" s="6">
        <v>97.61</v>
      </c>
      <c r="M118" s="6">
        <v>98.02</v>
      </c>
      <c r="N118" s="6">
        <v>97.7</v>
      </c>
      <c r="O118" s="6">
        <v>97.61</v>
      </c>
      <c r="P118" s="6">
        <v>98.02</v>
      </c>
      <c r="Q118" s="6">
        <v>97.7</v>
      </c>
      <c r="R118" s="6">
        <v>97.61</v>
      </c>
    </row>
    <row r="119" spans="2:18">
      <c r="B119" s="6">
        <v>30151</v>
      </c>
      <c r="C119" s="6" t="s">
        <v>78</v>
      </c>
      <c r="D119" s="6">
        <v>98.3</v>
      </c>
      <c r="E119" s="6">
        <v>98.64</v>
      </c>
      <c r="F119" s="6">
        <v>98.28</v>
      </c>
      <c r="G119" s="6">
        <v>98.71</v>
      </c>
      <c r="H119" s="6">
        <v>98.48</v>
      </c>
      <c r="I119" s="6">
        <v>98.36</v>
      </c>
      <c r="J119" s="6">
        <v>98.64</v>
      </c>
      <c r="K119" s="6">
        <v>98.48</v>
      </c>
      <c r="L119" s="6">
        <v>98.3</v>
      </c>
      <c r="M119" s="6">
        <v>98.62</v>
      </c>
      <c r="N119" s="6">
        <v>98.46</v>
      </c>
      <c r="O119" s="6">
        <v>98.28</v>
      </c>
      <c r="P119" s="6">
        <v>98.52</v>
      </c>
      <c r="Q119" s="6">
        <v>98.45</v>
      </c>
      <c r="R119" s="6">
        <v>98.28</v>
      </c>
    </row>
    <row r="120" spans="2:18">
      <c r="B120" s="6">
        <v>30151</v>
      </c>
      <c r="C120" s="6" t="s">
        <v>78</v>
      </c>
      <c r="D120" s="6">
        <v>98.06</v>
      </c>
      <c r="E120" s="6">
        <v>98.73</v>
      </c>
      <c r="F120" s="6">
        <v>98.73</v>
      </c>
      <c r="G120" s="6">
        <v>98.91</v>
      </c>
      <c r="H120" s="6">
        <v>98.92</v>
      </c>
      <c r="I120" s="6">
        <v>98.82</v>
      </c>
      <c r="J120" s="6">
        <v>98.86</v>
      </c>
      <c r="K120" s="6">
        <v>98.85</v>
      </c>
      <c r="L120" s="6">
        <v>98.75</v>
      </c>
      <c r="M120" s="6">
        <v>98.86</v>
      </c>
      <c r="N120" s="6">
        <v>98.82</v>
      </c>
      <c r="O120" s="6">
        <v>98.74</v>
      </c>
      <c r="P120" s="6">
        <v>98.83</v>
      </c>
      <c r="Q120" s="6">
        <v>98.81</v>
      </c>
      <c r="R120" s="6">
        <v>98.73</v>
      </c>
    </row>
    <row r="121" spans="2:18">
      <c r="B121" s="6">
        <v>30151</v>
      </c>
      <c r="C121" s="6" t="s">
        <v>78</v>
      </c>
      <c r="D121" s="6">
        <v>97.64</v>
      </c>
      <c r="E121" s="6">
        <v>97.26</v>
      </c>
      <c r="F121" s="6">
        <v>97.29</v>
      </c>
      <c r="G121" s="6">
        <v>98.03</v>
      </c>
      <c r="H121" s="6">
        <v>98.12</v>
      </c>
      <c r="I121" s="6">
        <v>98.05</v>
      </c>
      <c r="J121" s="6">
        <v>97.72</v>
      </c>
      <c r="K121" s="6">
        <v>97.84</v>
      </c>
      <c r="L121" s="6">
        <v>97.75</v>
      </c>
      <c r="M121" s="6">
        <v>97.72</v>
      </c>
      <c r="N121" s="6">
        <v>97.83</v>
      </c>
      <c r="O121" s="6">
        <v>97.74</v>
      </c>
      <c r="P121" s="6">
        <v>97.73</v>
      </c>
      <c r="Q121" s="6">
        <v>97.84</v>
      </c>
      <c r="R121" s="6">
        <v>97.75</v>
      </c>
    </row>
    <row r="122" spans="2:18">
      <c r="B122" s="6">
        <v>30151</v>
      </c>
      <c r="C122" s="6" t="s">
        <v>78</v>
      </c>
      <c r="D122" s="6">
        <v>96.53</v>
      </c>
      <c r="E122" s="6">
        <v>97.28</v>
      </c>
      <c r="F122" s="6">
        <v>97.32</v>
      </c>
      <c r="G122" s="6">
        <v>98.04</v>
      </c>
      <c r="H122" s="6">
        <v>97.78</v>
      </c>
      <c r="I122" s="6">
        <v>97.69</v>
      </c>
      <c r="J122" s="6">
        <v>98.01</v>
      </c>
      <c r="K122" s="6">
        <v>97.7</v>
      </c>
      <c r="L122" s="6">
        <v>97.61</v>
      </c>
      <c r="M122" s="6">
        <v>98.02</v>
      </c>
      <c r="N122" s="6">
        <v>97.7</v>
      </c>
      <c r="O122" s="6">
        <v>97.61</v>
      </c>
      <c r="P122" s="6">
        <v>98.02</v>
      </c>
      <c r="Q122" s="6">
        <v>97.7</v>
      </c>
      <c r="R122" s="6">
        <v>97.61</v>
      </c>
    </row>
    <row r="123" spans="2:18">
      <c r="B123" s="6">
        <v>30152</v>
      </c>
      <c r="C123" s="6" t="s">
        <v>79</v>
      </c>
      <c r="D123" s="6">
        <v>99.17</v>
      </c>
      <c r="E123" s="6">
        <v>98.58</v>
      </c>
      <c r="F123" s="6">
        <v>98.13</v>
      </c>
      <c r="G123" s="6">
        <v>98.71</v>
      </c>
      <c r="H123" s="6">
        <v>98.48</v>
      </c>
      <c r="I123" s="6">
        <v>98.36</v>
      </c>
      <c r="J123" s="6">
        <v>98.64</v>
      </c>
      <c r="K123" s="6">
        <v>98.48</v>
      </c>
      <c r="L123" s="6">
        <v>98.3</v>
      </c>
      <c r="M123" s="6">
        <v>98.62</v>
      </c>
      <c r="N123" s="6">
        <v>98.46</v>
      </c>
      <c r="O123" s="6">
        <v>98.28</v>
      </c>
      <c r="P123" s="6">
        <v>98.52</v>
      </c>
      <c r="Q123" s="6">
        <v>98.45</v>
      </c>
      <c r="R123" s="6">
        <v>98.28</v>
      </c>
    </row>
    <row r="124" spans="2:18">
      <c r="B124" s="6">
        <v>30152</v>
      </c>
      <c r="C124" s="6" t="s">
        <v>79</v>
      </c>
      <c r="D124" s="6">
        <v>99.18</v>
      </c>
      <c r="E124" s="6">
        <v>98.87</v>
      </c>
      <c r="F124" s="6">
        <v>98.27</v>
      </c>
      <c r="G124" s="6">
        <v>98.91</v>
      </c>
      <c r="H124" s="6">
        <v>98.92</v>
      </c>
      <c r="I124" s="6">
        <v>98.82</v>
      </c>
      <c r="J124" s="6">
        <v>98.86</v>
      </c>
      <c r="K124" s="6">
        <v>98.85</v>
      </c>
      <c r="L124" s="6">
        <v>98.75</v>
      </c>
      <c r="M124" s="6">
        <v>98.86</v>
      </c>
      <c r="N124" s="6">
        <v>98.82</v>
      </c>
      <c r="O124" s="6">
        <v>98.74</v>
      </c>
      <c r="P124" s="6">
        <v>98.83</v>
      </c>
      <c r="Q124" s="6">
        <v>98.81</v>
      </c>
      <c r="R124" s="6">
        <v>98.73</v>
      </c>
    </row>
    <row r="125" spans="2:18">
      <c r="B125" s="6">
        <v>30152</v>
      </c>
      <c r="C125" s="6" t="s">
        <v>79</v>
      </c>
      <c r="D125" s="6">
        <v>98.17</v>
      </c>
      <c r="E125" s="6">
        <v>97.57</v>
      </c>
      <c r="F125" s="6">
        <v>96.54</v>
      </c>
      <c r="G125" s="6">
        <v>98.03</v>
      </c>
      <c r="H125" s="6">
        <v>98.12</v>
      </c>
      <c r="I125" s="6">
        <v>98.05</v>
      </c>
      <c r="J125" s="6">
        <v>97.72</v>
      </c>
      <c r="K125" s="6">
        <v>97.84</v>
      </c>
      <c r="L125" s="6">
        <v>97.75</v>
      </c>
      <c r="M125" s="6">
        <v>97.72</v>
      </c>
      <c r="N125" s="6">
        <v>97.83</v>
      </c>
      <c r="O125" s="6">
        <v>97.74</v>
      </c>
      <c r="P125" s="6">
        <v>97.73</v>
      </c>
      <c r="Q125" s="6">
        <v>97.84</v>
      </c>
      <c r="R125" s="6">
        <v>97.75</v>
      </c>
    </row>
    <row r="126" spans="2:18">
      <c r="B126" s="6">
        <v>30152</v>
      </c>
      <c r="C126" s="6" t="s">
        <v>79</v>
      </c>
      <c r="D126" s="6">
        <v>98.71</v>
      </c>
      <c r="E126" s="6">
        <v>97.77</v>
      </c>
      <c r="F126" s="6">
        <v>97.26</v>
      </c>
      <c r="G126" s="6">
        <v>98.04</v>
      </c>
      <c r="H126" s="6">
        <v>97.78</v>
      </c>
      <c r="I126" s="6">
        <v>97.69</v>
      </c>
      <c r="J126" s="6">
        <v>98.01</v>
      </c>
      <c r="K126" s="6">
        <v>97.7</v>
      </c>
      <c r="L126" s="6">
        <v>97.61</v>
      </c>
      <c r="M126" s="6">
        <v>98.02</v>
      </c>
      <c r="N126" s="6">
        <v>97.7</v>
      </c>
      <c r="O126" s="6">
        <v>97.61</v>
      </c>
      <c r="P126" s="6">
        <v>98.02</v>
      </c>
      <c r="Q126" s="6">
        <v>97.7</v>
      </c>
      <c r="R126" s="6">
        <v>97.61</v>
      </c>
    </row>
    <row r="127" spans="2:18">
      <c r="B127" s="6">
        <v>30233</v>
      </c>
      <c r="C127" s="6" t="s">
        <v>80</v>
      </c>
      <c r="D127" s="6">
        <v>99.29</v>
      </c>
      <c r="E127" s="6">
        <v>99.1</v>
      </c>
      <c r="F127" s="6">
        <v>98.47</v>
      </c>
      <c r="G127" s="6">
        <v>98.74</v>
      </c>
      <c r="H127" s="6">
        <v>98.55</v>
      </c>
      <c r="I127" s="6">
        <v>98.22</v>
      </c>
      <c r="J127" s="6">
        <v>98.64</v>
      </c>
      <c r="K127" s="6">
        <v>98.48</v>
      </c>
      <c r="L127" s="6">
        <v>98.3</v>
      </c>
      <c r="M127" s="6">
        <v>98.62</v>
      </c>
      <c r="N127" s="6">
        <v>98.46</v>
      </c>
      <c r="O127" s="6">
        <v>98.28</v>
      </c>
      <c r="P127" s="6">
        <v>98.52</v>
      </c>
      <c r="Q127" s="6">
        <v>98.45</v>
      </c>
      <c r="R127" s="6">
        <v>98.28</v>
      </c>
    </row>
    <row r="128" spans="2:18">
      <c r="B128" s="6">
        <v>30233</v>
      </c>
      <c r="C128" s="6" t="s">
        <v>80</v>
      </c>
      <c r="D128" s="6">
        <v>99.3</v>
      </c>
      <c r="E128" s="6">
        <v>99.11</v>
      </c>
      <c r="F128" s="6">
        <v>98.08</v>
      </c>
      <c r="G128" s="6">
        <v>98.78</v>
      </c>
      <c r="H128" s="6">
        <v>98.67</v>
      </c>
      <c r="I128" s="6">
        <v>98.6</v>
      </c>
      <c r="J128" s="6">
        <v>98.77</v>
      </c>
      <c r="K128" s="6">
        <v>98.75</v>
      </c>
      <c r="L128" s="6">
        <v>98.72</v>
      </c>
      <c r="M128" s="6">
        <v>98.71</v>
      </c>
      <c r="N128" s="6">
        <v>98.7</v>
      </c>
      <c r="O128" s="6">
        <v>98.68</v>
      </c>
      <c r="P128" s="6">
        <v>98.71</v>
      </c>
      <c r="Q128" s="6">
        <v>98.7</v>
      </c>
      <c r="R128" s="6">
        <v>98.68</v>
      </c>
    </row>
    <row r="129" spans="2:18">
      <c r="B129" s="6">
        <v>30233</v>
      </c>
      <c r="C129" s="6" t="s">
        <v>80</v>
      </c>
      <c r="D129" s="6">
        <v>97.09</v>
      </c>
      <c r="E129" s="6">
        <v>97.14</v>
      </c>
      <c r="F129" s="6">
        <v>96.98</v>
      </c>
      <c r="G129" s="6">
        <v>97.49</v>
      </c>
      <c r="H129" s="6">
        <v>97.66</v>
      </c>
      <c r="I129" s="6">
        <v>97.52</v>
      </c>
      <c r="J129" s="6">
        <v>97.72</v>
      </c>
      <c r="K129" s="6">
        <v>97.84</v>
      </c>
      <c r="L129" s="6">
        <v>97.75</v>
      </c>
      <c r="M129" s="6">
        <v>97.72</v>
      </c>
      <c r="N129" s="6">
        <v>97.83</v>
      </c>
      <c r="O129" s="6">
        <v>97.74</v>
      </c>
      <c r="P129" s="6">
        <v>97.73</v>
      </c>
      <c r="Q129" s="6">
        <v>97.84</v>
      </c>
      <c r="R129" s="6">
        <v>97.75</v>
      </c>
    </row>
    <row r="130" spans="2:18">
      <c r="B130" s="6">
        <v>30233</v>
      </c>
      <c r="C130" s="6" t="s">
        <v>80</v>
      </c>
      <c r="D130" s="6">
        <v>98.15</v>
      </c>
      <c r="E130" s="6">
        <v>97.6</v>
      </c>
      <c r="F130" s="6">
        <v>97.62</v>
      </c>
      <c r="G130" s="6">
        <v>98.15</v>
      </c>
      <c r="H130" s="6">
        <v>97.53</v>
      </c>
      <c r="I130" s="6">
        <v>97.49</v>
      </c>
      <c r="J130" s="6">
        <v>98.01</v>
      </c>
      <c r="K130" s="6">
        <v>97.7</v>
      </c>
      <c r="L130" s="6">
        <v>97.61</v>
      </c>
      <c r="M130" s="6">
        <v>98.02</v>
      </c>
      <c r="N130" s="6">
        <v>97.7</v>
      </c>
      <c r="O130" s="6">
        <v>97.61</v>
      </c>
      <c r="P130" s="6">
        <v>98.02</v>
      </c>
      <c r="Q130" s="6">
        <v>97.7</v>
      </c>
      <c r="R130" s="6">
        <v>97.61</v>
      </c>
    </row>
    <row r="131" spans="2:18">
      <c r="B131" s="6">
        <v>30234</v>
      </c>
      <c r="C131" s="6" t="s">
        <v>81</v>
      </c>
      <c r="D131" s="6">
        <v>98.66</v>
      </c>
      <c r="E131" s="6">
        <v>98.66</v>
      </c>
      <c r="F131" s="6">
        <v>98.66</v>
      </c>
      <c r="G131" s="6">
        <v>98.74</v>
      </c>
      <c r="H131" s="6">
        <v>98.55</v>
      </c>
      <c r="I131" s="6">
        <v>98.22</v>
      </c>
      <c r="J131" s="6">
        <v>98.64</v>
      </c>
      <c r="K131" s="6">
        <v>98.48</v>
      </c>
      <c r="L131" s="6">
        <v>98.3</v>
      </c>
      <c r="M131" s="6">
        <v>98.62</v>
      </c>
      <c r="N131" s="6">
        <v>98.46</v>
      </c>
      <c r="O131" s="6">
        <v>98.28</v>
      </c>
      <c r="P131" s="6">
        <v>98.52</v>
      </c>
      <c r="Q131" s="6">
        <v>98.45</v>
      </c>
      <c r="R131" s="6">
        <v>98.28</v>
      </c>
    </row>
    <row r="132" spans="2:18">
      <c r="B132" s="6">
        <v>30234</v>
      </c>
      <c r="C132" s="6" t="s">
        <v>81</v>
      </c>
      <c r="D132" s="6">
        <v>99.07</v>
      </c>
      <c r="E132" s="6">
        <v>99.07</v>
      </c>
      <c r="F132" s="6">
        <v>99.07</v>
      </c>
      <c r="G132" s="6">
        <v>98.78</v>
      </c>
      <c r="H132" s="6">
        <v>98.67</v>
      </c>
      <c r="I132" s="6">
        <v>98.6</v>
      </c>
      <c r="J132" s="6">
        <v>98.77</v>
      </c>
      <c r="K132" s="6">
        <v>98.75</v>
      </c>
      <c r="L132" s="6">
        <v>98.72</v>
      </c>
      <c r="M132" s="6">
        <v>98.71</v>
      </c>
      <c r="N132" s="6">
        <v>98.7</v>
      </c>
      <c r="O132" s="6">
        <v>98.68</v>
      </c>
      <c r="P132" s="6">
        <v>98.71</v>
      </c>
      <c r="Q132" s="6">
        <v>98.7</v>
      </c>
      <c r="R132" s="6">
        <v>98.68</v>
      </c>
    </row>
    <row r="133" spans="2:18">
      <c r="B133" s="6">
        <v>30234</v>
      </c>
      <c r="C133" s="6" t="s">
        <v>81</v>
      </c>
      <c r="D133" s="6">
        <v>97.14</v>
      </c>
      <c r="E133" s="6">
        <v>97.14</v>
      </c>
      <c r="F133" s="6">
        <v>97.14</v>
      </c>
      <c r="G133" s="6">
        <v>97.49</v>
      </c>
      <c r="H133" s="6">
        <v>97.66</v>
      </c>
      <c r="I133" s="6">
        <v>97.52</v>
      </c>
      <c r="J133" s="6">
        <v>97.72</v>
      </c>
      <c r="K133" s="6">
        <v>97.84</v>
      </c>
      <c r="L133" s="6">
        <v>97.75</v>
      </c>
      <c r="M133" s="6">
        <v>97.72</v>
      </c>
      <c r="N133" s="6">
        <v>97.83</v>
      </c>
      <c r="O133" s="6">
        <v>97.74</v>
      </c>
      <c r="P133" s="6">
        <v>97.73</v>
      </c>
      <c r="Q133" s="6">
        <v>97.84</v>
      </c>
      <c r="R133" s="6">
        <v>97.75</v>
      </c>
    </row>
    <row r="134" spans="2:18">
      <c r="B134" s="6">
        <v>30234</v>
      </c>
      <c r="C134" s="6" t="s">
        <v>81</v>
      </c>
      <c r="D134" s="6">
        <v>98.36</v>
      </c>
      <c r="E134" s="6">
        <v>98.36</v>
      </c>
      <c r="F134" s="6">
        <v>98.36</v>
      </c>
      <c r="G134" s="6">
        <v>98.15</v>
      </c>
      <c r="H134" s="6">
        <v>97.53</v>
      </c>
      <c r="I134" s="6">
        <v>97.49</v>
      </c>
      <c r="J134" s="6">
        <v>98.01</v>
      </c>
      <c r="K134" s="6">
        <v>97.7</v>
      </c>
      <c r="L134" s="6">
        <v>97.61</v>
      </c>
      <c r="M134" s="6">
        <v>98.02</v>
      </c>
      <c r="N134" s="6">
        <v>97.7</v>
      </c>
      <c r="O134" s="6">
        <v>97.61</v>
      </c>
      <c r="P134" s="6">
        <v>98.02</v>
      </c>
      <c r="Q134" s="6">
        <v>97.7</v>
      </c>
      <c r="R134" s="6">
        <v>97.61</v>
      </c>
    </row>
    <row r="135" spans="2:18">
      <c r="B135" s="6">
        <v>30235</v>
      </c>
      <c r="C135" s="6" t="s">
        <v>82</v>
      </c>
      <c r="D135" s="6">
        <v>99.52</v>
      </c>
      <c r="E135" s="6">
        <v>99.52</v>
      </c>
      <c r="F135" s="6">
        <v>99.52</v>
      </c>
      <c r="G135" s="6">
        <v>98.74</v>
      </c>
      <c r="H135" s="6">
        <v>98.55</v>
      </c>
      <c r="I135" s="6">
        <v>98.22</v>
      </c>
      <c r="J135" s="6">
        <v>98.64</v>
      </c>
      <c r="K135" s="6">
        <v>98.48</v>
      </c>
      <c r="L135" s="6">
        <v>98.3</v>
      </c>
      <c r="M135" s="6">
        <v>98.62</v>
      </c>
      <c r="N135" s="6">
        <v>98.46</v>
      </c>
      <c r="O135" s="6">
        <v>98.28</v>
      </c>
      <c r="P135" s="6">
        <v>98.52</v>
      </c>
      <c r="Q135" s="6">
        <v>98.45</v>
      </c>
      <c r="R135" s="6">
        <v>98.28</v>
      </c>
    </row>
    <row r="136" spans="2:18">
      <c r="B136" s="6">
        <v>30235</v>
      </c>
      <c r="C136" s="6" t="s">
        <v>82</v>
      </c>
      <c r="D136" s="6">
        <v>99.15</v>
      </c>
      <c r="E136" s="6">
        <v>99.15</v>
      </c>
      <c r="F136" s="6">
        <v>99.15</v>
      </c>
      <c r="G136" s="6">
        <v>98.78</v>
      </c>
      <c r="H136" s="6">
        <v>98.67</v>
      </c>
      <c r="I136" s="6">
        <v>98.6</v>
      </c>
      <c r="J136" s="6">
        <v>98.77</v>
      </c>
      <c r="K136" s="6">
        <v>98.75</v>
      </c>
      <c r="L136" s="6">
        <v>98.72</v>
      </c>
      <c r="M136" s="6">
        <v>98.71</v>
      </c>
      <c r="N136" s="6">
        <v>98.7</v>
      </c>
      <c r="O136" s="6">
        <v>98.68</v>
      </c>
      <c r="P136" s="6">
        <v>98.71</v>
      </c>
      <c r="Q136" s="6">
        <v>98.7</v>
      </c>
      <c r="R136" s="6">
        <v>98.68</v>
      </c>
    </row>
    <row r="137" spans="2:18">
      <c r="B137" s="6">
        <v>30235</v>
      </c>
      <c r="C137" s="6" t="s">
        <v>82</v>
      </c>
      <c r="D137" s="6">
        <v>97.33</v>
      </c>
      <c r="E137" s="6">
        <v>97.33</v>
      </c>
      <c r="F137" s="6">
        <v>97.33</v>
      </c>
      <c r="G137" s="6">
        <v>97.49</v>
      </c>
      <c r="H137" s="6">
        <v>97.66</v>
      </c>
      <c r="I137" s="6">
        <v>97.52</v>
      </c>
      <c r="J137" s="6">
        <v>97.72</v>
      </c>
      <c r="K137" s="6">
        <v>97.84</v>
      </c>
      <c r="L137" s="6">
        <v>97.75</v>
      </c>
      <c r="M137" s="6">
        <v>97.72</v>
      </c>
      <c r="N137" s="6">
        <v>97.83</v>
      </c>
      <c r="O137" s="6">
        <v>97.74</v>
      </c>
      <c r="P137" s="6">
        <v>97.73</v>
      </c>
      <c r="Q137" s="6">
        <v>97.84</v>
      </c>
      <c r="R137" s="6">
        <v>97.75</v>
      </c>
    </row>
    <row r="138" spans="2:18">
      <c r="B138" s="6">
        <v>30235</v>
      </c>
      <c r="C138" s="6" t="s">
        <v>82</v>
      </c>
      <c r="D138" s="6">
        <v>98.36</v>
      </c>
      <c r="E138" s="6">
        <v>98.36</v>
      </c>
      <c r="F138" s="6">
        <v>98.36</v>
      </c>
      <c r="G138" s="6">
        <v>98.15</v>
      </c>
      <c r="H138" s="6">
        <v>97.53</v>
      </c>
      <c r="I138" s="6">
        <v>97.49</v>
      </c>
      <c r="J138" s="6">
        <v>98.01</v>
      </c>
      <c r="K138" s="6">
        <v>97.7</v>
      </c>
      <c r="L138" s="6">
        <v>97.61</v>
      </c>
      <c r="M138" s="6">
        <v>98.02</v>
      </c>
      <c r="N138" s="6">
        <v>97.7</v>
      </c>
      <c r="O138" s="6">
        <v>97.61</v>
      </c>
      <c r="P138" s="6">
        <v>98.02</v>
      </c>
      <c r="Q138" s="6">
        <v>97.7</v>
      </c>
      <c r="R138" s="6">
        <v>97.61</v>
      </c>
    </row>
    <row r="139" spans="2:18">
      <c r="B139" s="6">
        <v>30260</v>
      </c>
      <c r="C139" s="6" t="s">
        <v>83</v>
      </c>
      <c r="D139" s="6">
        <v>99</v>
      </c>
      <c r="E139" s="6">
        <v>98.59</v>
      </c>
      <c r="F139" s="6">
        <v>98.45</v>
      </c>
      <c r="G139" s="6">
        <v>98.48</v>
      </c>
      <c r="H139" s="6">
        <v>98.4</v>
      </c>
      <c r="I139" s="6">
        <v>98.25</v>
      </c>
      <c r="J139" s="6">
        <v>98.64</v>
      </c>
      <c r="K139" s="6">
        <v>98.48</v>
      </c>
      <c r="L139" s="6">
        <v>98.3</v>
      </c>
      <c r="M139" s="6">
        <v>98.62</v>
      </c>
      <c r="N139" s="6">
        <v>98.46</v>
      </c>
      <c r="O139" s="6">
        <v>98.28</v>
      </c>
      <c r="P139" s="6">
        <v>98.52</v>
      </c>
      <c r="Q139" s="6">
        <v>98.45</v>
      </c>
      <c r="R139" s="6">
        <v>98.28</v>
      </c>
    </row>
    <row r="140" spans="2:18">
      <c r="B140" s="6">
        <v>30260</v>
      </c>
      <c r="C140" s="6" t="s">
        <v>83</v>
      </c>
      <c r="D140" s="6">
        <v>99.01</v>
      </c>
      <c r="E140" s="6">
        <v>98.91</v>
      </c>
      <c r="F140" s="6">
        <v>98.5</v>
      </c>
      <c r="G140" s="6">
        <v>98.72</v>
      </c>
      <c r="H140" s="6">
        <v>98.71</v>
      </c>
      <c r="I140" s="6">
        <v>98.75</v>
      </c>
      <c r="J140" s="6">
        <v>98.77</v>
      </c>
      <c r="K140" s="6">
        <v>98.75</v>
      </c>
      <c r="L140" s="6">
        <v>98.72</v>
      </c>
      <c r="M140" s="6">
        <v>98.71</v>
      </c>
      <c r="N140" s="6">
        <v>98.7</v>
      </c>
      <c r="O140" s="6">
        <v>98.68</v>
      </c>
      <c r="P140" s="6">
        <v>98.71</v>
      </c>
      <c r="Q140" s="6">
        <v>98.7</v>
      </c>
      <c r="R140" s="6">
        <v>98.68</v>
      </c>
    </row>
    <row r="141" spans="2:18">
      <c r="B141" s="6">
        <v>30260</v>
      </c>
      <c r="C141" s="6" t="s">
        <v>83</v>
      </c>
      <c r="D141" s="6">
        <v>97.59</v>
      </c>
      <c r="E141" s="6">
        <v>97.34</v>
      </c>
      <c r="F141" s="6">
        <v>96.26</v>
      </c>
      <c r="G141" s="6">
        <v>97.43</v>
      </c>
      <c r="H141" s="6">
        <v>97.49</v>
      </c>
      <c r="I141" s="6">
        <v>97.36</v>
      </c>
      <c r="J141" s="6">
        <v>97.72</v>
      </c>
      <c r="K141" s="6">
        <v>97.84</v>
      </c>
      <c r="L141" s="6">
        <v>97.75</v>
      </c>
      <c r="M141" s="6">
        <v>97.72</v>
      </c>
      <c r="N141" s="6">
        <v>97.83</v>
      </c>
      <c r="O141" s="6">
        <v>97.74</v>
      </c>
      <c r="P141" s="6">
        <v>97.73</v>
      </c>
      <c r="Q141" s="6">
        <v>97.84</v>
      </c>
      <c r="R141" s="6">
        <v>97.75</v>
      </c>
    </row>
    <row r="142" spans="2:18">
      <c r="B142" s="6">
        <v>30260</v>
      </c>
      <c r="C142" s="6" t="s">
        <v>83</v>
      </c>
      <c r="D142" s="6">
        <v>98.24</v>
      </c>
      <c r="E142" s="6">
        <v>98.27</v>
      </c>
      <c r="F142" s="6">
        <v>97.75</v>
      </c>
      <c r="G142" s="6">
        <v>97.88</v>
      </c>
      <c r="H142" s="6">
        <v>97.7</v>
      </c>
      <c r="I142" s="6">
        <v>97.56</v>
      </c>
      <c r="J142" s="6">
        <v>98.01</v>
      </c>
      <c r="K142" s="6">
        <v>97.7</v>
      </c>
      <c r="L142" s="6">
        <v>97.61</v>
      </c>
      <c r="M142" s="6">
        <v>98.02</v>
      </c>
      <c r="N142" s="6">
        <v>97.7</v>
      </c>
      <c r="O142" s="6">
        <v>97.61</v>
      </c>
      <c r="P142" s="6">
        <v>98.02</v>
      </c>
      <c r="Q142" s="6">
        <v>97.7</v>
      </c>
      <c r="R142" s="6">
        <v>97.61</v>
      </c>
    </row>
    <row r="143" spans="2:18">
      <c r="B143" s="6">
        <v>30261</v>
      </c>
      <c r="C143" s="6" t="s">
        <v>84</v>
      </c>
      <c r="D143" s="6">
        <v>99.14</v>
      </c>
      <c r="E143" s="6">
        <v>98.97</v>
      </c>
      <c r="F143" s="6">
        <v>98.89</v>
      </c>
      <c r="G143" s="6">
        <v>98.48</v>
      </c>
      <c r="H143" s="6">
        <v>98.4</v>
      </c>
      <c r="I143" s="6">
        <v>98.25</v>
      </c>
      <c r="J143" s="6">
        <v>98.64</v>
      </c>
      <c r="K143" s="6">
        <v>98.48</v>
      </c>
      <c r="L143" s="6">
        <v>98.3</v>
      </c>
      <c r="M143" s="6">
        <v>98.62</v>
      </c>
      <c r="N143" s="6">
        <v>98.46</v>
      </c>
      <c r="O143" s="6">
        <v>98.28</v>
      </c>
      <c r="P143" s="6">
        <v>98.52</v>
      </c>
      <c r="Q143" s="6">
        <v>98.45</v>
      </c>
      <c r="R143" s="6">
        <v>98.28</v>
      </c>
    </row>
    <row r="144" spans="2:18">
      <c r="B144" s="6">
        <v>30261</v>
      </c>
      <c r="C144" s="6" t="s">
        <v>84</v>
      </c>
      <c r="D144" s="6">
        <v>99.15</v>
      </c>
      <c r="E144" s="6">
        <v>98.98</v>
      </c>
      <c r="F144" s="6">
        <v>98.9</v>
      </c>
      <c r="G144" s="6">
        <v>98.72</v>
      </c>
      <c r="H144" s="6">
        <v>98.71</v>
      </c>
      <c r="I144" s="6">
        <v>98.75</v>
      </c>
      <c r="J144" s="6">
        <v>98.77</v>
      </c>
      <c r="K144" s="6">
        <v>98.75</v>
      </c>
      <c r="L144" s="6">
        <v>98.72</v>
      </c>
      <c r="M144" s="6">
        <v>98.71</v>
      </c>
      <c r="N144" s="6">
        <v>98.7</v>
      </c>
      <c r="O144" s="6">
        <v>98.68</v>
      </c>
      <c r="P144" s="6">
        <v>98.71</v>
      </c>
      <c r="Q144" s="6">
        <v>98.7</v>
      </c>
      <c r="R144" s="6">
        <v>98.68</v>
      </c>
    </row>
    <row r="145" spans="2:18">
      <c r="B145" s="6">
        <v>30261</v>
      </c>
      <c r="C145" s="6" t="s">
        <v>84</v>
      </c>
      <c r="D145" s="6">
        <v>98.74</v>
      </c>
      <c r="E145" s="6">
        <v>98.08</v>
      </c>
      <c r="F145" s="6">
        <v>97.65</v>
      </c>
      <c r="G145" s="6">
        <v>97.43</v>
      </c>
      <c r="H145" s="6">
        <v>97.49</v>
      </c>
      <c r="I145" s="6">
        <v>97.36</v>
      </c>
      <c r="J145" s="6">
        <v>97.72</v>
      </c>
      <c r="K145" s="6">
        <v>97.84</v>
      </c>
      <c r="L145" s="6">
        <v>97.75</v>
      </c>
      <c r="M145" s="6">
        <v>97.72</v>
      </c>
      <c r="N145" s="6">
        <v>97.83</v>
      </c>
      <c r="O145" s="6">
        <v>97.74</v>
      </c>
      <c r="P145" s="6">
        <v>97.73</v>
      </c>
      <c r="Q145" s="6">
        <v>97.84</v>
      </c>
      <c r="R145" s="6">
        <v>97.75</v>
      </c>
    </row>
    <row r="146" spans="2:18">
      <c r="B146" s="6">
        <v>30261</v>
      </c>
      <c r="C146" s="6" t="s">
        <v>84</v>
      </c>
      <c r="D146" s="6">
        <v>98.59</v>
      </c>
      <c r="E146" s="6">
        <v>98.15</v>
      </c>
      <c r="F146" s="6">
        <v>98.14</v>
      </c>
      <c r="G146" s="6">
        <v>97.88</v>
      </c>
      <c r="H146" s="6">
        <v>97.7</v>
      </c>
      <c r="I146" s="6">
        <v>97.56</v>
      </c>
      <c r="J146" s="6">
        <v>98.01</v>
      </c>
      <c r="K146" s="6">
        <v>97.7</v>
      </c>
      <c r="L146" s="6">
        <v>97.61</v>
      </c>
      <c r="M146" s="6">
        <v>98.02</v>
      </c>
      <c r="N146" s="6">
        <v>97.7</v>
      </c>
      <c r="O146" s="6">
        <v>97.61</v>
      </c>
      <c r="P146" s="6">
        <v>98.02</v>
      </c>
      <c r="Q146" s="6">
        <v>97.7</v>
      </c>
      <c r="R146" s="6">
        <v>97.61</v>
      </c>
    </row>
    <row r="147" spans="2:18">
      <c r="B147" s="6">
        <v>30262</v>
      </c>
      <c r="C147" s="6" t="s">
        <v>85</v>
      </c>
      <c r="D147" s="6">
        <v>99</v>
      </c>
      <c r="E147" s="6">
        <v>98.42</v>
      </c>
      <c r="F147" s="6">
        <v>98.37</v>
      </c>
      <c r="G147" s="6">
        <v>98.48</v>
      </c>
      <c r="H147" s="6">
        <v>98.4</v>
      </c>
      <c r="I147" s="6">
        <v>98.25</v>
      </c>
      <c r="J147" s="6">
        <v>98.64</v>
      </c>
      <c r="K147" s="6">
        <v>98.48</v>
      </c>
      <c r="L147" s="6">
        <v>98.3</v>
      </c>
      <c r="M147" s="6">
        <v>98.62</v>
      </c>
      <c r="N147" s="6">
        <v>98.46</v>
      </c>
      <c r="O147" s="6">
        <v>98.28</v>
      </c>
      <c r="P147" s="6">
        <v>98.52</v>
      </c>
      <c r="Q147" s="6">
        <v>98.45</v>
      </c>
      <c r="R147" s="6">
        <v>98.28</v>
      </c>
    </row>
    <row r="148" spans="2:18">
      <c r="B148" s="6">
        <v>30262</v>
      </c>
      <c r="C148" s="6" t="s">
        <v>85</v>
      </c>
      <c r="D148" s="6">
        <v>99.01</v>
      </c>
      <c r="E148" s="6">
        <v>98.88</v>
      </c>
      <c r="F148" s="6">
        <v>98.8</v>
      </c>
      <c r="G148" s="6">
        <v>98.72</v>
      </c>
      <c r="H148" s="6">
        <v>98.71</v>
      </c>
      <c r="I148" s="6">
        <v>98.75</v>
      </c>
      <c r="J148" s="6">
        <v>98.77</v>
      </c>
      <c r="K148" s="6">
        <v>98.75</v>
      </c>
      <c r="L148" s="6">
        <v>98.72</v>
      </c>
      <c r="M148" s="6">
        <v>98.71</v>
      </c>
      <c r="N148" s="6">
        <v>98.7</v>
      </c>
      <c r="O148" s="6">
        <v>98.68</v>
      </c>
      <c r="P148" s="6">
        <v>98.71</v>
      </c>
      <c r="Q148" s="6">
        <v>98.7</v>
      </c>
      <c r="R148" s="6">
        <v>98.68</v>
      </c>
    </row>
    <row r="149" spans="2:18">
      <c r="B149" s="6">
        <v>30262</v>
      </c>
      <c r="C149" s="6" t="s">
        <v>85</v>
      </c>
      <c r="D149" s="6">
        <v>98.12</v>
      </c>
      <c r="E149" s="6">
        <v>96.85</v>
      </c>
      <c r="F149" s="6">
        <v>96.69</v>
      </c>
      <c r="G149" s="6">
        <v>97.43</v>
      </c>
      <c r="H149" s="6">
        <v>97.49</v>
      </c>
      <c r="I149" s="6">
        <v>97.36</v>
      </c>
      <c r="J149" s="6">
        <v>97.72</v>
      </c>
      <c r="K149" s="6">
        <v>97.84</v>
      </c>
      <c r="L149" s="6">
        <v>97.75</v>
      </c>
      <c r="M149" s="6">
        <v>97.72</v>
      </c>
      <c r="N149" s="6">
        <v>97.83</v>
      </c>
      <c r="O149" s="6">
        <v>97.74</v>
      </c>
      <c r="P149" s="6">
        <v>97.73</v>
      </c>
      <c r="Q149" s="6">
        <v>97.84</v>
      </c>
      <c r="R149" s="6">
        <v>97.75</v>
      </c>
    </row>
    <row r="150" spans="2:18">
      <c r="B150" s="6">
        <v>30262</v>
      </c>
      <c r="C150" s="6" t="s">
        <v>85</v>
      </c>
      <c r="D150" s="6">
        <v>98.26</v>
      </c>
      <c r="E150" s="6">
        <v>98.28</v>
      </c>
      <c r="F150" s="6">
        <v>98.23</v>
      </c>
      <c r="G150" s="6">
        <v>97.88</v>
      </c>
      <c r="H150" s="6">
        <v>97.7</v>
      </c>
      <c r="I150" s="6">
        <v>97.56</v>
      </c>
      <c r="J150" s="6">
        <v>98.01</v>
      </c>
      <c r="K150" s="6">
        <v>97.7</v>
      </c>
      <c r="L150" s="6">
        <v>97.61</v>
      </c>
      <c r="M150" s="6">
        <v>98.02</v>
      </c>
      <c r="N150" s="6">
        <v>97.7</v>
      </c>
      <c r="O150" s="6">
        <v>97.61</v>
      </c>
      <c r="P150" s="6">
        <v>98.02</v>
      </c>
      <c r="Q150" s="6">
        <v>97.7</v>
      </c>
      <c r="R150" s="6">
        <v>97.61</v>
      </c>
    </row>
    <row r="151" spans="2:18">
      <c r="B151" s="6">
        <v>30311</v>
      </c>
      <c r="C151" s="6" t="s">
        <v>86</v>
      </c>
      <c r="D151" s="6">
        <v>98.88</v>
      </c>
      <c r="E151" s="6">
        <v>98.88</v>
      </c>
      <c r="F151" s="6">
        <v>98.86</v>
      </c>
      <c r="G151" s="6">
        <v>98.71</v>
      </c>
      <c r="H151" s="6">
        <v>98.48</v>
      </c>
      <c r="I151" s="6">
        <v>98.36</v>
      </c>
      <c r="J151" s="6">
        <v>98.64</v>
      </c>
      <c r="K151" s="6">
        <v>98.48</v>
      </c>
      <c r="L151" s="6">
        <v>98.3</v>
      </c>
      <c r="M151" s="6">
        <v>98.62</v>
      </c>
      <c r="N151" s="6">
        <v>98.46</v>
      </c>
      <c r="O151" s="6">
        <v>98.28</v>
      </c>
      <c r="P151" s="6">
        <v>98.52</v>
      </c>
      <c r="Q151" s="6">
        <v>98.45</v>
      </c>
      <c r="R151" s="6">
        <v>98.28</v>
      </c>
    </row>
    <row r="152" spans="2:18">
      <c r="B152" s="6">
        <v>30311</v>
      </c>
      <c r="C152" s="6" t="s">
        <v>86</v>
      </c>
      <c r="D152" s="6">
        <v>98.9</v>
      </c>
      <c r="E152" s="6">
        <v>98.9</v>
      </c>
      <c r="F152" s="6">
        <v>99.01</v>
      </c>
      <c r="G152" s="6">
        <v>98.91</v>
      </c>
      <c r="H152" s="6">
        <v>98.92</v>
      </c>
      <c r="I152" s="6">
        <v>98.82</v>
      </c>
      <c r="J152" s="6">
        <v>98.86</v>
      </c>
      <c r="K152" s="6">
        <v>98.85</v>
      </c>
      <c r="L152" s="6">
        <v>98.75</v>
      </c>
      <c r="M152" s="6">
        <v>98.86</v>
      </c>
      <c r="N152" s="6">
        <v>98.82</v>
      </c>
      <c r="O152" s="6">
        <v>98.74</v>
      </c>
      <c r="P152" s="6">
        <v>98.83</v>
      </c>
      <c r="Q152" s="6">
        <v>98.81</v>
      </c>
      <c r="R152" s="6">
        <v>98.73</v>
      </c>
    </row>
    <row r="153" spans="2:18">
      <c r="B153" s="6">
        <v>30311</v>
      </c>
      <c r="C153" s="6" t="s">
        <v>86</v>
      </c>
      <c r="D153" s="6">
        <v>98.37</v>
      </c>
      <c r="E153" s="6">
        <v>98.37</v>
      </c>
      <c r="F153" s="6">
        <v>97.8</v>
      </c>
      <c r="G153" s="6">
        <v>98.03</v>
      </c>
      <c r="H153" s="6">
        <v>98.12</v>
      </c>
      <c r="I153" s="6">
        <v>98.05</v>
      </c>
      <c r="J153" s="6">
        <v>97.72</v>
      </c>
      <c r="K153" s="6">
        <v>97.84</v>
      </c>
      <c r="L153" s="6">
        <v>97.75</v>
      </c>
      <c r="M153" s="6">
        <v>97.72</v>
      </c>
      <c r="N153" s="6">
        <v>97.83</v>
      </c>
      <c r="O153" s="6">
        <v>97.74</v>
      </c>
      <c r="P153" s="6">
        <v>97.73</v>
      </c>
      <c r="Q153" s="6">
        <v>97.84</v>
      </c>
      <c r="R153" s="6">
        <v>97.75</v>
      </c>
    </row>
    <row r="154" spans="2:18">
      <c r="B154" s="6">
        <v>30311</v>
      </c>
      <c r="C154" s="6" t="s">
        <v>86</v>
      </c>
      <c r="D154" s="6">
        <v>98.87</v>
      </c>
      <c r="E154" s="6">
        <v>98.87</v>
      </c>
      <c r="F154" s="6">
        <v>98.63</v>
      </c>
      <c r="G154" s="6">
        <v>98.04</v>
      </c>
      <c r="H154" s="6">
        <v>97.78</v>
      </c>
      <c r="I154" s="6">
        <v>97.69</v>
      </c>
      <c r="J154" s="6">
        <v>98.01</v>
      </c>
      <c r="K154" s="6">
        <v>97.7</v>
      </c>
      <c r="L154" s="6">
        <v>97.61</v>
      </c>
      <c r="M154" s="6">
        <v>98.02</v>
      </c>
      <c r="N154" s="6">
        <v>97.7</v>
      </c>
      <c r="O154" s="6">
        <v>97.61</v>
      </c>
      <c r="P154" s="6">
        <v>98.02</v>
      </c>
      <c r="Q154" s="6">
        <v>97.7</v>
      </c>
      <c r="R154" s="6">
        <v>97.61</v>
      </c>
    </row>
    <row r="155" spans="2:18">
      <c r="B155" s="6">
        <v>30376</v>
      </c>
      <c r="C155" s="6" t="s">
        <v>1076</v>
      </c>
      <c r="D155" s="6">
        <v>0</v>
      </c>
      <c r="E155" s="6">
        <v>0</v>
      </c>
      <c r="F155" s="6">
        <v>100</v>
      </c>
      <c r="G155" s="6">
        <v>98.74</v>
      </c>
      <c r="H155" s="6">
        <v>98.55</v>
      </c>
      <c r="I155" s="6">
        <v>98.22</v>
      </c>
      <c r="J155" s="6">
        <v>98.64</v>
      </c>
      <c r="K155" s="6">
        <v>98.48</v>
      </c>
      <c r="L155" s="6">
        <v>98.3</v>
      </c>
      <c r="M155" s="6">
        <v>98.62</v>
      </c>
      <c r="N155" s="6">
        <v>98.46</v>
      </c>
      <c r="O155" s="6">
        <v>98.28</v>
      </c>
      <c r="P155" s="6">
        <v>98.52</v>
      </c>
      <c r="Q155" s="6">
        <v>98.45</v>
      </c>
      <c r="R155" s="6">
        <v>98.28</v>
      </c>
    </row>
    <row r="156" spans="2:18">
      <c r="B156" s="6">
        <v>30376</v>
      </c>
      <c r="C156" s="6" t="s">
        <v>1076</v>
      </c>
      <c r="D156" s="6">
        <v>0</v>
      </c>
      <c r="E156" s="6">
        <v>0</v>
      </c>
      <c r="F156" s="6">
        <v>100</v>
      </c>
      <c r="G156" s="6">
        <v>98.78</v>
      </c>
      <c r="H156" s="6">
        <v>98.67</v>
      </c>
      <c r="I156" s="6">
        <v>98.6</v>
      </c>
      <c r="J156" s="6">
        <v>98.77</v>
      </c>
      <c r="K156" s="6">
        <v>98.75</v>
      </c>
      <c r="L156" s="6">
        <v>98.72</v>
      </c>
      <c r="M156" s="6">
        <v>98.71</v>
      </c>
      <c r="N156" s="6">
        <v>98.7</v>
      </c>
      <c r="O156" s="6">
        <v>98.68</v>
      </c>
      <c r="P156" s="6">
        <v>98.71</v>
      </c>
      <c r="Q156" s="6">
        <v>98.7</v>
      </c>
      <c r="R156" s="6">
        <v>98.68</v>
      </c>
    </row>
    <row r="157" spans="2:18">
      <c r="B157" s="6">
        <v>30376</v>
      </c>
      <c r="C157" s="6" t="s">
        <v>1076</v>
      </c>
      <c r="D157" s="6">
        <v>0</v>
      </c>
      <c r="E157" s="6">
        <v>0</v>
      </c>
      <c r="F157" s="6">
        <v>100</v>
      </c>
      <c r="G157" s="6">
        <v>97.49</v>
      </c>
      <c r="H157" s="6">
        <v>97.66</v>
      </c>
      <c r="I157" s="6">
        <v>97.52</v>
      </c>
      <c r="J157" s="6">
        <v>97.72</v>
      </c>
      <c r="K157" s="6">
        <v>97.84</v>
      </c>
      <c r="L157" s="6">
        <v>97.75</v>
      </c>
      <c r="M157" s="6">
        <v>97.72</v>
      </c>
      <c r="N157" s="6">
        <v>97.83</v>
      </c>
      <c r="O157" s="6">
        <v>97.74</v>
      </c>
      <c r="P157" s="6">
        <v>97.73</v>
      </c>
      <c r="Q157" s="6">
        <v>97.84</v>
      </c>
      <c r="R157" s="6">
        <v>97.75</v>
      </c>
    </row>
    <row r="158" spans="2:18">
      <c r="B158" s="6">
        <v>30376</v>
      </c>
      <c r="C158" s="6" t="s">
        <v>1076</v>
      </c>
      <c r="D158" s="6">
        <v>0</v>
      </c>
      <c r="E158" s="6">
        <v>0</v>
      </c>
      <c r="F158" s="6">
        <v>97.87</v>
      </c>
      <c r="G158" s="6">
        <v>98.15</v>
      </c>
      <c r="H158" s="6">
        <v>97.53</v>
      </c>
      <c r="I158" s="6">
        <v>97.49</v>
      </c>
      <c r="J158" s="6">
        <v>98.01</v>
      </c>
      <c r="K158" s="6">
        <v>97.7</v>
      </c>
      <c r="L158" s="6">
        <v>97.61</v>
      </c>
      <c r="M158" s="6">
        <v>98.02</v>
      </c>
      <c r="N158" s="6">
        <v>97.7</v>
      </c>
      <c r="O158" s="6">
        <v>97.61</v>
      </c>
      <c r="P158" s="6">
        <v>98.02</v>
      </c>
      <c r="Q158" s="6">
        <v>97.7</v>
      </c>
      <c r="R158" s="6">
        <v>97.61</v>
      </c>
    </row>
    <row r="159" spans="2:18">
      <c r="B159" s="6">
        <v>30458</v>
      </c>
      <c r="C159" s="6" t="s">
        <v>87</v>
      </c>
      <c r="D159" s="6">
        <v>98.53</v>
      </c>
      <c r="E159" s="6">
        <v>98.51</v>
      </c>
      <c r="F159" s="6">
        <v>98.43</v>
      </c>
      <c r="G159" s="6">
        <v>98.71</v>
      </c>
      <c r="H159" s="6">
        <v>98.48</v>
      </c>
      <c r="I159" s="6">
        <v>98.36</v>
      </c>
      <c r="J159" s="6">
        <v>98.64</v>
      </c>
      <c r="K159" s="6">
        <v>98.48</v>
      </c>
      <c r="L159" s="6">
        <v>98.3</v>
      </c>
      <c r="M159" s="6">
        <v>98.62</v>
      </c>
      <c r="N159" s="6">
        <v>98.46</v>
      </c>
      <c r="O159" s="6">
        <v>98.28</v>
      </c>
      <c r="P159" s="6">
        <v>98.52</v>
      </c>
      <c r="Q159" s="6">
        <v>98.45</v>
      </c>
      <c r="R159" s="6">
        <v>98.28</v>
      </c>
    </row>
    <row r="160" spans="2:18">
      <c r="B160" s="6">
        <v>30458</v>
      </c>
      <c r="C160" s="6" t="s">
        <v>87</v>
      </c>
      <c r="D160" s="6">
        <v>98.92</v>
      </c>
      <c r="E160" s="6">
        <v>99.02</v>
      </c>
      <c r="F160" s="6">
        <v>99.01</v>
      </c>
      <c r="G160" s="6">
        <v>98.91</v>
      </c>
      <c r="H160" s="6">
        <v>98.92</v>
      </c>
      <c r="I160" s="6">
        <v>98.82</v>
      </c>
      <c r="J160" s="6">
        <v>98.86</v>
      </c>
      <c r="K160" s="6">
        <v>98.85</v>
      </c>
      <c r="L160" s="6">
        <v>98.75</v>
      </c>
      <c r="M160" s="6">
        <v>98.86</v>
      </c>
      <c r="N160" s="6">
        <v>98.82</v>
      </c>
      <c r="O160" s="6">
        <v>98.74</v>
      </c>
      <c r="P160" s="6">
        <v>98.83</v>
      </c>
      <c r="Q160" s="6">
        <v>98.81</v>
      </c>
      <c r="R160" s="6">
        <v>98.73</v>
      </c>
    </row>
    <row r="161" spans="2:18">
      <c r="B161" s="6">
        <v>30458</v>
      </c>
      <c r="C161" s="6" t="s">
        <v>87</v>
      </c>
      <c r="D161" s="6">
        <v>98.29</v>
      </c>
      <c r="E161" s="6">
        <v>98.29</v>
      </c>
      <c r="F161" s="6">
        <v>98.37</v>
      </c>
      <c r="G161" s="6">
        <v>98.03</v>
      </c>
      <c r="H161" s="6">
        <v>98.12</v>
      </c>
      <c r="I161" s="6">
        <v>98.05</v>
      </c>
      <c r="J161" s="6">
        <v>97.72</v>
      </c>
      <c r="K161" s="6">
        <v>97.84</v>
      </c>
      <c r="L161" s="6">
        <v>97.75</v>
      </c>
      <c r="M161" s="6">
        <v>97.72</v>
      </c>
      <c r="N161" s="6">
        <v>97.83</v>
      </c>
      <c r="O161" s="6">
        <v>97.74</v>
      </c>
      <c r="P161" s="6">
        <v>97.73</v>
      </c>
      <c r="Q161" s="6">
        <v>97.84</v>
      </c>
      <c r="R161" s="6">
        <v>97.75</v>
      </c>
    </row>
    <row r="162" spans="2:18">
      <c r="B162" s="6">
        <v>30458</v>
      </c>
      <c r="C162" s="6" t="s">
        <v>87</v>
      </c>
      <c r="D162" s="6">
        <v>97.83</v>
      </c>
      <c r="E162" s="6">
        <v>97.45</v>
      </c>
      <c r="F162" s="6">
        <v>97.33</v>
      </c>
      <c r="G162" s="6">
        <v>98.04</v>
      </c>
      <c r="H162" s="6">
        <v>97.78</v>
      </c>
      <c r="I162" s="6">
        <v>97.69</v>
      </c>
      <c r="J162" s="6">
        <v>98.01</v>
      </c>
      <c r="K162" s="6">
        <v>97.7</v>
      </c>
      <c r="L162" s="6">
        <v>97.61</v>
      </c>
      <c r="M162" s="6">
        <v>98.02</v>
      </c>
      <c r="N162" s="6">
        <v>97.7</v>
      </c>
      <c r="O162" s="6">
        <v>97.61</v>
      </c>
      <c r="P162" s="6">
        <v>98.02</v>
      </c>
      <c r="Q162" s="6">
        <v>97.7</v>
      </c>
      <c r="R162" s="6">
        <v>97.61</v>
      </c>
    </row>
    <row r="163" spans="2:18">
      <c r="B163" s="6">
        <v>30459</v>
      </c>
      <c r="C163" s="6" t="s">
        <v>88</v>
      </c>
      <c r="D163" s="6">
        <v>98.48</v>
      </c>
      <c r="E163" s="6">
        <v>98.45</v>
      </c>
      <c r="F163" s="6">
        <v>98.02</v>
      </c>
      <c r="G163" s="6">
        <v>98.71</v>
      </c>
      <c r="H163" s="6">
        <v>98.48</v>
      </c>
      <c r="I163" s="6">
        <v>98.36</v>
      </c>
      <c r="J163" s="6">
        <v>98.64</v>
      </c>
      <c r="K163" s="6">
        <v>98.48</v>
      </c>
      <c r="L163" s="6">
        <v>98.3</v>
      </c>
      <c r="M163" s="6">
        <v>98.62</v>
      </c>
      <c r="N163" s="6">
        <v>98.46</v>
      </c>
      <c r="O163" s="6">
        <v>98.28</v>
      </c>
      <c r="P163" s="6">
        <v>98.52</v>
      </c>
      <c r="Q163" s="6">
        <v>98.45</v>
      </c>
      <c r="R163" s="6">
        <v>98.28</v>
      </c>
    </row>
    <row r="164" spans="2:18">
      <c r="B164" s="6">
        <v>30459</v>
      </c>
      <c r="C164" s="6" t="s">
        <v>88</v>
      </c>
      <c r="D164" s="6">
        <v>98.5</v>
      </c>
      <c r="E164" s="6">
        <v>98.47</v>
      </c>
      <c r="F164" s="6">
        <v>98.88</v>
      </c>
      <c r="G164" s="6">
        <v>98.91</v>
      </c>
      <c r="H164" s="6">
        <v>98.92</v>
      </c>
      <c r="I164" s="6">
        <v>98.82</v>
      </c>
      <c r="J164" s="6">
        <v>98.86</v>
      </c>
      <c r="K164" s="6">
        <v>98.85</v>
      </c>
      <c r="L164" s="6">
        <v>98.75</v>
      </c>
      <c r="M164" s="6">
        <v>98.86</v>
      </c>
      <c r="N164" s="6">
        <v>98.82</v>
      </c>
      <c r="O164" s="6">
        <v>98.74</v>
      </c>
      <c r="P164" s="6">
        <v>98.83</v>
      </c>
      <c r="Q164" s="6">
        <v>98.81</v>
      </c>
      <c r="R164" s="6">
        <v>98.73</v>
      </c>
    </row>
    <row r="165" spans="2:18">
      <c r="B165" s="6">
        <v>30459</v>
      </c>
      <c r="C165" s="6" t="s">
        <v>88</v>
      </c>
      <c r="D165" s="6">
        <v>97.05</v>
      </c>
      <c r="E165" s="6">
        <v>96.86</v>
      </c>
      <c r="F165" s="6">
        <v>97.23</v>
      </c>
      <c r="G165" s="6">
        <v>98.03</v>
      </c>
      <c r="H165" s="6">
        <v>98.12</v>
      </c>
      <c r="I165" s="6">
        <v>98.05</v>
      </c>
      <c r="J165" s="6">
        <v>97.72</v>
      </c>
      <c r="K165" s="6">
        <v>97.84</v>
      </c>
      <c r="L165" s="6">
        <v>97.75</v>
      </c>
      <c r="M165" s="6">
        <v>97.72</v>
      </c>
      <c r="N165" s="6">
        <v>97.83</v>
      </c>
      <c r="O165" s="6">
        <v>97.74</v>
      </c>
      <c r="P165" s="6">
        <v>97.73</v>
      </c>
      <c r="Q165" s="6">
        <v>97.84</v>
      </c>
      <c r="R165" s="6">
        <v>97.75</v>
      </c>
    </row>
    <row r="166" spans="2:18">
      <c r="B166" s="6">
        <v>30459</v>
      </c>
      <c r="C166" s="6" t="s">
        <v>88</v>
      </c>
      <c r="D166" s="6">
        <v>98.46</v>
      </c>
      <c r="E166" s="6">
        <v>98.43</v>
      </c>
      <c r="F166" s="6">
        <v>97.89</v>
      </c>
      <c r="G166" s="6">
        <v>98.04</v>
      </c>
      <c r="H166" s="6">
        <v>97.78</v>
      </c>
      <c r="I166" s="6">
        <v>97.69</v>
      </c>
      <c r="J166" s="6">
        <v>98.01</v>
      </c>
      <c r="K166" s="6">
        <v>97.7</v>
      </c>
      <c r="L166" s="6">
        <v>97.61</v>
      </c>
      <c r="M166" s="6">
        <v>98.02</v>
      </c>
      <c r="N166" s="6">
        <v>97.7</v>
      </c>
      <c r="O166" s="6">
        <v>97.61</v>
      </c>
      <c r="P166" s="6">
        <v>98.02</v>
      </c>
      <c r="Q166" s="6">
        <v>97.7</v>
      </c>
      <c r="R166" s="6">
        <v>97.61</v>
      </c>
    </row>
    <row r="167" spans="2:18">
      <c r="B167" s="6">
        <v>30460</v>
      </c>
      <c r="C167" s="6" t="s">
        <v>89</v>
      </c>
      <c r="D167" s="6">
        <v>98.68</v>
      </c>
      <c r="E167" s="6">
        <v>98.73</v>
      </c>
      <c r="F167" s="6">
        <v>98.58</v>
      </c>
      <c r="G167" s="6">
        <v>98.71</v>
      </c>
      <c r="H167" s="6">
        <v>98.48</v>
      </c>
      <c r="I167" s="6">
        <v>98.36</v>
      </c>
      <c r="J167" s="6">
        <v>98.64</v>
      </c>
      <c r="K167" s="6">
        <v>98.48</v>
      </c>
      <c r="L167" s="6">
        <v>98.3</v>
      </c>
      <c r="M167" s="6">
        <v>98.62</v>
      </c>
      <c r="N167" s="6">
        <v>98.46</v>
      </c>
      <c r="O167" s="6">
        <v>98.28</v>
      </c>
      <c r="P167" s="6">
        <v>98.52</v>
      </c>
      <c r="Q167" s="6">
        <v>98.45</v>
      </c>
      <c r="R167" s="6">
        <v>98.28</v>
      </c>
    </row>
    <row r="168" spans="2:18">
      <c r="B168" s="6">
        <v>30460</v>
      </c>
      <c r="C168" s="6" t="s">
        <v>89</v>
      </c>
      <c r="D168" s="6">
        <v>98.82</v>
      </c>
      <c r="E168" s="6">
        <v>98.75</v>
      </c>
      <c r="F168" s="6">
        <v>98.79</v>
      </c>
      <c r="G168" s="6">
        <v>98.91</v>
      </c>
      <c r="H168" s="6">
        <v>98.92</v>
      </c>
      <c r="I168" s="6">
        <v>98.82</v>
      </c>
      <c r="J168" s="6">
        <v>98.86</v>
      </c>
      <c r="K168" s="6">
        <v>98.85</v>
      </c>
      <c r="L168" s="6">
        <v>98.75</v>
      </c>
      <c r="M168" s="6">
        <v>98.86</v>
      </c>
      <c r="N168" s="6">
        <v>98.82</v>
      </c>
      <c r="O168" s="6">
        <v>98.74</v>
      </c>
      <c r="P168" s="6">
        <v>98.83</v>
      </c>
      <c r="Q168" s="6">
        <v>98.81</v>
      </c>
      <c r="R168" s="6">
        <v>98.73</v>
      </c>
    </row>
    <row r="169" spans="2:18">
      <c r="B169" s="6">
        <v>30460</v>
      </c>
      <c r="C169" s="6" t="s">
        <v>89</v>
      </c>
      <c r="D169" s="6">
        <v>98.83</v>
      </c>
      <c r="E169" s="6">
        <v>98.54</v>
      </c>
      <c r="F169" s="6">
        <v>98.24</v>
      </c>
      <c r="G169" s="6">
        <v>98.03</v>
      </c>
      <c r="H169" s="6">
        <v>98.12</v>
      </c>
      <c r="I169" s="6">
        <v>98.05</v>
      </c>
      <c r="J169" s="6">
        <v>97.72</v>
      </c>
      <c r="K169" s="6">
        <v>97.84</v>
      </c>
      <c r="L169" s="6">
        <v>97.75</v>
      </c>
      <c r="M169" s="6">
        <v>97.72</v>
      </c>
      <c r="N169" s="6">
        <v>97.83</v>
      </c>
      <c r="O169" s="6">
        <v>97.74</v>
      </c>
      <c r="P169" s="6">
        <v>97.73</v>
      </c>
      <c r="Q169" s="6">
        <v>97.84</v>
      </c>
      <c r="R169" s="6">
        <v>97.75</v>
      </c>
    </row>
    <row r="170" spans="2:18">
      <c r="B170" s="6">
        <v>30460</v>
      </c>
      <c r="C170" s="6" t="s">
        <v>89</v>
      </c>
      <c r="D170" s="6">
        <v>96.93</v>
      </c>
      <c r="E170" s="6">
        <v>97.28</v>
      </c>
      <c r="F170" s="6">
        <v>97.33</v>
      </c>
      <c r="G170" s="6">
        <v>98.04</v>
      </c>
      <c r="H170" s="6">
        <v>97.78</v>
      </c>
      <c r="I170" s="6">
        <v>97.69</v>
      </c>
      <c r="J170" s="6">
        <v>98.01</v>
      </c>
      <c r="K170" s="6">
        <v>97.7</v>
      </c>
      <c r="L170" s="6">
        <v>97.61</v>
      </c>
      <c r="M170" s="6">
        <v>98.02</v>
      </c>
      <c r="N170" s="6">
        <v>97.7</v>
      </c>
      <c r="O170" s="6">
        <v>97.61</v>
      </c>
      <c r="P170" s="6">
        <v>98.02</v>
      </c>
      <c r="Q170" s="6">
        <v>97.7</v>
      </c>
      <c r="R170" s="6">
        <v>97.61</v>
      </c>
    </row>
    <row r="171" spans="2:18">
      <c r="B171" s="6">
        <v>30461</v>
      </c>
      <c r="C171" s="6" t="s">
        <v>90</v>
      </c>
      <c r="D171" s="6">
        <v>98.78</v>
      </c>
      <c r="E171" s="6">
        <v>98.59</v>
      </c>
      <c r="F171" s="6">
        <v>98.45</v>
      </c>
      <c r="G171" s="6">
        <v>98.74</v>
      </c>
      <c r="H171" s="6">
        <v>98.55</v>
      </c>
      <c r="I171" s="6">
        <v>98.22</v>
      </c>
      <c r="J171" s="6">
        <v>98.64</v>
      </c>
      <c r="K171" s="6">
        <v>98.48</v>
      </c>
      <c r="L171" s="6">
        <v>98.3</v>
      </c>
      <c r="M171" s="6">
        <v>98.62</v>
      </c>
      <c r="N171" s="6">
        <v>98.46</v>
      </c>
      <c r="O171" s="6">
        <v>98.28</v>
      </c>
      <c r="P171" s="6">
        <v>98.52</v>
      </c>
      <c r="Q171" s="6">
        <v>98.45</v>
      </c>
      <c r="R171" s="6">
        <v>98.28</v>
      </c>
    </row>
    <row r="172" spans="2:18">
      <c r="B172" s="6">
        <v>30461</v>
      </c>
      <c r="C172" s="6" t="s">
        <v>90</v>
      </c>
      <c r="D172" s="6">
        <v>98.95</v>
      </c>
      <c r="E172" s="6">
        <v>98.88</v>
      </c>
      <c r="F172" s="6">
        <v>98.7</v>
      </c>
      <c r="G172" s="6">
        <v>98.78</v>
      </c>
      <c r="H172" s="6">
        <v>98.67</v>
      </c>
      <c r="I172" s="6">
        <v>98.6</v>
      </c>
      <c r="J172" s="6">
        <v>98.77</v>
      </c>
      <c r="K172" s="6">
        <v>98.75</v>
      </c>
      <c r="L172" s="6">
        <v>98.72</v>
      </c>
      <c r="M172" s="6">
        <v>98.71</v>
      </c>
      <c r="N172" s="6">
        <v>98.7</v>
      </c>
      <c r="O172" s="6">
        <v>98.68</v>
      </c>
      <c r="P172" s="6">
        <v>98.71</v>
      </c>
      <c r="Q172" s="6">
        <v>98.7</v>
      </c>
      <c r="R172" s="6">
        <v>98.68</v>
      </c>
    </row>
    <row r="173" spans="2:18">
      <c r="B173" s="6">
        <v>30461</v>
      </c>
      <c r="C173" s="6" t="s">
        <v>90</v>
      </c>
      <c r="D173" s="6">
        <v>97.77</v>
      </c>
      <c r="E173" s="6">
        <v>97.53</v>
      </c>
      <c r="F173" s="6">
        <v>96.86</v>
      </c>
      <c r="G173" s="6">
        <v>97.49</v>
      </c>
      <c r="H173" s="6">
        <v>97.66</v>
      </c>
      <c r="I173" s="6">
        <v>97.52</v>
      </c>
      <c r="J173" s="6">
        <v>97.72</v>
      </c>
      <c r="K173" s="6">
        <v>97.84</v>
      </c>
      <c r="L173" s="6">
        <v>97.75</v>
      </c>
      <c r="M173" s="6">
        <v>97.72</v>
      </c>
      <c r="N173" s="6">
        <v>97.83</v>
      </c>
      <c r="O173" s="6">
        <v>97.74</v>
      </c>
      <c r="P173" s="6">
        <v>97.73</v>
      </c>
      <c r="Q173" s="6">
        <v>97.84</v>
      </c>
      <c r="R173" s="6">
        <v>97.75</v>
      </c>
    </row>
    <row r="174" spans="2:18">
      <c r="B174" s="6">
        <v>30461</v>
      </c>
      <c r="C174" s="6" t="s">
        <v>90</v>
      </c>
      <c r="D174" s="6">
        <v>98.2</v>
      </c>
      <c r="E174" s="6">
        <v>97.98</v>
      </c>
      <c r="F174" s="6">
        <v>97.93</v>
      </c>
      <c r="G174" s="6">
        <v>98.15</v>
      </c>
      <c r="H174" s="6">
        <v>97.53</v>
      </c>
      <c r="I174" s="6">
        <v>97.49</v>
      </c>
      <c r="J174" s="6">
        <v>98.01</v>
      </c>
      <c r="K174" s="6">
        <v>97.7</v>
      </c>
      <c r="L174" s="6">
        <v>97.61</v>
      </c>
      <c r="M174" s="6">
        <v>98.02</v>
      </c>
      <c r="N174" s="6">
        <v>97.7</v>
      </c>
      <c r="O174" s="6">
        <v>97.61</v>
      </c>
      <c r="P174" s="6">
        <v>98.02</v>
      </c>
      <c r="Q174" s="6">
        <v>97.7</v>
      </c>
      <c r="R174" s="6">
        <v>97.61</v>
      </c>
    </row>
    <row r="175" spans="2:18">
      <c r="B175" s="6">
        <v>30462</v>
      </c>
      <c r="C175" s="6" t="s">
        <v>91</v>
      </c>
      <c r="D175" s="6">
        <v>98.64</v>
      </c>
      <c r="E175" s="6">
        <v>98.16</v>
      </c>
      <c r="F175" s="6">
        <v>97.58</v>
      </c>
      <c r="G175" s="6">
        <v>98.74</v>
      </c>
      <c r="H175" s="6">
        <v>98.55</v>
      </c>
      <c r="I175" s="6">
        <v>98.22</v>
      </c>
      <c r="J175" s="6">
        <v>98.64</v>
      </c>
      <c r="K175" s="6">
        <v>98.48</v>
      </c>
      <c r="L175" s="6">
        <v>98.3</v>
      </c>
      <c r="M175" s="6">
        <v>98.62</v>
      </c>
      <c r="N175" s="6">
        <v>98.46</v>
      </c>
      <c r="O175" s="6">
        <v>98.28</v>
      </c>
      <c r="P175" s="6">
        <v>98.52</v>
      </c>
      <c r="Q175" s="6">
        <v>98.45</v>
      </c>
      <c r="R175" s="6">
        <v>98.28</v>
      </c>
    </row>
    <row r="176" spans="2:18">
      <c r="B176" s="6">
        <v>30462</v>
      </c>
      <c r="C176" s="6" t="s">
        <v>91</v>
      </c>
      <c r="D176" s="6">
        <v>98.7</v>
      </c>
      <c r="E176" s="6">
        <v>98.62</v>
      </c>
      <c r="F176" s="6">
        <v>98.51</v>
      </c>
      <c r="G176" s="6">
        <v>98.78</v>
      </c>
      <c r="H176" s="6">
        <v>98.67</v>
      </c>
      <c r="I176" s="6">
        <v>98.6</v>
      </c>
      <c r="J176" s="6">
        <v>98.77</v>
      </c>
      <c r="K176" s="6">
        <v>98.75</v>
      </c>
      <c r="L176" s="6">
        <v>98.72</v>
      </c>
      <c r="M176" s="6">
        <v>98.71</v>
      </c>
      <c r="N176" s="6">
        <v>98.7</v>
      </c>
      <c r="O176" s="6">
        <v>98.68</v>
      </c>
      <c r="P176" s="6">
        <v>98.71</v>
      </c>
      <c r="Q176" s="6">
        <v>98.7</v>
      </c>
      <c r="R176" s="6">
        <v>98.68</v>
      </c>
    </row>
    <row r="177" spans="2:18">
      <c r="B177" s="6">
        <v>30462</v>
      </c>
      <c r="C177" s="6" t="s">
        <v>91</v>
      </c>
      <c r="D177" s="6">
        <v>97.25</v>
      </c>
      <c r="E177" s="6">
        <v>97.47</v>
      </c>
      <c r="F177" s="6">
        <v>97.22</v>
      </c>
      <c r="G177" s="6">
        <v>97.49</v>
      </c>
      <c r="H177" s="6">
        <v>97.66</v>
      </c>
      <c r="I177" s="6">
        <v>97.52</v>
      </c>
      <c r="J177" s="6">
        <v>97.72</v>
      </c>
      <c r="K177" s="6">
        <v>97.84</v>
      </c>
      <c r="L177" s="6">
        <v>97.75</v>
      </c>
      <c r="M177" s="6">
        <v>97.72</v>
      </c>
      <c r="N177" s="6">
        <v>97.83</v>
      </c>
      <c r="O177" s="6">
        <v>97.74</v>
      </c>
      <c r="P177" s="6">
        <v>97.73</v>
      </c>
      <c r="Q177" s="6">
        <v>97.84</v>
      </c>
      <c r="R177" s="6">
        <v>97.75</v>
      </c>
    </row>
    <row r="178" spans="2:18">
      <c r="B178" s="6">
        <v>30462</v>
      </c>
      <c r="C178" s="6" t="s">
        <v>91</v>
      </c>
      <c r="D178" s="6">
        <v>97.88</v>
      </c>
      <c r="E178" s="6">
        <v>97.75</v>
      </c>
      <c r="F178" s="6">
        <v>97.57</v>
      </c>
      <c r="G178" s="6">
        <v>98.15</v>
      </c>
      <c r="H178" s="6">
        <v>97.53</v>
      </c>
      <c r="I178" s="6">
        <v>97.49</v>
      </c>
      <c r="J178" s="6">
        <v>98.01</v>
      </c>
      <c r="K178" s="6">
        <v>97.7</v>
      </c>
      <c r="L178" s="6">
        <v>97.61</v>
      </c>
      <c r="M178" s="6">
        <v>98.02</v>
      </c>
      <c r="N178" s="6">
        <v>97.7</v>
      </c>
      <c r="O178" s="6">
        <v>97.61</v>
      </c>
      <c r="P178" s="6">
        <v>98.02</v>
      </c>
      <c r="Q178" s="6">
        <v>97.7</v>
      </c>
      <c r="R178" s="6">
        <v>97.61</v>
      </c>
    </row>
    <row r="179" spans="2:18">
      <c r="B179" s="6">
        <v>30463</v>
      </c>
      <c r="C179" s="6" t="s">
        <v>92</v>
      </c>
      <c r="D179" s="6">
        <v>98.99</v>
      </c>
      <c r="E179" s="6">
        <v>98.72</v>
      </c>
      <c r="F179" s="6">
        <v>98.74</v>
      </c>
      <c r="G179" s="6">
        <v>98.74</v>
      </c>
      <c r="H179" s="6">
        <v>98.55</v>
      </c>
      <c r="I179" s="6">
        <v>98.22</v>
      </c>
      <c r="J179" s="6">
        <v>98.64</v>
      </c>
      <c r="K179" s="6">
        <v>98.48</v>
      </c>
      <c r="L179" s="6">
        <v>98.3</v>
      </c>
      <c r="M179" s="6">
        <v>98.62</v>
      </c>
      <c r="N179" s="6">
        <v>98.46</v>
      </c>
      <c r="O179" s="6">
        <v>98.28</v>
      </c>
      <c r="P179" s="6">
        <v>98.52</v>
      </c>
      <c r="Q179" s="6">
        <v>98.45</v>
      </c>
      <c r="R179" s="6">
        <v>98.28</v>
      </c>
    </row>
    <row r="180" spans="2:18">
      <c r="B180" s="6">
        <v>30463</v>
      </c>
      <c r="C180" s="6" t="s">
        <v>92</v>
      </c>
      <c r="D180" s="6">
        <v>99</v>
      </c>
      <c r="E180" s="6">
        <v>98.98</v>
      </c>
      <c r="F180" s="6">
        <v>98.92</v>
      </c>
      <c r="G180" s="6">
        <v>98.78</v>
      </c>
      <c r="H180" s="6">
        <v>98.67</v>
      </c>
      <c r="I180" s="6">
        <v>98.6</v>
      </c>
      <c r="J180" s="6">
        <v>98.77</v>
      </c>
      <c r="K180" s="6">
        <v>98.75</v>
      </c>
      <c r="L180" s="6">
        <v>98.72</v>
      </c>
      <c r="M180" s="6">
        <v>98.71</v>
      </c>
      <c r="N180" s="6">
        <v>98.7</v>
      </c>
      <c r="O180" s="6">
        <v>98.68</v>
      </c>
      <c r="P180" s="6">
        <v>98.71</v>
      </c>
      <c r="Q180" s="6">
        <v>98.7</v>
      </c>
      <c r="R180" s="6">
        <v>98.68</v>
      </c>
    </row>
    <row r="181" spans="2:18">
      <c r="B181" s="6">
        <v>30463</v>
      </c>
      <c r="C181" s="6" t="s">
        <v>92</v>
      </c>
      <c r="D181" s="6">
        <v>97.56</v>
      </c>
      <c r="E181" s="6">
        <v>97.26</v>
      </c>
      <c r="F181" s="6">
        <v>97.17</v>
      </c>
      <c r="G181" s="6">
        <v>97.49</v>
      </c>
      <c r="H181" s="6">
        <v>97.66</v>
      </c>
      <c r="I181" s="6">
        <v>97.52</v>
      </c>
      <c r="J181" s="6">
        <v>97.72</v>
      </c>
      <c r="K181" s="6">
        <v>97.84</v>
      </c>
      <c r="L181" s="6">
        <v>97.75</v>
      </c>
      <c r="M181" s="6">
        <v>97.72</v>
      </c>
      <c r="N181" s="6">
        <v>97.83</v>
      </c>
      <c r="O181" s="6">
        <v>97.74</v>
      </c>
      <c r="P181" s="6">
        <v>97.73</v>
      </c>
      <c r="Q181" s="6">
        <v>97.84</v>
      </c>
      <c r="R181" s="6">
        <v>97.75</v>
      </c>
    </row>
    <row r="182" spans="2:18">
      <c r="B182" s="6">
        <v>30463</v>
      </c>
      <c r="C182" s="6" t="s">
        <v>92</v>
      </c>
      <c r="D182" s="6">
        <v>98.82</v>
      </c>
      <c r="E182" s="6">
        <v>97.9</v>
      </c>
      <c r="F182" s="6">
        <v>98.02</v>
      </c>
      <c r="G182" s="6">
        <v>98.15</v>
      </c>
      <c r="H182" s="6">
        <v>97.53</v>
      </c>
      <c r="I182" s="6">
        <v>97.49</v>
      </c>
      <c r="J182" s="6">
        <v>98.01</v>
      </c>
      <c r="K182" s="6">
        <v>97.7</v>
      </c>
      <c r="L182" s="6">
        <v>97.61</v>
      </c>
      <c r="M182" s="6">
        <v>98.02</v>
      </c>
      <c r="N182" s="6">
        <v>97.7</v>
      </c>
      <c r="O182" s="6">
        <v>97.61</v>
      </c>
      <c r="P182" s="6">
        <v>98.02</v>
      </c>
      <c r="Q182" s="6">
        <v>97.7</v>
      </c>
      <c r="R182" s="6">
        <v>97.61</v>
      </c>
    </row>
    <row r="183" spans="2:18">
      <c r="B183" s="6">
        <v>30464</v>
      </c>
      <c r="C183" s="6" t="s">
        <v>93</v>
      </c>
      <c r="D183" s="6">
        <v>98.76</v>
      </c>
      <c r="E183" s="6">
        <v>98.73</v>
      </c>
      <c r="F183" s="6">
        <v>98.43</v>
      </c>
      <c r="G183" s="6">
        <v>98.48</v>
      </c>
      <c r="H183" s="6">
        <v>98.4</v>
      </c>
      <c r="I183" s="6">
        <v>98.25</v>
      </c>
      <c r="J183" s="6">
        <v>98.64</v>
      </c>
      <c r="K183" s="6">
        <v>98.48</v>
      </c>
      <c r="L183" s="6">
        <v>98.3</v>
      </c>
      <c r="M183" s="6">
        <v>98.62</v>
      </c>
      <c r="N183" s="6">
        <v>98.46</v>
      </c>
      <c r="O183" s="6">
        <v>98.28</v>
      </c>
      <c r="P183" s="6">
        <v>98.52</v>
      </c>
      <c r="Q183" s="6">
        <v>98.45</v>
      </c>
      <c r="R183" s="6">
        <v>98.28</v>
      </c>
    </row>
    <row r="184" spans="2:18">
      <c r="B184" s="6">
        <v>30464</v>
      </c>
      <c r="C184" s="6" t="s">
        <v>93</v>
      </c>
      <c r="D184" s="6">
        <v>98.96</v>
      </c>
      <c r="E184" s="6">
        <v>98.92</v>
      </c>
      <c r="F184" s="6">
        <v>98.57</v>
      </c>
      <c r="G184" s="6">
        <v>98.72</v>
      </c>
      <c r="H184" s="6">
        <v>98.71</v>
      </c>
      <c r="I184" s="6">
        <v>98.75</v>
      </c>
      <c r="J184" s="6">
        <v>98.77</v>
      </c>
      <c r="K184" s="6">
        <v>98.75</v>
      </c>
      <c r="L184" s="6">
        <v>98.72</v>
      </c>
      <c r="M184" s="6">
        <v>98.71</v>
      </c>
      <c r="N184" s="6">
        <v>98.7</v>
      </c>
      <c r="O184" s="6">
        <v>98.68</v>
      </c>
      <c r="P184" s="6">
        <v>98.71</v>
      </c>
      <c r="Q184" s="6">
        <v>98.7</v>
      </c>
      <c r="R184" s="6">
        <v>98.68</v>
      </c>
    </row>
    <row r="185" spans="2:18">
      <c r="B185" s="6">
        <v>30464</v>
      </c>
      <c r="C185" s="6" t="s">
        <v>93</v>
      </c>
      <c r="D185" s="6">
        <v>98.1</v>
      </c>
      <c r="E185" s="6">
        <v>97.91</v>
      </c>
      <c r="F185" s="6">
        <v>97.15</v>
      </c>
      <c r="G185" s="6">
        <v>97.43</v>
      </c>
      <c r="H185" s="6">
        <v>97.49</v>
      </c>
      <c r="I185" s="6">
        <v>97.36</v>
      </c>
      <c r="J185" s="6">
        <v>97.72</v>
      </c>
      <c r="K185" s="6">
        <v>97.84</v>
      </c>
      <c r="L185" s="6">
        <v>97.75</v>
      </c>
      <c r="M185" s="6">
        <v>97.72</v>
      </c>
      <c r="N185" s="6">
        <v>97.83</v>
      </c>
      <c r="O185" s="6">
        <v>97.74</v>
      </c>
      <c r="P185" s="6">
        <v>97.73</v>
      </c>
      <c r="Q185" s="6">
        <v>97.84</v>
      </c>
      <c r="R185" s="6">
        <v>97.75</v>
      </c>
    </row>
    <row r="186" spans="2:18">
      <c r="B186" s="6">
        <v>30464</v>
      </c>
      <c r="C186" s="6" t="s">
        <v>93</v>
      </c>
      <c r="D186" s="6">
        <v>98.05</v>
      </c>
      <c r="E186" s="6">
        <v>97.76</v>
      </c>
      <c r="F186" s="6">
        <v>97.6</v>
      </c>
      <c r="G186" s="6">
        <v>97.88</v>
      </c>
      <c r="H186" s="6">
        <v>97.7</v>
      </c>
      <c r="I186" s="6">
        <v>97.56</v>
      </c>
      <c r="J186" s="6">
        <v>98.01</v>
      </c>
      <c r="K186" s="6">
        <v>97.7</v>
      </c>
      <c r="L186" s="6">
        <v>97.61</v>
      </c>
      <c r="M186" s="6">
        <v>98.02</v>
      </c>
      <c r="N186" s="6">
        <v>97.7</v>
      </c>
      <c r="O186" s="6">
        <v>97.61</v>
      </c>
      <c r="P186" s="6">
        <v>98.02</v>
      </c>
      <c r="Q186" s="6">
        <v>97.7</v>
      </c>
      <c r="R186" s="6">
        <v>97.61</v>
      </c>
    </row>
    <row r="187" spans="2:18">
      <c r="B187" s="6">
        <v>30465</v>
      </c>
      <c r="C187" s="6" t="s">
        <v>94</v>
      </c>
      <c r="D187" s="6">
        <v>98.7</v>
      </c>
      <c r="E187" s="6">
        <v>98.62</v>
      </c>
      <c r="F187" s="6">
        <v>98.58</v>
      </c>
      <c r="G187" s="6">
        <v>98.48</v>
      </c>
      <c r="H187" s="6">
        <v>98.4</v>
      </c>
      <c r="I187" s="6">
        <v>98.25</v>
      </c>
      <c r="J187" s="6">
        <v>98.64</v>
      </c>
      <c r="K187" s="6">
        <v>98.48</v>
      </c>
      <c r="L187" s="6">
        <v>98.3</v>
      </c>
      <c r="M187" s="6">
        <v>98.62</v>
      </c>
      <c r="N187" s="6">
        <v>98.46</v>
      </c>
      <c r="O187" s="6">
        <v>98.28</v>
      </c>
      <c r="P187" s="6">
        <v>98.52</v>
      </c>
      <c r="Q187" s="6">
        <v>98.45</v>
      </c>
      <c r="R187" s="6">
        <v>98.28</v>
      </c>
    </row>
    <row r="188" spans="2:18">
      <c r="B188" s="6">
        <v>30465</v>
      </c>
      <c r="C188" s="6" t="s">
        <v>94</v>
      </c>
      <c r="D188" s="6">
        <v>98.46</v>
      </c>
      <c r="E188" s="6">
        <v>98.41</v>
      </c>
      <c r="F188" s="6">
        <v>98.4</v>
      </c>
      <c r="G188" s="6">
        <v>98.72</v>
      </c>
      <c r="H188" s="6">
        <v>98.71</v>
      </c>
      <c r="I188" s="6">
        <v>98.75</v>
      </c>
      <c r="J188" s="6">
        <v>98.77</v>
      </c>
      <c r="K188" s="6">
        <v>98.75</v>
      </c>
      <c r="L188" s="6">
        <v>98.72</v>
      </c>
      <c r="M188" s="6">
        <v>98.71</v>
      </c>
      <c r="N188" s="6">
        <v>98.7</v>
      </c>
      <c r="O188" s="6">
        <v>98.68</v>
      </c>
      <c r="P188" s="6">
        <v>98.71</v>
      </c>
      <c r="Q188" s="6">
        <v>98.7</v>
      </c>
      <c r="R188" s="6">
        <v>98.68</v>
      </c>
    </row>
    <row r="189" spans="2:18">
      <c r="B189" s="6">
        <v>30465</v>
      </c>
      <c r="C189" s="6" t="s">
        <v>94</v>
      </c>
      <c r="D189" s="6">
        <v>98.3</v>
      </c>
      <c r="E189" s="6">
        <v>98.05</v>
      </c>
      <c r="F189" s="6">
        <v>97.5</v>
      </c>
      <c r="G189" s="6">
        <v>97.43</v>
      </c>
      <c r="H189" s="6">
        <v>97.49</v>
      </c>
      <c r="I189" s="6">
        <v>97.36</v>
      </c>
      <c r="J189" s="6">
        <v>97.72</v>
      </c>
      <c r="K189" s="6">
        <v>97.84</v>
      </c>
      <c r="L189" s="6">
        <v>97.75</v>
      </c>
      <c r="M189" s="6">
        <v>97.72</v>
      </c>
      <c r="N189" s="6">
        <v>97.83</v>
      </c>
      <c r="O189" s="6">
        <v>97.74</v>
      </c>
      <c r="P189" s="6">
        <v>97.73</v>
      </c>
      <c r="Q189" s="6">
        <v>97.84</v>
      </c>
      <c r="R189" s="6">
        <v>97.75</v>
      </c>
    </row>
    <row r="190" spans="2:18">
      <c r="B190" s="6">
        <v>30465</v>
      </c>
      <c r="C190" s="6" t="s">
        <v>94</v>
      </c>
      <c r="D190" s="6">
        <v>97.9</v>
      </c>
      <c r="E190" s="6">
        <v>97.91</v>
      </c>
      <c r="F190" s="6">
        <v>97.96</v>
      </c>
      <c r="G190" s="6">
        <v>97.88</v>
      </c>
      <c r="H190" s="6">
        <v>97.7</v>
      </c>
      <c r="I190" s="6">
        <v>97.56</v>
      </c>
      <c r="J190" s="6">
        <v>98.01</v>
      </c>
      <c r="K190" s="6">
        <v>97.7</v>
      </c>
      <c r="L190" s="6">
        <v>97.61</v>
      </c>
      <c r="M190" s="6">
        <v>98.02</v>
      </c>
      <c r="N190" s="6">
        <v>97.7</v>
      </c>
      <c r="O190" s="6">
        <v>97.61</v>
      </c>
      <c r="P190" s="6">
        <v>98.02</v>
      </c>
      <c r="Q190" s="6">
        <v>97.7</v>
      </c>
      <c r="R190" s="6">
        <v>97.61</v>
      </c>
    </row>
    <row r="191" spans="2:18">
      <c r="B191" s="6">
        <v>30466</v>
      </c>
      <c r="C191" s="6" t="s">
        <v>95</v>
      </c>
      <c r="D191" s="6">
        <v>98.56</v>
      </c>
      <c r="E191" s="6">
        <v>98.36</v>
      </c>
      <c r="F191" s="6">
        <v>98.02</v>
      </c>
      <c r="G191" s="6">
        <v>98.48</v>
      </c>
      <c r="H191" s="6">
        <v>98.4</v>
      </c>
      <c r="I191" s="6">
        <v>98.25</v>
      </c>
      <c r="J191" s="6">
        <v>98.64</v>
      </c>
      <c r="K191" s="6">
        <v>98.48</v>
      </c>
      <c r="L191" s="6">
        <v>98.3</v>
      </c>
      <c r="M191" s="6">
        <v>98.62</v>
      </c>
      <c r="N191" s="6">
        <v>98.46</v>
      </c>
      <c r="O191" s="6">
        <v>98.28</v>
      </c>
      <c r="P191" s="6">
        <v>98.52</v>
      </c>
      <c r="Q191" s="6">
        <v>98.45</v>
      </c>
      <c r="R191" s="6">
        <v>98.28</v>
      </c>
    </row>
    <row r="192" spans="2:18">
      <c r="B192" s="6">
        <v>30466</v>
      </c>
      <c r="C192" s="6" t="s">
        <v>95</v>
      </c>
      <c r="D192" s="6">
        <v>98.58</v>
      </c>
      <c r="E192" s="6">
        <v>98.54</v>
      </c>
      <c r="F192" s="6">
        <v>98.47</v>
      </c>
      <c r="G192" s="6">
        <v>98.72</v>
      </c>
      <c r="H192" s="6">
        <v>98.71</v>
      </c>
      <c r="I192" s="6">
        <v>98.75</v>
      </c>
      <c r="J192" s="6">
        <v>98.77</v>
      </c>
      <c r="K192" s="6">
        <v>98.75</v>
      </c>
      <c r="L192" s="6">
        <v>98.72</v>
      </c>
      <c r="M192" s="6">
        <v>98.71</v>
      </c>
      <c r="N192" s="6">
        <v>98.7</v>
      </c>
      <c r="O192" s="6">
        <v>98.68</v>
      </c>
      <c r="P192" s="6">
        <v>98.71</v>
      </c>
      <c r="Q192" s="6">
        <v>98.7</v>
      </c>
      <c r="R192" s="6">
        <v>98.68</v>
      </c>
    </row>
    <row r="193" spans="2:18">
      <c r="B193" s="6">
        <v>30466</v>
      </c>
      <c r="C193" s="6" t="s">
        <v>95</v>
      </c>
      <c r="D193" s="6">
        <v>97.09</v>
      </c>
      <c r="E193" s="6">
        <v>96.19</v>
      </c>
      <c r="F193" s="6">
        <v>96.11</v>
      </c>
      <c r="G193" s="6">
        <v>97.43</v>
      </c>
      <c r="H193" s="6">
        <v>97.49</v>
      </c>
      <c r="I193" s="6">
        <v>97.36</v>
      </c>
      <c r="J193" s="6">
        <v>97.72</v>
      </c>
      <c r="K193" s="6">
        <v>97.84</v>
      </c>
      <c r="L193" s="6">
        <v>97.75</v>
      </c>
      <c r="M193" s="6">
        <v>97.72</v>
      </c>
      <c r="N193" s="6">
        <v>97.83</v>
      </c>
      <c r="O193" s="6">
        <v>97.74</v>
      </c>
      <c r="P193" s="6">
        <v>97.73</v>
      </c>
      <c r="Q193" s="6">
        <v>97.84</v>
      </c>
      <c r="R193" s="6">
        <v>97.75</v>
      </c>
    </row>
    <row r="194" spans="2:18">
      <c r="B194" s="6">
        <v>30466</v>
      </c>
      <c r="C194" s="6" t="s">
        <v>95</v>
      </c>
      <c r="D194" s="6">
        <v>98.54</v>
      </c>
      <c r="E194" s="6">
        <v>98.1</v>
      </c>
      <c r="F194" s="6">
        <v>98.14</v>
      </c>
      <c r="G194" s="6">
        <v>97.88</v>
      </c>
      <c r="H194" s="6">
        <v>97.7</v>
      </c>
      <c r="I194" s="6">
        <v>97.56</v>
      </c>
      <c r="J194" s="6">
        <v>98.01</v>
      </c>
      <c r="K194" s="6">
        <v>97.7</v>
      </c>
      <c r="L194" s="6">
        <v>97.61</v>
      </c>
      <c r="M194" s="6">
        <v>98.02</v>
      </c>
      <c r="N194" s="6">
        <v>97.7</v>
      </c>
      <c r="O194" s="6">
        <v>97.61</v>
      </c>
      <c r="P194" s="6">
        <v>98.02</v>
      </c>
      <c r="Q194" s="6">
        <v>97.7</v>
      </c>
      <c r="R194" s="6">
        <v>97.61</v>
      </c>
    </row>
    <row r="195" spans="2:18">
      <c r="B195" s="6">
        <v>30566</v>
      </c>
      <c r="C195" s="6" t="s">
        <v>388</v>
      </c>
      <c r="D195" s="6">
        <v>0</v>
      </c>
      <c r="E195" s="6">
        <v>98.97</v>
      </c>
      <c r="F195" s="6">
        <v>98.97</v>
      </c>
      <c r="G195" s="6">
        <v>98.74</v>
      </c>
      <c r="H195" s="6">
        <v>98.55</v>
      </c>
      <c r="I195" s="6">
        <v>98.22</v>
      </c>
      <c r="J195" s="6">
        <v>98.64</v>
      </c>
      <c r="K195" s="6">
        <v>98.48</v>
      </c>
      <c r="L195" s="6">
        <v>98.3</v>
      </c>
      <c r="M195" s="6">
        <v>98.62</v>
      </c>
      <c r="N195" s="6">
        <v>98.46</v>
      </c>
      <c r="O195" s="6">
        <v>98.28</v>
      </c>
      <c r="P195" s="6">
        <v>98.52</v>
      </c>
      <c r="Q195" s="6">
        <v>98.45</v>
      </c>
      <c r="R195" s="6">
        <v>98.28</v>
      </c>
    </row>
    <row r="196" spans="2:18">
      <c r="B196" s="6">
        <v>30566</v>
      </c>
      <c r="C196" s="6" t="s">
        <v>388</v>
      </c>
      <c r="D196" s="6">
        <v>0</v>
      </c>
      <c r="E196" s="6">
        <v>98.98</v>
      </c>
      <c r="F196" s="6">
        <v>98.98</v>
      </c>
      <c r="G196" s="6">
        <v>98.78</v>
      </c>
      <c r="H196" s="6">
        <v>98.67</v>
      </c>
      <c r="I196" s="6">
        <v>98.6</v>
      </c>
      <c r="J196" s="6">
        <v>98.77</v>
      </c>
      <c r="K196" s="6">
        <v>98.75</v>
      </c>
      <c r="L196" s="6">
        <v>98.72</v>
      </c>
      <c r="M196" s="6">
        <v>98.71</v>
      </c>
      <c r="N196" s="6">
        <v>98.7</v>
      </c>
      <c r="O196" s="6">
        <v>98.68</v>
      </c>
      <c r="P196" s="6">
        <v>98.71</v>
      </c>
      <c r="Q196" s="6">
        <v>98.7</v>
      </c>
      <c r="R196" s="6">
        <v>98.68</v>
      </c>
    </row>
    <row r="197" spans="2:18">
      <c r="B197" s="6">
        <v>30566</v>
      </c>
      <c r="C197" s="6" t="s">
        <v>388</v>
      </c>
      <c r="D197" s="6">
        <v>0</v>
      </c>
      <c r="E197" s="6">
        <v>95.17</v>
      </c>
      <c r="F197" s="6">
        <v>95.17</v>
      </c>
      <c r="G197" s="6">
        <v>97.49</v>
      </c>
      <c r="H197" s="6">
        <v>97.66</v>
      </c>
      <c r="I197" s="6">
        <v>97.52</v>
      </c>
      <c r="J197" s="6">
        <v>97.72</v>
      </c>
      <c r="K197" s="6">
        <v>97.84</v>
      </c>
      <c r="L197" s="6">
        <v>97.75</v>
      </c>
      <c r="M197" s="6">
        <v>97.72</v>
      </c>
      <c r="N197" s="6">
        <v>97.83</v>
      </c>
      <c r="O197" s="6">
        <v>97.74</v>
      </c>
      <c r="P197" s="6">
        <v>97.73</v>
      </c>
      <c r="Q197" s="6">
        <v>97.84</v>
      </c>
      <c r="R197" s="6">
        <v>97.75</v>
      </c>
    </row>
    <row r="198" spans="2:18">
      <c r="B198" s="6">
        <v>30566</v>
      </c>
      <c r="C198" s="6" t="s">
        <v>388</v>
      </c>
      <c r="D198" s="6">
        <v>0</v>
      </c>
      <c r="E198" s="6">
        <v>98.96</v>
      </c>
      <c r="F198" s="6">
        <v>98.96</v>
      </c>
      <c r="G198" s="6">
        <v>98.15</v>
      </c>
      <c r="H198" s="6">
        <v>97.53</v>
      </c>
      <c r="I198" s="6">
        <v>97.49</v>
      </c>
      <c r="J198" s="6">
        <v>98.01</v>
      </c>
      <c r="K198" s="6">
        <v>97.7</v>
      </c>
      <c r="L198" s="6">
        <v>97.61</v>
      </c>
      <c r="M198" s="6">
        <v>98.02</v>
      </c>
      <c r="N198" s="6">
        <v>97.7</v>
      </c>
      <c r="O198" s="6">
        <v>97.61</v>
      </c>
      <c r="P198" s="6">
        <v>98.02</v>
      </c>
      <c r="Q198" s="6">
        <v>97.7</v>
      </c>
      <c r="R198" s="6">
        <v>97.61</v>
      </c>
    </row>
    <row r="199" spans="2:18">
      <c r="B199" s="6">
        <v>30567</v>
      </c>
      <c r="C199" s="6" t="s">
        <v>96</v>
      </c>
      <c r="D199" s="6">
        <v>0</v>
      </c>
      <c r="E199" s="6">
        <v>0</v>
      </c>
      <c r="F199" s="6">
        <v>98.36</v>
      </c>
      <c r="G199" s="6">
        <v>98.74</v>
      </c>
      <c r="H199" s="6">
        <v>98.55</v>
      </c>
      <c r="I199" s="6">
        <v>98.22</v>
      </c>
      <c r="J199" s="6">
        <v>98.64</v>
      </c>
      <c r="K199" s="6">
        <v>98.48</v>
      </c>
      <c r="L199" s="6">
        <v>98.3</v>
      </c>
      <c r="M199" s="6">
        <v>98.62</v>
      </c>
      <c r="N199" s="6">
        <v>98.46</v>
      </c>
      <c r="O199" s="6">
        <v>98.28</v>
      </c>
      <c r="P199" s="6">
        <v>98.52</v>
      </c>
      <c r="Q199" s="6">
        <v>98.45</v>
      </c>
      <c r="R199" s="6">
        <v>98.28</v>
      </c>
    </row>
    <row r="200" spans="2:18">
      <c r="B200" s="6">
        <v>30567</v>
      </c>
      <c r="C200" s="6" t="s">
        <v>96</v>
      </c>
      <c r="D200" s="6">
        <v>0</v>
      </c>
      <c r="E200" s="6">
        <v>0</v>
      </c>
      <c r="F200" s="6">
        <v>99.19</v>
      </c>
      <c r="G200" s="6">
        <v>98.78</v>
      </c>
      <c r="H200" s="6">
        <v>98.67</v>
      </c>
      <c r="I200" s="6">
        <v>98.6</v>
      </c>
      <c r="J200" s="6">
        <v>98.77</v>
      </c>
      <c r="K200" s="6">
        <v>98.75</v>
      </c>
      <c r="L200" s="6">
        <v>98.72</v>
      </c>
      <c r="M200" s="6">
        <v>98.71</v>
      </c>
      <c r="N200" s="6">
        <v>98.7</v>
      </c>
      <c r="O200" s="6">
        <v>98.68</v>
      </c>
      <c r="P200" s="6">
        <v>98.71</v>
      </c>
      <c r="Q200" s="6">
        <v>98.7</v>
      </c>
      <c r="R200" s="6">
        <v>98.68</v>
      </c>
    </row>
    <row r="201" spans="2:18">
      <c r="B201" s="6">
        <v>30567</v>
      </c>
      <c r="C201" s="6" t="s">
        <v>96</v>
      </c>
      <c r="D201" s="6">
        <v>0</v>
      </c>
      <c r="E201" s="6">
        <v>0</v>
      </c>
      <c r="F201" s="6">
        <v>98.8</v>
      </c>
      <c r="G201" s="6">
        <v>97.49</v>
      </c>
      <c r="H201" s="6">
        <v>97.66</v>
      </c>
      <c r="I201" s="6">
        <v>97.52</v>
      </c>
      <c r="J201" s="6">
        <v>97.72</v>
      </c>
      <c r="K201" s="6">
        <v>97.84</v>
      </c>
      <c r="L201" s="6">
        <v>97.75</v>
      </c>
      <c r="M201" s="6">
        <v>97.72</v>
      </c>
      <c r="N201" s="6">
        <v>97.83</v>
      </c>
      <c r="O201" s="6">
        <v>97.74</v>
      </c>
      <c r="P201" s="6">
        <v>97.73</v>
      </c>
      <c r="Q201" s="6">
        <v>97.84</v>
      </c>
      <c r="R201" s="6">
        <v>97.75</v>
      </c>
    </row>
    <row r="202" spans="2:18">
      <c r="B202" s="6">
        <v>30567</v>
      </c>
      <c r="C202" s="6" t="s">
        <v>96</v>
      </c>
      <c r="D202" s="6">
        <v>0</v>
      </c>
      <c r="E202" s="6">
        <v>0</v>
      </c>
      <c r="F202" s="6">
        <v>98.33</v>
      </c>
      <c r="G202" s="6">
        <v>98.15</v>
      </c>
      <c r="H202" s="6">
        <v>97.53</v>
      </c>
      <c r="I202" s="6">
        <v>97.49</v>
      </c>
      <c r="J202" s="6">
        <v>98.01</v>
      </c>
      <c r="K202" s="6">
        <v>97.7</v>
      </c>
      <c r="L202" s="6">
        <v>97.61</v>
      </c>
      <c r="M202" s="6">
        <v>98.02</v>
      </c>
      <c r="N202" s="6">
        <v>97.7</v>
      </c>
      <c r="O202" s="6">
        <v>97.61</v>
      </c>
      <c r="P202" s="6">
        <v>98.02</v>
      </c>
      <c r="Q202" s="6">
        <v>97.7</v>
      </c>
      <c r="R202" s="6">
        <v>97.61</v>
      </c>
    </row>
    <row r="203" spans="2:18">
      <c r="B203" s="6">
        <v>30568</v>
      </c>
      <c r="C203" s="6" t="s">
        <v>97</v>
      </c>
      <c r="D203" s="6">
        <v>0</v>
      </c>
      <c r="E203" s="6">
        <v>0</v>
      </c>
      <c r="F203" s="6">
        <v>98.94</v>
      </c>
      <c r="G203" s="6">
        <v>98.74</v>
      </c>
      <c r="H203" s="6">
        <v>98.55</v>
      </c>
      <c r="I203" s="6">
        <v>98.22</v>
      </c>
      <c r="J203" s="6">
        <v>98.64</v>
      </c>
      <c r="K203" s="6">
        <v>98.48</v>
      </c>
      <c r="L203" s="6">
        <v>98.3</v>
      </c>
      <c r="M203" s="6">
        <v>98.62</v>
      </c>
      <c r="N203" s="6">
        <v>98.46</v>
      </c>
      <c r="O203" s="6">
        <v>98.28</v>
      </c>
      <c r="P203" s="6">
        <v>98.52</v>
      </c>
      <c r="Q203" s="6">
        <v>98.45</v>
      </c>
      <c r="R203" s="6">
        <v>98.28</v>
      </c>
    </row>
    <row r="204" spans="2:18">
      <c r="B204" s="6">
        <v>30568</v>
      </c>
      <c r="C204" s="6" t="s">
        <v>97</v>
      </c>
      <c r="D204" s="6">
        <v>0</v>
      </c>
      <c r="E204" s="6">
        <v>0</v>
      </c>
      <c r="F204" s="6">
        <v>98.95</v>
      </c>
      <c r="G204" s="6">
        <v>98.78</v>
      </c>
      <c r="H204" s="6">
        <v>98.67</v>
      </c>
      <c r="I204" s="6">
        <v>98.6</v>
      </c>
      <c r="J204" s="6">
        <v>98.77</v>
      </c>
      <c r="K204" s="6">
        <v>98.75</v>
      </c>
      <c r="L204" s="6">
        <v>98.72</v>
      </c>
      <c r="M204" s="6">
        <v>98.71</v>
      </c>
      <c r="N204" s="6">
        <v>98.7</v>
      </c>
      <c r="O204" s="6">
        <v>98.68</v>
      </c>
      <c r="P204" s="6">
        <v>98.71</v>
      </c>
      <c r="Q204" s="6">
        <v>98.7</v>
      </c>
      <c r="R204" s="6">
        <v>98.68</v>
      </c>
    </row>
    <row r="205" spans="2:18">
      <c r="B205" s="6">
        <v>30568</v>
      </c>
      <c r="C205" s="6" t="s">
        <v>97</v>
      </c>
      <c r="D205" s="6">
        <v>0</v>
      </c>
      <c r="E205" s="6">
        <v>0</v>
      </c>
      <c r="F205" s="6">
        <v>95</v>
      </c>
      <c r="G205" s="6">
        <v>97.49</v>
      </c>
      <c r="H205" s="6">
        <v>97.66</v>
      </c>
      <c r="I205" s="6">
        <v>97.52</v>
      </c>
      <c r="J205" s="6">
        <v>97.72</v>
      </c>
      <c r="K205" s="6">
        <v>97.84</v>
      </c>
      <c r="L205" s="6">
        <v>97.75</v>
      </c>
      <c r="M205" s="6">
        <v>97.72</v>
      </c>
      <c r="N205" s="6">
        <v>97.83</v>
      </c>
      <c r="O205" s="6">
        <v>97.74</v>
      </c>
      <c r="P205" s="6">
        <v>97.73</v>
      </c>
      <c r="Q205" s="6">
        <v>97.84</v>
      </c>
      <c r="R205" s="6">
        <v>97.75</v>
      </c>
    </row>
    <row r="206" spans="2:18">
      <c r="B206" s="6">
        <v>30568</v>
      </c>
      <c r="C206" s="6" t="s">
        <v>97</v>
      </c>
      <c r="D206" s="6">
        <v>0</v>
      </c>
      <c r="E206" s="6">
        <v>0</v>
      </c>
      <c r="F206" s="6">
        <v>98.92</v>
      </c>
      <c r="G206" s="6">
        <v>98.15</v>
      </c>
      <c r="H206" s="6">
        <v>97.53</v>
      </c>
      <c r="I206" s="6">
        <v>97.49</v>
      </c>
      <c r="J206" s="6">
        <v>98.01</v>
      </c>
      <c r="K206" s="6">
        <v>97.7</v>
      </c>
      <c r="L206" s="6">
        <v>97.61</v>
      </c>
      <c r="M206" s="6">
        <v>98.02</v>
      </c>
      <c r="N206" s="6">
        <v>97.7</v>
      </c>
      <c r="O206" s="6">
        <v>97.61</v>
      </c>
      <c r="P206" s="6">
        <v>98.02</v>
      </c>
      <c r="Q206" s="6">
        <v>97.7</v>
      </c>
      <c r="R206" s="6">
        <v>97.61</v>
      </c>
    </row>
    <row r="207" spans="2:18">
      <c r="B207" s="6">
        <v>30740</v>
      </c>
      <c r="C207" s="6" t="s">
        <v>98</v>
      </c>
      <c r="D207" s="6">
        <v>0</v>
      </c>
      <c r="E207" s="6">
        <v>99.03</v>
      </c>
      <c r="F207" s="6">
        <v>99.03</v>
      </c>
      <c r="G207" s="6">
        <v>98.48</v>
      </c>
      <c r="H207" s="6">
        <v>98.4</v>
      </c>
      <c r="I207" s="6">
        <v>98.25</v>
      </c>
      <c r="J207" s="6">
        <v>98.64</v>
      </c>
      <c r="K207" s="6">
        <v>98.48</v>
      </c>
      <c r="L207" s="6">
        <v>98.3</v>
      </c>
      <c r="M207" s="6">
        <v>98.62</v>
      </c>
      <c r="N207" s="6">
        <v>98.46</v>
      </c>
      <c r="O207" s="6">
        <v>98.28</v>
      </c>
      <c r="P207" s="6">
        <v>98.52</v>
      </c>
      <c r="Q207" s="6">
        <v>98.45</v>
      </c>
      <c r="R207" s="6">
        <v>98.28</v>
      </c>
    </row>
    <row r="208" spans="2:18">
      <c r="B208" s="6">
        <v>30740</v>
      </c>
      <c r="C208" s="6" t="s">
        <v>98</v>
      </c>
      <c r="D208" s="6">
        <v>0</v>
      </c>
      <c r="E208" s="6">
        <v>99.04</v>
      </c>
      <c r="F208" s="6">
        <v>99.04</v>
      </c>
      <c r="G208" s="6">
        <v>98.72</v>
      </c>
      <c r="H208" s="6">
        <v>98.71</v>
      </c>
      <c r="I208" s="6">
        <v>98.75</v>
      </c>
      <c r="J208" s="6">
        <v>98.77</v>
      </c>
      <c r="K208" s="6">
        <v>98.75</v>
      </c>
      <c r="L208" s="6">
        <v>98.72</v>
      </c>
      <c r="M208" s="6">
        <v>98.71</v>
      </c>
      <c r="N208" s="6">
        <v>98.7</v>
      </c>
      <c r="O208" s="6">
        <v>98.68</v>
      </c>
      <c r="P208" s="6">
        <v>98.71</v>
      </c>
      <c r="Q208" s="6">
        <v>98.7</v>
      </c>
      <c r="R208" s="6">
        <v>98.68</v>
      </c>
    </row>
    <row r="209" spans="2:18">
      <c r="B209" s="6">
        <v>30740</v>
      </c>
      <c r="C209" s="6" t="s">
        <v>98</v>
      </c>
      <c r="D209" s="6">
        <v>0</v>
      </c>
      <c r="E209" s="6">
        <v>95.41</v>
      </c>
      <c r="F209" s="6">
        <v>95.41</v>
      </c>
      <c r="G209" s="6">
        <v>97.43</v>
      </c>
      <c r="H209" s="6">
        <v>97.49</v>
      </c>
      <c r="I209" s="6">
        <v>97.36</v>
      </c>
      <c r="J209" s="6">
        <v>97.72</v>
      </c>
      <c r="K209" s="6">
        <v>97.84</v>
      </c>
      <c r="L209" s="6">
        <v>97.75</v>
      </c>
      <c r="M209" s="6">
        <v>97.72</v>
      </c>
      <c r="N209" s="6">
        <v>97.83</v>
      </c>
      <c r="O209" s="6">
        <v>97.74</v>
      </c>
      <c r="P209" s="6">
        <v>97.73</v>
      </c>
      <c r="Q209" s="6">
        <v>97.84</v>
      </c>
      <c r="R209" s="6">
        <v>97.75</v>
      </c>
    </row>
    <row r="210" spans="2:18">
      <c r="B210" s="6">
        <v>30740</v>
      </c>
      <c r="C210" s="6" t="s">
        <v>98</v>
      </c>
      <c r="D210" s="6">
        <v>0</v>
      </c>
      <c r="E210" s="6">
        <v>99.02</v>
      </c>
      <c r="F210" s="6">
        <v>99.02</v>
      </c>
      <c r="G210" s="6">
        <v>97.88</v>
      </c>
      <c r="H210" s="6">
        <v>97.7</v>
      </c>
      <c r="I210" s="6">
        <v>97.56</v>
      </c>
      <c r="J210" s="6">
        <v>98.01</v>
      </c>
      <c r="K210" s="6">
        <v>97.7</v>
      </c>
      <c r="L210" s="6">
        <v>97.61</v>
      </c>
      <c r="M210" s="6">
        <v>98.02</v>
      </c>
      <c r="N210" s="6">
        <v>97.7</v>
      </c>
      <c r="O210" s="6">
        <v>97.61</v>
      </c>
      <c r="P210" s="6">
        <v>98.02</v>
      </c>
      <c r="Q210" s="6">
        <v>97.7</v>
      </c>
      <c r="R210" s="6">
        <v>97.61</v>
      </c>
    </row>
    <row r="211" spans="2:18">
      <c r="B211" s="6">
        <v>30741</v>
      </c>
      <c r="C211" s="6" t="s">
        <v>1092</v>
      </c>
      <c r="D211" s="6">
        <v>97.42</v>
      </c>
      <c r="E211" s="6">
        <v>97.42</v>
      </c>
      <c r="F211" s="6">
        <v>98.15</v>
      </c>
      <c r="G211" s="6">
        <v>98.48</v>
      </c>
      <c r="H211" s="6">
        <v>98.4</v>
      </c>
      <c r="I211" s="6">
        <v>98.25</v>
      </c>
      <c r="J211" s="6">
        <v>98.64</v>
      </c>
      <c r="K211" s="6">
        <v>98.48</v>
      </c>
      <c r="L211" s="6">
        <v>98.3</v>
      </c>
      <c r="M211" s="6">
        <v>98.62</v>
      </c>
      <c r="N211" s="6">
        <v>98.46</v>
      </c>
      <c r="O211" s="6">
        <v>98.28</v>
      </c>
      <c r="P211" s="6">
        <v>98.52</v>
      </c>
      <c r="Q211" s="6">
        <v>98.45</v>
      </c>
      <c r="R211" s="6">
        <v>98.28</v>
      </c>
    </row>
    <row r="212" spans="2:18">
      <c r="B212" s="6">
        <v>30741</v>
      </c>
      <c r="C212" s="6" t="s">
        <v>1092</v>
      </c>
      <c r="D212" s="6">
        <v>97.48</v>
      </c>
      <c r="E212" s="6">
        <v>97.48</v>
      </c>
      <c r="F212" s="6">
        <v>98.19</v>
      </c>
      <c r="G212" s="6">
        <v>98.72</v>
      </c>
      <c r="H212" s="6">
        <v>98.71</v>
      </c>
      <c r="I212" s="6">
        <v>98.75</v>
      </c>
      <c r="J212" s="6">
        <v>98.77</v>
      </c>
      <c r="K212" s="6">
        <v>98.75</v>
      </c>
      <c r="L212" s="6">
        <v>98.72</v>
      </c>
      <c r="M212" s="6">
        <v>98.71</v>
      </c>
      <c r="N212" s="6">
        <v>98.7</v>
      </c>
      <c r="O212" s="6">
        <v>98.68</v>
      </c>
      <c r="P212" s="6">
        <v>98.71</v>
      </c>
      <c r="Q212" s="6">
        <v>98.7</v>
      </c>
      <c r="R212" s="6">
        <v>98.68</v>
      </c>
    </row>
    <row r="213" spans="2:18">
      <c r="B213" s="6">
        <v>30741</v>
      </c>
      <c r="C213" s="6" t="s">
        <v>1092</v>
      </c>
      <c r="D213" s="6">
        <v>96.36</v>
      </c>
      <c r="E213" s="6">
        <v>96.36</v>
      </c>
      <c r="F213" s="6">
        <v>96.5</v>
      </c>
      <c r="G213" s="6">
        <v>97.43</v>
      </c>
      <c r="H213" s="6">
        <v>97.49</v>
      </c>
      <c r="I213" s="6">
        <v>97.36</v>
      </c>
      <c r="J213" s="6">
        <v>97.72</v>
      </c>
      <c r="K213" s="6">
        <v>97.84</v>
      </c>
      <c r="L213" s="6">
        <v>97.75</v>
      </c>
      <c r="M213" s="6">
        <v>97.72</v>
      </c>
      <c r="N213" s="6">
        <v>97.83</v>
      </c>
      <c r="O213" s="6">
        <v>97.74</v>
      </c>
      <c r="P213" s="6">
        <v>97.73</v>
      </c>
      <c r="Q213" s="6">
        <v>97.84</v>
      </c>
      <c r="R213" s="6">
        <v>97.75</v>
      </c>
    </row>
    <row r="214" spans="2:18">
      <c r="B214" s="6">
        <v>30741</v>
      </c>
      <c r="C214" s="6" t="s">
        <v>1092</v>
      </c>
      <c r="D214" s="6">
        <v>96.69</v>
      </c>
      <c r="E214" s="6">
        <v>96.69</v>
      </c>
      <c r="F214" s="6">
        <v>97.88</v>
      </c>
      <c r="G214" s="6">
        <v>97.88</v>
      </c>
      <c r="H214" s="6">
        <v>97.7</v>
      </c>
      <c r="I214" s="6">
        <v>97.56</v>
      </c>
      <c r="J214" s="6">
        <v>98.01</v>
      </c>
      <c r="K214" s="6">
        <v>97.7</v>
      </c>
      <c r="L214" s="6">
        <v>97.61</v>
      </c>
      <c r="M214" s="6">
        <v>98.02</v>
      </c>
      <c r="N214" s="6">
        <v>97.7</v>
      </c>
      <c r="O214" s="6">
        <v>97.61</v>
      </c>
      <c r="P214" s="6">
        <v>98.02</v>
      </c>
      <c r="Q214" s="6">
        <v>97.7</v>
      </c>
      <c r="R214" s="6">
        <v>97.61</v>
      </c>
    </row>
    <row r="215" spans="2:18">
      <c r="B215" s="6">
        <v>30742</v>
      </c>
      <c r="C215" s="6" t="s">
        <v>99</v>
      </c>
      <c r="D215" s="6">
        <v>97.93</v>
      </c>
      <c r="E215" s="6">
        <v>97.93</v>
      </c>
      <c r="F215" s="6">
        <v>98.53</v>
      </c>
      <c r="G215" s="6">
        <v>98.48</v>
      </c>
      <c r="H215" s="6">
        <v>98.4</v>
      </c>
      <c r="I215" s="6">
        <v>98.25</v>
      </c>
      <c r="J215" s="6">
        <v>98.64</v>
      </c>
      <c r="K215" s="6">
        <v>98.48</v>
      </c>
      <c r="L215" s="6">
        <v>98.3</v>
      </c>
      <c r="M215" s="6">
        <v>98.62</v>
      </c>
      <c r="N215" s="6">
        <v>98.46</v>
      </c>
      <c r="O215" s="6">
        <v>98.28</v>
      </c>
      <c r="P215" s="6">
        <v>98.52</v>
      </c>
      <c r="Q215" s="6">
        <v>98.45</v>
      </c>
      <c r="R215" s="6">
        <v>98.28</v>
      </c>
    </row>
    <row r="216" spans="2:18">
      <c r="B216" s="6">
        <v>30742</v>
      </c>
      <c r="C216" s="6" t="s">
        <v>99</v>
      </c>
      <c r="D216" s="6">
        <v>97.97</v>
      </c>
      <c r="E216" s="6">
        <v>97.97</v>
      </c>
      <c r="F216" s="6">
        <v>98.55</v>
      </c>
      <c r="G216" s="6">
        <v>98.72</v>
      </c>
      <c r="H216" s="6">
        <v>98.71</v>
      </c>
      <c r="I216" s="6">
        <v>98.75</v>
      </c>
      <c r="J216" s="6">
        <v>98.77</v>
      </c>
      <c r="K216" s="6">
        <v>98.75</v>
      </c>
      <c r="L216" s="6">
        <v>98.72</v>
      </c>
      <c r="M216" s="6">
        <v>98.71</v>
      </c>
      <c r="N216" s="6">
        <v>98.7</v>
      </c>
      <c r="O216" s="6">
        <v>98.68</v>
      </c>
      <c r="P216" s="6">
        <v>98.71</v>
      </c>
      <c r="Q216" s="6">
        <v>98.7</v>
      </c>
      <c r="R216" s="6">
        <v>98.68</v>
      </c>
    </row>
    <row r="217" spans="2:18">
      <c r="B217" s="6">
        <v>30742</v>
      </c>
      <c r="C217" s="6" t="s">
        <v>99</v>
      </c>
      <c r="D217" s="6">
        <v>96.73</v>
      </c>
      <c r="E217" s="6">
        <v>96.73</v>
      </c>
      <c r="F217" s="6">
        <v>96.5</v>
      </c>
      <c r="G217" s="6">
        <v>97.43</v>
      </c>
      <c r="H217" s="6">
        <v>97.49</v>
      </c>
      <c r="I217" s="6">
        <v>97.36</v>
      </c>
      <c r="J217" s="6">
        <v>97.72</v>
      </c>
      <c r="K217" s="6">
        <v>97.84</v>
      </c>
      <c r="L217" s="6">
        <v>97.75</v>
      </c>
      <c r="M217" s="6">
        <v>97.72</v>
      </c>
      <c r="N217" s="6">
        <v>97.83</v>
      </c>
      <c r="O217" s="6">
        <v>97.74</v>
      </c>
      <c r="P217" s="6">
        <v>97.73</v>
      </c>
      <c r="Q217" s="6">
        <v>97.84</v>
      </c>
      <c r="R217" s="6">
        <v>97.75</v>
      </c>
    </row>
    <row r="218" spans="2:18">
      <c r="B218" s="6">
        <v>30742</v>
      </c>
      <c r="C218" s="6" t="s">
        <v>99</v>
      </c>
      <c r="D218" s="6">
        <v>97.89</v>
      </c>
      <c r="E218" s="6">
        <v>97.89</v>
      </c>
      <c r="F218" s="6">
        <v>98.13</v>
      </c>
      <c r="G218" s="6">
        <v>97.88</v>
      </c>
      <c r="H218" s="6">
        <v>97.7</v>
      </c>
      <c r="I218" s="6">
        <v>97.56</v>
      </c>
      <c r="J218" s="6">
        <v>98.01</v>
      </c>
      <c r="K218" s="6">
        <v>97.7</v>
      </c>
      <c r="L218" s="6">
        <v>97.61</v>
      </c>
      <c r="M218" s="6">
        <v>98.02</v>
      </c>
      <c r="N218" s="6">
        <v>97.7</v>
      </c>
      <c r="O218" s="6">
        <v>97.61</v>
      </c>
      <c r="P218" s="6">
        <v>98.02</v>
      </c>
      <c r="Q218" s="6">
        <v>97.7</v>
      </c>
      <c r="R218" s="6">
        <v>97.61</v>
      </c>
    </row>
    <row r="219" spans="2:18">
      <c r="B219" s="6">
        <v>30847</v>
      </c>
      <c r="C219" s="6" t="s">
        <v>100</v>
      </c>
      <c r="D219" s="6">
        <v>98.28</v>
      </c>
      <c r="E219" s="6">
        <v>98.57</v>
      </c>
      <c r="F219" s="6">
        <v>98.55</v>
      </c>
      <c r="G219" s="6">
        <v>98.71</v>
      </c>
      <c r="H219" s="6">
        <v>98.48</v>
      </c>
      <c r="I219" s="6">
        <v>98.36</v>
      </c>
      <c r="J219" s="6">
        <v>98.64</v>
      </c>
      <c r="K219" s="6">
        <v>98.48</v>
      </c>
      <c r="L219" s="6">
        <v>98.3</v>
      </c>
      <c r="M219" s="6">
        <v>98.62</v>
      </c>
      <c r="N219" s="6">
        <v>98.46</v>
      </c>
      <c r="O219" s="6">
        <v>98.28</v>
      </c>
      <c r="P219" s="6">
        <v>98.52</v>
      </c>
      <c r="Q219" s="6">
        <v>98.45</v>
      </c>
      <c r="R219" s="6">
        <v>98.28</v>
      </c>
    </row>
    <row r="220" spans="2:18">
      <c r="B220" s="6">
        <v>30847</v>
      </c>
      <c r="C220" s="6" t="s">
        <v>100</v>
      </c>
      <c r="D220" s="6">
        <v>98.57</v>
      </c>
      <c r="E220" s="6">
        <v>98.72</v>
      </c>
      <c r="F220" s="6">
        <v>98.65</v>
      </c>
      <c r="G220" s="6">
        <v>98.57</v>
      </c>
      <c r="H220" s="6">
        <v>98.72</v>
      </c>
      <c r="I220" s="6">
        <v>98.65</v>
      </c>
      <c r="J220" s="6">
        <v>98.57</v>
      </c>
      <c r="K220" s="6">
        <v>98.72</v>
      </c>
      <c r="L220" s="6">
        <v>98.65</v>
      </c>
      <c r="M220" s="6">
        <v>98.93</v>
      </c>
      <c r="N220" s="6">
        <v>99.01</v>
      </c>
      <c r="O220" s="6">
        <v>99.01</v>
      </c>
      <c r="P220" s="6">
        <v>99.05</v>
      </c>
      <c r="Q220" s="6">
        <v>99.16</v>
      </c>
      <c r="R220" s="6">
        <v>99.16</v>
      </c>
    </row>
    <row r="221" spans="2:18">
      <c r="B221" s="6">
        <v>30847</v>
      </c>
      <c r="C221" s="6" t="s">
        <v>100</v>
      </c>
      <c r="D221" s="6">
        <v>98.21</v>
      </c>
      <c r="E221" s="6">
        <v>98.28</v>
      </c>
      <c r="F221" s="6">
        <v>98.11</v>
      </c>
      <c r="G221" s="6">
        <v>98.03</v>
      </c>
      <c r="H221" s="6">
        <v>98.12</v>
      </c>
      <c r="I221" s="6">
        <v>98.05</v>
      </c>
      <c r="J221" s="6">
        <v>97.72</v>
      </c>
      <c r="K221" s="6">
        <v>97.84</v>
      </c>
      <c r="L221" s="6">
        <v>97.75</v>
      </c>
      <c r="M221" s="6">
        <v>97.72</v>
      </c>
      <c r="N221" s="6">
        <v>97.83</v>
      </c>
      <c r="O221" s="6">
        <v>97.74</v>
      </c>
      <c r="P221" s="6">
        <v>97.73</v>
      </c>
      <c r="Q221" s="6">
        <v>97.84</v>
      </c>
      <c r="R221" s="6">
        <v>97.75</v>
      </c>
    </row>
    <row r="222" spans="2:18">
      <c r="B222" s="6">
        <v>30863</v>
      </c>
      <c r="C222" s="6" t="s">
        <v>69</v>
      </c>
      <c r="D222" s="6">
        <v>99.41</v>
      </c>
      <c r="E222" s="6">
        <v>99.04</v>
      </c>
      <c r="F222" s="6">
        <v>99.15</v>
      </c>
      <c r="G222" s="6">
        <v>99.41</v>
      </c>
      <c r="H222" s="6">
        <v>99.04</v>
      </c>
      <c r="I222" s="6">
        <v>99.15</v>
      </c>
      <c r="J222" s="6">
        <v>98.44</v>
      </c>
      <c r="K222" s="6">
        <v>98.01</v>
      </c>
      <c r="L222" s="6">
        <v>98.17</v>
      </c>
      <c r="M222" s="6">
        <v>98.29</v>
      </c>
      <c r="N222" s="6">
        <v>97.91</v>
      </c>
      <c r="O222" s="6">
        <v>97.88</v>
      </c>
      <c r="P222" s="6">
        <v>98.29</v>
      </c>
      <c r="Q222" s="6">
        <v>97.91</v>
      </c>
      <c r="R222" s="6">
        <v>97.88</v>
      </c>
    </row>
    <row r="223" spans="2:18">
      <c r="B223" s="6">
        <v>30863</v>
      </c>
      <c r="C223" s="6" t="s">
        <v>69</v>
      </c>
      <c r="D223" s="6">
        <v>98.01</v>
      </c>
      <c r="E223" s="6">
        <v>97.71</v>
      </c>
      <c r="F223" s="6">
        <v>98.11</v>
      </c>
      <c r="G223" s="6">
        <v>98.01</v>
      </c>
      <c r="H223" s="6">
        <v>97.71</v>
      </c>
      <c r="I223" s="6">
        <v>98.11</v>
      </c>
      <c r="J223" s="6">
        <v>97.75</v>
      </c>
      <c r="K223" s="6">
        <v>97.5</v>
      </c>
      <c r="L223" s="6">
        <v>98</v>
      </c>
      <c r="M223" s="6">
        <v>97.75</v>
      </c>
      <c r="N223" s="6">
        <v>97.5</v>
      </c>
      <c r="O223" s="6">
        <v>98</v>
      </c>
      <c r="P223" s="6">
        <v>97.75</v>
      </c>
      <c r="Q223" s="6">
        <v>97.5</v>
      </c>
      <c r="R223" s="6">
        <v>98</v>
      </c>
    </row>
    <row r="224" spans="2:18">
      <c r="B224" s="6">
        <v>30888</v>
      </c>
      <c r="C224" s="6" t="s">
        <v>46</v>
      </c>
      <c r="D224" s="6">
        <v>98.28</v>
      </c>
      <c r="E224" s="6">
        <v>98.28</v>
      </c>
      <c r="F224" s="6">
        <v>98.44</v>
      </c>
      <c r="G224" s="6">
        <v>98.75</v>
      </c>
      <c r="H224" s="6">
        <v>98.86</v>
      </c>
      <c r="I224" s="6">
        <v>98.84</v>
      </c>
      <c r="J224" s="6">
        <v>98.72</v>
      </c>
      <c r="K224" s="6">
        <v>98.41</v>
      </c>
      <c r="L224" s="6">
        <v>98.27</v>
      </c>
      <c r="M224" s="6">
        <v>98.62</v>
      </c>
      <c r="N224" s="6">
        <v>98.46</v>
      </c>
      <c r="O224" s="6">
        <v>98.28</v>
      </c>
      <c r="P224" s="6">
        <v>98.52</v>
      </c>
      <c r="Q224" s="6">
        <v>98.45</v>
      </c>
      <c r="R224" s="6">
        <v>98.28</v>
      </c>
    </row>
    <row r="225" spans="2:18">
      <c r="B225" s="6">
        <v>30888</v>
      </c>
      <c r="C225" s="6" t="s">
        <v>46</v>
      </c>
      <c r="D225" s="6">
        <v>97.26</v>
      </c>
      <c r="E225" s="6">
        <v>97.26</v>
      </c>
      <c r="F225" s="6">
        <v>97.2</v>
      </c>
      <c r="G225" s="6">
        <v>98.01</v>
      </c>
      <c r="H225" s="6">
        <v>97.96</v>
      </c>
      <c r="I225" s="6">
        <v>97.94</v>
      </c>
      <c r="J225" s="6">
        <v>97.54</v>
      </c>
      <c r="K225" s="6">
        <v>97.47</v>
      </c>
      <c r="L225" s="6">
        <v>97.49</v>
      </c>
      <c r="M225" s="6">
        <v>97.54</v>
      </c>
      <c r="N225" s="6">
        <v>97.47</v>
      </c>
      <c r="O225" s="6">
        <v>97.49</v>
      </c>
      <c r="P225" s="6">
        <v>97.54</v>
      </c>
      <c r="Q225" s="6">
        <v>97.47</v>
      </c>
      <c r="R225" s="6">
        <v>97.49</v>
      </c>
    </row>
    <row r="226" spans="2:18">
      <c r="B226" s="6">
        <v>30888</v>
      </c>
      <c r="C226" s="6" t="s">
        <v>46</v>
      </c>
      <c r="D226" s="6">
        <v>98.31</v>
      </c>
      <c r="E226" s="6">
        <v>98.31</v>
      </c>
      <c r="F226" s="6">
        <v>98.46</v>
      </c>
      <c r="G226" s="6">
        <v>98.76</v>
      </c>
      <c r="H226" s="6">
        <v>98.76</v>
      </c>
      <c r="I226" s="6">
        <v>98.78</v>
      </c>
      <c r="J226" s="6">
        <v>98.76</v>
      </c>
      <c r="K226" s="6">
        <v>98.76</v>
      </c>
      <c r="L226" s="6">
        <v>98.78</v>
      </c>
      <c r="M226" s="6">
        <v>98.76</v>
      </c>
      <c r="N226" s="6">
        <v>98.51</v>
      </c>
      <c r="O226" s="6">
        <v>98.63</v>
      </c>
      <c r="P226" s="6">
        <v>98.76</v>
      </c>
      <c r="Q226" s="6">
        <v>98.51</v>
      </c>
      <c r="R226" s="6">
        <v>98.63</v>
      </c>
    </row>
    <row r="227" spans="2:18">
      <c r="B227" s="6">
        <v>30888</v>
      </c>
      <c r="C227" s="6" t="s">
        <v>46</v>
      </c>
      <c r="D227" s="6">
        <v>97.1</v>
      </c>
      <c r="E227" s="6">
        <v>97.1</v>
      </c>
      <c r="F227" s="6">
        <v>97.01</v>
      </c>
      <c r="G227" s="6">
        <v>98.3</v>
      </c>
      <c r="H227" s="6">
        <v>98.43</v>
      </c>
      <c r="I227" s="6">
        <v>98.06</v>
      </c>
      <c r="J227" s="6">
        <v>98.06</v>
      </c>
      <c r="K227" s="6">
        <v>97.67</v>
      </c>
      <c r="L227" s="6">
        <v>97.51</v>
      </c>
      <c r="M227" s="6">
        <v>98.02</v>
      </c>
      <c r="N227" s="6">
        <v>97.7</v>
      </c>
      <c r="O227" s="6">
        <v>97.61</v>
      </c>
      <c r="P227" s="6">
        <v>98.02</v>
      </c>
      <c r="Q227" s="6">
        <v>97.7</v>
      </c>
      <c r="R227" s="6">
        <v>97.61</v>
      </c>
    </row>
    <row r="228" spans="2:18">
      <c r="B228" s="6">
        <v>31016</v>
      </c>
      <c r="C228" s="6" t="s">
        <v>101</v>
      </c>
      <c r="D228" s="6">
        <v>0</v>
      </c>
      <c r="E228" s="6">
        <v>96.97</v>
      </c>
      <c r="F228" s="6">
        <v>96.97</v>
      </c>
      <c r="G228" s="6">
        <v>98.71</v>
      </c>
      <c r="H228" s="6">
        <v>98.48</v>
      </c>
      <c r="I228" s="6">
        <v>98.36</v>
      </c>
      <c r="J228" s="6">
        <v>98.64</v>
      </c>
      <c r="K228" s="6">
        <v>98.48</v>
      </c>
      <c r="L228" s="6">
        <v>98.3</v>
      </c>
      <c r="M228" s="6">
        <v>98.62</v>
      </c>
      <c r="N228" s="6">
        <v>98.46</v>
      </c>
      <c r="O228" s="6">
        <v>98.28</v>
      </c>
      <c r="P228" s="6">
        <v>98.52</v>
      </c>
      <c r="Q228" s="6">
        <v>98.45</v>
      </c>
      <c r="R228" s="6">
        <v>98.28</v>
      </c>
    </row>
    <row r="229" spans="2:18">
      <c r="B229" s="6">
        <v>31016</v>
      </c>
      <c r="C229" s="6" t="s">
        <v>101</v>
      </c>
      <c r="D229" s="6">
        <v>0</v>
      </c>
      <c r="E229" s="6">
        <v>98.3</v>
      </c>
      <c r="F229" s="6">
        <v>98.3</v>
      </c>
      <c r="G229" s="6">
        <v>98.91</v>
      </c>
      <c r="H229" s="6">
        <v>98.92</v>
      </c>
      <c r="I229" s="6">
        <v>98.82</v>
      </c>
      <c r="J229" s="6">
        <v>98.86</v>
      </c>
      <c r="K229" s="6">
        <v>98.85</v>
      </c>
      <c r="L229" s="6">
        <v>98.75</v>
      </c>
      <c r="M229" s="6">
        <v>98.86</v>
      </c>
      <c r="N229" s="6">
        <v>98.82</v>
      </c>
      <c r="O229" s="6">
        <v>98.74</v>
      </c>
      <c r="P229" s="6">
        <v>98.83</v>
      </c>
      <c r="Q229" s="6">
        <v>98.81</v>
      </c>
      <c r="R229" s="6">
        <v>98.73</v>
      </c>
    </row>
    <row r="230" spans="2:18">
      <c r="B230" s="6">
        <v>31016</v>
      </c>
      <c r="C230" s="6" t="s">
        <v>101</v>
      </c>
      <c r="D230" s="6">
        <v>0</v>
      </c>
      <c r="E230" s="6">
        <v>97.51</v>
      </c>
      <c r="F230" s="6">
        <v>97.51</v>
      </c>
      <c r="G230" s="6">
        <v>98.03</v>
      </c>
      <c r="H230" s="6">
        <v>98.12</v>
      </c>
      <c r="I230" s="6">
        <v>98.05</v>
      </c>
      <c r="J230" s="6">
        <v>97.72</v>
      </c>
      <c r="K230" s="6">
        <v>97.84</v>
      </c>
      <c r="L230" s="6">
        <v>97.75</v>
      </c>
      <c r="M230" s="6">
        <v>97.72</v>
      </c>
      <c r="N230" s="6">
        <v>97.83</v>
      </c>
      <c r="O230" s="6">
        <v>97.74</v>
      </c>
      <c r="P230" s="6">
        <v>97.73</v>
      </c>
      <c r="Q230" s="6">
        <v>97.84</v>
      </c>
      <c r="R230" s="6">
        <v>97.75</v>
      </c>
    </row>
    <row r="231" spans="2:18">
      <c r="B231" s="6">
        <v>31016</v>
      </c>
      <c r="C231" s="6" t="s">
        <v>101</v>
      </c>
      <c r="D231" s="6">
        <v>0</v>
      </c>
      <c r="E231" s="6">
        <v>93.75</v>
      </c>
      <c r="F231" s="6">
        <v>93.75</v>
      </c>
      <c r="G231" s="6">
        <v>98.04</v>
      </c>
      <c r="H231" s="6">
        <v>97.78</v>
      </c>
      <c r="I231" s="6">
        <v>97.69</v>
      </c>
      <c r="J231" s="6">
        <v>98.01</v>
      </c>
      <c r="K231" s="6">
        <v>97.7</v>
      </c>
      <c r="L231" s="6">
        <v>97.61</v>
      </c>
      <c r="M231" s="6">
        <v>98.02</v>
      </c>
      <c r="N231" s="6">
        <v>97.7</v>
      </c>
      <c r="O231" s="6">
        <v>97.61</v>
      </c>
      <c r="P231" s="6">
        <v>98.02</v>
      </c>
      <c r="Q231" s="6">
        <v>97.7</v>
      </c>
      <c r="R231" s="6">
        <v>97.61</v>
      </c>
    </row>
    <row r="232" spans="2:18">
      <c r="B232" s="6">
        <v>31017</v>
      </c>
      <c r="C232" s="6" t="s">
        <v>102</v>
      </c>
      <c r="D232" s="6">
        <v>0</v>
      </c>
      <c r="E232" s="6">
        <v>98.88</v>
      </c>
      <c r="F232" s="6">
        <v>98.88</v>
      </c>
      <c r="G232" s="6">
        <v>98.71</v>
      </c>
      <c r="H232" s="6">
        <v>98.48</v>
      </c>
      <c r="I232" s="6">
        <v>98.36</v>
      </c>
      <c r="J232" s="6">
        <v>98.64</v>
      </c>
      <c r="K232" s="6">
        <v>98.48</v>
      </c>
      <c r="L232" s="6">
        <v>98.3</v>
      </c>
      <c r="M232" s="6">
        <v>98.62</v>
      </c>
      <c r="N232" s="6">
        <v>98.46</v>
      </c>
      <c r="O232" s="6">
        <v>98.28</v>
      </c>
      <c r="P232" s="6">
        <v>98.52</v>
      </c>
      <c r="Q232" s="6">
        <v>98.45</v>
      </c>
      <c r="R232" s="6">
        <v>98.28</v>
      </c>
    </row>
    <row r="233" spans="2:18">
      <c r="B233" s="6">
        <v>31017</v>
      </c>
      <c r="C233" s="6" t="s">
        <v>102</v>
      </c>
      <c r="D233" s="6">
        <v>0</v>
      </c>
      <c r="E233" s="6">
        <v>98.89</v>
      </c>
      <c r="F233" s="6">
        <v>98.89</v>
      </c>
      <c r="G233" s="6">
        <v>98.91</v>
      </c>
      <c r="H233" s="6">
        <v>98.92</v>
      </c>
      <c r="I233" s="6">
        <v>98.82</v>
      </c>
      <c r="J233" s="6">
        <v>98.86</v>
      </c>
      <c r="K233" s="6">
        <v>98.85</v>
      </c>
      <c r="L233" s="6">
        <v>98.75</v>
      </c>
      <c r="M233" s="6">
        <v>98.86</v>
      </c>
      <c r="N233" s="6">
        <v>98.82</v>
      </c>
      <c r="O233" s="6">
        <v>98.74</v>
      </c>
      <c r="P233" s="6">
        <v>98.83</v>
      </c>
      <c r="Q233" s="6">
        <v>98.81</v>
      </c>
      <c r="R233" s="6">
        <v>98.73</v>
      </c>
    </row>
    <row r="234" spans="2:18">
      <c r="B234" s="6">
        <v>31017</v>
      </c>
      <c r="C234" s="6" t="s">
        <v>102</v>
      </c>
      <c r="D234" s="6">
        <v>0</v>
      </c>
      <c r="E234" s="6">
        <v>97.3</v>
      </c>
      <c r="F234" s="6">
        <v>97.3</v>
      </c>
      <c r="G234" s="6">
        <v>98.03</v>
      </c>
      <c r="H234" s="6">
        <v>98.12</v>
      </c>
      <c r="I234" s="6">
        <v>98.05</v>
      </c>
      <c r="J234" s="6">
        <v>97.72</v>
      </c>
      <c r="K234" s="6">
        <v>97.84</v>
      </c>
      <c r="L234" s="6">
        <v>97.75</v>
      </c>
      <c r="M234" s="6">
        <v>97.72</v>
      </c>
      <c r="N234" s="6">
        <v>97.83</v>
      </c>
      <c r="O234" s="6">
        <v>97.74</v>
      </c>
      <c r="P234" s="6">
        <v>97.73</v>
      </c>
      <c r="Q234" s="6">
        <v>97.84</v>
      </c>
      <c r="R234" s="6">
        <v>97.75</v>
      </c>
    </row>
    <row r="235" spans="2:18">
      <c r="B235" s="6">
        <v>31017</v>
      </c>
      <c r="C235" s="6" t="s">
        <v>102</v>
      </c>
      <c r="D235" s="6">
        <v>0</v>
      </c>
      <c r="E235" s="6">
        <v>98.86</v>
      </c>
      <c r="F235" s="6">
        <v>98.86</v>
      </c>
      <c r="G235" s="6">
        <v>98.04</v>
      </c>
      <c r="H235" s="6">
        <v>97.78</v>
      </c>
      <c r="I235" s="6">
        <v>97.69</v>
      </c>
      <c r="J235" s="6">
        <v>98.01</v>
      </c>
      <c r="K235" s="6">
        <v>97.7</v>
      </c>
      <c r="L235" s="6">
        <v>97.61</v>
      </c>
      <c r="M235" s="6">
        <v>98.02</v>
      </c>
      <c r="N235" s="6">
        <v>97.7</v>
      </c>
      <c r="O235" s="6">
        <v>97.61</v>
      </c>
      <c r="P235" s="6">
        <v>98.02</v>
      </c>
      <c r="Q235" s="6">
        <v>97.7</v>
      </c>
      <c r="R235" s="6">
        <v>97.61</v>
      </c>
    </row>
    <row r="236" spans="2:18">
      <c r="B236" s="6">
        <v>31019</v>
      </c>
      <c r="C236" s="6" t="s">
        <v>103</v>
      </c>
      <c r="D236" s="6">
        <v>98.57</v>
      </c>
      <c r="E236" s="6">
        <v>98.83</v>
      </c>
      <c r="F236" s="6">
        <v>98.78</v>
      </c>
      <c r="G236" s="6">
        <v>98.74</v>
      </c>
      <c r="H236" s="6">
        <v>98.55</v>
      </c>
      <c r="I236" s="6">
        <v>98.22</v>
      </c>
      <c r="J236" s="6">
        <v>98.64</v>
      </c>
      <c r="K236" s="6">
        <v>98.48</v>
      </c>
      <c r="L236" s="6">
        <v>98.3</v>
      </c>
      <c r="M236" s="6">
        <v>98.62</v>
      </c>
      <c r="N236" s="6">
        <v>98.46</v>
      </c>
      <c r="O236" s="6">
        <v>98.28</v>
      </c>
      <c r="P236" s="6">
        <v>98.52</v>
      </c>
      <c r="Q236" s="6">
        <v>98.45</v>
      </c>
      <c r="R236" s="6">
        <v>98.28</v>
      </c>
    </row>
    <row r="237" spans="2:18">
      <c r="B237" s="6">
        <v>31019</v>
      </c>
      <c r="C237" s="6" t="s">
        <v>103</v>
      </c>
      <c r="D237" s="6">
        <v>98.59</v>
      </c>
      <c r="E237" s="6">
        <v>98.84</v>
      </c>
      <c r="F237" s="6">
        <v>98.8</v>
      </c>
      <c r="G237" s="6">
        <v>98.78</v>
      </c>
      <c r="H237" s="6">
        <v>98.67</v>
      </c>
      <c r="I237" s="6">
        <v>98.6</v>
      </c>
      <c r="J237" s="6">
        <v>98.77</v>
      </c>
      <c r="K237" s="6">
        <v>98.75</v>
      </c>
      <c r="L237" s="6">
        <v>98.72</v>
      </c>
      <c r="M237" s="6">
        <v>98.71</v>
      </c>
      <c r="N237" s="6">
        <v>98.7</v>
      </c>
      <c r="O237" s="6">
        <v>98.68</v>
      </c>
      <c r="P237" s="6">
        <v>98.71</v>
      </c>
      <c r="Q237" s="6">
        <v>98.7</v>
      </c>
      <c r="R237" s="6">
        <v>98.68</v>
      </c>
    </row>
    <row r="238" spans="2:18">
      <c r="B238" s="6">
        <v>31019</v>
      </c>
      <c r="C238" s="6" t="s">
        <v>103</v>
      </c>
      <c r="D238" s="6">
        <v>97.28</v>
      </c>
      <c r="E238" s="6">
        <v>97.95</v>
      </c>
      <c r="F238" s="6">
        <v>97.66</v>
      </c>
      <c r="G238" s="6">
        <v>97.49</v>
      </c>
      <c r="H238" s="6">
        <v>97.66</v>
      </c>
      <c r="I238" s="6">
        <v>97.52</v>
      </c>
      <c r="J238" s="6">
        <v>97.72</v>
      </c>
      <c r="K238" s="6">
        <v>97.84</v>
      </c>
      <c r="L238" s="6">
        <v>97.75</v>
      </c>
      <c r="M238" s="6">
        <v>97.72</v>
      </c>
      <c r="N238" s="6">
        <v>97.83</v>
      </c>
      <c r="O238" s="6">
        <v>97.74</v>
      </c>
      <c r="P238" s="6">
        <v>97.73</v>
      </c>
      <c r="Q238" s="6">
        <v>97.84</v>
      </c>
      <c r="R238" s="6">
        <v>97.75</v>
      </c>
    </row>
    <row r="239" spans="2:18">
      <c r="B239" s="6">
        <v>31019</v>
      </c>
      <c r="C239" s="6" t="s">
        <v>103</v>
      </c>
      <c r="D239" s="6">
        <v>99.28</v>
      </c>
      <c r="E239" s="6">
        <v>98.37</v>
      </c>
      <c r="F239" s="6">
        <v>97.94</v>
      </c>
      <c r="G239" s="6">
        <v>98.15</v>
      </c>
      <c r="H239" s="6">
        <v>97.53</v>
      </c>
      <c r="I239" s="6">
        <v>97.49</v>
      </c>
      <c r="J239" s="6">
        <v>98.01</v>
      </c>
      <c r="K239" s="6">
        <v>97.7</v>
      </c>
      <c r="L239" s="6">
        <v>97.61</v>
      </c>
      <c r="M239" s="6">
        <v>98.02</v>
      </c>
      <c r="N239" s="6">
        <v>97.7</v>
      </c>
      <c r="O239" s="6">
        <v>97.61</v>
      </c>
      <c r="P239" s="6">
        <v>98.02</v>
      </c>
      <c r="Q239" s="6">
        <v>97.7</v>
      </c>
      <c r="R239" s="6">
        <v>97.61</v>
      </c>
    </row>
    <row r="240" spans="2:18">
      <c r="B240" s="6">
        <v>31020</v>
      </c>
      <c r="C240" s="6" t="s">
        <v>104</v>
      </c>
      <c r="D240" s="6">
        <v>96.51</v>
      </c>
      <c r="E240" s="6">
        <v>98.4</v>
      </c>
      <c r="F240" s="6">
        <v>98.04</v>
      </c>
      <c r="G240" s="6">
        <v>98.74</v>
      </c>
      <c r="H240" s="6">
        <v>98.55</v>
      </c>
      <c r="I240" s="6">
        <v>98.22</v>
      </c>
      <c r="J240" s="6">
        <v>98.64</v>
      </c>
      <c r="K240" s="6">
        <v>98.48</v>
      </c>
      <c r="L240" s="6">
        <v>98.3</v>
      </c>
      <c r="M240" s="6">
        <v>98.62</v>
      </c>
      <c r="N240" s="6">
        <v>98.46</v>
      </c>
      <c r="O240" s="6">
        <v>98.28</v>
      </c>
      <c r="P240" s="6">
        <v>98.52</v>
      </c>
      <c r="Q240" s="6">
        <v>98.45</v>
      </c>
      <c r="R240" s="6">
        <v>98.28</v>
      </c>
    </row>
    <row r="241" spans="2:18">
      <c r="B241" s="6">
        <v>31020</v>
      </c>
      <c r="C241" s="6" t="s">
        <v>104</v>
      </c>
      <c r="D241" s="6">
        <v>97.8</v>
      </c>
      <c r="E241" s="6">
        <v>98.84</v>
      </c>
      <c r="F241" s="6">
        <v>98.69</v>
      </c>
      <c r="G241" s="6">
        <v>98.78</v>
      </c>
      <c r="H241" s="6">
        <v>98.67</v>
      </c>
      <c r="I241" s="6">
        <v>98.6</v>
      </c>
      <c r="J241" s="6">
        <v>98.77</v>
      </c>
      <c r="K241" s="6">
        <v>98.75</v>
      </c>
      <c r="L241" s="6">
        <v>98.72</v>
      </c>
      <c r="M241" s="6">
        <v>98.71</v>
      </c>
      <c r="N241" s="6">
        <v>98.7</v>
      </c>
      <c r="O241" s="6">
        <v>98.68</v>
      </c>
      <c r="P241" s="6">
        <v>98.71</v>
      </c>
      <c r="Q241" s="6">
        <v>98.7</v>
      </c>
      <c r="R241" s="6">
        <v>98.68</v>
      </c>
    </row>
    <row r="242" spans="2:18">
      <c r="B242" s="6">
        <v>31020</v>
      </c>
      <c r="C242" s="6" t="s">
        <v>104</v>
      </c>
      <c r="D242" s="6">
        <v>99.03</v>
      </c>
      <c r="E242" s="6">
        <v>97.91</v>
      </c>
      <c r="F242" s="6">
        <v>97.56</v>
      </c>
      <c r="G242" s="6">
        <v>97.49</v>
      </c>
      <c r="H242" s="6">
        <v>97.66</v>
      </c>
      <c r="I242" s="6">
        <v>97.52</v>
      </c>
      <c r="J242" s="6">
        <v>97.72</v>
      </c>
      <c r="K242" s="6">
        <v>97.84</v>
      </c>
      <c r="L242" s="6">
        <v>97.75</v>
      </c>
      <c r="M242" s="6">
        <v>97.72</v>
      </c>
      <c r="N242" s="6">
        <v>97.83</v>
      </c>
      <c r="O242" s="6">
        <v>97.74</v>
      </c>
      <c r="P242" s="6">
        <v>97.73</v>
      </c>
      <c r="Q242" s="6">
        <v>97.84</v>
      </c>
      <c r="R242" s="6">
        <v>97.75</v>
      </c>
    </row>
    <row r="243" spans="2:18">
      <c r="B243" s="6">
        <v>31020</v>
      </c>
      <c r="C243" s="6" t="s">
        <v>104</v>
      </c>
      <c r="D243" s="6">
        <v>96.9</v>
      </c>
      <c r="E243" s="6">
        <v>97.33</v>
      </c>
      <c r="F243" s="6">
        <v>97.6</v>
      </c>
      <c r="G243" s="6">
        <v>98.15</v>
      </c>
      <c r="H243" s="6">
        <v>97.53</v>
      </c>
      <c r="I243" s="6">
        <v>97.49</v>
      </c>
      <c r="J243" s="6">
        <v>98.01</v>
      </c>
      <c r="K243" s="6">
        <v>97.7</v>
      </c>
      <c r="L243" s="6">
        <v>97.61</v>
      </c>
      <c r="M243" s="6">
        <v>98.02</v>
      </c>
      <c r="N243" s="6">
        <v>97.7</v>
      </c>
      <c r="O243" s="6">
        <v>97.61</v>
      </c>
      <c r="P243" s="6">
        <v>98.02</v>
      </c>
      <c r="Q243" s="6">
        <v>97.7</v>
      </c>
      <c r="R243" s="6">
        <v>97.61</v>
      </c>
    </row>
    <row r="244" spans="2:18">
      <c r="B244" s="6">
        <v>31021</v>
      </c>
      <c r="C244" s="6" t="s">
        <v>105</v>
      </c>
      <c r="D244" s="6">
        <v>98.35</v>
      </c>
      <c r="E244" s="6">
        <v>98.83</v>
      </c>
      <c r="F244" s="6">
        <v>98.44</v>
      </c>
      <c r="G244" s="6">
        <v>98.74</v>
      </c>
      <c r="H244" s="6">
        <v>98.55</v>
      </c>
      <c r="I244" s="6">
        <v>98.22</v>
      </c>
      <c r="J244" s="6">
        <v>98.64</v>
      </c>
      <c r="K244" s="6">
        <v>98.48</v>
      </c>
      <c r="L244" s="6">
        <v>98.3</v>
      </c>
      <c r="M244" s="6">
        <v>98.62</v>
      </c>
      <c r="N244" s="6">
        <v>98.46</v>
      </c>
      <c r="O244" s="6">
        <v>98.28</v>
      </c>
      <c r="P244" s="6">
        <v>98.52</v>
      </c>
      <c r="Q244" s="6">
        <v>98.45</v>
      </c>
      <c r="R244" s="6">
        <v>98.28</v>
      </c>
    </row>
    <row r="245" spans="2:18">
      <c r="B245" s="6">
        <v>31021</v>
      </c>
      <c r="C245" s="6" t="s">
        <v>105</v>
      </c>
      <c r="D245" s="6">
        <v>98.38</v>
      </c>
      <c r="E245" s="6">
        <v>98.84</v>
      </c>
      <c r="F245" s="6">
        <v>98.85</v>
      </c>
      <c r="G245" s="6">
        <v>98.78</v>
      </c>
      <c r="H245" s="6">
        <v>98.67</v>
      </c>
      <c r="I245" s="6">
        <v>98.6</v>
      </c>
      <c r="J245" s="6">
        <v>98.77</v>
      </c>
      <c r="K245" s="6">
        <v>98.75</v>
      </c>
      <c r="L245" s="6">
        <v>98.72</v>
      </c>
      <c r="M245" s="6">
        <v>98.71</v>
      </c>
      <c r="N245" s="6">
        <v>98.7</v>
      </c>
      <c r="O245" s="6">
        <v>98.68</v>
      </c>
      <c r="P245" s="6">
        <v>98.71</v>
      </c>
      <c r="Q245" s="6">
        <v>98.7</v>
      </c>
      <c r="R245" s="6">
        <v>98.68</v>
      </c>
    </row>
    <row r="246" spans="2:18">
      <c r="B246" s="6">
        <v>31021</v>
      </c>
      <c r="C246" s="6" t="s">
        <v>105</v>
      </c>
      <c r="D246" s="6">
        <v>97.83</v>
      </c>
      <c r="E246" s="6">
        <v>97.95</v>
      </c>
      <c r="F246" s="6">
        <v>97.75</v>
      </c>
      <c r="G246" s="6">
        <v>97.49</v>
      </c>
      <c r="H246" s="6">
        <v>97.66</v>
      </c>
      <c r="I246" s="6">
        <v>97.52</v>
      </c>
      <c r="J246" s="6">
        <v>97.72</v>
      </c>
      <c r="K246" s="6">
        <v>97.84</v>
      </c>
      <c r="L246" s="6">
        <v>97.75</v>
      </c>
      <c r="M246" s="6">
        <v>97.72</v>
      </c>
      <c r="N246" s="6">
        <v>97.83</v>
      </c>
      <c r="O246" s="6">
        <v>97.74</v>
      </c>
      <c r="P246" s="6">
        <v>97.73</v>
      </c>
      <c r="Q246" s="6">
        <v>97.84</v>
      </c>
      <c r="R246" s="6">
        <v>97.75</v>
      </c>
    </row>
    <row r="247" spans="2:18">
      <c r="B247" s="6">
        <v>31021</v>
      </c>
      <c r="C247" s="6" t="s">
        <v>105</v>
      </c>
      <c r="D247" s="6">
        <v>96.93</v>
      </c>
      <c r="E247" s="6">
        <v>97.62</v>
      </c>
      <c r="F247" s="6">
        <v>97.58</v>
      </c>
      <c r="G247" s="6">
        <v>98.15</v>
      </c>
      <c r="H247" s="6">
        <v>97.53</v>
      </c>
      <c r="I247" s="6">
        <v>97.49</v>
      </c>
      <c r="J247" s="6">
        <v>98.01</v>
      </c>
      <c r="K247" s="6">
        <v>97.7</v>
      </c>
      <c r="L247" s="6">
        <v>97.61</v>
      </c>
      <c r="M247" s="6">
        <v>98.02</v>
      </c>
      <c r="N247" s="6">
        <v>97.7</v>
      </c>
      <c r="O247" s="6">
        <v>97.61</v>
      </c>
      <c r="P247" s="6">
        <v>98.02</v>
      </c>
      <c r="Q247" s="6">
        <v>97.7</v>
      </c>
      <c r="R247" s="6">
        <v>97.61</v>
      </c>
    </row>
    <row r="248" spans="2:18">
      <c r="B248" s="6">
        <v>31023</v>
      </c>
      <c r="C248" s="6" t="s">
        <v>106</v>
      </c>
      <c r="D248" s="6">
        <v>98.2</v>
      </c>
      <c r="E248" s="6">
        <v>98.55</v>
      </c>
      <c r="F248" s="6">
        <v>98.74</v>
      </c>
      <c r="G248" s="6">
        <v>98.48</v>
      </c>
      <c r="H248" s="6">
        <v>98.4</v>
      </c>
      <c r="I248" s="6">
        <v>98.25</v>
      </c>
      <c r="J248" s="6">
        <v>98.64</v>
      </c>
      <c r="K248" s="6">
        <v>98.48</v>
      </c>
      <c r="L248" s="6">
        <v>98.3</v>
      </c>
      <c r="M248" s="6">
        <v>98.62</v>
      </c>
      <c r="N248" s="6">
        <v>98.46</v>
      </c>
      <c r="O248" s="6">
        <v>98.28</v>
      </c>
      <c r="P248" s="6">
        <v>98.52</v>
      </c>
      <c r="Q248" s="6">
        <v>98.45</v>
      </c>
      <c r="R248" s="6">
        <v>98.28</v>
      </c>
    </row>
    <row r="249" spans="2:18">
      <c r="B249" s="6">
        <v>31023</v>
      </c>
      <c r="C249" s="6" t="s">
        <v>106</v>
      </c>
      <c r="D249" s="6">
        <v>98.23</v>
      </c>
      <c r="E249" s="6">
        <v>98.58</v>
      </c>
      <c r="F249" s="6">
        <v>98.76</v>
      </c>
      <c r="G249" s="6">
        <v>98.72</v>
      </c>
      <c r="H249" s="6">
        <v>98.71</v>
      </c>
      <c r="I249" s="6">
        <v>98.75</v>
      </c>
      <c r="J249" s="6">
        <v>98.77</v>
      </c>
      <c r="K249" s="6">
        <v>98.75</v>
      </c>
      <c r="L249" s="6">
        <v>98.72</v>
      </c>
      <c r="M249" s="6">
        <v>98.71</v>
      </c>
      <c r="N249" s="6">
        <v>98.7</v>
      </c>
      <c r="O249" s="6">
        <v>98.68</v>
      </c>
      <c r="P249" s="6">
        <v>98.71</v>
      </c>
      <c r="Q249" s="6">
        <v>98.7</v>
      </c>
      <c r="R249" s="6">
        <v>98.68</v>
      </c>
    </row>
    <row r="250" spans="2:18">
      <c r="B250" s="6">
        <v>31023</v>
      </c>
      <c r="C250" s="6" t="s">
        <v>106</v>
      </c>
      <c r="D250" s="6">
        <v>96.1</v>
      </c>
      <c r="E250" s="6">
        <v>96.23</v>
      </c>
      <c r="F250" s="6">
        <v>96.51</v>
      </c>
      <c r="G250" s="6">
        <v>97.43</v>
      </c>
      <c r="H250" s="6">
        <v>97.49</v>
      </c>
      <c r="I250" s="6">
        <v>97.36</v>
      </c>
      <c r="J250" s="6">
        <v>97.72</v>
      </c>
      <c r="K250" s="6">
        <v>97.84</v>
      </c>
      <c r="L250" s="6">
        <v>97.75</v>
      </c>
      <c r="M250" s="6">
        <v>97.72</v>
      </c>
      <c r="N250" s="6">
        <v>97.83</v>
      </c>
      <c r="O250" s="6">
        <v>97.74</v>
      </c>
      <c r="P250" s="6">
        <v>97.73</v>
      </c>
      <c r="Q250" s="6">
        <v>97.84</v>
      </c>
      <c r="R250" s="6">
        <v>97.75</v>
      </c>
    </row>
    <row r="251" spans="2:18">
      <c r="B251" s="6">
        <v>31023</v>
      </c>
      <c r="C251" s="6" t="s">
        <v>106</v>
      </c>
      <c r="D251" s="6">
        <v>98.35</v>
      </c>
      <c r="E251" s="6">
        <v>98.44</v>
      </c>
      <c r="F251" s="6">
        <v>98.44</v>
      </c>
      <c r="G251" s="6">
        <v>97.88</v>
      </c>
      <c r="H251" s="6">
        <v>97.7</v>
      </c>
      <c r="I251" s="6">
        <v>97.56</v>
      </c>
      <c r="J251" s="6">
        <v>98.01</v>
      </c>
      <c r="K251" s="6">
        <v>97.7</v>
      </c>
      <c r="L251" s="6">
        <v>97.61</v>
      </c>
      <c r="M251" s="6">
        <v>98.02</v>
      </c>
      <c r="N251" s="6">
        <v>97.7</v>
      </c>
      <c r="O251" s="6">
        <v>97.61</v>
      </c>
      <c r="P251" s="6">
        <v>98.02</v>
      </c>
      <c r="Q251" s="6">
        <v>97.7</v>
      </c>
      <c r="R251" s="6">
        <v>97.61</v>
      </c>
    </row>
    <row r="252" spans="2:18">
      <c r="B252" s="6">
        <v>31024</v>
      </c>
      <c r="C252" s="6" t="s">
        <v>107</v>
      </c>
      <c r="D252" s="6">
        <v>98.22</v>
      </c>
      <c r="E252" s="6">
        <v>98.64</v>
      </c>
      <c r="F252" s="6">
        <v>98.81</v>
      </c>
      <c r="G252" s="6">
        <v>98.48</v>
      </c>
      <c r="H252" s="6">
        <v>98.4</v>
      </c>
      <c r="I252" s="6">
        <v>98.25</v>
      </c>
      <c r="J252" s="6">
        <v>98.64</v>
      </c>
      <c r="K252" s="6">
        <v>98.48</v>
      </c>
      <c r="L252" s="6">
        <v>98.3</v>
      </c>
      <c r="M252" s="6">
        <v>98.62</v>
      </c>
      <c r="N252" s="6">
        <v>98.46</v>
      </c>
      <c r="O252" s="6">
        <v>98.28</v>
      </c>
      <c r="P252" s="6">
        <v>98.52</v>
      </c>
      <c r="Q252" s="6">
        <v>98.45</v>
      </c>
      <c r="R252" s="6">
        <v>98.28</v>
      </c>
    </row>
    <row r="253" spans="2:18">
      <c r="B253" s="6">
        <v>31024</v>
      </c>
      <c r="C253" s="6" t="s">
        <v>107</v>
      </c>
      <c r="D253" s="6">
        <v>98.25</v>
      </c>
      <c r="E253" s="6">
        <v>98.88</v>
      </c>
      <c r="F253" s="6">
        <v>99</v>
      </c>
      <c r="G253" s="6">
        <v>98.72</v>
      </c>
      <c r="H253" s="6">
        <v>98.71</v>
      </c>
      <c r="I253" s="6">
        <v>98.75</v>
      </c>
      <c r="J253" s="6">
        <v>98.77</v>
      </c>
      <c r="K253" s="6">
        <v>98.75</v>
      </c>
      <c r="L253" s="6">
        <v>98.72</v>
      </c>
      <c r="M253" s="6">
        <v>98.71</v>
      </c>
      <c r="N253" s="6">
        <v>98.7</v>
      </c>
      <c r="O253" s="6">
        <v>98.68</v>
      </c>
      <c r="P253" s="6">
        <v>98.71</v>
      </c>
      <c r="Q253" s="6">
        <v>98.7</v>
      </c>
      <c r="R253" s="6">
        <v>98.68</v>
      </c>
    </row>
    <row r="254" spans="2:18">
      <c r="B254" s="6">
        <v>31024</v>
      </c>
      <c r="C254" s="6" t="s">
        <v>107</v>
      </c>
      <c r="D254" s="6">
        <v>96.26</v>
      </c>
      <c r="E254" s="6">
        <v>97.7</v>
      </c>
      <c r="F254" s="6">
        <v>97.81</v>
      </c>
      <c r="G254" s="6">
        <v>97.43</v>
      </c>
      <c r="H254" s="6">
        <v>97.49</v>
      </c>
      <c r="I254" s="6">
        <v>97.36</v>
      </c>
      <c r="J254" s="6">
        <v>97.72</v>
      </c>
      <c r="K254" s="6">
        <v>97.84</v>
      </c>
      <c r="L254" s="6">
        <v>97.75</v>
      </c>
      <c r="M254" s="6">
        <v>97.72</v>
      </c>
      <c r="N254" s="6">
        <v>97.83</v>
      </c>
      <c r="O254" s="6">
        <v>97.74</v>
      </c>
      <c r="P254" s="6">
        <v>97.73</v>
      </c>
      <c r="Q254" s="6">
        <v>97.84</v>
      </c>
      <c r="R254" s="6">
        <v>97.75</v>
      </c>
    </row>
    <row r="255" spans="2:18">
      <c r="B255" s="6">
        <v>31024</v>
      </c>
      <c r="C255" s="6" t="s">
        <v>107</v>
      </c>
      <c r="D255" s="6">
        <v>97.08</v>
      </c>
      <c r="E255" s="6">
        <v>97.44</v>
      </c>
      <c r="F255" s="6">
        <v>97.93</v>
      </c>
      <c r="G255" s="6">
        <v>97.88</v>
      </c>
      <c r="H255" s="6">
        <v>97.7</v>
      </c>
      <c r="I255" s="6">
        <v>97.56</v>
      </c>
      <c r="J255" s="6">
        <v>98.01</v>
      </c>
      <c r="K255" s="6">
        <v>97.7</v>
      </c>
      <c r="L255" s="6">
        <v>97.61</v>
      </c>
      <c r="M255" s="6">
        <v>98.02</v>
      </c>
      <c r="N255" s="6">
        <v>97.7</v>
      </c>
      <c r="O255" s="6">
        <v>97.61</v>
      </c>
      <c r="P255" s="6">
        <v>98.02</v>
      </c>
      <c r="Q255" s="6">
        <v>97.7</v>
      </c>
      <c r="R255" s="6">
        <v>97.61</v>
      </c>
    </row>
    <row r="256" spans="2:18">
      <c r="B256" s="6">
        <v>31025</v>
      </c>
      <c r="C256" s="6" t="s">
        <v>108</v>
      </c>
      <c r="D256" s="6">
        <v>96.96</v>
      </c>
      <c r="E256" s="6">
        <v>97.87</v>
      </c>
      <c r="F256" s="6">
        <v>98.42</v>
      </c>
      <c r="G256" s="6">
        <v>98.48</v>
      </c>
      <c r="H256" s="6">
        <v>98.4</v>
      </c>
      <c r="I256" s="6">
        <v>98.25</v>
      </c>
      <c r="J256" s="6">
        <v>98.64</v>
      </c>
      <c r="K256" s="6">
        <v>98.48</v>
      </c>
      <c r="L256" s="6">
        <v>98.3</v>
      </c>
      <c r="M256" s="6">
        <v>98.62</v>
      </c>
      <c r="N256" s="6">
        <v>98.46</v>
      </c>
      <c r="O256" s="6">
        <v>98.28</v>
      </c>
      <c r="P256" s="6">
        <v>98.52</v>
      </c>
      <c r="Q256" s="6">
        <v>98.45</v>
      </c>
      <c r="R256" s="6">
        <v>98.28</v>
      </c>
    </row>
    <row r="257" spans="2:18">
      <c r="B257" s="6">
        <v>31025</v>
      </c>
      <c r="C257" s="6" t="s">
        <v>108</v>
      </c>
      <c r="D257" s="6">
        <v>98.57</v>
      </c>
      <c r="E257" s="6">
        <v>98.7</v>
      </c>
      <c r="F257" s="6">
        <v>98.89</v>
      </c>
      <c r="G257" s="6">
        <v>98.72</v>
      </c>
      <c r="H257" s="6">
        <v>98.71</v>
      </c>
      <c r="I257" s="6">
        <v>98.75</v>
      </c>
      <c r="J257" s="6">
        <v>98.77</v>
      </c>
      <c r="K257" s="6">
        <v>98.75</v>
      </c>
      <c r="L257" s="6">
        <v>98.72</v>
      </c>
      <c r="M257" s="6">
        <v>98.71</v>
      </c>
      <c r="N257" s="6">
        <v>98.7</v>
      </c>
      <c r="O257" s="6">
        <v>98.68</v>
      </c>
      <c r="P257" s="6">
        <v>98.71</v>
      </c>
      <c r="Q257" s="6">
        <v>98.7</v>
      </c>
      <c r="R257" s="6">
        <v>98.68</v>
      </c>
    </row>
    <row r="258" spans="2:18">
      <c r="B258" s="6">
        <v>31025</v>
      </c>
      <c r="C258" s="6" t="s">
        <v>108</v>
      </c>
      <c r="D258" s="6">
        <v>98.45</v>
      </c>
      <c r="E258" s="6">
        <v>98.17</v>
      </c>
      <c r="F258" s="6">
        <v>98.04</v>
      </c>
      <c r="G258" s="6">
        <v>97.43</v>
      </c>
      <c r="H258" s="6">
        <v>97.49</v>
      </c>
      <c r="I258" s="6">
        <v>97.36</v>
      </c>
      <c r="J258" s="6">
        <v>97.72</v>
      </c>
      <c r="K258" s="6">
        <v>97.84</v>
      </c>
      <c r="L258" s="6">
        <v>97.75</v>
      </c>
      <c r="M258" s="6">
        <v>97.72</v>
      </c>
      <c r="N258" s="6">
        <v>97.83</v>
      </c>
      <c r="O258" s="6">
        <v>97.74</v>
      </c>
      <c r="P258" s="6">
        <v>97.73</v>
      </c>
      <c r="Q258" s="6">
        <v>97.84</v>
      </c>
      <c r="R258" s="6">
        <v>97.75</v>
      </c>
    </row>
    <row r="259" spans="2:18">
      <c r="B259" s="6">
        <v>31025</v>
      </c>
      <c r="C259" s="6" t="s">
        <v>108</v>
      </c>
      <c r="D259" s="6">
        <v>95.78</v>
      </c>
      <c r="E259" s="6">
        <v>96.31</v>
      </c>
      <c r="F259" s="6">
        <v>97.16</v>
      </c>
      <c r="G259" s="6">
        <v>97.88</v>
      </c>
      <c r="H259" s="6">
        <v>97.7</v>
      </c>
      <c r="I259" s="6">
        <v>97.56</v>
      </c>
      <c r="J259" s="6">
        <v>98.01</v>
      </c>
      <c r="K259" s="6">
        <v>97.7</v>
      </c>
      <c r="L259" s="6">
        <v>97.61</v>
      </c>
      <c r="M259" s="6">
        <v>98.02</v>
      </c>
      <c r="N259" s="6">
        <v>97.7</v>
      </c>
      <c r="O259" s="6">
        <v>97.61</v>
      </c>
      <c r="P259" s="6">
        <v>98.02</v>
      </c>
      <c r="Q259" s="6">
        <v>97.7</v>
      </c>
      <c r="R259" s="6">
        <v>97.61</v>
      </c>
    </row>
    <row r="260" spans="2:18">
      <c r="B260" s="6">
        <v>31026</v>
      </c>
      <c r="C260" s="6" t="s">
        <v>109</v>
      </c>
      <c r="D260" s="6">
        <v>0</v>
      </c>
      <c r="E260" s="6">
        <v>99.1</v>
      </c>
      <c r="F260" s="6">
        <v>99.02</v>
      </c>
      <c r="G260" s="6">
        <v>98.48</v>
      </c>
      <c r="H260" s="6">
        <v>98.4</v>
      </c>
      <c r="I260" s="6">
        <v>98.25</v>
      </c>
      <c r="J260" s="6">
        <v>98.64</v>
      </c>
      <c r="K260" s="6">
        <v>98.48</v>
      </c>
      <c r="L260" s="6">
        <v>98.3</v>
      </c>
      <c r="M260" s="6">
        <v>98.62</v>
      </c>
      <c r="N260" s="6">
        <v>98.46</v>
      </c>
      <c r="O260" s="6">
        <v>98.28</v>
      </c>
      <c r="P260" s="6">
        <v>98.52</v>
      </c>
      <c r="Q260" s="6">
        <v>98.45</v>
      </c>
      <c r="R260" s="6">
        <v>98.28</v>
      </c>
    </row>
    <row r="261" spans="2:18">
      <c r="B261" s="6">
        <v>31026</v>
      </c>
      <c r="C261" s="6" t="s">
        <v>109</v>
      </c>
      <c r="D261" s="6">
        <v>0</v>
      </c>
      <c r="E261" s="6">
        <v>99.11</v>
      </c>
      <c r="F261" s="6">
        <v>99.03</v>
      </c>
      <c r="G261" s="6">
        <v>98.72</v>
      </c>
      <c r="H261" s="6">
        <v>98.71</v>
      </c>
      <c r="I261" s="6">
        <v>98.75</v>
      </c>
      <c r="J261" s="6">
        <v>98.77</v>
      </c>
      <c r="K261" s="6">
        <v>98.75</v>
      </c>
      <c r="L261" s="6">
        <v>98.72</v>
      </c>
      <c r="M261" s="6">
        <v>98.71</v>
      </c>
      <c r="N261" s="6">
        <v>98.7</v>
      </c>
      <c r="O261" s="6">
        <v>98.68</v>
      </c>
      <c r="P261" s="6">
        <v>98.71</v>
      </c>
      <c r="Q261" s="6">
        <v>98.7</v>
      </c>
      <c r="R261" s="6">
        <v>98.68</v>
      </c>
    </row>
    <row r="262" spans="2:18">
      <c r="B262" s="6">
        <v>31026</v>
      </c>
      <c r="C262" s="6" t="s">
        <v>109</v>
      </c>
      <c r="D262" s="6">
        <v>0</v>
      </c>
      <c r="E262" s="6">
        <v>97.83</v>
      </c>
      <c r="F262" s="6">
        <v>96.5</v>
      </c>
      <c r="G262" s="6">
        <v>97.43</v>
      </c>
      <c r="H262" s="6">
        <v>97.49</v>
      </c>
      <c r="I262" s="6">
        <v>97.36</v>
      </c>
      <c r="J262" s="6">
        <v>97.72</v>
      </c>
      <c r="K262" s="6">
        <v>97.84</v>
      </c>
      <c r="L262" s="6">
        <v>97.75</v>
      </c>
      <c r="M262" s="6">
        <v>97.72</v>
      </c>
      <c r="N262" s="6">
        <v>97.83</v>
      </c>
      <c r="O262" s="6">
        <v>97.74</v>
      </c>
      <c r="P262" s="6">
        <v>97.73</v>
      </c>
      <c r="Q262" s="6">
        <v>97.84</v>
      </c>
      <c r="R262" s="6">
        <v>97.75</v>
      </c>
    </row>
    <row r="263" spans="2:18">
      <c r="B263" s="6">
        <v>31026</v>
      </c>
      <c r="C263" s="6" t="s">
        <v>109</v>
      </c>
      <c r="D263" s="6">
        <v>0</v>
      </c>
      <c r="E263" s="6">
        <v>99.1</v>
      </c>
      <c r="F263" s="6">
        <v>99.01</v>
      </c>
      <c r="G263" s="6">
        <v>97.88</v>
      </c>
      <c r="H263" s="6">
        <v>97.7</v>
      </c>
      <c r="I263" s="6">
        <v>97.56</v>
      </c>
      <c r="J263" s="6">
        <v>98.01</v>
      </c>
      <c r="K263" s="6">
        <v>97.7</v>
      </c>
      <c r="L263" s="6">
        <v>97.61</v>
      </c>
      <c r="M263" s="6">
        <v>98.02</v>
      </c>
      <c r="N263" s="6">
        <v>97.7</v>
      </c>
      <c r="O263" s="6">
        <v>97.61</v>
      </c>
      <c r="P263" s="6">
        <v>98.02</v>
      </c>
      <c r="Q263" s="6">
        <v>97.7</v>
      </c>
      <c r="R263" s="6">
        <v>97.61</v>
      </c>
    </row>
    <row r="264" spans="2:18">
      <c r="B264" s="6">
        <v>31123</v>
      </c>
      <c r="C264" s="6" t="s">
        <v>50</v>
      </c>
      <c r="D264" s="6">
        <v>98.96</v>
      </c>
      <c r="E264" s="6">
        <v>98.96</v>
      </c>
      <c r="F264" s="6">
        <v>98.89</v>
      </c>
      <c r="G264" s="6">
        <v>98.75</v>
      </c>
      <c r="H264" s="6">
        <v>98.86</v>
      </c>
      <c r="I264" s="6">
        <v>98.84</v>
      </c>
      <c r="J264" s="6">
        <v>98.72</v>
      </c>
      <c r="K264" s="6">
        <v>98.41</v>
      </c>
      <c r="L264" s="6">
        <v>98.27</v>
      </c>
      <c r="M264" s="6">
        <v>98.62</v>
      </c>
      <c r="N264" s="6">
        <v>98.46</v>
      </c>
      <c r="O264" s="6">
        <v>98.28</v>
      </c>
      <c r="P264" s="6">
        <v>98.52</v>
      </c>
      <c r="Q264" s="6">
        <v>98.45</v>
      </c>
      <c r="R264" s="6">
        <v>98.28</v>
      </c>
    </row>
    <row r="265" spans="2:18">
      <c r="B265" s="6">
        <v>31123</v>
      </c>
      <c r="C265" s="6" t="s">
        <v>50</v>
      </c>
      <c r="D265" s="6">
        <v>98.35</v>
      </c>
      <c r="E265" s="6">
        <v>98.35</v>
      </c>
      <c r="F265" s="6">
        <v>98.24</v>
      </c>
      <c r="G265" s="6">
        <v>98.01</v>
      </c>
      <c r="H265" s="6">
        <v>97.96</v>
      </c>
      <c r="I265" s="6">
        <v>97.94</v>
      </c>
      <c r="J265" s="6">
        <v>97.54</v>
      </c>
      <c r="K265" s="6">
        <v>97.47</v>
      </c>
      <c r="L265" s="6">
        <v>97.49</v>
      </c>
      <c r="M265" s="6">
        <v>97.54</v>
      </c>
      <c r="N265" s="6">
        <v>97.47</v>
      </c>
      <c r="O265" s="6">
        <v>97.49</v>
      </c>
      <c r="P265" s="6">
        <v>97.54</v>
      </c>
      <c r="Q265" s="6">
        <v>97.47</v>
      </c>
      <c r="R265" s="6">
        <v>97.49</v>
      </c>
    </row>
    <row r="266" spans="2:18">
      <c r="B266" s="6">
        <v>31123</v>
      </c>
      <c r="C266" s="6" t="s">
        <v>50</v>
      </c>
      <c r="D266" s="6">
        <v>98.97</v>
      </c>
      <c r="E266" s="6">
        <v>98.97</v>
      </c>
      <c r="F266" s="6">
        <v>98.9</v>
      </c>
      <c r="G266" s="6">
        <v>98.76</v>
      </c>
      <c r="H266" s="6">
        <v>98.76</v>
      </c>
      <c r="I266" s="6">
        <v>98.78</v>
      </c>
      <c r="J266" s="6">
        <v>98.76</v>
      </c>
      <c r="K266" s="6">
        <v>98.76</v>
      </c>
      <c r="L266" s="6">
        <v>98.78</v>
      </c>
      <c r="M266" s="6">
        <v>98.76</v>
      </c>
      <c r="N266" s="6">
        <v>98.51</v>
      </c>
      <c r="O266" s="6">
        <v>98.63</v>
      </c>
      <c r="P266" s="6">
        <v>98.76</v>
      </c>
      <c r="Q266" s="6">
        <v>98.51</v>
      </c>
      <c r="R266" s="6">
        <v>98.63</v>
      </c>
    </row>
    <row r="267" spans="2:18">
      <c r="B267" s="6">
        <v>31123</v>
      </c>
      <c r="C267" s="6" t="s">
        <v>50</v>
      </c>
      <c r="D267" s="6">
        <v>98.68</v>
      </c>
      <c r="E267" s="6">
        <v>98.68</v>
      </c>
      <c r="F267" s="6">
        <v>98.24</v>
      </c>
      <c r="G267" s="6">
        <v>98.3</v>
      </c>
      <c r="H267" s="6">
        <v>98.43</v>
      </c>
      <c r="I267" s="6">
        <v>98.06</v>
      </c>
      <c r="J267" s="6">
        <v>98.06</v>
      </c>
      <c r="K267" s="6">
        <v>97.67</v>
      </c>
      <c r="L267" s="6">
        <v>97.51</v>
      </c>
      <c r="M267" s="6">
        <v>98.02</v>
      </c>
      <c r="N267" s="6">
        <v>97.7</v>
      </c>
      <c r="O267" s="6">
        <v>97.61</v>
      </c>
      <c r="P267" s="6">
        <v>98.02</v>
      </c>
      <c r="Q267" s="6">
        <v>97.7</v>
      </c>
      <c r="R267" s="6">
        <v>97.61</v>
      </c>
    </row>
    <row r="268" spans="2:18">
      <c r="B268" s="6">
        <v>31216</v>
      </c>
      <c r="C268" s="6" t="s">
        <v>464</v>
      </c>
      <c r="D268" s="6">
        <v>0</v>
      </c>
      <c r="E268" s="6">
        <v>98.89</v>
      </c>
      <c r="F268" s="6">
        <v>99.25</v>
      </c>
      <c r="G268" s="6">
        <v>98.7</v>
      </c>
      <c r="H268" s="6">
        <v>98.05</v>
      </c>
      <c r="I268" s="6">
        <v>97.81</v>
      </c>
      <c r="J268" s="6">
        <v>98.72</v>
      </c>
      <c r="K268" s="6">
        <v>98.41</v>
      </c>
      <c r="L268" s="6">
        <v>98.27</v>
      </c>
      <c r="M268" s="6">
        <v>98.62</v>
      </c>
      <c r="N268" s="6">
        <v>98.46</v>
      </c>
      <c r="O268" s="6">
        <v>98.28</v>
      </c>
      <c r="P268" s="6">
        <v>98.52</v>
      </c>
      <c r="Q268" s="6">
        <v>98.45</v>
      </c>
      <c r="R268" s="6">
        <v>98.28</v>
      </c>
    </row>
    <row r="269" spans="2:18">
      <c r="B269" s="6">
        <v>31216</v>
      </c>
      <c r="C269" s="6" t="s">
        <v>464</v>
      </c>
      <c r="D269" s="6">
        <v>0</v>
      </c>
      <c r="E269" s="6">
        <v>97.33</v>
      </c>
      <c r="F269" s="6">
        <v>96.43</v>
      </c>
      <c r="G269" s="6">
        <v>97.54</v>
      </c>
      <c r="H269" s="6">
        <v>97.44</v>
      </c>
      <c r="I269" s="6">
        <v>97.36</v>
      </c>
      <c r="J269" s="6">
        <v>97.54</v>
      </c>
      <c r="K269" s="6">
        <v>97.47</v>
      </c>
      <c r="L269" s="6">
        <v>97.49</v>
      </c>
      <c r="M269" s="6">
        <v>97.54</v>
      </c>
      <c r="N269" s="6">
        <v>97.47</v>
      </c>
      <c r="O269" s="6">
        <v>97.49</v>
      </c>
      <c r="P269" s="6">
        <v>97.54</v>
      </c>
      <c r="Q269" s="6">
        <v>97.47</v>
      </c>
      <c r="R269" s="6">
        <v>97.49</v>
      </c>
    </row>
    <row r="270" spans="2:18">
      <c r="B270" s="6">
        <v>31216</v>
      </c>
      <c r="C270" s="6" t="s">
        <v>464</v>
      </c>
      <c r="D270" s="6">
        <v>0</v>
      </c>
      <c r="E270" s="6">
        <v>98.9</v>
      </c>
      <c r="F270" s="6">
        <v>99.26</v>
      </c>
      <c r="G270" s="6">
        <v>0</v>
      </c>
      <c r="H270" s="6">
        <v>98.9</v>
      </c>
      <c r="I270" s="6">
        <v>99.26</v>
      </c>
      <c r="J270" s="6">
        <v>0</v>
      </c>
      <c r="K270" s="6">
        <v>98.9</v>
      </c>
      <c r="L270" s="6">
        <v>99.26</v>
      </c>
      <c r="M270" s="6">
        <v>98.93</v>
      </c>
      <c r="N270" s="6">
        <v>99.01</v>
      </c>
      <c r="O270" s="6">
        <v>99.01</v>
      </c>
      <c r="P270" s="6">
        <v>99.05</v>
      </c>
      <c r="Q270" s="6">
        <v>99.16</v>
      </c>
      <c r="R270" s="6">
        <v>99.16</v>
      </c>
    </row>
    <row r="271" spans="2:18">
      <c r="B271" s="6">
        <v>31217</v>
      </c>
      <c r="C271" s="6" t="s">
        <v>494</v>
      </c>
      <c r="D271" s="6">
        <v>0</v>
      </c>
      <c r="E271" s="6">
        <v>96.43</v>
      </c>
      <c r="F271" s="6">
        <v>96.43</v>
      </c>
      <c r="G271" s="6">
        <v>98.7</v>
      </c>
      <c r="H271" s="6">
        <v>98.05</v>
      </c>
      <c r="I271" s="6">
        <v>97.81</v>
      </c>
      <c r="J271" s="6">
        <v>98.72</v>
      </c>
      <c r="K271" s="6">
        <v>98.41</v>
      </c>
      <c r="L271" s="6">
        <v>98.27</v>
      </c>
      <c r="M271" s="6">
        <v>98.62</v>
      </c>
      <c r="N271" s="6">
        <v>98.46</v>
      </c>
      <c r="O271" s="6">
        <v>98.28</v>
      </c>
      <c r="P271" s="6">
        <v>98.52</v>
      </c>
      <c r="Q271" s="6">
        <v>98.45</v>
      </c>
      <c r="R271" s="6">
        <v>98.28</v>
      </c>
    </row>
    <row r="272" spans="2:18">
      <c r="B272" s="6">
        <v>31217</v>
      </c>
      <c r="C272" s="6" t="s">
        <v>494</v>
      </c>
      <c r="D272" s="6">
        <v>0</v>
      </c>
      <c r="E272" s="6">
        <v>96.77</v>
      </c>
      <c r="F272" s="6">
        <v>96.77</v>
      </c>
      <c r="G272" s="6">
        <v>97.54</v>
      </c>
      <c r="H272" s="6">
        <v>97.44</v>
      </c>
      <c r="I272" s="6">
        <v>97.36</v>
      </c>
      <c r="J272" s="6">
        <v>97.54</v>
      </c>
      <c r="K272" s="6">
        <v>97.47</v>
      </c>
      <c r="L272" s="6">
        <v>97.49</v>
      </c>
      <c r="M272" s="6">
        <v>97.54</v>
      </c>
      <c r="N272" s="6">
        <v>97.47</v>
      </c>
      <c r="O272" s="6">
        <v>97.49</v>
      </c>
      <c r="P272" s="6">
        <v>97.54</v>
      </c>
      <c r="Q272" s="6">
        <v>97.47</v>
      </c>
      <c r="R272" s="6">
        <v>97.49</v>
      </c>
    </row>
    <row r="273" spans="2:18">
      <c r="B273" s="6">
        <v>31217</v>
      </c>
      <c r="C273" s="6" t="s">
        <v>494</v>
      </c>
      <c r="D273" s="6">
        <v>0</v>
      </c>
      <c r="E273" s="6">
        <v>93.33</v>
      </c>
      <c r="F273" s="6">
        <v>93.33</v>
      </c>
      <c r="G273" s="6">
        <v>0</v>
      </c>
      <c r="H273" s="6">
        <v>97.74</v>
      </c>
      <c r="I273" s="6">
        <v>97.38</v>
      </c>
      <c r="J273" s="6">
        <v>90.86</v>
      </c>
      <c r="K273" s="6">
        <v>96.97</v>
      </c>
      <c r="L273" s="6">
        <v>96.91</v>
      </c>
      <c r="M273" s="6">
        <v>98.71</v>
      </c>
      <c r="N273" s="6">
        <v>98.7</v>
      </c>
      <c r="O273" s="6">
        <v>98.68</v>
      </c>
      <c r="P273" s="6">
        <v>98.71</v>
      </c>
      <c r="Q273" s="6">
        <v>98.7</v>
      </c>
      <c r="R273" s="6">
        <v>98.68</v>
      </c>
    </row>
    <row r="274" spans="2:18">
      <c r="B274" s="6">
        <v>31243</v>
      </c>
      <c r="C274" s="6" t="s">
        <v>51</v>
      </c>
      <c r="D274" s="6">
        <v>98.7</v>
      </c>
      <c r="E274" s="6">
        <v>98.25</v>
      </c>
      <c r="F274" s="6">
        <v>97.78</v>
      </c>
      <c r="G274" s="6">
        <v>98.7</v>
      </c>
      <c r="H274" s="6">
        <v>98.05</v>
      </c>
      <c r="I274" s="6">
        <v>97.81</v>
      </c>
      <c r="J274" s="6">
        <v>98.72</v>
      </c>
      <c r="K274" s="6">
        <v>98.41</v>
      </c>
      <c r="L274" s="6">
        <v>98.27</v>
      </c>
      <c r="M274" s="6">
        <v>98.62</v>
      </c>
      <c r="N274" s="6">
        <v>98.46</v>
      </c>
      <c r="O274" s="6">
        <v>98.28</v>
      </c>
      <c r="P274" s="6">
        <v>98.52</v>
      </c>
      <c r="Q274" s="6">
        <v>98.45</v>
      </c>
      <c r="R274" s="6">
        <v>98.28</v>
      </c>
    </row>
    <row r="275" spans="2:18">
      <c r="B275" s="6">
        <v>31243</v>
      </c>
      <c r="C275" s="6" t="s">
        <v>51</v>
      </c>
      <c r="D275" s="6">
        <v>97.54</v>
      </c>
      <c r="E275" s="6">
        <v>97.47</v>
      </c>
      <c r="F275" s="6">
        <v>97.45</v>
      </c>
      <c r="G275" s="6">
        <v>97.54</v>
      </c>
      <c r="H275" s="6">
        <v>97.44</v>
      </c>
      <c r="I275" s="6">
        <v>97.36</v>
      </c>
      <c r="J275" s="6">
        <v>97.54</v>
      </c>
      <c r="K275" s="6">
        <v>97.47</v>
      </c>
      <c r="L275" s="6">
        <v>97.49</v>
      </c>
      <c r="M275" s="6">
        <v>97.54</v>
      </c>
      <c r="N275" s="6">
        <v>97.47</v>
      </c>
      <c r="O275" s="6">
        <v>97.49</v>
      </c>
      <c r="P275" s="6">
        <v>97.54</v>
      </c>
      <c r="Q275" s="6">
        <v>97.47</v>
      </c>
      <c r="R275" s="6">
        <v>97.49</v>
      </c>
    </row>
    <row r="276" spans="2:18">
      <c r="B276" s="6">
        <v>31243</v>
      </c>
      <c r="C276" s="6" t="s">
        <v>51</v>
      </c>
      <c r="D276" s="6">
        <v>98.79</v>
      </c>
      <c r="E276" s="6">
        <v>98.5</v>
      </c>
      <c r="F276" s="6">
        <v>98.52</v>
      </c>
      <c r="G276" s="6">
        <v>98.79</v>
      </c>
      <c r="H276" s="6">
        <v>97.24</v>
      </c>
      <c r="I276" s="6">
        <v>97.66</v>
      </c>
      <c r="J276" s="6">
        <v>98.79</v>
      </c>
      <c r="K276" s="6">
        <v>97.36</v>
      </c>
      <c r="L276" s="6">
        <v>97.73</v>
      </c>
      <c r="M276" s="6">
        <v>98.86</v>
      </c>
      <c r="N276" s="6">
        <v>98.82</v>
      </c>
      <c r="O276" s="6">
        <v>98.74</v>
      </c>
      <c r="P276" s="6">
        <v>98.83</v>
      </c>
      <c r="Q276" s="6">
        <v>98.81</v>
      </c>
      <c r="R276" s="6">
        <v>98.73</v>
      </c>
    </row>
    <row r="277" spans="2:18">
      <c r="B277" s="6">
        <v>31243</v>
      </c>
      <c r="C277" s="6" t="s">
        <v>51</v>
      </c>
      <c r="D277" s="6">
        <v>97.82</v>
      </c>
      <c r="E277" s="6">
        <v>97.41</v>
      </c>
      <c r="F277" s="6">
        <v>97.24</v>
      </c>
      <c r="G277" s="6">
        <v>97.82</v>
      </c>
      <c r="H277" s="6">
        <v>97.06</v>
      </c>
      <c r="I277" s="6">
        <v>97.04</v>
      </c>
      <c r="J277" s="6">
        <v>98.06</v>
      </c>
      <c r="K277" s="6">
        <v>97.67</v>
      </c>
      <c r="L277" s="6">
        <v>97.51</v>
      </c>
      <c r="M277" s="6">
        <v>98.02</v>
      </c>
      <c r="N277" s="6">
        <v>97.7</v>
      </c>
      <c r="O277" s="6">
        <v>97.61</v>
      </c>
      <c r="P277" s="6">
        <v>98.02</v>
      </c>
      <c r="Q277" s="6">
        <v>97.7</v>
      </c>
      <c r="R277" s="6">
        <v>97.61</v>
      </c>
    </row>
    <row r="278" spans="2:18">
      <c r="B278" s="6">
        <v>31244</v>
      </c>
      <c r="C278" s="6" t="s">
        <v>220</v>
      </c>
      <c r="D278" s="6">
        <v>98.75</v>
      </c>
      <c r="E278" s="6">
        <v>98.75</v>
      </c>
      <c r="F278" s="6">
        <v>98.18</v>
      </c>
      <c r="G278" s="6">
        <v>98.75</v>
      </c>
      <c r="H278" s="6">
        <v>98.75</v>
      </c>
      <c r="I278" s="6">
        <v>98.14</v>
      </c>
      <c r="J278" s="6">
        <v>98.75</v>
      </c>
      <c r="K278" s="6">
        <v>98.75</v>
      </c>
      <c r="L278" s="6">
        <v>98.14</v>
      </c>
      <c r="M278" s="6">
        <v>98.75</v>
      </c>
      <c r="N278" s="6">
        <v>98.75</v>
      </c>
      <c r="O278" s="6">
        <v>98.14</v>
      </c>
      <c r="P278" s="6">
        <v>96.61</v>
      </c>
      <c r="Q278" s="6">
        <v>97.38</v>
      </c>
      <c r="R278" s="6">
        <v>96.74</v>
      </c>
    </row>
    <row r="279" spans="2:18">
      <c r="B279" s="6">
        <v>31332</v>
      </c>
      <c r="C279" s="6" t="s">
        <v>1019</v>
      </c>
      <c r="D279" s="6">
        <v>0</v>
      </c>
      <c r="E279" s="6">
        <v>0</v>
      </c>
      <c r="F279" s="6">
        <v>98.33</v>
      </c>
      <c r="G279" s="6">
        <v>98.77</v>
      </c>
      <c r="H279" s="6">
        <v>98.55</v>
      </c>
      <c r="I279" s="6">
        <v>98.72</v>
      </c>
      <c r="J279" s="6">
        <v>98.23</v>
      </c>
      <c r="K279" s="6">
        <v>98.19</v>
      </c>
      <c r="L279" s="6">
        <v>98.1</v>
      </c>
      <c r="M279" s="6">
        <v>98.23</v>
      </c>
      <c r="N279" s="6">
        <v>98.19</v>
      </c>
      <c r="O279" s="6">
        <v>98.1</v>
      </c>
      <c r="P279" s="6">
        <v>98.04</v>
      </c>
      <c r="Q279" s="6">
        <v>98.09</v>
      </c>
      <c r="R279" s="6">
        <v>97.91</v>
      </c>
    </row>
    <row r="280" spans="2:18">
      <c r="B280" s="6">
        <v>31332</v>
      </c>
      <c r="C280" s="6" t="s">
        <v>1019</v>
      </c>
      <c r="D280" s="6">
        <v>0</v>
      </c>
      <c r="E280" s="6">
        <v>0</v>
      </c>
      <c r="F280" s="6">
        <v>98.36</v>
      </c>
      <c r="G280" s="6">
        <v>99.43</v>
      </c>
      <c r="H280" s="6">
        <v>99.52</v>
      </c>
      <c r="I280" s="6">
        <v>99.53</v>
      </c>
      <c r="J280" s="6">
        <v>99.26</v>
      </c>
      <c r="K280" s="6">
        <v>99.39</v>
      </c>
      <c r="L280" s="6">
        <v>99.39</v>
      </c>
      <c r="M280" s="6">
        <v>99.26</v>
      </c>
      <c r="N280" s="6">
        <v>99.39</v>
      </c>
      <c r="O280" s="6">
        <v>99.39</v>
      </c>
      <c r="P280" s="6">
        <v>99.26</v>
      </c>
      <c r="Q280" s="6">
        <v>99.39</v>
      </c>
      <c r="R280" s="6">
        <v>99.39</v>
      </c>
    </row>
    <row r="281" spans="2:18">
      <c r="B281" s="6">
        <v>31361</v>
      </c>
      <c r="C281" s="6" t="s">
        <v>110</v>
      </c>
      <c r="D281" s="6">
        <v>98.53</v>
      </c>
      <c r="E281" s="6">
        <v>98.55</v>
      </c>
      <c r="F281" s="6">
        <v>98.32</v>
      </c>
      <c r="G281" s="6">
        <v>98.71</v>
      </c>
      <c r="H281" s="6">
        <v>98.48</v>
      </c>
      <c r="I281" s="6">
        <v>98.36</v>
      </c>
      <c r="J281" s="6">
        <v>98.64</v>
      </c>
      <c r="K281" s="6">
        <v>98.48</v>
      </c>
      <c r="L281" s="6">
        <v>98.3</v>
      </c>
      <c r="M281" s="6">
        <v>98.62</v>
      </c>
      <c r="N281" s="6">
        <v>98.46</v>
      </c>
      <c r="O281" s="6">
        <v>98.28</v>
      </c>
      <c r="P281" s="6">
        <v>98.52</v>
      </c>
      <c r="Q281" s="6">
        <v>98.45</v>
      </c>
      <c r="R281" s="6">
        <v>98.28</v>
      </c>
    </row>
    <row r="282" spans="2:18">
      <c r="B282" s="6">
        <v>31361</v>
      </c>
      <c r="C282" s="6" t="s">
        <v>110</v>
      </c>
      <c r="D282" s="6">
        <v>98.77</v>
      </c>
      <c r="E282" s="6">
        <v>98.78</v>
      </c>
      <c r="F282" s="6">
        <v>98.35</v>
      </c>
      <c r="G282" s="6">
        <v>98.91</v>
      </c>
      <c r="H282" s="6">
        <v>98.92</v>
      </c>
      <c r="I282" s="6">
        <v>98.82</v>
      </c>
      <c r="J282" s="6">
        <v>98.86</v>
      </c>
      <c r="K282" s="6">
        <v>98.85</v>
      </c>
      <c r="L282" s="6">
        <v>98.75</v>
      </c>
      <c r="M282" s="6">
        <v>98.86</v>
      </c>
      <c r="N282" s="6">
        <v>98.82</v>
      </c>
      <c r="O282" s="6">
        <v>98.74</v>
      </c>
      <c r="P282" s="6">
        <v>98.83</v>
      </c>
      <c r="Q282" s="6">
        <v>98.81</v>
      </c>
      <c r="R282" s="6">
        <v>98.73</v>
      </c>
    </row>
    <row r="283" spans="2:18">
      <c r="B283" s="6">
        <v>31361</v>
      </c>
      <c r="C283" s="6" t="s">
        <v>110</v>
      </c>
      <c r="D283" s="6">
        <v>98.3</v>
      </c>
      <c r="E283" s="6">
        <v>98.18</v>
      </c>
      <c r="F283" s="6">
        <v>98.04</v>
      </c>
      <c r="G283" s="6">
        <v>98.03</v>
      </c>
      <c r="H283" s="6">
        <v>98.12</v>
      </c>
      <c r="I283" s="6">
        <v>98.05</v>
      </c>
      <c r="J283" s="6">
        <v>97.72</v>
      </c>
      <c r="K283" s="6">
        <v>97.84</v>
      </c>
      <c r="L283" s="6">
        <v>97.75</v>
      </c>
      <c r="M283" s="6">
        <v>97.72</v>
      </c>
      <c r="N283" s="6">
        <v>97.83</v>
      </c>
      <c r="O283" s="6">
        <v>97.74</v>
      </c>
      <c r="P283" s="6">
        <v>97.73</v>
      </c>
      <c r="Q283" s="6">
        <v>97.84</v>
      </c>
      <c r="R283" s="6">
        <v>97.75</v>
      </c>
    </row>
    <row r="284" spans="2:18">
      <c r="B284" s="6">
        <v>31361</v>
      </c>
      <c r="C284" s="6" t="s">
        <v>110</v>
      </c>
      <c r="D284" s="6">
        <v>98.04</v>
      </c>
      <c r="E284" s="6">
        <v>98</v>
      </c>
      <c r="F284" s="6">
        <v>97.48</v>
      </c>
      <c r="G284" s="6">
        <v>98.04</v>
      </c>
      <c r="H284" s="6">
        <v>97.78</v>
      </c>
      <c r="I284" s="6">
        <v>97.69</v>
      </c>
      <c r="J284" s="6">
        <v>98.01</v>
      </c>
      <c r="K284" s="6">
        <v>97.7</v>
      </c>
      <c r="L284" s="6">
        <v>97.61</v>
      </c>
      <c r="M284" s="6">
        <v>98.02</v>
      </c>
      <c r="N284" s="6">
        <v>97.7</v>
      </c>
      <c r="O284" s="6">
        <v>97.61</v>
      </c>
      <c r="P284" s="6">
        <v>98.02</v>
      </c>
      <c r="Q284" s="6">
        <v>97.7</v>
      </c>
      <c r="R284" s="6">
        <v>97.61</v>
      </c>
    </row>
    <row r="285" spans="2:18">
      <c r="B285" s="6">
        <v>31362</v>
      </c>
      <c r="C285" s="6" t="s">
        <v>111</v>
      </c>
      <c r="D285" s="6">
        <v>98.78</v>
      </c>
      <c r="E285" s="6">
        <v>98.09</v>
      </c>
      <c r="F285" s="6">
        <v>98.25</v>
      </c>
      <c r="G285" s="6">
        <v>98.74</v>
      </c>
      <c r="H285" s="6">
        <v>98.55</v>
      </c>
      <c r="I285" s="6">
        <v>98.22</v>
      </c>
      <c r="J285" s="6">
        <v>98.64</v>
      </c>
      <c r="K285" s="6">
        <v>98.48</v>
      </c>
      <c r="L285" s="6">
        <v>98.3</v>
      </c>
      <c r="M285" s="6">
        <v>98.62</v>
      </c>
      <c r="N285" s="6">
        <v>98.46</v>
      </c>
      <c r="O285" s="6">
        <v>98.28</v>
      </c>
      <c r="P285" s="6">
        <v>98.52</v>
      </c>
      <c r="Q285" s="6">
        <v>98.45</v>
      </c>
      <c r="R285" s="6">
        <v>98.28</v>
      </c>
    </row>
    <row r="286" spans="2:18">
      <c r="B286" s="6">
        <v>31362</v>
      </c>
      <c r="C286" s="6" t="s">
        <v>111</v>
      </c>
      <c r="D286" s="6">
        <v>98.11</v>
      </c>
      <c r="E286" s="6">
        <v>98.16</v>
      </c>
      <c r="F286" s="6">
        <v>98.39</v>
      </c>
      <c r="G286" s="6">
        <v>98.78</v>
      </c>
      <c r="H286" s="6">
        <v>98.67</v>
      </c>
      <c r="I286" s="6">
        <v>98.6</v>
      </c>
      <c r="J286" s="6">
        <v>98.77</v>
      </c>
      <c r="K286" s="6">
        <v>98.75</v>
      </c>
      <c r="L286" s="6">
        <v>98.72</v>
      </c>
      <c r="M286" s="6">
        <v>98.71</v>
      </c>
      <c r="N286" s="6">
        <v>98.7</v>
      </c>
      <c r="O286" s="6">
        <v>98.68</v>
      </c>
      <c r="P286" s="6">
        <v>98.71</v>
      </c>
      <c r="Q286" s="6">
        <v>98.7</v>
      </c>
      <c r="R286" s="6">
        <v>98.68</v>
      </c>
    </row>
    <row r="287" spans="2:18">
      <c r="B287" s="6">
        <v>31362</v>
      </c>
      <c r="C287" s="6" t="s">
        <v>111</v>
      </c>
      <c r="D287" s="6">
        <v>97.18</v>
      </c>
      <c r="E287" s="6">
        <v>97.18</v>
      </c>
      <c r="F287" s="6">
        <v>96.97</v>
      </c>
      <c r="G287" s="6">
        <v>97.49</v>
      </c>
      <c r="H287" s="6">
        <v>97.66</v>
      </c>
      <c r="I287" s="6">
        <v>97.52</v>
      </c>
      <c r="J287" s="6">
        <v>97.72</v>
      </c>
      <c r="K287" s="6">
        <v>97.84</v>
      </c>
      <c r="L287" s="6">
        <v>97.75</v>
      </c>
      <c r="M287" s="6">
        <v>97.72</v>
      </c>
      <c r="N287" s="6">
        <v>97.83</v>
      </c>
      <c r="O287" s="6">
        <v>97.74</v>
      </c>
      <c r="P287" s="6">
        <v>97.73</v>
      </c>
      <c r="Q287" s="6">
        <v>97.84</v>
      </c>
      <c r="R287" s="6">
        <v>97.75</v>
      </c>
    </row>
    <row r="288" spans="2:18">
      <c r="B288" s="6">
        <v>31362</v>
      </c>
      <c r="C288" s="6" t="s">
        <v>111</v>
      </c>
      <c r="D288" s="6">
        <v>98.19</v>
      </c>
      <c r="E288" s="6">
        <v>97.19</v>
      </c>
      <c r="F288" s="6">
        <v>97.7</v>
      </c>
      <c r="G288" s="6">
        <v>98.15</v>
      </c>
      <c r="H288" s="6">
        <v>97.53</v>
      </c>
      <c r="I288" s="6">
        <v>97.49</v>
      </c>
      <c r="J288" s="6">
        <v>98.01</v>
      </c>
      <c r="K288" s="6">
        <v>97.7</v>
      </c>
      <c r="L288" s="6">
        <v>97.61</v>
      </c>
      <c r="M288" s="6">
        <v>98.02</v>
      </c>
      <c r="N288" s="6">
        <v>97.7</v>
      </c>
      <c r="O288" s="6">
        <v>97.61</v>
      </c>
      <c r="P288" s="6">
        <v>98.02</v>
      </c>
      <c r="Q288" s="6">
        <v>97.7</v>
      </c>
      <c r="R288" s="6">
        <v>97.61</v>
      </c>
    </row>
    <row r="289" spans="2:18">
      <c r="B289" s="6">
        <v>31363</v>
      </c>
      <c r="C289" s="6" t="s">
        <v>112</v>
      </c>
      <c r="D289" s="6">
        <v>98.44</v>
      </c>
      <c r="E289" s="6">
        <v>98.21</v>
      </c>
      <c r="F289" s="6">
        <v>97.1</v>
      </c>
      <c r="G289" s="6">
        <v>98.48</v>
      </c>
      <c r="H289" s="6">
        <v>98.4</v>
      </c>
      <c r="I289" s="6">
        <v>98.25</v>
      </c>
      <c r="J289" s="6">
        <v>98.64</v>
      </c>
      <c r="K289" s="6">
        <v>98.48</v>
      </c>
      <c r="L289" s="6">
        <v>98.3</v>
      </c>
      <c r="M289" s="6">
        <v>98.62</v>
      </c>
      <c r="N289" s="6">
        <v>98.46</v>
      </c>
      <c r="O289" s="6">
        <v>98.28</v>
      </c>
      <c r="P289" s="6">
        <v>98.52</v>
      </c>
      <c r="Q289" s="6">
        <v>98.45</v>
      </c>
      <c r="R289" s="6">
        <v>98.28</v>
      </c>
    </row>
    <row r="290" spans="2:18">
      <c r="B290" s="6">
        <v>31363</v>
      </c>
      <c r="C290" s="6" t="s">
        <v>112</v>
      </c>
      <c r="D290" s="6">
        <v>98.58</v>
      </c>
      <c r="E290" s="6">
        <v>98.63</v>
      </c>
      <c r="F290" s="6">
        <v>98.59</v>
      </c>
      <c r="G290" s="6">
        <v>98.72</v>
      </c>
      <c r="H290" s="6">
        <v>98.71</v>
      </c>
      <c r="I290" s="6">
        <v>98.75</v>
      </c>
      <c r="J290" s="6">
        <v>98.77</v>
      </c>
      <c r="K290" s="6">
        <v>98.75</v>
      </c>
      <c r="L290" s="6">
        <v>98.72</v>
      </c>
      <c r="M290" s="6">
        <v>98.71</v>
      </c>
      <c r="N290" s="6">
        <v>98.7</v>
      </c>
      <c r="O290" s="6">
        <v>98.68</v>
      </c>
      <c r="P290" s="6">
        <v>98.71</v>
      </c>
      <c r="Q290" s="6">
        <v>98.7</v>
      </c>
      <c r="R290" s="6">
        <v>98.68</v>
      </c>
    </row>
    <row r="291" spans="2:18">
      <c r="B291" s="6">
        <v>31363</v>
      </c>
      <c r="C291" s="6" t="s">
        <v>112</v>
      </c>
      <c r="D291" s="6">
        <v>97.63</v>
      </c>
      <c r="E291" s="6">
        <v>96.06</v>
      </c>
      <c r="F291" s="6">
        <v>95.83</v>
      </c>
      <c r="G291" s="6">
        <v>97.43</v>
      </c>
      <c r="H291" s="6">
        <v>97.49</v>
      </c>
      <c r="I291" s="6">
        <v>97.36</v>
      </c>
      <c r="J291" s="6">
        <v>97.72</v>
      </c>
      <c r="K291" s="6">
        <v>97.84</v>
      </c>
      <c r="L291" s="6">
        <v>97.75</v>
      </c>
      <c r="M291" s="6">
        <v>97.72</v>
      </c>
      <c r="N291" s="6">
        <v>97.83</v>
      </c>
      <c r="O291" s="6">
        <v>97.74</v>
      </c>
      <c r="P291" s="6">
        <v>97.73</v>
      </c>
      <c r="Q291" s="6">
        <v>97.84</v>
      </c>
      <c r="R291" s="6">
        <v>97.75</v>
      </c>
    </row>
    <row r="292" spans="2:18">
      <c r="B292" s="6">
        <v>31363</v>
      </c>
      <c r="C292" s="6" t="s">
        <v>112</v>
      </c>
      <c r="D292" s="6">
        <v>98.37</v>
      </c>
      <c r="E292" s="6">
        <v>97.68</v>
      </c>
      <c r="F292" s="6">
        <v>97.69</v>
      </c>
      <c r="G292" s="6">
        <v>97.88</v>
      </c>
      <c r="H292" s="6">
        <v>97.7</v>
      </c>
      <c r="I292" s="6">
        <v>97.56</v>
      </c>
      <c r="J292" s="6">
        <v>98.01</v>
      </c>
      <c r="K292" s="6">
        <v>97.7</v>
      </c>
      <c r="L292" s="6">
        <v>97.61</v>
      </c>
      <c r="M292" s="6">
        <v>98.02</v>
      </c>
      <c r="N292" s="6">
        <v>97.7</v>
      </c>
      <c r="O292" s="6">
        <v>97.61</v>
      </c>
      <c r="P292" s="6">
        <v>98.02</v>
      </c>
      <c r="Q292" s="6">
        <v>97.7</v>
      </c>
      <c r="R292" s="6">
        <v>97.61</v>
      </c>
    </row>
    <row r="293" spans="2:18">
      <c r="B293" s="6">
        <v>31380</v>
      </c>
      <c r="C293" s="6" t="s">
        <v>1096</v>
      </c>
      <c r="D293" s="6">
        <v>0</v>
      </c>
      <c r="E293" s="6">
        <v>0</v>
      </c>
      <c r="F293" s="6">
        <v>98.58</v>
      </c>
      <c r="G293" s="6">
        <v>98.71</v>
      </c>
      <c r="H293" s="6">
        <v>98.48</v>
      </c>
      <c r="I293" s="6">
        <v>98.36</v>
      </c>
      <c r="J293" s="6">
        <v>98.64</v>
      </c>
      <c r="K293" s="6">
        <v>98.48</v>
      </c>
      <c r="L293" s="6">
        <v>98.3</v>
      </c>
      <c r="M293" s="6">
        <v>98.62</v>
      </c>
      <c r="N293" s="6">
        <v>98.46</v>
      </c>
      <c r="O293" s="6">
        <v>98.28</v>
      </c>
      <c r="P293" s="6">
        <v>98.52</v>
      </c>
      <c r="Q293" s="6">
        <v>98.45</v>
      </c>
      <c r="R293" s="6">
        <v>98.28</v>
      </c>
    </row>
    <row r="294" spans="2:18">
      <c r="B294" s="6">
        <v>31380</v>
      </c>
      <c r="C294" s="6" t="s">
        <v>1096</v>
      </c>
      <c r="D294" s="6">
        <v>0</v>
      </c>
      <c r="E294" s="6">
        <v>0</v>
      </c>
      <c r="F294" s="6">
        <v>98.6</v>
      </c>
      <c r="G294" s="6">
        <v>98.91</v>
      </c>
      <c r="H294" s="6">
        <v>98.92</v>
      </c>
      <c r="I294" s="6">
        <v>98.82</v>
      </c>
      <c r="J294" s="6">
        <v>98.86</v>
      </c>
      <c r="K294" s="6">
        <v>98.85</v>
      </c>
      <c r="L294" s="6">
        <v>98.75</v>
      </c>
      <c r="M294" s="6">
        <v>98.86</v>
      </c>
      <c r="N294" s="6">
        <v>98.82</v>
      </c>
      <c r="O294" s="6">
        <v>98.74</v>
      </c>
      <c r="P294" s="6">
        <v>98.83</v>
      </c>
      <c r="Q294" s="6">
        <v>98.81</v>
      </c>
      <c r="R294" s="6">
        <v>98.73</v>
      </c>
    </row>
    <row r="295" spans="2:18">
      <c r="B295" s="6">
        <v>31380</v>
      </c>
      <c r="C295" s="6" t="s">
        <v>1096</v>
      </c>
      <c r="D295" s="6">
        <v>0</v>
      </c>
      <c r="E295" s="6">
        <v>0</v>
      </c>
      <c r="F295" s="6">
        <v>97.27</v>
      </c>
      <c r="G295" s="6">
        <v>98.03</v>
      </c>
      <c r="H295" s="6">
        <v>98.12</v>
      </c>
      <c r="I295" s="6">
        <v>98.05</v>
      </c>
      <c r="J295" s="6">
        <v>97.72</v>
      </c>
      <c r="K295" s="6">
        <v>97.84</v>
      </c>
      <c r="L295" s="6">
        <v>97.75</v>
      </c>
      <c r="M295" s="6">
        <v>97.72</v>
      </c>
      <c r="N295" s="6">
        <v>97.83</v>
      </c>
      <c r="O295" s="6">
        <v>97.74</v>
      </c>
      <c r="P295" s="6">
        <v>97.73</v>
      </c>
      <c r="Q295" s="6">
        <v>97.84</v>
      </c>
      <c r="R295" s="6">
        <v>97.75</v>
      </c>
    </row>
    <row r="296" spans="2:18">
      <c r="B296" s="6">
        <v>31380</v>
      </c>
      <c r="C296" s="6" t="s">
        <v>1096</v>
      </c>
      <c r="D296" s="6">
        <v>0</v>
      </c>
      <c r="E296" s="6">
        <v>0</v>
      </c>
      <c r="F296" s="6">
        <v>96.93</v>
      </c>
      <c r="G296" s="6">
        <v>98.04</v>
      </c>
      <c r="H296" s="6">
        <v>97.78</v>
      </c>
      <c r="I296" s="6">
        <v>97.69</v>
      </c>
      <c r="J296" s="6">
        <v>98.01</v>
      </c>
      <c r="K296" s="6">
        <v>97.7</v>
      </c>
      <c r="L296" s="6">
        <v>97.61</v>
      </c>
      <c r="M296" s="6">
        <v>98.02</v>
      </c>
      <c r="N296" s="6">
        <v>97.7</v>
      </c>
      <c r="O296" s="6">
        <v>97.61</v>
      </c>
      <c r="P296" s="6">
        <v>98.02</v>
      </c>
      <c r="Q296" s="6">
        <v>97.7</v>
      </c>
      <c r="R296" s="6">
        <v>97.61</v>
      </c>
    </row>
    <row r="297" spans="2:18">
      <c r="B297" s="6">
        <v>31381</v>
      </c>
      <c r="C297" s="6" t="s">
        <v>113</v>
      </c>
      <c r="D297" s="6">
        <v>99.04</v>
      </c>
      <c r="E297" s="6">
        <v>99.47</v>
      </c>
      <c r="F297" s="6">
        <v>97.51</v>
      </c>
      <c r="G297" s="6">
        <v>98.71</v>
      </c>
      <c r="H297" s="6">
        <v>98.48</v>
      </c>
      <c r="I297" s="6">
        <v>98.36</v>
      </c>
      <c r="J297" s="6">
        <v>98.64</v>
      </c>
      <c r="K297" s="6">
        <v>98.48</v>
      </c>
      <c r="L297" s="6">
        <v>98.3</v>
      </c>
      <c r="M297" s="6">
        <v>98.62</v>
      </c>
      <c r="N297" s="6">
        <v>98.46</v>
      </c>
      <c r="O297" s="6">
        <v>98.28</v>
      </c>
      <c r="P297" s="6">
        <v>98.52</v>
      </c>
      <c r="Q297" s="6">
        <v>98.45</v>
      </c>
      <c r="R297" s="6">
        <v>98.28</v>
      </c>
    </row>
    <row r="298" spans="2:18">
      <c r="B298" s="6">
        <v>31381</v>
      </c>
      <c r="C298" s="6" t="s">
        <v>113</v>
      </c>
      <c r="D298" s="6">
        <v>99.05</v>
      </c>
      <c r="E298" s="6">
        <v>99.47</v>
      </c>
      <c r="F298" s="6">
        <v>99.2</v>
      </c>
      <c r="G298" s="6">
        <v>98.91</v>
      </c>
      <c r="H298" s="6">
        <v>98.92</v>
      </c>
      <c r="I298" s="6">
        <v>98.82</v>
      </c>
      <c r="J298" s="6">
        <v>98.86</v>
      </c>
      <c r="K298" s="6">
        <v>98.85</v>
      </c>
      <c r="L298" s="6">
        <v>98.75</v>
      </c>
      <c r="M298" s="6">
        <v>98.86</v>
      </c>
      <c r="N298" s="6">
        <v>98.82</v>
      </c>
      <c r="O298" s="6">
        <v>98.74</v>
      </c>
      <c r="P298" s="6">
        <v>98.83</v>
      </c>
      <c r="Q298" s="6">
        <v>98.81</v>
      </c>
      <c r="R298" s="6">
        <v>98.73</v>
      </c>
    </row>
    <row r="299" spans="2:18">
      <c r="B299" s="6">
        <v>31381</v>
      </c>
      <c r="C299" s="6" t="s">
        <v>113</v>
      </c>
      <c r="D299" s="6">
        <v>97.67</v>
      </c>
      <c r="E299" s="6">
        <v>97.43</v>
      </c>
      <c r="F299" s="6">
        <v>98.34</v>
      </c>
      <c r="G299" s="6">
        <v>98.03</v>
      </c>
      <c r="H299" s="6">
        <v>98.12</v>
      </c>
      <c r="I299" s="6">
        <v>98.05</v>
      </c>
      <c r="J299" s="6">
        <v>97.72</v>
      </c>
      <c r="K299" s="6">
        <v>97.84</v>
      </c>
      <c r="L299" s="6">
        <v>97.75</v>
      </c>
      <c r="M299" s="6">
        <v>97.72</v>
      </c>
      <c r="N299" s="6">
        <v>97.83</v>
      </c>
      <c r="O299" s="6">
        <v>97.74</v>
      </c>
      <c r="P299" s="6">
        <v>97.73</v>
      </c>
      <c r="Q299" s="6">
        <v>97.84</v>
      </c>
      <c r="R299" s="6">
        <v>97.75</v>
      </c>
    </row>
    <row r="300" spans="2:18">
      <c r="B300" s="6">
        <v>31381</v>
      </c>
      <c r="C300" s="6" t="s">
        <v>113</v>
      </c>
      <c r="D300" s="6">
        <v>98.06</v>
      </c>
      <c r="E300" s="6">
        <v>98.93</v>
      </c>
      <c r="F300" s="6">
        <v>98.23</v>
      </c>
      <c r="G300" s="6">
        <v>98.04</v>
      </c>
      <c r="H300" s="6">
        <v>97.78</v>
      </c>
      <c r="I300" s="6">
        <v>97.69</v>
      </c>
      <c r="J300" s="6">
        <v>98.01</v>
      </c>
      <c r="K300" s="6">
        <v>97.7</v>
      </c>
      <c r="L300" s="6">
        <v>97.61</v>
      </c>
      <c r="M300" s="6">
        <v>98.02</v>
      </c>
      <c r="N300" s="6">
        <v>97.7</v>
      </c>
      <c r="O300" s="6">
        <v>97.61</v>
      </c>
      <c r="P300" s="6">
        <v>98.02</v>
      </c>
      <c r="Q300" s="6">
        <v>97.7</v>
      </c>
      <c r="R300" s="6">
        <v>97.61</v>
      </c>
    </row>
    <row r="301" spans="2:18">
      <c r="B301" s="6">
        <v>31382</v>
      </c>
      <c r="C301" s="6" t="s">
        <v>114</v>
      </c>
      <c r="D301" s="6">
        <v>100</v>
      </c>
      <c r="E301" s="6">
        <v>98.79</v>
      </c>
      <c r="F301" s="6">
        <v>98.3</v>
      </c>
      <c r="G301" s="6">
        <v>98.71</v>
      </c>
      <c r="H301" s="6">
        <v>98.48</v>
      </c>
      <c r="I301" s="6">
        <v>98.36</v>
      </c>
      <c r="J301" s="6">
        <v>98.64</v>
      </c>
      <c r="K301" s="6">
        <v>98.48</v>
      </c>
      <c r="L301" s="6">
        <v>98.3</v>
      </c>
      <c r="M301" s="6">
        <v>98.62</v>
      </c>
      <c r="N301" s="6">
        <v>98.46</v>
      </c>
      <c r="O301" s="6">
        <v>98.28</v>
      </c>
      <c r="P301" s="6">
        <v>98.52</v>
      </c>
      <c r="Q301" s="6">
        <v>98.45</v>
      </c>
      <c r="R301" s="6">
        <v>98.28</v>
      </c>
    </row>
    <row r="302" spans="2:18">
      <c r="B302" s="6">
        <v>31382</v>
      </c>
      <c r="C302" s="6" t="s">
        <v>114</v>
      </c>
      <c r="D302" s="6">
        <v>100</v>
      </c>
      <c r="E302" s="6">
        <v>98.81</v>
      </c>
      <c r="F302" s="6">
        <v>99.25</v>
      </c>
      <c r="G302" s="6">
        <v>98.91</v>
      </c>
      <c r="H302" s="6">
        <v>98.92</v>
      </c>
      <c r="I302" s="6">
        <v>98.82</v>
      </c>
      <c r="J302" s="6">
        <v>98.86</v>
      </c>
      <c r="K302" s="6">
        <v>98.85</v>
      </c>
      <c r="L302" s="6">
        <v>98.75</v>
      </c>
      <c r="M302" s="6">
        <v>98.86</v>
      </c>
      <c r="N302" s="6">
        <v>98.82</v>
      </c>
      <c r="O302" s="6">
        <v>98.74</v>
      </c>
      <c r="P302" s="6">
        <v>98.83</v>
      </c>
      <c r="Q302" s="6">
        <v>98.81</v>
      </c>
      <c r="R302" s="6">
        <v>98.73</v>
      </c>
    </row>
    <row r="303" spans="2:18">
      <c r="B303" s="6">
        <v>31382</v>
      </c>
      <c r="C303" s="6" t="s">
        <v>114</v>
      </c>
      <c r="D303" s="6">
        <v>95.08</v>
      </c>
      <c r="E303" s="6">
        <v>96.54</v>
      </c>
      <c r="F303" s="6">
        <v>97.38</v>
      </c>
      <c r="G303" s="6">
        <v>98.03</v>
      </c>
      <c r="H303" s="6">
        <v>98.12</v>
      </c>
      <c r="I303" s="6">
        <v>98.05</v>
      </c>
      <c r="J303" s="6">
        <v>97.72</v>
      </c>
      <c r="K303" s="6">
        <v>97.84</v>
      </c>
      <c r="L303" s="6">
        <v>97.75</v>
      </c>
      <c r="M303" s="6">
        <v>97.72</v>
      </c>
      <c r="N303" s="6">
        <v>97.83</v>
      </c>
      <c r="O303" s="6">
        <v>97.74</v>
      </c>
      <c r="P303" s="6">
        <v>97.73</v>
      </c>
      <c r="Q303" s="6">
        <v>97.84</v>
      </c>
      <c r="R303" s="6">
        <v>97.75</v>
      </c>
    </row>
    <row r="304" spans="2:18">
      <c r="B304" s="6">
        <v>31382</v>
      </c>
      <c r="C304" s="6" t="s">
        <v>114</v>
      </c>
      <c r="D304" s="6">
        <v>100</v>
      </c>
      <c r="E304" s="6">
        <v>98.78</v>
      </c>
      <c r="F304" s="6">
        <v>98.14</v>
      </c>
      <c r="G304" s="6">
        <v>98.04</v>
      </c>
      <c r="H304" s="6">
        <v>97.78</v>
      </c>
      <c r="I304" s="6">
        <v>97.69</v>
      </c>
      <c r="J304" s="6">
        <v>98.01</v>
      </c>
      <c r="K304" s="6">
        <v>97.7</v>
      </c>
      <c r="L304" s="6">
        <v>97.61</v>
      </c>
      <c r="M304" s="6">
        <v>98.02</v>
      </c>
      <c r="N304" s="6">
        <v>97.7</v>
      </c>
      <c r="O304" s="6">
        <v>97.61</v>
      </c>
      <c r="P304" s="6">
        <v>98.02</v>
      </c>
      <c r="Q304" s="6">
        <v>97.7</v>
      </c>
      <c r="R304" s="6">
        <v>97.61</v>
      </c>
    </row>
    <row r="305" spans="2:18">
      <c r="B305" s="6">
        <v>31383</v>
      </c>
      <c r="C305" s="6" t="s">
        <v>115</v>
      </c>
      <c r="D305" s="6">
        <v>98.78</v>
      </c>
      <c r="E305" s="6">
        <v>98.78</v>
      </c>
      <c r="F305" s="6">
        <v>98.73</v>
      </c>
      <c r="G305" s="6">
        <v>98.71</v>
      </c>
      <c r="H305" s="6">
        <v>98.48</v>
      </c>
      <c r="I305" s="6">
        <v>98.36</v>
      </c>
      <c r="J305" s="6">
        <v>98.64</v>
      </c>
      <c r="K305" s="6">
        <v>98.48</v>
      </c>
      <c r="L305" s="6">
        <v>98.3</v>
      </c>
      <c r="M305" s="6">
        <v>98.62</v>
      </c>
      <c r="N305" s="6">
        <v>98.46</v>
      </c>
      <c r="O305" s="6">
        <v>98.28</v>
      </c>
      <c r="P305" s="6">
        <v>98.52</v>
      </c>
      <c r="Q305" s="6">
        <v>98.45</v>
      </c>
      <c r="R305" s="6">
        <v>98.28</v>
      </c>
    </row>
    <row r="306" spans="2:18">
      <c r="B306" s="6">
        <v>31383</v>
      </c>
      <c r="C306" s="6" t="s">
        <v>115</v>
      </c>
      <c r="D306" s="6">
        <v>98.79</v>
      </c>
      <c r="E306" s="6">
        <v>98.79</v>
      </c>
      <c r="F306" s="6">
        <v>98.87</v>
      </c>
      <c r="G306" s="6">
        <v>98.91</v>
      </c>
      <c r="H306" s="6">
        <v>98.92</v>
      </c>
      <c r="I306" s="6">
        <v>98.82</v>
      </c>
      <c r="J306" s="6">
        <v>98.86</v>
      </c>
      <c r="K306" s="6">
        <v>98.85</v>
      </c>
      <c r="L306" s="6">
        <v>98.75</v>
      </c>
      <c r="M306" s="6">
        <v>98.86</v>
      </c>
      <c r="N306" s="6">
        <v>98.82</v>
      </c>
      <c r="O306" s="6">
        <v>98.74</v>
      </c>
      <c r="P306" s="6">
        <v>98.83</v>
      </c>
      <c r="Q306" s="6">
        <v>98.81</v>
      </c>
      <c r="R306" s="6">
        <v>98.73</v>
      </c>
    </row>
    <row r="307" spans="2:18">
      <c r="B307" s="6">
        <v>31383</v>
      </c>
      <c r="C307" s="6" t="s">
        <v>115</v>
      </c>
      <c r="D307" s="6">
        <v>97.21</v>
      </c>
      <c r="E307" s="6">
        <v>97.21</v>
      </c>
      <c r="F307" s="6">
        <v>97.15</v>
      </c>
      <c r="G307" s="6">
        <v>98.03</v>
      </c>
      <c r="H307" s="6">
        <v>98.12</v>
      </c>
      <c r="I307" s="6">
        <v>98.05</v>
      </c>
      <c r="J307" s="6">
        <v>97.72</v>
      </c>
      <c r="K307" s="6">
        <v>97.84</v>
      </c>
      <c r="L307" s="6">
        <v>97.75</v>
      </c>
      <c r="M307" s="6">
        <v>97.72</v>
      </c>
      <c r="N307" s="6">
        <v>97.83</v>
      </c>
      <c r="O307" s="6">
        <v>97.74</v>
      </c>
      <c r="P307" s="6">
        <v>97.73</v>
      </c>
      <c r="Q307" s="6">
        <v>97.84</v>
      </c>
      <c r="R307" s="6">
        <v>97.75</v>
      </c>
    </row>
    <row r="308" spans="2:18">
      <c r="B308" s="6">
        <v>31383</v>
      </c>
      <c r="C308" s="6" t="s">
        <v>115</v>
      </c>
      <c r="D308" s="6">
        <v>98.45</v>
      </c>
      <c r="E308" s="6">
        <v>98.45</v>
      </c>
      <c r="F308" s="6">
        <v>98.37</v>
      </c>
      <c r="G308" s="6">
        <v>98.04</v>
      </c>
      <c r="H308" s="6">
        <v>97.78</v>
      </c>
      <c r="I308" s="6">
        <v>97.69</v>
      </c>
      <c r="J308" s="6">
        <v>98.01</v>
      </c>
      <c r="K308" s="6">
        <v>97.7</v>
      </c>
      <c r="L308" s="6">
        <v>97.61</v>
      </c>
      <c r="M308" s="6">
        <v>98.02</v>
      </c>
      <c r="N308" s="6">
        <v>97.7</v>
      </c>
      <c r="O308" s="6">
        <v>97.61</v>
      </c>
      <c r="P308" s="6">
        <v>98.02</v>
      </c>
      <c r="Q308" s="6">
        <v>97.7</v>
      </c>
      <c r="R308" s="6">
        <v>97.61</v>
      </c>
    </row>
    <row r="309" spans="2:18">
      <c r="B309" s="6">
        <v>31402</v>
      </c>
      <c r="C309" s="6" t="s">
        <v>116</v>
      </c>
      <c r="D309" s="6">
        <v>0</v>
      </c>
      <c r="E309" s="6">
        <v>97.75</v>
      </c>
      <c r="F309" s="6">
        <v>97.75</v>
      </c>
      <c r="G309" s="6">
        <v>98.71</v>
      </c>
      <c r="H309" s="6">
        <v>98.48</v>
      </c>
      <c r="I309" s="6">
        <v>98.36</v>
      </c>
      <c r="J309" s="6">
        <v>98.64</v>
      </c>
      <c r="K309" s="6">
        <v>98.48</v>
      </c>
      <c r="L309" s="6">
        <v>98.3</v>
      </c>
      <c r="M309" s="6">
        <v>98.62</v>
      </c>
      <c r="N309" s="6">
        <v>98.46</v>
      </c>
      <c r="O309" s="6">
        <v>98.28</v>
      </c>
      <c r="P309" s="6">
        <v>98.52</v>
      </c>
      <c r="Q309" s="6">
        <v>98.45</v>
      </c>
      <c r="R309" s="6">
        <v>98.28</v>
      </c>
    </row>
    <row r="310" spans="2:18">
      <c r="B310" s="6">
        <v>31402</v>
      </c>
      <c r="C310" s="6" t="s">
        <v>116</v>
      </c>
      <c r="D310" s="6">
        <v>0</v>
      </c>
      <c r="E310" s="6">
        <v>97.37</v>
      </c>
      <c r="F310" s="6">
        <v>97.37</v>
      </c>
      <c r="G310" s="6">
        <v>98.91</v>
      </c>
      <c r="H310" s="6">
        <v>98.92</v>
      </c>
      <c r="I310" s="6">
        <v>98.82</v>
      </c>
      <c r="J310" s="6">
        <v>98.86</v>
      </c>
      <c r="K310" s="6">
        <v>98.85</v>
      </c>
      <c r="L310" s="6">
        <v>98.75</v>
      </c>
      <c r="M310" s="6">
        <v>98.86</v>
      </c>
      <c r="N310" s="6">
        <v>98.82</v>
      </c>
      <c r="O310" s="6">
        <v>98.74</v>
      </c>
      <c r="P310" s="6">
        <v>98.83</v>
      </c>
      <c r="Q310" s="6">
        <v>98.81</v>
      </c>
      <c r="R310" s="6">
        <v>98.73</v>
      </c>
    </row>
    <row r="311" spans="2:18">
      <c r="B311" s="6">
        <v>31402</v>
      </c>
      <c r="C311" s="6" t="s">
        <v>116</v>
      </c>
      <c r="D311" s="6">
        <v>0</v>
      </c>
      <c r="E311" s="6">
        <v>98.56</v>
      </c>
      <c r="F311" s="6">
        <v>98.56</v>
      </c>
      <c r="G311" s="6">
        <v>98.03</v>
      </c>
      <c r="H311" s="6">
        <v>98.12</v>
      </c>
      <c r="I311" s="6">
        <v>98.05</v>
      </c>
      <c r="J311" s="6">
        <v>97.72</v>
      </c>
      <c r="K311" s="6">
        <v>97.84</v>
      </c>
      <c r="L311" s="6">
        <v>97.75</v>
      </c>
      <c r="M311" s="6">
        <v>97.72</v>
      </c>
      <c r="N311" s="6">
        <v>97.83</v>
      </c>
      <c r="O311" s="6">
        <v>97.74</v>
      </c>
      <c r="P311" s="6">
        <v>97.73</v>
      </c>
      <c r="Q311" s="6">
        <v>97.84</v>
      </c>
      <c r="R311" s="6">
        <v>97.75</v>
      </c>
    </row>
    <row r="312" spans="2:18">
      <c r="B312" s="6">
        <v>31402</v>
      </c>
      <c r="C312" s="6" t="s">
        <v>116</v>
      </c>
      <c r="D312" s="6">
        <v>0</v>
      </c>
      <c r="E312" s="6">
        <v>97.7</v>
      </c>
      <c r="F312" s="6">
        <v>97.7</v>
      </c>
      <c r="G312" s="6">
        <v>98.04</v>
      </c>
      <c r="H312" s="6">
        <v>97.78</v>
      </c>
      <c r="I312" s="6">
        <v>97.69</v>
      </c>
      <c r="J312" s="6">
        <v>98.01</v>
      </c>
      <c r="K312" s="6">
        <v>97.7</v>
      </c>
      <c r="L312" s="6">
        <v>97.61</v>
      </c>
      <c r="M312" s="6">
        <v>98.02</v>
      </c>
      <c r="N312" s="6">
        <v>97.7</v>
      </c>
      <c r="O312" s="6">
        <v>97.61</v>
      </c>
      <c r="P312" s="6">
        <v>98.02</v>
      </c>
      <c r="Q312" s="6">
        <v>97.7</v>
      </c>
      <c r="R312" s="6">
        <v>97.61</v>
      </c>
    </row>
    <row r="313" spans="2:18">
      <c r="B313" s="6">
        <v>31503</v>
      </c>
      <c r="C313" s="6" t="s">
        <v>117</v>
      </c>
      <c r="D313" s="6">
        <v>98.86</v>
      </c>
      <c r="E313" s="6">
        <v>98.57</v>
      </c>
      <c r="F313" s="6">
        <v>98.73</v>
      </c>
      <c r="G313" s="6">
        <v>98.71</v>
      </c>
      <c r="H313" s="6">
        <v>98.48</v>
      </c>
      <c r="I313" s="6">
        <v>98.36</v>
      </c>
      <c r="J313" s="6">
        <v>98.64</v>
      </c>
      <c r="K313" s="6">
        <v>98.48</v>
      </c>
      <c r="L313" s="6">
        <v>98.3</v>
      </c>
      <c r="M313" s="6">
        <v>98.62</v>
      </c>
      <c r="N313" s="6">
        <v>98.46</v>
      </c>
      <c r="O313" s="6">
        <v>98.28</v>
      </c>
      <c r="P313" s="6">
        <v>98.52</v>
      </c>
      <c r="Q313" s="6">
        <v>98.45</v>
      </c>
      <c r="R313" s="6">
        <v>98.28</v>
      </c>
    </row>
    <row r="314" spans="2:18">
      <c r="B314" s="6">
        <v>31503</v>
      </c>
      <c r="C314" s="6" t="s">
        <v>117</v>
      </c>
      <c r="D314" s="6">
        <v>98.88</v>
      </c>
      <c r="E314" s="6">
        <v>99.05</v>
      </c>
      <c r="F314" s="6">
        <v>99.16</v>
      </c>
      <c r="G314" s="6">
        <v>98.91</v>
      </c>
      <c r="H314" s="6">
        <v>98.92</v>
      </c>
      <c r="I314" s="6">
        <v>98.82</v>
      </c>
      <c r="J314" s="6">
        <v>98.86</v>
      </c>
      <c r="K314" s="6">
        <v>98.85</v>
      </c>
      <c r="L314" s="6">
        <v>98.75</v>
      </c>
      <c r="M314" s="6">
        <v>98.86</v>
      </c>
      <c r="N314" s="6">
        <v>98.82</v>
      </c>
      <c r="O314" s="6">
        <v>98.74</v>
      </c>
      <c r="P314" s="6">
        <v>98.83</v>
      </c>
      <c r="Q314" s="6">
        <v>98.81</v>
      </c>
      <c r="R314" s="6">
        <v>98.73</v>
      </c>
    </row>
    <row r="315" spans="2:18">
      <c r="B315" s="6">
        <v>31503</v>
      </c>
      <c r="C315" s="6" t="s">
        <v>117</v>
      </c>
      <c r="D315" s="6">
        <v>98.5</v>
      </c>
      <c r="E315" s="6">
        <v>98.25</v>
      </c>
      <c r="F315" s="6">
        <v>97.78</v>
      </c>
      <c r="G315" s="6">
        <v>98.03</v>
      </c>
      <c r="H315" s="6">
        <v>98.12</v>
      </c>
      <c r="I315" s="6">
        <v>98.05</v>
      </c>
      <c r="J315" s="6">
        <v>97.72</v>
      </c>
      <c r="K315" s="6">
        <v>97.84</v>
      </c>
      <c r="L315" s="6">
        <v>97.75</v>
      </c>
      <c r="M315" s="6">
        <v>97.72</v>
      </c>
      <c r="N315" s="6">
        <v>97.83</v>
      </c>
      <c r="O315" s="6">
        <v>97.74</v>
      </c>
      <c r="P315" s="6">
        <v>97.73</v>
      </c>
      <c r="Q315" s="6">
        <v>97.84</v>
      </c>
      <c r="R315" s="6">
        <v>97.75</v>
      </c>
    </row>
    <row r="316" spans="2:18">
      <c r="B316" s="6">
        <v>31503</v>
      </c>
      <c r="C316" s="6" t="s">
        <v>117</v>
      </c>
      <c r="D316" s="6">
        <v>98.52</v>
      </c>
      <c r="E316" s="6">
        <v>97.04</v>
      </c>
      <c r="F316" s="6">
        <v>96.76</v>
      </c>
      <c r="G316" s="6">
        <v>98.04</v>
      </c>
      <c r="H316" s="6">
        <v>97.78</v>
      </c>
      <c r="I316" s="6">
        <v>97.69</v>
      </c>
      <c r="J316" s="6">
        <v>98.01</v>
      </c>
      <c r="K316" s="6">
        <v>97.7</v>
      </c>
      <c r="L316" s="6">
        <v>97.61</v>
      </c>
      <c r="M316" s="6">
        <v>98.02</v>
      </c>
      <c r="N316" s="6">
        <v>97.7</v>
      </c>
      <c r="O316" s="6">
        <v>97.61</v>
      </c>
      <c r="P316" s="6">
        <v>98.02</v>
      </c>
      <c r="Q316" s="6">
        <v>97.7</v>
      </c>
      <c r="R316" s="6">
        <v>97.61</v>
      </c>
    </row>
    <row r="317" spans="2:18">
      <c r="B317" s="6">
        <v>31504</v>
      </c>
      <c r="C317" s="6" t="s">
        <v>118</v>
      </c>
      <c r="D317" s="6">
        <v>99.14</v>
      </c>
      <c r="E317" s="6">
        <v>98.46</v>
      </c>
      <c r="F317" s="6">
        <v>98</v>
      </c>
      <c r="G317" s="6">
        <v>98.74</v>
      </c>
      <c r="H317" s="6">
        <v>98.55</v>
      </c>
      <c r="I317" s="6">
        <v>98.22</v>
      </c>
      <c r="J317" s="6">
        <v>98.64</v>
      </c>
      <c r="K317" s="6">
        <v>98.48</v>
      </c>
      <c r="L317" s="6">
        <v>98.3</v>
      </c>
      <c r="M317" s="6">
        <v>98.62</v>
      </c>
      <c r="N317" s="6">
        <v>98.46</v>
      </c>
      <c r="O317" s="6">
        <v>98.28</v>
      </c>
      <c r="P317" s="6">
        <v>98.52</v>
      </c>
      <c r="Q317" s="6">
        <v>98.45</v>
      </c>
      <c r="R317" s="6">
        <v>98.28</v>
      </c>
    </row>
    <row r="318" spans="2:18">
      <c r="B318" s="6">
        <v>31504</v>
      </c>
      <c r="C318" s="6" t="s">
        <v>118</v>
      </c>
      <c r="D318" s="6">
        <v>99.15</v>
      </c>
      <c r="E318" s="6">
        <v>99.23</v>
      </c>
      <c r="F318" s="6">
        <v>98.92</v>
      </c>
      <c r="G318" s="6">
        <v>98.85</v>
      </c>
      <c r="H318" s="6">
        <v>98.85</v>
      </c>
      <c r="I318" s="6">
        <v>98.64</v>
      </c>
      <c r="J318" s="6">
        <v>98.86</v>
      </c>
      <c r="K318" s="6">
        <v>98.85</v>
      </c>
      <c r="L318" s="6">
        <v>98.75</v>
      </c>
      <c r="M318" s="6">
        <v>98.86</v>
      </c>
      <c r="N318" s="6">
        <v>98.82</v>
      </c>
      <c r="O318" s="6">
        <v>98.74</v>
      </c>
      <c r="P318" s="6">
        <v>98.83</v>
      </c>
      <c r="Q318" s="6">
        <v>98.81</v>
      </c>
      <c r="R318" s="6">
        <v>98.73</v>
      </c>
    </row>
    <row r="319" spans="2:18">
      <c r="B319" s="6">
        <v>31504</v>
      </c>
      <c r="C319" s="6" t="s">
        <v>118</v>
      </c>
      <c r="D319" s="6">
        <v>97.91</v>
      </c>
      <c r="E319" s="6">
        <v>97.51</v>
      </c>
      <c r="F319" s="6">
        <v>97.28</v>
      </c>
      <c r="G319" s="6">
        <v>97.49</v>
      </c>
      <c r="H319" s="6">
        <v>97.66</v>
      </c>
      <c r="I319" s="6">
        <v>97.52</v>
      </c>
      <c r="J319" s="6">
        <v>97.72</v>
      </c>
      <c r="K319" s="6">
        <v>97.84</v>
      </c>
      <c r="L319" s="6">
        <v>97.75</v>
      </c>
      <c r="M319" s="6">
        <v>97.72</v>
      </c>
      <c r="N319" s="6">
        <v>97.83</v>
      </c>
      <c r="O319" s="6">
        <v>97.74</v>
      </c>
      <c r="P319" s="6">
        <v>97.73</v>
      </c>
      <c r="Q319" s="6">
        <v>97.84</v>
      </c>
      <c r="R319" s="6">
        <v>97.75</v>
      </c>
    </row>
    <row r="320" spans="2:18">
      <c r="B320" s="6">
        <v>31504</v>
      </c>
      <c r="C320" s="6" t="s">
        <v>118</v>
      </c>
      <c r="D320" s="6">
        <v>98.7</v>
      </c>
      <c r="E320" s="6">
        <v>98.17</v>
      </c>
      <c r="F320" s="6">
        <v>97.95</v>
      </c>
      <c r="G320" s="6">
        <v>98.15</v>
      </c>
      <c r="H320" s="6">
        <v>97.53</v>
      </c>
      <c r="I320" s="6">
        <v>97.49</v>
      </c>
      <c r="J320" s="6">
        <v>98.01</v>
      </c>
      <c r="K320" s="6">
        <v>97.7</v>
      </c>
      <c r="L320" s="6">
        <v>97.61</v>
      </c>
      <c r="M320" s="6">
        <v>98.02</v>
      </c>
      <c r="N320" s="6">
        <v>97.7</v>
      </c>
      <c r="O320" s="6">
        <v>97.61</v>
      </c>
      <c r="P320" s="6">
        <v>98.02</v>
      </c>
      <c r="Q320" s="6">
        <v>97.7</v>
      </c>
      <c r="R320" s="6">
        <v>97.61</v>
      </c>
    </row>
    <row r="321" spans="2:18">
      <c r="B321" s="6">
        <v>31505</v>
      </c>
      <c r="C321" s="6" t="s">
        <v>119</v>
      </c>
      <c r="D321" s="6">
        <v>98.53</v>
      </c>
      <c r="E321" s="6">
        <v>98.69</v>
      </c>
      <c r="F321" s="6">
        <v>98.64</v>
      </c>
      <c r="G321" s="6">
        <v>98.48</v>
      </c>
      <c r="H321" s="6">
        <v>98.4</v>
      </c>
      <c r="I321" s="6">
        <v>98.25</v>
      </c>
      <c r="J321" s="6">
        <v>98.64</v>
      </c>
      <c r="K321" s="6">
        <v>98.48</v>
      </c>
      <c r="L321" s="6">
        <v>98.3</v>
      </c>
      <c r="M321" s="6">
        <v>98.62</v>
      </c>
      <c r="N321" s="6">
        <v>98.46</v>
      </c>
      <c r="O321" s="6">
        <v>98.28</v>
      </c>
      <c r="P321" s="6">
        <v>98.52</v>
      </c>
      <c r="Q321" s="6">
        <v>98.45</v>
      </c>
      <c r="R321" s="6">
        <v>98.28</v>
      </c>
    </row>
    <row r="322" spans="2:18">
      <c r="B322" s="6">
        <v>31505</v>
      </c>
      <c r="C322" s="6" t="s">
        <v>119</v>
      </c>
      <c r="D322" s="6">
        <v>98.55</v>
      </c>
      <c r="E322" s="6">
        <v>98.64</v>
      </c>
      <c r="F322" s="6">
        <v>98.64</v>
      </c>
      <c r="G322" s="6">
        <v>97.97</v>
      </c>
      <c r="H322" s="6">
        <v>98.08</v>
      </c>
      <c r="I322" s="6">
        <v>98.09</v>
      </c>
      <c r="J322" s="6">
        <v>98.86</v>
      </c>
      <c r="K322" s="6">
        <v>98.85</v>
      </c>
      <c r="L322" s="6">
        <v>98.75</v>
      </c>
      <c r="M322" s="6">
        <v>98.86</v>
      </c>
      <c r="N322" s="6">
        <v>98.82</v>
      </c>
      <c r="O322" s="6">
        <v>98.74</v>
      </c>
      <c r="P322" s="6">
        <v>98.83</v>
      </c>
      <c r="Q322" s="6">
        <v>98.81</v>
      </c>
      <c r="R322" s="6">
        <v>98.73</v>
      </c>
    </row>
    <row r="323" spans="2:18">
      <c r="B323" s="6">
        <v>31505</v>
      </c>
      <c r="C323" s="6" t="s">
        <v>119</v>
      </c>
      <c r="D323" s="6">
        <v>98.34</v>
      </c>
      <c r="E323" s="6">
        <v>97.85</v>
      </c>
      <c r="F323" s="6">
        <v>97.85</v>
      </c>
      <c r="G323" s="6">
        <v>97.43</v>
      </c>
      <c r="H323" s="6">
        <v>97.49</v>
      </c>
      <c r="I323" s="6">
        <v>97.36</v>
      </c>
      <c r="J323" s="6">
        <v>97.72</v>
      </c>
      <c r="K323" s="6">
        <v>97.84</v>
      </c>
      <c r="L323" s="6">
        <v>97.75</v>
      </c>
      <c r="M323" s="6">
        <v>97.72</v>
      </c>
      <c r="N323" s="6">
        <v>97.83</v>
      </c>
      <c r="O323" s="6">
        <v>97.74</v>
      </c>
      <c r="P323" s="6">
        <v>97.73</v>
      </c>
      <c r="Q323" s="6">
        <v>97.84</v>
      </c>
      <c r="R323" s="6">
        <v>97.75</v>
      </c>
    </row>
    <row r="324" spans="2:18">
      <c r="B324" s="6">
        <v>31505</v>
      </c>
      <c r="C324" s="6" t="s">
        <v>119</v>
      </c>
      <c r="D324" s="6">
        <v>98.76</v>
      </c>
      <c r="E324" s="6">
        <v>98.21</v>
      </c>
      <c r="F324" s="6">
        <v>98.22</v>
      </c>
      <c r="G324" s="6">
        <v>97.88</v>
      </c>
      <c r="H324" s="6">
        <v>97.7</v>
      </c>
      <c r="I324" s="6">
        <v>97.56</v>
      </c>
      <c r="J324" s="6">
        <v>98.01</v>
      </c>
      <c r="K324" s="6">
        <v>97.7</v>
      </c>
      <c r="L324" s="6">
        <v>97.61</v>
      </c>
      <c r="M324" s="6">
        <v>98.02</v>
      </c>
      <c r="N324" s="6">
        <v>97.7</v>
      </c>
      <c r="O324" s="6">
        <v>97.61</v>
      </c>
      <c r="P324" s="6">
        <v>98.02</v>
      </c>
      <c r="Q324" s="6">
        <v>97.7</v>
      </c>
      <c r="R324" s="6">
        <v>97.61</v>
      </c>
    </row>
    <row r="325" spans="2:18">
      <c r="B325" s="6">
        <v>31510</v>
      </c>
      <c r="C325" s="6" t="s">
        <v>1127</v>
      </c>
      <c r="D325" s="6">
        <v>0</v>
      </c>
      <c r="E325" s="6">
        <v>0</v>
      </c>
      <c r="F325" s="6">
        <v>98.7</v>
      </c>
      <c r="G325" s="6">
        <v>98.74</v>
      </c>
      <c r="H325" s="6">
        <v>98.55</v>
      </c>
      <c r="I325" s="6">
        <v>98.22</v>
      </c>
      <c r="J325" s="6">
        <v>98.64</v>
      </c>
      <c r="K325" s="6">
        <v>98.48</v>
      </c>
      <c r="L325" s="6">
        <v>98.3</v>
      </c>
      <c r="M325" s="6">
        <v>98.62</v>
      </c>
      <c r="N325" s="6">
        <v>98.46</v>
      </c>
      <c r="O325" s="6">
        <v>98.28</v>
      </c>
      <c r="P325" s="6">
        <v>98.52</v>
      </c>
      <c r="Q325" s="6">
        <v>98.45</v>
      </c>
      <c r="R325" s="6">
        <v>98.28</v>
      </c>
    </row>
    <row r="326" spans="2:18">
      <c r="B326" s="6">
        <v>31510</v>
      </c>
      <c r="C326" s="6" t="s">
        <v>1127</v>
      </c>
      <c r="D326" s="6">
        <v>0</v>
      </c>
      <c r="E326" s="6">
        <v>0</v>
      </c>
      <c r="F326" s="6">
        <v>98.72</v>
      </c>
      <c r="G326" s="6">
        <v>98.85</v>
      </c>
      <c r="H326" s="6">
        <v>98.85</v>
      </c>
      <c r="I326" s="6">
        <v>98.64</v>
      </c>
      <c r="J326" s="6">
        <v>98.86</v>
      </c>
      <c r="K326" s="6">
        <v>98.85</v>
      </c>
      <c r="L326" s="6">
        <v>98.75</v>
      </c>
      <c r="M326" s="6">
        <v>98.86</v>
      </c>
      <c r="N326" s="6">
        <v>98.82</v>
      </c>
      <c r="O326" s="6">
        <v>98.74</v>
      </c>
      <c r="P326" s="6">
        <v>98.83</v>
      </c>
      <c r="Q326" s="6">
        <v>98.81</v>
      </c>
      <c r="R326" s="6">
        <v>98.73</v>
      </c>
    </row>
    <row r="327" spans="2:18">
      <c r="B327" s="6">
        <v>31510</v>
      </c>
      <c r="C327" s="6" t="s">
        <v>1127</v>
      </c>
      <c r="D327" s="6">
        <v>0</v>
      </c>
      <c r="E327" s="6">
        <v>0</v>
      </c>
      <c r="F327" s="6">
        <v>96.89</v>
      </c>
      <c r="G327" s="6">
        <v>97.49</v>
      </c>
      <c r="H327" s="6">
        <v>97.66</v>
      </c>
      <c r="I327" s="6">
        <v>97.52</v>
      </c>
      <c r="J327" s="6">
        <v>97.72</v>
      </c>
      <c r="K327" s="6">
        <v>97.84</v>
      </c>
      <c r="L327" s="6">
        <v>97.75</v>
      </c>
      <c r="M327" s="6">
        <v>97.72</v>
      </c>
      <c r="N327" s="6">
        <v>97.83</v>
      </c>
      <c r="O327" s="6">
        <v>97.74</v>
      </c>
      <c r="P327" s="6">
        <v>97.73</v>
      </c>
      <c r="Q327" s="6">
        <v>97.84</v>
      </c>
      <c r="R327" s="6">
        <v>97.75</v>
      </c>
    </row>
    <row r="328" spans="2:18">
      <c r="B328" s="6">
        <v>31510</v>
      </c>
      <c r="C328" s="6" t="s">
        <v>1127</v>
      </c>
      <c r="D328" s="6">
        <v>0</v>
      </c>
      <c r="E328" s="6">
        <v>0</v>
      </c>
      <c r="F328" s="6">
        <v>98.68</v>
      </c>
      <c r="G328" s="6">
        <v>98.15</v>
      </c>
      <c r="H328" s="6">
        <v>97.53</v>
      </c>
      <c r="I328" s="6">
        <v>97.49</v>
      </c>
      <c r="J328" s="6">
        <v>98.01</v>
      </c>
      <c r="K328" s="6">
        <v>97.7</v>
      </c>
      <c r="L328" s="6">
        <v>97.61</v>
      </c>
      <c r="M328" s="6">
        <v>98.02</v>
      </c>
      <c r="N328" s="6">
        <v>97.7</v>
      </c>
      <c r="O328" s="6">
        <v>97.61</v>
      </c>
      <c r="P328" s="6">
        <v>98.02</v>
      </c>
      <c r="Q328" s="6">
        <v>97.7</v>
      </c>
      <c r="R328" s="6">
        <v>97.61</v>
      </c>
    </row>
    <row r="329" spans="2:18">
      <c r="B329" s="6">
        <v>31534</v>
      </c>
      <c r="C329" s="6" t="s">
        <v>1023</v>
      </c>
      <c r="D329" s="6">
        <v>0</v>
      </c>
      <c r="E329" s="6">
        <v>0</v>
      </c>
      <c r="F329" s="6">
        <v>99.34</v>
      </c>
      <c r="G329" s="6">
        <v>98.77</v>
      </c>
      <c r="H329" s="6">
        <v>98.55</v>
      </c>
      <c r="I329" s="6">
        <v>98.72</v>
      </c>
      <c r="J329" s="6">
        <v>98.23</v>
      </c>
      <c r="K329" s="6">
        <v>98.19</v>
      </c>
      <c r="L329" s="6">
        <v>98.1</v>
      </c>
      <c r="M329" s="6">
        <v>98.23</v>
      </c>
      <c r="N329" s="6">
        <v>98.19</v>
      </c>
      <c r="O329" s="6">
        <v>98.1</v>
      </c>
      <c r="P329" s="6">
        <v>98.04</v>
      </c>
      <c r="Q329" s="6">
        <v>98.09</v>
      </c>
      <c r="R329" s="6">
        <v>97.91</v>
      </c>
    </row>
    <row r="330" spans="2:18">
      <c r="B330" s="6">
        <v>31534</v>
      </c>
      <c r="C330" s="6" t="s">
        <v>1023</v>
      </c>
      <c r="D330" s="6">
        <v>0</v>
      </c>
      <c r="E330" s="6">
        <v>0</v>
      </c>
      <c r="F330" s="6">
        <v>99.49</v>
      </c>
      <c r="G330" s="6">
        <v>99.43</v>
      </c>
      <c r="H330" s="6">
        <v>99.52</v>
      </c>
      <c r="I330" s="6">
        <v>99.53</v>
      </c>
      <c r="J330" s="6">
        <v>99.26</v>
      </c>
      <c r="K330" s="6">
        <v>99.39</v>
      </c>
      <c r="L330" s="6">
        <v>99.39</v>
      </c>
      <c r="M330" s="6">
        <v>99.26</v>
      </c>
      <c r="N330" s="6">
        <v>99.39</v>
      </c>
      <c r="O330" s="6">
        <v>99.39</v>
      </c>
      <c r="P330" s="6">
        <v>99.26</v>
      </c>
      <c r="Q330" s="6">
        <v>99.39</v>
      </c>
      <c r="R330" s="6">
        <v>99.39</v>
      </c>
    </row>
    <row r="331" spans="2:18">
      <c r="B331" s="6">
        <v>31538</v>
      </c>
      <c r="C331" s="6" t="s">
        <v>1186</v>
      </c>
      <c r="D331" s="6">
        <v>0</v>
      </c>
      <c r="E331" s="6">
        <v>0</v>
      </c>
      <c r="F331" s="6">
        <v>92.57</v>
      </c>
      <c r="G331" s="6">
        <v>0</v>
      </c>
      <c r="H331" s="6">
        <v>0</v>
      </c>
      <c r="I331" s="6">
        <v>82.29</v>
      </c>
      <c r="J331" s="6">
        <v>80.86</v>
      </c>
      <c r="K331" s="6">
        <v>83.63</v>
      </c>
      <c r="L331" s="6">
        <v>83.87</v>
      </c>
      <c r="M331" s="6">
        <v>80.86</v>
      </c>
      <c r="N331" s="6">
        <v>83.63</v>
      </c>
      <c r="O331" s="6">
        <v>83.87</v>
      </c>
      <c r="P331" s="6">
        <v>80.86</v>
      </c>
      <c r="Q331" s="6">
        <v>83.63</v>
      </c>
      <c r="R331" s="6">
        <v>83.87</v>
      </c>
    </row>
    <row r="332" spans="2:18">
      <c r="B332" s="6">
        <v>31539</v>
      </c>
      <c r="C332" s="6" t="s">
        <v>26</v>
      </c>
      <c r="D332" s="6">
        <v>0</v>
      </c>
      <c r="E332" s="6">
        <v>98.04</v>
      </c>
      <c r="F332" s="6">
        <v>98.24</v>
      </c>
      <c r="G332" s="6">
        <v>98.64</v>
      </c>
      <c r="H332" s="6">
        <v>98.72</v>
      </c>
      <c r="I332" s="6">
        <v>98.71</v>
      </c>
      <c r="J332" s="6">
        <v>98.64</v>
      </c>
      <c r="K332" s="6">
        <v>98.72</v>
      </c>
      <c r="L332" s="6">
        <v>98.71</v>
      </c>
      <c r="M332" s="6">
        <v>98.64</v>
      </c>
      <c r="N332" s="6">
        <v>98.72</v>
      </c>
      <c r="O332" s="6">
        <v>98.71</v>
      </c>
      <c r="P332" s="6">
        <v>98.64</v>
      </c>
      <c r="Q332" s="6">
        <v>98.72</v>
      </c>
      <c r="R332" s="6">
        <v>98.71</v>
      </c>
    </row>
    <row r="333" spans="2:18">
      <c r="B333" s="6">
        <v>31539</v>
      </c>
      <c r="C333" s="6" t="s">
        <v>26</v>
      </c>
      <c r="D333" s="6">
        <v>0</v>
      </c>
      <c r="E333" s="6">
        <v>98.81</v>
      </c>
      <c r="F333" s="6">
        <v>98.94</v>
      </c>
      <c r="G333" s="6">
        <v>99.04</v>
      </c>
      <c r="H333" s="6">
        <v>99.18</v>
      </c>
      <c r="I333" s="6">
        <v>99.21</v>
      </c>
      <c r="J333" s="6">
        <v>99.04</v>
      </c>
      <c r="K333" s="6">
        <v>99.18</v>
      </c>
      <c r="L333" s="6">
        <v>99.21</v>
      </c>
      <c r="M333" s="6">
        <v>99.07</v>
      </c>
      <c r="N333" s="6">
        <v>99.18</v>
      </c>
      <c r="O333" s="6">
        <v>99.18</v>
      </c>
      <c r="P333" s="6">
        <v>99.05</v>
      </c>
      <c r="Q333" s="6">
        <v>99.16</v>
      </c>
      <c r="R333" s="6">
        <v>99.16</v>
      </c>
    </row>
    <row r="334" spans="2:18">
      <c r="B334" s="6">
        <v>31540</v>
      </c>
      <c r="C334" s="6" t="s">
        <v>27</v>
      </c>
      <c r="D334" s="6">
        <v>0</v>
      </c>
      <c r="E334" s="6">
        <v>98.84</v>
      </c>
      <c r="F334" s="6">
        <v>98.81</v>
      </c>
      <c r="G334" s="6">
        <v>98.64</v>
      </c>
      <c r="H334" s="6">
        <v>98.72</v>
      </c>
      <c r="I334" s="6">
        <v>98.71</v>
      </c>
      <c r="J334" s="6">
        <v>98.64</v>
      </c>
      <c r="K334" s="6">
        <v>98.72</v>
      </c>
      <c r="L334" s="6">
        <v>98.71</v>
      </c>
      <c r="M334" s="6">
        <v>98.64</v>
      </c>
      <c r="N334" s="6">
        <v>98.72</v>
      </c>
      <c r="O334" s="6">
        <v>98.71</v>
      </c>
      <c r="P334" s="6">
        <v>98.64</v>
      </c>
      <c r="Q334" s="6">
        <v>98.72</v>
      </c>
      <c r="R334" s="6">
        <v>98.71</v>
      </c>
    </row>
    <row r="335" spans="2:18">
      <c r="B335" s="6">
        <v>31540</v>
      </c>
      <c r="C335" s="6" t="s">
        <v>27</v>
      </c>
      <c r="D335" s="6">
        <v>0</v>
      </c>
      <c r="E335" s="6">
        <v>99.13</v>
      </c>
      <c r="F335" s="6">
        <v>99.27</v>
      </c>
      <c r="G335" s="6">
        <v>99.04</v>
      </c>
      <c r="H335" s="6">
        <v>99.18</v>
      </c>
      <c r="I335" s="6">
        <v>99.21</v>
      </c>
      <c r="J335" s="6">
        <v>99.04</v>
      </c>
      <c r="K335" s="6">
        <v>99.18</v>
      </c>
      <c r="L335" s="6">
        <v>99.21</v>
      </c>
      <c r="M335" s="6">
        <v>99.07</v>
      </c>
      <c r="N335" s="6">
        <v>99.18</v>
      </c>
      <c r="O335" s="6">
        <v>99.18</v>
      </c>
      <c r="P335" s="6">
        <v>99.05</v>
      </c>
      <c r="Q335" s="6">
        <v>99.16</v>
      </c>
      <c r="R335" s="6">
        <v>99.16</v>
      </c>
    </row>
    <row r="336" spans="2:18">
      <c r="B336" s="6">
        <v>31541</v>
      </c>
      <c r="C336" s="6" t="s">
        <v>28</v>
      </c>
      <c r="D336" s="6">
        <v>0</v>
      </c>
      <c r="E336" s="6">
        <v>99.07</v>
      </c>
      <c r="F336" s="6">
        <v>98.6</v>
      </c>
      <c r="G336" s="6">
        <v>98.64</v>
      </c>
      <c r="H336" s="6">
        <v>98.72</v>
      </c>
      <c r="I336" s="6">
        <v>98.71</v>
      </c>
      <c r="J336" s="6">
        <v>98.64</v>
      </c>
      <c r="K336" s="6">
        <v>98.72</v>
      </c>
      <c r="L336" s="6">
        <v>98.71</v>
      </c>
      <c r="M336" s="6">
        <v>98.64</v>
      </c>
      <c r="N336" s="6">
        <v>98.72</v>
      </c>
      <c r="O336" s="6">
        <v>98.71</v>
      </c>
      <c r="P336" s="6">
        <v>98.64</v>
      </c>
      <c r="Q336" s="6">
        <v>98.72</v>
      </c>
      <c r="R336" s="6">
        <v>98.71</v>
      </c>
    </row>
    <row r="337" spans="2:18">
      <c r="B337" s="6">
        <v>31541</v>
      </c>
      <c r="C337" s="6" t="s">
        <v>28</v>
      </c>
      <c r="D337" s="6">
        <v>0</v>
      </c>
      <c r="E337" s="6">
        <v>98.24</v>
      </c>
      <c r="F337" s="6">
        <v>98.7</v>
      </c>
      <c r="G337" s="6">
        <v>99.04</v>
      </c>
      <c r="H337" s="6">
        <v>99.18</v>
      </c>
      <c r="I337" s="6">
        <v>99.21</v>
      </c>
      <c r="J337" s="6">
        <v>99.04</v>
      </c>
      <c r="K337" s="6">
        <v>99.18</v>
      </c>
      <c r="L337" s="6">
        <v>99.21</v>
      </c>
      <c r="M337" s="6">
        <v>99.07</v>
      </c>
      <c r="N337" s="6">
        <v>99.18</v>
      </c>
      <c r="O337" s="6">
        <v>99.18</v>
      </c>
      <c r="P337" s="6">
        <v>99.05</v>
      </c>
      <c r="Q337" s="6">
        <v>99.16</v>
      </c>
      <c r="R337" s="6">
        <v>99.16</v>
      </c>
    </row>
    <row r="338" spans="2:18">
      <c r="B338" s="6">
        <v>31567</v>
      </c>
      <c r="C338" s="6" t="s">
        <v>222</v>
      </c>
      <c r="D338" s="6">
        <v>0</v>
      </c>
      <c r="E338" s="6">
        <v>0</v>
      </c>
      <c r="F338" s="6">
        <v>97.6</v>
      </c>
      <c r="G338" s="6">
        <v>98.77</v>
      </c>
      <c r="H338" s="6">
        <v>98.55</v>
      </c>
      <c r="I338" s="6">
        <v>98.72</v>
      </c>
      <c r="J338" s="6">
        <v>98.23</v>
      </c>
      <c r="K338" s="6">
        <v>98.19</v>
      </c>
      <c r="L338" s="6">
        <v>98.1</v>
      </c>
      <c r="M338" s="6">
        <v>98.23</v>
      </c>
      <c r="N338" s="6">
        <v>98.19</v>
      </c>
      <c r="O338" s="6">
        <v>98.1</v>
      </c>
      <c r="P338" s="6">
        <v>98.04</v>
      </c>
      <c r="Q338" s="6">
        <v>98.09</v>
      </c>
      <c r="R338" s="6">
        <v>97.91</v>
      </c>
    </row>
    <row r="339" spans="2:18">
      <c r="B339" s="6">
        <v>31567</v>
      </c>
      <c r="C339" s="6" t="s">
        <v>222</v>
      </c>
      <c r="D339" s="6">
        <v>0</v>
      </c>
      <c r="E339" s="6">
        <v>0</v>
      </c>
      <c r="F339" s="6">
        <v>99.01</v>
      </c>
      <c r="G339" s="6">
        <v>99.43</v>
      </c>
      <c r="H339" s="6">
        <v>99.52</v>
      </c>
      <c r="I339" s="6">
        <v>99.53</v>
      </c>
      <c r="J339" s="6">
        <v>99.26</v>
      </c>
      <c r="K339" s="6">
        <v>99.39</v>
      </c>
      <c r="L339" s="6">
        <v>99.39</v>
      </c>
      <c r="M339" s="6">
        <v>99.26</v>
      </c>
      <c r="N339" s="6">
        <v>99.39</v>
      </c>
      <c r="O339" s="6">
        <v>99.39</v>
      </c>
      <c r="P339" s="6">
        <v>99.26</v>
      </c>
      <c r="Q339" s="6">
        <v>99.39</v>
      </c>
      <c r="R339" s="6">
        <v>99.39</v>
      </c>
    </row>
    <row r="340" spans="2:18">
      <c r="B340" s="6">
        <v>31591</v>
      </c>
      <c r="C340" s="6" t="s">
        <v>1048</v>
      </c>
      <c r="D340" s="6">
        <v>0</v>
      </c>
      <c r="E340" s="6">
        <v>0</v>
      </c>
      <c r="F340" s="6">
        <v>98.72</v>
      </c>
      <c r="G340" s="6">
        <v>98.71</v>
      </c>
      <c r="H340" s="6">
        <v>98.48</v>
      </c>
      <c r="I340" s="6">
        <v>98.36</v>
      </c>
      <c r="J340" s="6">
        <v>98.64</v>
      </c>
      <c r="K340" s="6">
        <v>98.48</v>
      </c>
      <c r="L340" s="6">
        <v>98.3</v>
      </c>
      <c r="M340" s="6">
        <v>98.62</v>
      </c>
      <c r="N340" s="6">
        <v>98.46</v>
      </c>
      <c r="O340" s="6">
        <v>98.28</v>
      </c>
      <c r="P340" s="6">
        <v>98.52</v>
      </c>
      <c r="Q340" s="6">
        <v>98.45</v>
      </c>
      <c r="R340" s="6">
        <v>98.28</v>
      </c>
    </row>
    <row r="341" spans="2:18">
      <c r="B341" s="6">
        <v>31591</v>
      </c>
      <c r="C341" s="6" t="s">
        <v>1048</v>
      </c>
      <c r="D341" s="6">
        <v>0</v>
      </c>
      <c r="E341" s="6">
        <v>0</v>
      </c>
      <c r="F341" s="6">
        <v>98.74</v>
      </c>
      <c r="G341" s="6">
        <v>98.91</v>
      </c>
      <c r="H341" s="6">
        <v>98.92</v>
      </c>
      <c r="I341" s="6">
        <v>98.82</v>
      </c>
      <c r="J341" s="6">
        <v>98.86</v>
      </c>
      <c r="K341" s="6">
        <v>98.85</v>
      </c>
      <c r="L341" s="6">
        <v>98.75</v>
      </c>
      <c r="M341" s="6">
        <v>98.86</v>
      </c>
      <c r="N341" s="6">
        <v>98.82</v>
      </c>
      <c r="O341" s="6">
        <v>98.74</v>
      </c>
      <c r="P341" s="6">
        <v>98.83</v>
      </c>
      <c r="Q341" s="6">
        <v>98.81</v>
      </c>
      <c r="R341" s="6">
        <v>98.73</v>
      </c>
    </row>
    <row r="342" spans="2:18">
      <c r="B342" s="6">
        <v>31591</v>
      </c>
      <c r="C342" s="6" t="s">
        <v>1048</v>
      </c>
      <c r="D342" s="6">
        <v>0</v>
      </c>
      <c r="E342" s="6">
        <v>0</v>
      </c>
      <c r="F342" s="6">
        <v>98.35</v>
      </c>
      <c r="G342" s="6">
        <v>98.03</v>
      </c>
      <c r="H342" s="6">
        <v>98.12</v>
      </c>
      <c r="I342" s="6">
        <v>98.05</v>
      </c>
      <c r="J342" s="6">
        <v>97.72</v>
      </c>
      <c r="K342" s="6">
        <v>97.84</v>
      </c>
      <c r="L342" s="6">
        <v>97.75</v>
      </c>
      <c r="M342" s="6">
        <v>97.72</v>
      </c>
      <c r="N342" s="6">
        <v>97.83</v>
      </c>
      <c r="O342" s="6">
        <v>97.74</v>
      </c>
      <c r="P342" s="6">
        <v>97.73</v>
      </c>
      <c r="Q342" s="6">
        <v>97.84</v>
      </c>
      <c r="R342" s="6">
        <v>97.75</v>
      </c>
    </row>
    <row r="343" spans="2:18">
      <c r="B343" s="6">
        <v>31591</v>
      </c>
      <c r="C343" s="6" t="s">
        <v>1048</v>
      </c>
      <c r="D343" s="6">
        <v>0</v>
      </c>
      <c r="E343" s="6">
        <v>0</v>
      </c>
      <c r="F343" s="6">
        <v>98.28</v>
      </c>
      <c r="G343" s="6">
        <v>98.04</v>
      </c>
      <c r="H343" s="6">
        <v>97.78</v>
      </c>
      <c r="I343" s="6">
        <v>97.69</v>
      </c>
      <c r="J343" s="6">
        <v>98.01</v>
      </c>
      <c r="K343" s="6">
        <v>97.7</v>
      </c>
      <c r="L343" s="6">
        <v>97.61</v>
      </c>
      <c r="M343" s="6">
        <v>98.02</v>
      </c>
      <c r="N343" s="6">
        <v>97.7</v>
      </c>
      <c r="O343" s="6">
        <v>97.61</v>
      </c>
      <c r="P343" s="6">
        <v>98.02</v>
      </c>
      <c r="Q343" s="6">
        <v>97.7</v>
      </c>
      <c r="R343" s="6">
        <v>97.61</v>
      </c>
    </row>
    <row r="344" spans="2:18">
      <c r="B344" s="6">
        <v>31600</v>
      </c>
      <c r="C344" s="6" t="s">
        <v>120</v>
      </c>
      <c r="D344" s="6">
        <v>99.28</v>
      </c>
      <c r="E344" s="6">
        <v>99.21</v>
      </c>
      <c r="F344" s="6">
        <v>98.43</v>
      </c>
      <c r="G344" s="6">
        <v>98.48</v>
      </c>
      <c r="H344" s="6">
        <v>98.4</v>
      </c>
      <c r="I344" s="6">
        <v>98.25</v>
      </c>
      <c r="J344" s="6">
        <v>98.64</v>
      </c>
      <c r="K344" s="6">
        <v>98.48</v>
      </c>
      <c r="L344" s="6">
        <v>98.3</v>
      </c>
      <c r="M344" s="6">
        <v>98.62</v>
      </c>
      <c r="N344" s="6">
        <v>98.46</v>
      </c>
      <c r="O344" s="6">
        <v>98.28</v>
      </c>
      <c r="P344" s="6">
        <v>98.52</v>
      </c>
      <c r="Q344" s="6">
        <v>98.45</v>
      </c>
      <c r="R344" s="6">
        <v>98.28</v>
      </c>
    </row>
    <row r="345" spans="2:18">
      <c r="B345" s="6">
        <v>31600</v>
      </c>
      <c r="C345" s="6" t="s">
        <v>120</v>
      </c>
      <c r="D345" s="6">
        <v>99.29</v>
      </c>
      <c r="E345" s="6">
        <v>99.22</v>
      </c>
      <c r="F345" s="6">
        <v>98.64</v>
      </c>
      <c r="G345" s="6">
        <v>99.01</v>
      </c>
      <c r="H345" s="6">
        <v>98.74</v>
      </c>
      <c r="I345" s="6">
        <v>98.68</v>
      </c>
      <c r="J345" s="6">
        <v>99.01</v>
      </c>
      <c r="K345" s="6">
        <v>98.76</v>
      </c>
      <c r="L345" s="6">
        <v>98.69</v>
      </c>
      <c r="M345" s="6">
        <v>99.01</v>
      </c>
      <c r="N345" s="6">
        <v>98.76</v>
      </c>
      <c r="O345" s="6">
        <v>98.71</v>
      </c>
      <c r="P345" s="6">
        <v>99.01</v>
      </c>
      <c r="Q345" s="6">
        <v>98.76</v>
      </c>
      <c r="R345" s="6">
        <v>98.71</v>
      </c>
    </row>
    <row r="346" spans="2:18">
      <c r="B346" s="6">
        <v>31600</v>
      </c>
      <c r="C346" s="6" t="s">
        <v>120</v>
      </c>
      <c r="D346" s="6">
        <v>98.25</v>
      </c>
      <c r="E346" s="6">
        <v>97.95</v>
      </c>
      <c r="F346" s="6">
        <v>96.98</v>
      </c>
      <c r="G346" s="6">
        <v>97.43</v>
      </c>
      <c r="H346" s="6">
        <v>97.49</v>
      </c>
      <c r="I346" s="6">
        <v>97.36</v>
      </c>
      <c r="J346" s="6">
        <v>97.72</v>
      </c>
      <c r="K346" s="6">
        <v>97.84</v>
      </c>
      <c r="L346" s="6">
        <v>97.75</v>
      </c>
      <c r="M346" s="6">
        <v>97.72</v>
      </c>
      <c r="N346" s="6">
        <v>97.83</v>
      </c>
      <c r="O346" s="6">
        <v>97.74</v>
      </c>
      <c r="P346" s="6">
        <v>97.73</v>
      </c>
      <c r="Q346" s="6">
        <v>97.84</v>
      </c>
      <c r="R346" s="6">
        <v>97.75</v>
      </c>
    </row>
    <row r="347" spans="2:18">
      <c r="B347" s="6">
        <v>31600</v>
      </c>
      <c r="C347" s="6" t="s">
        <v>120</v>
      </c>
      <c r="D347" s="6">
        <v>98.41</v>
      </c>
      <c r="E347" s="6">
        <v>98.41</v>
      </c>
      <c r="F347" s="6">
        <v>96.7</v>
      </c>
      <c r="G347" s="6">
        <v>97.88</v>
      </c>
      <c r="H347" s="6">
        <v>97.7</v>
      </c>
      <c r="I347" s="6">
        <v>97.56</v>
      </c>
      <c r="J347" s="6">
        <v>98.01</v>
      </c>
      <c r="K347" s="6">
        <v>97.7</v>
      </c>
      <c r="L347" s="6">
        <v>97.61</v>
      </c>
      <c r="M347" s="6">
        <v>98.02</v>
      </c>
      <c r="N347" s="6">
        <v>97.7</v>
      </c>
      <c r="O347" s="6">
        <v>97.61</v>
      </c>
      <c r="P347" s="6">
        <v>98.02</v>
      </c>
      <c r="Q347" s="6">
        <v>97.7</v>
      </c>
      <c r="R347" s="6">
        <v>97.61</v>
      </c>
    </row>
    <row r="348" spans="2:18">
      <c r="B348" s="6">
        <v>31601</v>
      </c>
      <c r="C348" s="6" t="s">
        <v>121</v>
      </c>
      <c r="D348" s="6">
        <v>98.94</v>
      </c>
      <c r="E348" s="6">
        <v>97.76</v>
      </c>
      <c r="F348" s="6">
        <v>98.27</v>
      </c>
      <c r="G348" s="6">
        <v>98.48</v>
      </c>
      <c r="H348" s="6">
        <v>98.4</v>
      </c>
      <c r="I348" s="6">
        <v>98.25</v>
      </c>
      <c r="J348" s="6">
        <v>98.64</v>
      </c>
      <c r="K348" s="6">
        <v>98.48</v>
      </c>
      <c r="L348" s="6">
        <v>98.3</v>
      </c>
      <c r="M348" s="6">
        <v>98.62</v>
      </c>
      <c r="N348" s="6">
        <v>98.46</v>
      </c>
      <c r="O348" s="6">
        <v>98.28</v>
      </c>
      <c r="P348" s="6">
        <v>98.52</v>
      </c>
      <c r="Q348" s="6">
        <v>98.45</v>
      </c>
      <c r="R348" s="6">
        <v>98.28</v>
      </c>
    </row>
    <row r="349" spans="2:18">
      <c r="B349" s="6">
        <v>31601</v>
      </c>
      <c r="C349" s="6" t="s">
        <v>121</v>
      </c>
      <c r="D349" s="6">
        <v>99.25</v>
      </c>
      <c r="E349" s="6">
        <v>99.17</v>
      </c>
      <c r="F349" s="6">
        <v>98.89</v>
      </c>
      <c r="G349" s="6">
        <v>99.01</v>
      </c>
      <c r="H349" s="6">
        <v>98.74</v>
      </c>
      <c r="I349" s="6">
        <v>98.68</v>
      </c>
      <c r="J349" s="6">
        <v>99.01</v>
      </c>
      <c r="K349" s="6">
        <v>98.76</v>
      </c>
      <c r="L349" s="6">
        <v>98.69</v>
      </c>
      <c r="M349" s="6">
        <v>99.01</v>
      </c>
      <c r="N349" s="6">
        <v>98.76</v>
      </c>
      <c r="O349" s="6">
        <v>98.71</v>
      </c>
      <c r="P349" s="6">
        <v>99.01</v>
      </c>
      <c r="Q349" s="6">
        <v>98.76</v>
      </c>
      <c r="R349" s="6">
        <v>98.71</v>
      </c>
    </row>
    <row r="350" spans="2:18">
      <c r="B350" s="6">
        <v>31601</v>
      </c>
      <c r="C350" s="6" t="s">
        <v>121</v>
      </c>
      <c r="D350" s="6">
        <v>98.08</v>
      </c>
      <c r="E350" s="6">
        <v>98.27</v>
      </c>
      <c r="F350" s="6">
        <v>97.87</v>
      </c>
      <c r="G350" s="6">
        <v>97.43</v>
      </c>
      <c r="H350" s="6">
        <v>97.49</v>
      </c>
      <c r="I350" s="6">
        <v>97.36</v>
      </c>
      <c r="J350" s="6">
        <v>97.72</v>
      </c>
      <c r="K350" s="6">
        <v>97.84</v>
      </c>
      <c r="L350" s="6">
        <v>97.75</v>
      </c>
      <c r="M350" s="6">
        <v>97.72</v>
      </c>
      <c r="N350" s="6">
        <v>97.83</v>
      </c>
      <c r="O350" s="6">
        <v>97.74</v>
      </c>
      <c r="P350" s="6">
        <v>97.73</v>
      </c>
      <c r="Q350" s="6">
        <v>97.84</v>
      </c>
      <c r="R350" s="6">
        <v>97.75</v>
      </c>
    </row>
    <row r="351" spans="2:18">
      <c r="B351" s="6">
        <v>31601</v>
      </c>
      <c r="C351" s="6" t="s">
        <v>121</v>
      </c>
      <c r="D351" s="6">
        <v>98.77</v>
      </c>
      <c r="E351" s="6">
        <v>97.66</v>
      </c>
      <c r="F351" s="6">
        <v>97.82</v>
      </c>
      <c r="G351" s="6">
        <v>97.88</v>
      </c>
      <c r="H351" s="6">
        <v>97.7</v>
      </c>
      <c r="I351" s="6">
        <v>97.56</v>
      </c>
      <c r="J351" s="6">
        <v>98.01</v>
      </c>
      <c r="K351" s="6">
        <v>97.7</v>
      </c>
      <c r="L351" s="6">
        <v>97.61</v>
      </c>
      <c r="M351" s="6">
        <v>98.02</v>
      </c>
      <c r="N351" s="6">
        <v>97.7</v>
      </c>
      <c r="O351" s="6">
        <v>97.61</v>
      </c>
      <c r="P351" s="6">
        <v>98.02</v>
      </c>
      <c r="Q351" s="6">
        <v>97.7</v>
      </c>
      <c r="R351" s="6">
        <v>97.61</v>
      </c>
    </row>
    <row r="352" spans="2:18">
      <c r="B352" s="6">
        <v>31602</v>
      </c>
      <c r="C352" s="6" t="s">
        <v>122</v>
      </c>
      <c r="D352" s="6">
        <v>98.53</v>
      </c>
      <c r="E352" s="6">
        <v>98.11</v>
      </c>
      <c r="F352" s="6">
        <v>98.57</v>
      </c>
      <c r="G352" s="6">
        <v>98.48</v>
      </c>
      <c r="H352" s="6">
        <v>98.4</v>
      </c>
      <c r="I352" s="6">
        <v>98.25</v>
      </c>
      <c r="J352" s="6">
        <v>98.64</v>
      </c>
      <c r="K352" s="6">
        <v>98.48</v>
      </c>
      <c r="L352" s="6">
        <v>98.3</v>
      </c>
      <c r="M352" s="6">
        <v>98.62</v>
      </c>
      <c r="N352" s="6">
        <v>98.46</v>
      </c>
      <c r="O352" s="6">
        <v>98.28</v>
      </c>
      <c r="P352" s="6">
        <v>98.52</v>
      </c>
      <c r="Q352" s="6">
        <v>98.45</v>
      </c>
      <c r="R352" s="6">
        <v>98.28</v>
      </c>
    </row>
    <row r="353" spans="2:18">
      <c r="B353" s="6">
        <v>31602</v>
      </c>
      <c r="C353" s="6" t="s">
        <v>122</v>
      </c>
      <c r="D353" s="6">
        <v>98.32</v>
      </c>
      <c r="E353" s="6">
        <v>98.03</v>
      </c>
      <c r="F353" s="6">
        <v>98.63</v>
      </c>
      <c r="G353" s="6">
        <v>99.01</v>
      </c>
      <c r="H353" s="6">
        <v>98.74</v>
      </c>
      <c r="I353" s="6">
        <v>98.68</v>
      </c>
      <c r="J353" s="6">
        <v>99.01</v>
      </c>
      <c r="K353" s="6">
        <v>98.76</v>
      </c>
      <c r="L353" s="6">
        <v>98.69</v>
      </c>
      <c r="M353" s="6">
        <v>99.01</v>
      </c>
      <c r="N353" s="6">
        <v>98.76</v>
      </c>
      <c r="O353" s="6">
        <v>98.71</v>
      </c>
      <c r="P353" s="6">
        <v>99.01</v>
      </c>
      <c r="Q353" s="6">
        <v>98.76</v>
      </c>
      <c r="R353" s="6">
        <v>98.71</v>
      </c>
    </row>
    <row r="354" spans="2:18">
      <c r="B354" s="6">
        <v>31602</v>
      </c>
      <c r="C354" s="6" t="s">
        <v>122</v>
      </c>
      <c r="D354" s="6">
        <v>95.63</v>
      </c>
      <c r="E354" s="6">
        <v>97.18</v>
      </c>
      <c r="F354" s="6">
        <v>97.76</v>
      </c>
      <c r="G354" s="6">
        <v>97.43</v>
      </c>
      <c r="H354" s="6">
        <v>97.49</v>
      </c>
      <c r="I354" s="6">
        <v>97.36</v>
      </c>
      <c r="J354" s="6">
        <v>97.72</v>
      </c>
      <c r="K354" s="6">
        <v>97.84</v>
      </c>
      <c r="L354" s="6">
        <v>97.75</v>
      </c>
      <c r="M354" s="6">
        <v>97.72</v>
      </c>
      <c r="N354" s="6">
        <v>97.83</v>
      </c>
      <c r="O354" s="6">
        <v>97.74</v>
      </c>
      <c r="P354" s="6">
        <v>97.73</v>
      </c>
      <c r="Q354" s="6">
        <v>97.84</v>
      </c>
      <c r="R354" s="6">
        <v>97.75</v>
      </c>
    </row>
    <row r="355" spans="2:18">
      <c r="B355" s="6">
        <v>31602</v>
      </c>
      <c r="C355" s="6" t="s">
        <v>122</v>
      </c>
      <c r="D355" s="6">
        <v>97.77</v>
      </c>
      <c r="E355" s="6">
        <v>97.71</v>
      </c>
      <c r="F355" s="6">
        <v>97.73</v>
      </c>
      <c r="G355" s="6">
        <v>97.88</v>
      </c>
      <c r="H355" s="6">
        <v>97.7</v>
      </c>
      <c r="I355" s="6">
        <v>97.56</v>
      </c>
      <c r="J355" s="6">
        <v>98.01</v>
      </c>
      <c r="K355" s="6">
        <v>97.7</v>
      </c>
      <c r="L355" s="6">
        <v>97.61</v>
      </c>
      <c r="M355" s="6">
        <v>98.02</v>
      </c>
      <c r="N355" s="6">
        <v>97.7</v>
      </c>
      <c r="O355" s="6">
        <v>97.61</v>
      </c>
      <c r="P355" s="6">
        <v>98.02</v>
      </c>
      <c r="Q355" s="6">
        <v>97.7</v>
      </c>
      <c r="R355" s="6">
        <v>97.61</v>
      </c>
    </row>
    <row r="356" spans="2:18">
      <c r="B356" s="6">
        <v>31651</v>
      </c>
      <c r="C356" s="6" t="s">
        <v>1128</v>
      </c>
      <c r="D356" s="6">
        <v>97.18</v>
      </c>
      <c r="E356" s="6">
        <v>97.18</v>
      </c>
      <c r="F356" s="6">
        <v>97.61</v>
      </c>
      <c r="G356" s="6">
        <v>98.48</v>
      </c>
      <c r="H356" s="6">
        <v>98.4</v>
      </c>
      <c r="I356" s="6">
        <v>98.25</v>
      </c>
      <c r="J356" s="6">
        <v>98.64</v>
      </c>
      <c r="K356" s="6">
        <v>98.48</v>
      </c>
      <c r="L356" s="6">
        <v>98.3</v>
      </c>
      <c r="M356" s="6">
        <v>98.62</v>
      </c>
      <c r="N356" s="6">
        <v>98.46</v>
      </c>
      <c r="O356" s="6">
        <v>98.28</v>
      </c>
      <c r="P356" s="6">
        <v>98.52</v>
      </c>
      <c r="Q356" s="6">
        <v>98.45</v>
      </c>
      <c r="R356" s="6">
        <v>98.28</v>
      </c>
    </row>
    <row r="357" spans="2:18">
      <c r="B357" s="6">
        <v>31651</v>
      </c>
      <c r="C357" s="6" t="s">
        <v>1128</v>
      </c>
      <c r="D357" s="6">
        <v>98.61</v>
      </c>
      <c r="E357" s="6">
        <v>98.61</v>
      </c>
      <c r="F357" s="6">
        <v>98.24</v>
      </c>
      <c r="G357" s="6">
        <v>97.97</v>
      </c>
      <c r="H357" s="6">
        <v>98.08</v>
      </c>
      <c r="I357" s="6">
        <v>98.09</v>
      </c>
      <c r="J357" s="6">
        <v>98.86</v>
      </c>
      <c r="K357" s="6">
        <v>98.85</v>
      </c>
      <c r="L357" s="6">
        <v>98.75</v>
      </c>
      <c r="M357" s="6">
        <v>98.86</v>
      </c>
      <c r="N357" s="6">
        <v>98.82</v>
      </c>
      <c r="O357" s="6">
        <v>98.74</v>
      </c>
      <c r="P357" s="6">
        <v>98.83</v>
      </c>
      <c r="Q357" s="6">
        <v>98.81</v>
      </c>
      <c r="R357" s="6">
        <v>98.73</v>
      </c>
    </row>
    <row r="358" spans="2:18">
      <c r="B358" s="6">
        <v>31651</v>
      </c>
      <c r="C358" s="6" t="s">
        <v>1128</v>
      </c>
      <c r="D358" s="6">
        <v>99.31</v>
      </c>
      <c r="E358" s="6">
        <v>99.31</v>
      </c>
      <c r="F358" s="6">
        <v>98.84</v>
      </c>
      <c r="G358" s="6">
        <v>97.43</v>
      </c>
      <c r="H358" s="6">
        <v>97.49</v>
      </c>
      <c r="I358" s="6">
        <v>97.36</v>
      </c>
      <c r="J358" s="6">
        <v>97.72</v>
      </c>
      <c r="K358" s="6">
        <v>97.84</v>
      </c>
      <c r="L358" s="6">
        <v>97.75</v>
      </c>
      <c r="M358" s="6">
        <v>97.72</v>
      </c>
      <c r="N358" s="6">
        <v>97.83</v>
      </c>
      <c r="O358" s="6">
        <v>97.74</v>
      </c>
      <c r="P358" s="6">
        <v>97.73</v>
      </c>
      <c r="Q358" s="6">
        <v>97.84</v>
      </c>
      <c r="R358" s="6">
        <v>97.75</v>
      </c>
    </row>
    <row r="359" spans="2:18">
      <c r="B359" s="6">
        <v>31651</v>
      </c>
      <c r="C359" s="6" t="s">
        <v>1128</v>
      </c>
      <c r="D359" s="6">
        <v>100</v>
      </c>
      <c r="E359" s="6">
        <v>100</v>
      </c>
      <c r="F359" s="6">
        <v>98.62</v>
      </c>
      <c r="G359" s="6">
        <v>97.88</v>
      </c>
      <c r="H359" s="6">
        <v>97.7</v>
      </c>
      <c r="I359" s="6">
        <v>97.56</v>
      </c>
      <c r="J359" s="6">
        <v>98.01</v>
      </c>
      <c r="K359" s="6">
        <v>97.7</v>
      </c>
      <c r="L359" s="6">
        <v>97.61</v>
      </c>
      <c r="M359" s="6">
        <v>98.02</v>
      </c>
      <c r="N359" s="6">
        <v>97.7</v>
      </c>
      <c r="O359" s="6">
        <v>97.61</v>
      </c>
      <c r="P359" s="6">
        <v>98.02</v>
      </c>
      <c r="Q359" s="6">
        <v>97.7</v>
      </c>
      <c r="R359" s="6">
        <v>97.61</v>
      </c>
    </row>
    <row r="360" spans="2:18">
      <c r="B360" s="6">
        <v>31652</v>
      </c>
      <c r="C360" s="6" t="s">
        <v>123</v>
      </c>
      <c r="D360" s="6">
        <v>94.44</v>
      </c>
      <c r="E360" s="6">
        <v>98.68</v>
      </c>
      <c r="F360" s="6">
        <v>98.69</v>
      </c>
      <c r="G360" s="6">
        <v>98.48</v>
      </c>
      <c r="H360" s="6">
        <v>98.4</v>
      </c>
      <c r="I360" s="6">
        <v>98.25</v>
      </c>
      <c r="J360" s="6">
        <v>98.64</v>
      </c>
      <c r="K360" s="6">
        <v>98.48</v>
      </c>
      <c r="L360" s="6">
        <v>98.3</v>
      </c>
      <c r="M360" s="6">
        <v>98.62</v>
      </c>
      <c r="N360" s="6">
        <v>98.46</v>
      </c>
      <c r="O360" s="6">
        <v>98.28</v>
      </c>
      <c r="P360" s="6">
        <v>98.52</v>
      </c>
      <c r="Q360" s="6">
        <v>98.45</v>
      </c>
      <c r="R360" s="6">
        <v>98.28</v>
      </c>
    </row>
    <row r="361" spans="2:18">
      <c r="B361" s="6">
        <v>31652</v>
      </c>
      <c r="C361" s="6" t="s">
        <v>123</v>
      </c>
      <c r="D361" s="6">
        <v>94.74</v>
      </c>
      <c r="E361" s="6">
        <v>98.7</v>
      </c>
      <c r="F361" s="6">
        <v>98.7</v>
      </c>
      <c r="G361" s="6">
        <v>97.97</v>
      </c>
      <c r="H361" s="6">
        <v>98.08</v>
      </c>
      <c r="I361" s="6">
        <v>98.09</v>
      </c>
      <c r="J361" s="6">
        <v>98.86</v>
      </c>
      <c r="K361" s="6">
        <v>98.85</v>
      </c>
      <c r="L361" s="6">
        <v>98.75</v>
      </c>
      <c r="M361" s="6">
        <v>98.86</v>
      </c>
      <c r="N361" s="6">
        <v>98.82</v>
      </c>
      <c r="O361" s="6">
        <v>98.74</v>
      </c>
      <c r="P361" s="6">
        <v>98.83</v>
      </c>
      <c r="Q361" s="6">
        <v>98.81</v>
      </c>
      <c r="R361" s="6">
        <v>98.73</v>
      </c>
    </row>
    <row r="362" spans="2:18">
      <c r="B362" s="6">
        <v>31652</v>
      </c>
      <c r="C362" s="6" t="s">
        <v>123</v>
      </c>
      <c r="D362" s="6">
        <v>88.37</v>
      </c>
      <c r="E362" s="6">
        <v>96.86</v>
      </c>
      <c r="F362" s="6">
        <v>96.66</v>
      </c>
      <c r="G362" s="6">
        <v>97.43</v>
      </c>
      <c r="H362" s="6">
        <v>97.49</v>
      </c>
      <c r="I362" s="6">
        <v>97.36</v>
      </c>
      <c r="J362" s="6">
        <v>97.72</v>
      </c>
      <c r="K362" s="6">
        <v>97.84</v>
      </c>
      <c r="L362" s="6">
        <v>97.75</v>
      </c>
      <c r="M362" s="6">
        <v>97.72</v>
      </c>
      <c r="N362" s="6">
        <v>97.83</v>
      </c>
      <c r="O362" s="6">
        <v>97.74</v>
      </c>
      <c r="P362" s="6">
        <v>97.73</v>
      </c>
      <c r="Q362" s="6">
        <v>97.84</v>
      </c>
      <c r="R362" s="6">
        <v>97.75</v>
      </c>
    </row>
    <row r="363" spans="2:18">
      <c r="B363" s="6">
        <v>31652</v>
      </c>
      <c r="C363" s="6" t="s">
        <v>123</v>
      </c>
      <c r="D363" s="6">
        <v>94.12</v>
      </c>
      <c r="E363" s="6">
        <v>98.67</v>
      </c>
      <c r="F363" s="6">
        <v>99.11</v>
      </c>
      <c r="G363" s="6">
        <v>97.88</v>
      </c>
      <c r="H363" s="6">
        <v>97.7</v>
      </c>
      <c r="I363" s="6">
        <v>97.56</v>
      </c>
      <c r="J363" s="6">
        <v>98.01</v>
      </c>
      <c r="K363" s="6">
        <v>97.7</v>
      </c>
      <c r="L363" s="6">
        <v>97.61</v>
      </c>
      <c r="M363" s="6">
        <v>98.02</v>
      </c>
      <c r="N363" s="6">
        <v>97.7</v>
      </c>
      <c r="O363" s="6">
        <v>97.61</v>
      </c>
      <c r="P363" s="6">
        <v>98.02</v>
      </c>
      <c r="Q363" s="6">
        <v>97.7</v>
      </c>
      <c r="R363" s="6">
        <v>97.61</v>
      </c>
    </row>
    <row r="364" spans="2:18">
      <c r="B364" s="6">
        <v>31653</v>
      </c>
      <c r="C364" s="6" t="s">
        <v>124</v>
      </c>
      <c r="D364" s="6">
        <v>0</v>
      </c>
      <c r="E364" s="6">
        <v>98.69</v>
      </c>
      <c r="F364" s="6">
        <v>99.21</v>
      </c>
      <c r="G364" s="6">
        <v>98.48</v>
      </c>
      <c r="H364" s="6">
        <v>98.4</v>
      </c>
      <c r="I364" s="6">
        <v>98.25</v>
      </c>
      <c r="J364" s="6">
        <v>98.64</v>
      </c>
      <c r="K364" s="6">
        <v>98.48</v>
      </c>
      <c r="L364" s="6">
        <v>98.3</v>
      </c>
      <c r="M364" s="6">
        <v>98.62</v>
      </c>
      <c r="N364" s="6">
        <v>98.46</v>
      </c>
      <c r="O364" s="6">
        <v>98.28</v>
      </c>
      <c r="P364" s="6">
        <v>98.52</v>
      </c>
      <c r="Q364" s="6">
        <v>98.45</v>
      </c>
      <c r="R364" s="6">
        <v>98.28</v>
      </c>
    </row>
    <row r="365" spans="2:18">
      <c r="B365" s="6">
        <v>31653</v>
      </c>
      <c r="C365" s="6" t="s">
        <v>124</v>
      </c>
      <c r="D365" s="6">
        <v>0</v>
      </c>
      <c r="E365" s="6">
        <v>98.71</v>
      </c>
      <c r="F365" s="6">
        <v>99.21</v>
      </c>
      <c r="G365" s="6">
        <v>99.01</v>
      </c>
      <c r="H365" s="6">
        <v>98.74</v>
      </c>
      <c r="I365" s="6">
        <v>98.68</v>
      </c>
      <c r="J365" s="6">
        <v>99.01</v>
      </c>
      <c r="K365" s="6">
        <v>98.76</v>
      </c>
      <c r="L365" s="6">
        <v>98.69</v>
      </c>
      <c r="M365" s="6">
        <v>99.01</v>
      </c>
      <c r="N365" s="6">
        <v>98.76</v>
      </c>
      <c r="O365" s="6">
        <v>98.71</v>
      </c>
      <c r="P365" s="6">
        <v>99.01</v>
      </c>
      <c r="Q365" s="6">
        <v>98.76</v>
      </c>
      <c r="R365" s="6">
        <v>98.71</v>
      </c>
    </row>
    <row r="366" spans="2:18">
      <c r="B366" s="6">
        <v>31653</v>
      </c>
      <c r="C366" s="6" t="s">
        <v>124</v>
      </c>
      <c r="D366" s="6">
        <v>0</v>
      </c>
      <c r="E366" s="6">
        <v>96.88</v>
      </c>
      <c r="F366" s="6">
        <v>98.07</v>
      </c>
      <c r="G366" s="6">
        <v>97.43</v>
      </c>
      <c r="H366" s="6">
        <v>97.49</v>
      </c>
      <c r="I366" s="6">
        <v>97.36</v>
      </c>
      <c r="J366" s="6">
        <v>97.72</v>
      </c>
      <c r="K366" s="6">
        <v>97.84</v>
      </c>
      <c r="L366" s="6">
        <v>97.75</v>
      </c>
      <c r="M366" s="6">
        <v>97.72</v>
      </c>
      <c r="N366" s="6">
        <v>97.83</v>
      </c>
      <c r="O366" s="6">
        <v>97.74</v>
      </c>
      <c r="P366" s="6">
        <v>97.73</v>
      </c>
      <c r="Q366" s="6">
        <v>97.84</v>
      </c>
      <c r="R366" s="6">
        <v>97.75</v>
      </c>
    </row>
    <row r="367" spans="2:18">
      <c r="B367" s="6">
        <v>31653</v>
      </c>
      <c r="C367" s="6" t="s">
        <v>124</v>
      </c>
      <c r="D367" s="6">
        <v>0</v>
      </c>
      <c r="E367" s="6">
        <v>97.02</v>
      </c>
      <c r="F367" s="6">
        <v>98.2</v>
      </c>
      <c r="G367" s="6">
        <v>97.88</v>
      </c>
      <c r="H367" s="6">
        <v>97.7</v>
      </c>
      <c r="I367" s="6">
        <v>97.56</v>
      </c>
      <c r="J367" s="6">
        <v>98.01</v>
      </c>
      <c r="K367" s="6">
        <v>97.7</v>
      </c>
      <c r="L367" s="6">
        <v>97.61</v>
      </c>
      <c r="M367" s="6">
        <v>98.02</v>
      </c>
      <c r="N367" s="6">
        <v>97.7</v>
      </c>
      <c r="O367" s="6">
        <v>97.61</v>
      </c>
      <c r="P367" s="6">
        <v>98.02</v>
      </c>
      <c r="Q367" s="6">
        <v>97.7</v>
      </c>
      <c r="R367" s="6">
        <v>97.61</v>
      </c>
    </row>
    <row r="368" spans="2:18">
      <c r="B368" s="6">
        <v>31655</v>
      </c>
      <c r="C368" s="6" t="s">
        <v>223</v>
      </c>
      <c r="D368" s="6">
        <v>99.49</v>
      </c>
      <c r="E368" s="6">
        <v>98.43</v>
      </c>
      <c r="F368" s="6">
        <v>95.73</v>
      </c>
      <c r="G368" s="6">
        <v>98.77</v>
      </c>
      <c r="H368" s="6">
        <v>98.55</v>
      </c>
      <c r="I368" s="6">
        <v>98.72</v>
      </c>
      <c r="J368" s="6">
        <v>98.23</v>
      </c>
      <c r="K368" s="6">
        <v>98.19</v>
      </c>
      <c r="L368" s="6">
        <v>98.1</v>
      </c>
      <c r="M368" s="6">
        <v>98.23</v>
      </c>
      <c r="N368" s="6">
        <v>98.19</v>
      </c>
      <c r="O368" s="6">
        <v>98.1</v>
      </c>
      <c r="P368" s="6">
        <v>98.04</v>
      </c>
      <c r="Q368" s="6">
        <v>98.09</v>
      </c>
      <c r="R368" s="6">
        <v>97.91</v>
      </c>
    </row>
    <row r="369" spans="2:18">
      <c r="B369" s="6">
        <v>31655</v>
      </c>
      <c r="C369" s="6" t="s">
        <v>223</v>
      </c>
      <c r="D369" s="6">
        <v>0</v>
      </c>
      <c r="E369" s="6">
        <v>99.67</v>
      </c>
      <c r="F369" s="6">
        <v>99.26</v>
      </c>
      <c r="G369" s="6">
        <v>99.43</v>
      </c>
      <c r="H369" s="6">
        <v>99.52</v>
      </c>
      <c r="I369" s="6">
        <v>99.53</v>
      </c>
      <c r="J369" s="6">
        <v>99.26</v>
      </c>
      <c r="K369" s="6">
        <v>99.39</v>
      </c>
      <c r="L369" s="6">
        <v>99.39</v>
      </c>
      <c r="M369" s="6">
        <v>99.26</v>
      </c>
      <c r="N369" s="6">
        <v>99.39</v>
      </c>
      <c r="O369" s="6">
        <v>99.39</v>
      </c>
      <c r="P369" s="6">
        <v>99.26</v>
      </c>
      <c r="Q369" s="6">
        <v>99.39</v>
      </c>
      <c r="R369" s="6">
        <v>99.39</v>
      </c>
    </row>
    <row r="370" spans="2:18">
      <c r="B370" s="6">
        <v>31655</v>
      </c>
      <c r="C370" s="6" t="s">
        <v>223</v>
      </c>
      <c r="D370" s="6">
        <v>0</v>
      </c>
      <c r="E370" s="6">
        <v>0</v>
      </c>
      <c r="F370" s="6">
        <v>93.02</v>
      </c>
      <c r="G370" s="6">
        <v>0</v>
      </c>
      <c r="H370" s="6">
        <v>0</v>
      </c>
      <c r="I370" s="6">
        <v>93.02</v>
      </c>
      <c r="J370" s="6">
        <v>0</v>
      </c>
      <c r="K370" s="6">
        <v>0</v>
      </c>
      <c r="L370" s="6">
        <v>93.02</v>
      </c>
      <c r="M370" s="6">
        <v>0</v>
      </c>
      <c r="N370" s="6">
        <v>0</v>
      </c>
      <c r="O370" s="6">
        <v>93.02</v>
      </c>
      <c r="P370" s="6">
        <v>99.83</v>
      </c>
      <c r="Q370" s="6">
        <v>98.58</v>
      </c>
      <c r="R370" s="6">
        <v>97.89</v>
      </c>
    </row>
    <row r="371" spans="2:18">
      <c r="B371" s="6">
        <v>31668</v>
      </c>
      <c r="C371" s="6" t="s">
        <v>224</v>
      </c>
      <c r="D371" s="6">
        <v>0</v>
      </c>
      <c r="E371" s="6">
        <v>0</v>
      </c>
      <c r="F371" s="6">
        <v>97.5</v>
      </c>
      <c r="G371" s="6">
        <v>98.75</v>
      </c>
      <c r="H371" s="6">
        <v>98.75</v>
      </c>
      <c r="I371" s="6">
        <v>98.14</v>
      </c>
      <c r="J371" s="6">
        <v>98.75</v>
      </c>
      <c r="K371" s="6">
        <v>98.75</v>
      </c>
      <c r="L371" s="6">
        <v>98.14</v>
      </c>
      <c r="M371" s="6">
        <v>98.75</v>
      </c>
      <c r="N371" s="6">
        <v>98.75</v>
      </c>
      <c r="O371" s="6">
        <v>98.14</v>
      </c>
      <c r="P371" s="6">
        <v>96.61</v>
      </c>
      <c r="Q371" s="6">
        <v>97.38</v>
      </c>
      <c r="R371" s="6">
        <v>96.74</v>
      </c>
    </row>
    <row r="372" spans="2:18">
      <c r="B372" s="6">
        <v>31686</v>
      </c>
      <c r="C372" s="6" t="s">
        <v>125</v>
      </c>
      <c r="D372" s="6">
        <v>98.98</v>
      </c>
      <c r="E372" s="6">
        <v>98.9</v>
      </c>
      <c r="F372" s="6">
        <v>99.02</v>
      </c>
      <c r="G372" s="6">
        <v>98.48</v>
      </c>
      <c r="H372" s="6">
        <v>98.4</v>
      </c>
      <c r="I372" s="6">
        <v>98.25</v>
      </c>
      <c r="J372" s="6">
        <v>98.64</v>
      </c>
      <c r="K372" s="6">
        <v>98.48</v>
      </c>
      <c r="L372" s="6">
        <v>98.3</v>
      </c>
      <c r="M372" s="6">
        <v>98.62</v>
      </c>
      <c r="N372" s="6">
        <v>98.46</v>
      </c>
      <c r="O372" s="6">
        <v>98.28</v>
      </c>
      <c r="P372" s="6">
        <v>98.52</v>
      </c>
      <c r="Q372" s="6">
        <v>98.45</v>
      </c>
      <c r="R372" s="6">
        <v>98.28</v>
      </c>
    </row>
    <row r="373" spans="2:18">
      <c r="B373" s="6">
        <v>31686</v>
      </c>
      <c r="C373" s="6" t="s">
        <v>125</v>
      </c>
      <c r="D373" s="6">
        <v>98.99</v>
      </c>
      <c r="E373" s="6">
        <v>98.92</v>
      </c>
      <c r="F373" s="6">
        <v>99.03</v>
      </c>
      <c r="G373" s="6">
        <v>98.72</v>
      </c>
      <c r="H373" s="6">
        <v>98.71</v>
      </c>
      <c r="I373" s="6">
        <v>98.75</v>
      </c>
      <c r="J373" s="6">
        <v>98.77</v>
      </c>
      <c r="K373" s="6">
        <v>98.75</v>
      </c>
      <c r="L373" s="6">
        <v>98.72</v>
      </c>
      <c r="M373" s="6">
        <v>98.71</v>
      </c>
      <c r="N373" s="6">
        <v>98.7</v>
      </c>
      <c r="O373" s="6">
        <v>98.68</v>
      </c>
      <c r="P373" s="6">
        <v>98.71</v>
      </c>
      <c r="Q373" s="6">
        <v>98.7</v>
      </c>
      <c r="R373" s="6">
        <v>98.68</v>
      </c>
    </row>
    <row r="374" spans="2:18">
      <c r="B374" s="6">
        <v>31686</v>
      </c>
      <c r="C374" s="6" t="s">
        <v>125</v>
      </c>
      <c r="D374" s="6">
        <v>97.69</v>
      </c>
      <c r="E374" s="6">
        <v>96.44</v>
      </c>
      <c r="F374" s="6">
        <v>96.38</v>
      </c>
      <c r="G374" s="6">
        <v>97.43</v>
      </c>
      <c r="H374" s="6">
        <v>97.49</v>
      </c>
      <c r="I374" s="6">
        <v>97.36</v>
      </c>
      <c r="J374" s="6">
        <v>97.72</v>
      </c>
      <c r="K374" s="6">
        <v>97.84</v>
      </c>
      <c r="L374" s="6">
        <v>97.75</v>
      </c>
      <c r="M374" s="6">
        <v>97.72</v>
      </c>
      <c r="N374" s="6">
        <v>97.83</v>
      </c>
      <c r="O374" s="6">
        <v>97.74</v>
      </c>
      <c r="P374" s="6">
        <v>97.73</v>
      </c>
      <c r="Q374" s="6">
        <v>97.84</v>
      </c>
      <c r="R374" s="6">
        <v>97.75</v>
      </c>
    </row>
    <row r="375" spans="2:18">
      <c r="B375" s="6">
        <v>31686</v>
      </c>
      <c r="C375" s="6" t="s">
        <v>125</v>
      </c>
      <c r="D375" s="6">
        <v>98.97</v>
      </c>
      <c r="E375" s="6">
        <v>95.9</v>
      </c>
      <c r="F375" s="6">
        <v>97.09</v>
      </c>
      <c r="G375" s="6">
        <v>97.88</v>
      </c>
      <c r="H375" s="6">
        <v>97.7</v>
      </c>
      <c r="I375" s="6">
        <v>97.56</v>
      </c>
      <c r="J375" s="6">
        <v>98.01</v>
      </c>
      <c r="K375" s="6">
        <v>97.7</v>
      </c>
      <c r="L375" s="6">
        <v>97.61</v>
      </c>
      <c r="M375" s="6">
        <v>98.02</v>
      </c>
      <c r="N375" s="6">
        <v>97.7</v>
      </c>
      <c r="O375" s="6">
        <v>97.61</v>
      </c>
      <c r="P375" s="6">
        <v>98.02</v>
      </c>
      <c r="Q375" s="6">
        <v>97.7</v>
      </c>
      <c r="R375" s="6">
        <v>97.61</v>
      </c>
    </row>
    <row r="376" spans="2:18">
      <c r="B376" s="6">
        <v>31697</v>
      </c>
      <c r="C376" s="6" t="s">
        <v>1175</v>
      </c>
      <c r="D376" s="6">
        <v>0</v>
      </c>
      <c r="E376" s="6">
        <v>0</v>
      </c>
      <c r="F376" s="6">
        <v>83.33</v>
      </c>
      <c r="G376" s="6">
        <v>0</v>
      </c>
      <c r="H376" s="6">
        <v>0</v>
      </c>
      <c r="I376" s="6">
        <v>83.33</v>
      </c>
      <c r="J376" s="6">
        <v>0</v>
      </c>
      <c r="K376" s="6">
        <v>0</v>
      </c>
      <c r="L376" s="6">
        <v>83.33</v>
      </c>
      <c r="M376" s="6">
        <v>0</v>
      </c>
      <c r="N376" s="6">
        <v>0</v>
      </c>
      <c r="O376" s="6">
        <v>83.33</v>
      </c>
      <c r="P376" s="6">
        <v>0</v>
      </c>
      <c r="Q376" s="6">
        <v>0</v>
      </c>
      <c r="R376" s="6">
        <v>83.33</v>
      </c>
    </row>
    <row r="377" spans="2:18">
      <c r="B377" s="6">
        <v>31697</v>
      </c>
      <c r="C377" s="6" t="s">
        <v>1175</v>
      </c>
      <c r="D377" s="6">
        <v>0</v>
      </c>
      <c r="E377" s="6">
        <v>0</v>
      </c>
      <c r="F377" s="6">
        <v>60</v>
      </c>
      <c r="G377" s="6">
        <v>80.86</v>
      </c>
      <c r="H377" s="6">
        <v>83.63</v>
      </c>
      <c r="I377" s="6">
        <v>83.96</v>
      </c>
      <c r="J377" s="6">
        <v>80.86</v>
      </c>
      <c r="K377" s="6">
        <v>83.63</v>
      </c>
      <c r="L377" s="6">
        <v>83.87</v>
      </c>
      <c r="M377" s="6">
        <v>80.86</v>
      </c>
      <c r="N377" s="6">
        <v>83.63</v>
      </c>
      <c r="O377" s="6">
        <v>83.87</v>
      </c>
      <c r="P377" s="6">
        <v>80.86</v>
      </c>
      <c r="Q377" s="6">
        <v>83.63</v>
      </c>
      <c r="R377" s="6">
        <v>83.87</v>
      </c>
    </row>
    <row r="378" spans="2:18">
      <c r="B378" s="6">
        <v>31702</v>
      </c>
      <c r="C378" s="6" t="s">
        <v>1185</v>
      </c>
      <c r="D378" s="6">
        <v>0</v>
      </c>
      <c r="E378" s="6">
        <v>90.91</v>
      </c>
      <c r="F378" s="6">
        <v>90.91</v>
      </c>
      <c r="G378" s="6">
        <v>80.86</v>
      </c>
      <c r="H378" s="6">
        <v>83.63</v>
      </c>
      <c r="I378" s="6">
        <v>83.96</v>
      </c>
      <c r="J378" s="6">
        <v>80.86</v>
      </c>
      <c r="K378" s="6">
        <v>83.63</v>
      </c>
      <c r="L378" s="6">
        <v>83.87</v>
      </c>
      <c r="M378" s="6">
        <v>80.86</v>
      </c>
      <c r="N378" s="6">
        <v>83.63</v>
      </c>
      <c r="O378" s="6">
        <v>83.87</v>
      </c>
      <c r="P378" s="6">
        <v>80.86</v>
      </c>
      <c r="Q378" s="6">
        <v>83.63</v>
      </c>
      <c r="R378" s="6">
        <v>83.87</v>
      </c>
    </row>
    <row r="379" spans="2:18">
      <c r="B379" s="6">
        <v>31704</v>
      </c>
      <c r="C379" s="6" t="s">
        <v>225</v>
      </c>
      <c r="D379" s="6">
        <v>96.1</v>
      </c>
      <c r="E379" s="6">
        <v>97.8</v>
      </c>
      <c r="F379" s="6">
        <v>98.65</v>
      </c>
      <c r="G379" s="6">
        <v>98.77</v>
      </c>
      <c r="H379" s="6">
        <v>98.55</v>
      </c>
      <c r="I379" s="6">
        <v>98.72</v>
      </c>
      <c r="J379" s="6">
        <v>98.23</v>
      </c>
      <c r="K379" s="6">
        <v>98.19</v>
      </c>
      <c r="L379" s="6">
        <v>98.1</v>
      </c>
      <c r="M379" s="6">
        <v>98.23</v>
      </c>
      <c r="N379" s="6">
        <v>98.19</v>
      </c>
      <c r="O379" s="6">
        <v>98.1</v>
      </c>
      <c r="P379" s="6">
        <v>98.04</v>
      </c>
      <c r="Q379" s="6">
        <v>98.09</v>
      </c>
      <c r="R379" s="6">
        <v>97.91</v>
      </c>
    </row>
    <row r="380" spans="2:18">
      <c r="B380" s="6">
        <v>31704</v>
      </c>
      <c r="C380" s="6" t="s">
        <v>225</v>
      </c>
      <c r="D380" s="6">
        <v>99.6</v>
      </c>
      <c r="E380" s="6">
        <v>99.53</v>
      </c>
      <c r="F380" s="6">
        <v>99.56</v>
      </c>
      <c r="G380" s="6">
        <v>99.43</v>
      </c>
      <c r="H380" s="6">
        <v>99.52</v>
      </c>
      <c r="I380" s="6">
        <v>99.53</v>
      </c>
      <c r="J380" s="6">
        <v>99.26</v>
      </c>
      <c r="K380" s="6">
        <v>99.39</v>
      </c>
      <c r="L380" s="6">
        <v>99.39</v>
      </c>
      <c r="M380" s="6">
        <v>99.26</v>
      </c>
      <c r="N380" s="6">
        <v>99.39</v>
      </c>
      <c r="O380" s="6">
        <v>99.39</v>
      </c>
      <c r="P380" s="6">
        <v>99.26</v>
      </c>
      <c r="Q380" s="6">
        <v>99.39</v>
      </c>
      <c r="R380" s="6">
        <v>99.39</v>
      </c>
    </row>
    <row r="381" spans="2:18">
      <c r="B381" s="6">
        <v>31709</v>
      </c>
      <c r="C381" s="6" t="s">
        <v>126</v>
      </c>
      <c r="D381" s="6">
        <v>99.19</v>
      </c>
      <c r="E381" s="6">
        <v>99.19</v>
      </c>
      <c r="F381" s="6">
        <v>98.5</v>
      </c>
      <c r="G381" s="6">
        <v>98.48</v>
      </c>
      <c r="H381" s="6">
        <v>98.4</v>
      </c>
      <c r="I381" s="6">
        <v>98.25</v>
      </c>
      <c r="J381" s="6">
        <v>98.64</v>
      </c>
      <c r="K381" s="6">
        <v>98.48</v>
      </c>
      <c r="L381" s="6">
        <v>98.3</v>
      </c>
      <c r="M381" s="6">
        <v>98.62</v>
      </c>
      <c r="N381" s="6">
        <v>98.46</v>
      </c>
      <c r="O381" s="6">
        <v>98.28</v>
      </c>
      <c r="P381" s="6">
        <v>98.52</v>
      </c>
      <c r="Q381" s="6">
        <v>98.45</v>
      </c>
      <c r="R381" s="6">
        <v>98.28</v>
      </c>
    </row>
    <row r="382" spans="2:18">
      <c r="B382" s="6">
        <v>31709</v>
      </c>
      <c r="C382" s="6" t="s">
        <v>126</v>
      </c>
      <c r="D382" s="6">
        <v>99.2</v>
      </c>
      <c r="E382" s="6">
        <v>99.2</v>
      </c>
      <c r="F382" s="6">
        <v>98.53</v>
      </c>
      <c r="G382" s="6">
        <v>99.01</v>
      </c>
      <c r="H382" s="6">
        <v>98.74</v>
      </c>
      <c r="I382" s="6">
        <v>98.68</v>
      </c>
      <c r="J382" s="6">
        <v>99.01</v>
      </c>
      <c r="K382" s="6">
        <v>98.76</v>
      </c>
      <c r="L382" s="6">
        <v>98.69</v>
      </c>
      <c r="M382" s="6">
        <v>99.01</v>
      </c>
      <c r="N382" s="6">
        <v>98.76</v>
      </c>
      <c r="O382" s="6">
        <v>98.71</v>
      </c>
      <c r="P382" s="6">
        <v>99.01</v>
      </c>
      <c r="Q382" s="6">
        <v>98.76</v>
      </c>
      <c r="R382" s="6">
        <v>98.71</v>
      </c>
    </row>
    <row r="383" spans="2:18">
      <c r="B383" s="6">
        <v>31709</v>
      </c>
      <c r="C383" s="6" t="s">
        <v>126</v>
      </c>
      <c r="D383" s="6">
        <v>98.04</v>
      </c>
      <c r="E383" s="6">
        <v>98.04</v>
      </c>
      <c r="F383" s="6">
        <v>97.58</v>
      </c>
      <c r="G383" s="6">
        <v>97.43</v>
      </c>
      <c r="H383" s="6">
        <v>97.49</v>
      </c>
      <c r="I383" s="6">
        <v>97.36</v>
      </c>
      <c r="J383" s="6">
        <v>97.72</v>
      </c>
      <c r="K383" s="6">
        <v>97.84</v>
      </c>
      <c r="L383" s="6">
        <v>97.75</v>
      </c>
      <c r="M383" s="6">
        <v>97.72</v>
      </c>
      <c r="N383" s="6">
        <v>97.83</v>
      </c>
      <c r="O383" s="6">
        <v>97.74</v>
      </c>
      <c r="P383" s="6">
        <v>97.73</v>
      </c>
      <c r="Q383" s="6">
        <v>97.84</v>
      </c>
      <c r="R383" s="6">
        <v>97.75</v>
      </c>
    </row>
    <row r="384" spans="2:18">
      <c r="B384" s="6">
        <v>31709</v>
      </c>
      <c r="C384" s="6" t="s">
        <v>126</v>
      </c>
      <c r="D384" s="6">
        <v>98.37</v>
      </c>
      <c r="E384" s="6">
        <v>97.47</v>
      </c>
      <c r="F384" s="6">
        <v>97.96</v>
      </c>
      <c r="G384" s="6">
        <v>97.88</v>
      </c>
      <c r="H384" s="6">
        <v>97.7</v>
      </c>
      <c r="I384" s="6">
        <v>97.56</v>
      </c>
      <c r="J384" s="6">
        <v>98.01</v>
      </c>
      <c r="K384" s="6">
        <v>97.7</v>
      </c>
      <c r="L384" s="6">
        <v>97.61</v>
      </c>
      <c r="M384" s="6">
        <v>98.02</v>
      </c>
      <c r="N384" s="6">
        <v>97.7</v>
      </c>
      <c r="O384" s="6">
        <v>97.61</v>
      </c>
      <c r="P384" s="6">
        <v>98.02</v>
      </c>
      <c r="Q384" s="6">
        <v>97.7</v>
      </c>
      <c r="R384" s="6">
        <v>97.61</v>
      </c>
    </row>
    <row r="385" spans="2:18">
      <c r="B385" s="6">
        <v>31722</v>
      </c>
      <c r="C385" s="6" t="s">
        <v>226</v>
      </c>
      <c r="D385" s="6">
        <v>99.6</v>
      </c>
      <c r="E385" s="6">
        <v>99.42</v>
      </c>
      <c r="F385" s="6">
        <v>99.4</v>
      </c>
      <c r="G385" s="6">
        <v>98.77</v>
      </c>
      <c r="H385" s="6">
        <v>98.55</v>
      </c>
      <c r="I385" s="6">
        <v>98.72</v>
      </c>
      <c r="J385" s="6">
        <v>98.23</v>
      </c>
      <c r="K385" s="6">
        <v>98.19</v>
      </c>
      <c r="L385" s="6">
        <v>98.1</v>
      </c>
      <c r="M385" s="6">
        <v>98.23</v>
      </c>
      <c r="N385" s="6">
        <v>98.19</v>
      </c>
      <c r="O385" s="6">
        <v>98.1</v>
      </c>
      <c r="P385" s="6">
        <v>98.04</v>
      </c>
      <c r="Q385" s="6">
        <v>98.09</v>
      </c>
      <c r="R385" s="6">
        <v>97.91</v>
      </c>
    </row>
    <row r="386" spans="2:18">
      <c r="B386" s="6">
        <v>31722</v>
      </c>
      <c r="C386" s="6" t="s">
        <v>226</v>
      </c>
      <c r="D386" s="6">
        <v>99.61</v>
      </c>
      <c r="E386" s="6">
        <v>99.4</v>
      </c>
      <c r="F386" s="6">
        <v>99.51</v>
      </c>
      <c r="G386" s="6">
        <v>99.43</v>
      </c>
      <c r="H386" s="6">
        <v>99.52</v>
      </c>
      <c r="I386" s="6">
        <v>99.53</v>
      </c>
      <c r="J386" s="6">
        <v>99.26</v>
      </c>
      <c r="K386" s="6">
        <v>99.39</v>
      </c>
      <c r="L386" s="6">
        <v>99.39</v>
      </c>
      <c r="M386" s="6">
        <v>99.26</v>
      </c>
      <c r="N386" s="6">
        <v>99.39</v>
      </c>
      <c r="O386" s="6">
        <v>99.39</v>
      </c>
      <c r="P386" s="6">
        <v>99.26</v>
      </c>
      <c r="Q386" s="6">
        <v>99.39</v>
      </c>
      <c r="R386" s="6">
        <v>99.39</v>
      </c>
    </row>
    <row r="387" spans="2:18">
      <c r="B387" s="6">
        <v>31726</v>
      </c>
      <c r="C387" s="6" t="s">
        <v>127</v>
      </c>
      <c r="D387" s="6">
        <v>0</v>
      </c>
      <c r="E387" s="6">
        <v>97.99</v>
      </c>
      <c r="F387" s="6">
        <v>97.99</v>
      </c>
      <c r="G387" s="6">
        <v>98.74</v>
      </c>
      <c r="H387" s="6">
        <v>98.55</v>
      </c>
      <c r="I387" s="6">
        <v>98.22</v>
      </c>
      <c r="J387" s="6">
        <v>98.64</v>
      </c>
      <c r="K387" s="6">
        <v>98.48</v>
      </c>
      <c r="L387" s="6">
        <v>98.3</v>
      </c>
      <c r="M387" s="6">
        <v>98.62</v>
      </c>
      <c r="N387" s="6">
        <v>98.46</v>
      </c>
      <c r="O387" s="6">
        <v>98.28</v>
      </c>
      <c r="P387" s="6">
        <v>98.52</v>
      </c>
      <c r="Q387" s="6">
        <v>98.45</v>
      </c>
      <c r="R387" s="6">
        <v>98.28</v>
      </c>
    </row>
    <row r="388" spans="2:18">
      <c r="B388" s="6">
        <v>31726</v>
      </c>
      <c r="C388" s="6" t="s">
        <v>127</v>
      </c>
      <c r="D388" s="6">
        <v>0</v>
      </c>
      <c r="E388" s="6">
        <v>98.03</v>
      </c>
      <c r="F388" s="6">
        <v>98.03</v>
      </c>
      <c r="G388" s="6">
        <v>98.85</v>
      </c>
      <c r="H388" s="6">
        <v>98.85</v>
      </c>
      <c r="I388" s="6">
        <v>98.64</v>
      </c>
      <c r="J388" s="6">
        <v>98.86</v>
      </c>
      <c r="K388" s="6">
        <v>98.85</v>
      </c>
      <c r="L388" s="6">
        <v>98.75</v>
      </c>
      <c r="M388" s="6">
        <v>98.86</v>
      </c>
      <c r="N388" s="6">
        <v>98.82</v>
      </c>
      <c r="O388" s="6">
        <v>98.74</v>
      </c>
      <c r="P388" s="6">
        <v>98.83</v>
      </c>
      <c r="Q388" s="6">
        <v>98.81</v>
      </c>
      <c r="R388" s="6">
        <v>98.73</v>
      </c>
    </row>
    <row r="389" spans="2:18">
      <c r="B389" s="6">
        <v>31726</v>
      </c>
      <c r="C389" s="6" t="s">
        <v>127</v>
      </c>
      <c r="D389" s="6">
        <v>0</v>
      </c>
      <c r="E389" s="6">
        <v>97.13</v>
      </c>
      <c r="F389" s="6">
        <v>97.13</v>
      </c>
      <c r="G389" s="6">
        <v>97.49</v>
      </c>
      <c r="H389" s="6">
        <v>97.66</v>
      </c>
      <c r="I389" s="6">
        <v>97.52</v>
      </c>
      <c r="J389" s="6">
        <v>97.72</v>
      </c>
      <c r="K389" s="6">
        <v>97.84</v>
      </c>
      <c r="L389" s="6">
        <v>97.75</v>
      </c>
      <c r="M389" s="6">
        <v>97.72</v>
      </c>
      <c r="N389" s="6">
        <v>97.83</v>
      </c>
      <c r="O389" s="6">
        <v>97.74</v>
      </c>
      <c r="P389" s="6">
        <v>97.73</v>
      </c>
      <c r="Q389" s="6">
        <v>97.84</v>
      </c>
      <c r="R389" s="6">
        <v>97.75</v>
      </c>
    </row>
    <row r="390" spans="2:18">
      <c r="B390" s="6">
        <v>31726</v>
      </c>
      <c r="C390" s="6" t="s">
        <v>127</v>
      </c>
      <c r="D390" s="6">
        <v>0</v>
      </c>
      <c r="E390" s="6">
        <v>97.95</v>
      </c>
      <c r="F390" s="6">
        <v>97.95</v>
      </c>
      <c r="G390" s="6">
        <v>98.15</v>
      </c>
      <c r="H390" s="6">
        <v>97.53</v>
      </c>
      <c r="I390" s="6">
        <v>97.49</v>
      </c>
      <c r="J390" s="6">
        <v>98.01</v>
      </c>
      <c r="K390" s="6">
        <v>97.7</v>
      </c>
      <c r="L390" s="6">
        <v>97.61</v>
      </c>
      <c r="M390" s="6">
        <v>98.02</v>
      </c>
      <c r="N390" s="6">
        <v>97.7</v>
      </c>
      <c r="O390" s="6">
        <v>97.61</v>
      </c>
      <c r="P390" s="6">
        <v>98.02</v>
      </c>
      <c r="Q390" s="6">
        <v>97.7</v>
      </c>
      <c r="R390" s="6">
        <v>97.61</v>
      </c>
    </row>
    <row r="391" spans="2:18">
      <c r="B391" s="6">
        <v>31727</v>
      </c>
      <c r="C391" s="6" t="s">
        <v>128</v>
      </c>
      <c r="D391" s="6">
        <v>0</v>
      </c>
      <c r="E391" s="6">
        <v>98.96</v>
      </c>
      <c r="F391" s="6">
        <v>98.96</v>
      </c>
      <c r="G391" s="6">
        <v>98.74</v>
      </c>
      <c r="H391" s="6">
        <v>98.55</v>
      </c>
      <c r="I391" s="6">
        <v>98.22</v>
      </c>
      <c r="J391" s="6">
        <v>98.64</v>
      </c>
      <c r="K391" s="6">
        <v>98.48</v>
      </c>
      <c r="L391" s="6">
        <v>98.3</v>
      </c>
      <c r="M391" s="6">
        <v>98.62</v>
      </c>
      <c r="N391" s="6">
        <v>98.46</v>
      </c>
      <c r="O391" s="6">
        <v>98.28</v>
      </c>
      <c r="P391" s="6">
        <v>98.52</v>
      </c>
      <c r="Q391" s="6">
        <v>98.45</v>
      </c>
      <c r="R391" s="6">
        <v>98.28</v>
      </c>
    </row>
    <row r="392" spans="2:18">
      <c r="B392" s="6">
        <v>31727</v>
      </c>
      <c r="C392" s="6" t="s">
        <v>128</v>
      </c>
      <c r="D392" s="6">
        <v>0</v>
      </c>
      <c r="E392" s="6">
        <v>98.97</v>
      </c>
      <c r="F392" s="6">
        <v>98.97</v>
      </c>
      <c r="G392" s="6">
        <v>98.78</v>
      </c>
      <c r="H392" s="6">
        <v>98.67</v>
      </c>
      <c r="I392" s="6">
        <v>98.6</v>
      </c>
      <c r="J392" s="6">
        <v>98.77</v>
      </c>
      <c r="K392" s="6">
        <v>98.75</v>
      </c>
      <c r="L392" s="6">
        <v>98.72</v>
      </c>
      <c r="M392" s="6">
        <v>98.71</v>
      </c>
      <c r="N392" s="6">
        <v>98.7</v>
      </c>
      <c r="O392" s="6">
        <v>98.68</v>
      </c>
      <c r="P392" s="6">
        <v>98.71</v>
      </c>
      <c r="Q392" s="6">
        <v>98.7</v>
      </c>
      <c r="R392" s="6">
        <v>98.68</v>
      </c>
    </row>
    <row r="393" spans="2:18">
      <c r="B393" s="6">
        <v>31727</v>
      </c>
      <c r="C393" s="6" t="s">
        <v>128</v>
      </c>
      <c r="D393" s="6">
        <v>0</v>
      </c>
      <c r="E393" s="6">
        <v>97.5</v>
      </c>
      <c r="F393" s="6">
        <v>97.5</v>
      </c>
      <c r="G393" s="6">
        <v>97.49</v>
      </c>
      <c r="H393" s="6">
        <v>97.66</v>
      </c>
      <c r="I393" s="6">
        <v>97.52</v>
      </c>
      <c r="J393" s="6">
        <v>97.72</v>
      </c>
      <c r="K393" s="6">
        <v>97.84</v>
      </c>
      <c r="L393" s="6">
        <v>97.75</v>
      </c>
      <c r="M393" s="6">
        <v>97.72</v>
      </c>
      <c r="N393" s="6">
        <v>97.83</v>
      </c>
      <c r="O393" s="6">
        <v>97.74</v>
      </c>
      <c r="P393" s="6">
        <v>97.73</v>
      </c>
      <c r="Q393" s="6">
        <v>97.84</v>
      </c>
      <c r="R393" s="6">
        <v>97.75</v>
      </c>
    </row>
    <row r="394" spans="2:18">
      <c r="B394" s="6">
        <v>31727</v>
      </c>
      <c r="C394" s="6" t="s">
        <v>128</v>
      </c>
      <c r="D394" s="6">
        <v>0</v>
      </c>
      <c r="E394" s="6">
        <v>98.95</v>
      </c>
      <c r="F394" s="6">
        <v>98.95</v>
      </c>
      <c r="G394" s="6">
        <v>98.15</v>
      </c>
      <c r="H394" s="6">
        <v>97.53</v>
      </c>
      <c r="I394" s="6">
        <v>97.49</v>
      </c>
      <c r="J394" s="6">
        <v>98.01</v>
      </c>
      <c r="K394" s="6">
        <v>97.7</v>
      </c>
      <c r="L394" s="6">
        <v>97.61</v>
      </c>
      <c r="M394" s="6">
        <v>98.02</v>
      </c>
      <c r="N394" s="6">
        <v>97.7</v>
      </c>
      <c r="O394" s="6">
        <v>97.61</v>
      </c>
      <c r="P394" s="6">
        <v>98.02</v>
      </c>
      <c r="Q394" s="6">
        <v>97.7</v>
      </c>
      <c r="R394" s="6">
        <v>97.61</v>
      </c>
    </row>
    <row r="395" spans="2:18">
      <c r="B395" s="6">
        <v>31729</v>
      </c>
      <c r="C395" s="6" t="s">
        <v>227</v>
      </c>
      <c r="D395" s="6">
        <v>99.59</v>
      </c>
      <c r="E395" s="6">
        <v>99.59</v>
      </c>
      <c r="F395" s="6">
        <v>99.41</v>
      </c>
      <c r="G395" s="6">
        <v>99.59</v>
      </c>
      <c r="H395" s="6">
        <v>99.59</v>
      </c>
      <c r="I395" s="6">
        <v>99.41</v>
      </c>
      <c r="J395" s="6">
        <v>99.59</v>
      </c>
      <c r="K395" s="6">
        <v>99.59</v>
      </c>
      <c r="L395" s="6">
        <v>99.41</v>
      </c>
      <c r="M395" s="6">
        <v>99.59</v>
      </c>
      <c r="N395" s="6">
        <v>99.59</v>
      </c>
      <c r="O395" s="6">
        <v>99.41</v>
      </c>
      <c r="P395" s="6">
        <v>99.05</v>
      </c>
      <c r="Q395" s="6">
        <v>99.16</v>
      </c>
      <c r="R395" s="6">
        <v>99.16</v>
      </c>
    </row>
    <row r="396" spans="2:18">
      <c r="B396" s="6">
        <v>31737</v>
      </c>
      <c r="C396" s="6" t="s">
        <v>129</v>
      </c>
      <c r="D396" s="6">
        <v>99.08</v>
      </c>
      <c r="E396" s="6">
        <v>98.68</v>
      </c>
      <c r="F396" s="6">
        <v>98.49</v>
      </c>
      <c r="G396" s="6">
        <v>98.48</v>
      </c>
      <c r="H396" s="6">
        <v>98.4</v>
      </c>
      <c r="I396" s="6">
        <v>98.25</v>
      </c>
      <c r="J396" s="6">
        <v>98.64</v>
      </c>
      <c r="K396" s="6">
        <v>98.48</v>
      </c>
      <c r="L396" s="6">
        <v>98.3</v>
      </c>
      <c r="M396" s="6">
        <v>98.62</v>
      </c>
      <c r="N396" s="6">
        <v>98.46</v>
      </c>
      <c r="O396" s="6">
        <v>98.28</v>
      </c>
      <c r="P396" s="6">
        <v>98.52</v>
      </c>
      <c r="Q396" s="6">
        <v>98.45</v>
      </c>
      <c r="R396" s="6">
        <v>98.28</v>
      </c>
    </row>
    <row r="397" spans="2:18">
      <c r="B397" s="6">
        <v>31737</v>
      </c>
      <c r="C397" s="6" t="s">
        <v>129</v>
      </c>
      <c r="D397" s="6">
        <v>99.24</v>
      </c>
      <c r="E397" s="6">
        <v>99.15</v>
      </c>
      <c r="F397" s="6">
        <v>98.98</v>
      </c>
      <c r="G397" s="6">
        <v>98.72</v>
      </c>
      <c r="H397" s="6">
        <v>98.71</v>
      </c>
      <c r="I397" s="6">
        <v>98.75</v>
      </c>
      <c r="J397" s="6">
        <v>98.77</v>
      </c>
      <c r="K397" s="6">
        <v>98.75</v>
      </c>
      <c r="L397" s="6">
        <v>98.72</v>
      </c>
      <c r="M397" s="6">
        <v>98.71</v>
      </c>
      <c r="N397" s="6">
        <v>98.7</v>
      </c>
      <c r="O397" s="6">
        <v>98.68</v>
      </c>
      <c r="P397" s="6">
        <v>98.71</v>
      </c>
      <c r="Q397" s="6">
        <v>98.7</v>
      </c>
      <c r="R397" s="6">
        <v>98.68</v>
      </c>
    </row>
    <row r="398" spans="2:18">
      <c r="B398" s="6">
        <v>31737</v>
      </c>
      <c r="C398" s="6" t="s">
        <v>129</v>
      </c>
      <c r="D398" s="6">
        <v>97.92</v>
      </c>
      <c r="E398" s="6">
        <v>97.84</v>
      </c>
      <c r="F398" s="6">
        <v>97.55</v>
      </c>
      <c r="G398" s="6">
        <v>97.43</v>
      </c>
      <c r="H398" s="6">
        <v>97.49</v>
      </c>
      <c r="I398" s="6">
        <v>97.36</v>
      </c>
      <c r="J398" s="6">
        <v>97.72</v>
      </c>
      <c r="K398" s="6">
        <v>97.84</v>
      </c>
      <c r="L398" s="6">
        <v>97.75</v>
      </c>
      <c r="M398" s="6">
        <v>97.72</v>
      </c>
      <c r="N398" s="6">
        <v>97.83</v>
      </c>
      <c r="O398" s="6">
        <v>97.74</v>
      </c>
      <c r="P398" s="6">
        <v>97.73</v>
      </c>
      <c r="Q398" s="6">
        <v>97.84</v>
      </c>
      <c r="R398" s="6">
        <v>97.75</v>
      </c>
    </row>
    <row r="399" spans="2:18">
      <c r="B399" s="6">
        <v>31737</v>
      </c>
      <c r="C399" s="6" t="s">
        <v>129</v>
      </c>
      <c r="D399" s="6">
        <v>98.44</v>
      </c>
      <c r="E399" s="6">
        <v>97.95</v>
      </c>
      <c r="F399" s="6">
        <v>97.91</v>
      </c>
      <c r="G399" s="6">
        <v>97.88</v>
      </c>
      <c r="H399" s="6">
        <v>97.7</v>
      </c>
      <c r="I399" s="6">
        <v>97.56</v>
      </c>
      <c r="J399" s="6">
        <v>98.01</v>
      </c>
      <c r="K399" s="6">
        <v>97.7</v>
      </c>
      <c r="L399" s="6">
        <v>97.61</v>
      </c>
      <c r="M399" s="6">
        <v>98.02</v>
      </c>
      <c r="N399" s="6">
        <v>97.7</v>
      </c>
      <c r="O399" s="6">
        <v>97.61</v>
      </c>
      <c r="P399" s="6">
        <v>98.02</v>
      </c>
      <c r="Q399" s="6">
        <v>97.7</v>
      </c>
      <c r="R399" s="6">
        <v>97.61</v>
      </c>
    </row>
    <row r="400" spans="2:18">
      <c r="B400" s="6">
        <v>31738</v>
      </c>
      <c r="C400" s="6" t="s">
        <v>130</v>
      </c>
      <c r="D400" s="6">
        <v>98.06</v>
      </c>
      <c r="E400" s="6">
        <v>98.42</v>
      </c>
      <c r="F400" s="6">
        <v>98.33</v>
      </c>
      <c r="G400" s="6">
        <v>98.48</v>
      </c>
      <c r="H400" s="6">
        <v>98.4</v>
      </c>
      <c r="I400" s="6">
        <v>98.25</v>
      </c>
      <c r="J400" s="6">
        <v>98.64</v>
      </c>
      <c r="K400" s="6">
        <v>98.48</v>
      </c>
      <c r="L400" s="6">
        <v>98.3</v>
      </c>
      <c r="M400" s="6">
        <v>98.62</v>
      </c>
      <c r="N400" s="6">
        <v>98.46</v>
      </c>
      <c r="O400" s="6">
        <v>98.28</v>
      </c>
      <c r="P400" s="6">
        <v>98.52</v>
      </c>
      <c r="Q400" s="6">
        <v>98.45</v>
      </c>
      <c r="R400" s="6">
        <v>98.28</v>
      </c>
    </row>
    <row r="401" spans="2:18">
      <c r="B401" s="6">
        <v>31738</v>
      </c>
      <c r="C401" s="6" t="s">
        <v>130</v>
      </c>
      <c r="D401" s="6">
        <v>98.1</v>
      </c>
      <c r="E401" s="6">
        <v>98.5</v>
      </c>
      <c r="F401" s="6">
        <v>98.95</v>
      </c>
      <c r="G401" s="6">
        <v>98.72</v>
      </c>
      <c r="H401" s="6">
        <v>98.71</v>
      </c>
      <c r="I401" s="6">
        <v>98.75</v>
      </c>
      <c r="J401" s="6">
        <v>98.77</v>
      </c>
      <c r="K401" s="6">
        <v>98.75</v>
      </c>
      <c r="L401" s="6">
        <v>98.72</v>
      </c>
      <c r="M401" s="6">
        <v>98.71</v>
      </c>
      <c r="N401" s="6">
        <v>98.7</v>
      </c>
      <c r="O401" s="6">
        <v>98.68</v>
      </c>
      <c r="P401" s="6">
        <v>98.71</v>
      </c>
      <c r="Q401" s="6">
        <v>98.7</v>
      </c>
      <c r="R401" s="6">
        <v>98.68</v>
      </c>
    </row>
    <row r="402" spans="2:18">
      <c r="B402" s="6">
        <v>31738</v>
      </c>
      <c r="C402" s="6" t="s">
        <v>130</v>
      </c>
      <c r="D402" s="6">
        <v>98.59</v>
      </c>
      <c r="E402" s="6">
        <v>98.3</v>
      </c>
      <c r="F402" s="6">
        <v>97.94</v>
      </c>
      <c r="G402" s="6">
        <v>97.43</v>
      </c>
      <c r="H402" s="6">
        <v>97.49</v>
      </c>
      <c r="I402" s="6">
        <v>97.36</v>
      </c>
      <c r="J402" s="6">
        <v>97.72</v>
      </c>
      <c r="K402" s="6">
        <v>97.84</v>
      </c>
      <c r="L402" s="6">
        <v>97.75</v>
      </c>
      <c r="M402" s="6">
        <v>97.72</v>
      </c>
      <c r="N402" s="6">
        <v>97.83</v>
      </c>
      <c r="O402" s="6">
        <v>97.74</v>
      </c>
      <c r="P402" s="6">
        <v>97.73</v>
      </c>
      <c r="Q402" s="6">
        <v>97.84</v>
      </c>
      <c r="R402" s="6">
        <v>97.75</v>
      </c>
    </row>
    <row r="403" spans="2:18">
      <c r="B403" s="6">
        <v>31738</v>
      </c>
      <c r="C403" s="6" t="s">
        <v>130</v>
      </c>
      <c r="D403" s="6">
        <v>97.77</v>
      </c>
      <c r="E403" s="6">
        <v>97.59</v>
      </c>
      <c r="F403" s="6">
        <v>97.82</v>
      </c>
      <c r="G403" s="6">
        <v>97.88</v>
      </c>
      <c r="H403" s="6">
        <v>97.7</v>
      </c>
      <c r="I403" s="6">
        <v>97.56</v>
      </c>
      <c r="J403" s="6">
        <v>98.01</v>
      </c>
      <c r="K403" s="6">
        <v>97.7</v>
      </c>
      <c r="L403" s="6">
        <v>97.61</v>
      </c>
      <c r="M403" s="6">
        <v>98.02</v>
      </c>
      <c r="N403" s="6">
        <v>97.7</v>
      </c>
      <c r="O403" s="6">
        <v>97.61</v>
      </c>
      <c r="P403" s="6">
        <v>98.02</v>
      </c>
      <c r="Q403" s="6">
        <v>97.7</v>
      </c>
      <c r="R403" s="6">
        <v>97.61</v>
      </c>
    </row>
    <row r="404" spans="2:18">
      <c r="B404" s="6">
        <v>31739</v>
      </c>
      <c r="C404" s="6" t="s">
        <v>131</v>
      </c>
      <c r="D404" s="6">
        <v>96.99</v>
      </c>
      <c r="E404" s="6">
        <v>97.64</v>
      </c>
      <c r="F404" s="6">
        <v>97.59</v>
      </c>
      <c r="G404" s="6">
        <v>98.48</v>
      </c>
      <c r="H404" s="6">
        <v>98.4</v>
      </c>
      <c r="I404" s="6">
        <v>98.25</v>
      </c>
      <c r="J404" s="6">
        <v>98.64</v>
      </c>
      <c r="K404" s="6">
        <v>98.48</v>
      </c>
      <c r="L404" s="6">
        <v>98.3</v>
      </c>
      <c r="M404" s="6">
        <v>98.62</v>
      </c>
      <c r="N404" s="6">
        <v>98.46</v>
      </c>
      <c r="O404" s="6">
        <v>98.28</v>
      </c>
      <c r="P404" s="6">
        <v>98.52</v>
      </c>
      <c r="Q404" s="6">
        <v>98.45</v>
      </c>
      <c r="R404" s="6">
        <v>98.28</v>
      </c>
    </row>
    <row r="405" spans="2:18">
      <c r="B405" s="6">
        <v>31739</v>
      </c>
      <c r="C405" s="6" t="s">
        <v>131</v>
      </c>
      <c r="D405" s="6">
        <v>98.64</v>
      </c>
      <c r="E405" s="6">
        <v>98.64</v>
      </c>
      <c r="F405" s="6">
        <v>98.92</v>
      </c>
      <c r="G405" s="6">
        <v>98.72</v>
      </c>
      <c r="H405" s="6">
        <v>98.71</v>
      </c>
      <c r="I405" s="6">
        <v>98.75</v>
      </c>
      <c r="J405" s="6">
        <v>98.77</v>
      </c>
      <c r="K405" s="6">
        <v>98.75</v>
      </c>
      <c r="L405" s="6">
        <v>98.72</v>
      </c>
      <c r="M405" s="6">
        <v>98.71</v>
      </c>
      <c r="N405" s="6">
        <v>98.7</v>
      </c>
      <c r="O405" s="6">
        <v>98.68</v>
      </c>
      <c r="P405" s="6">
        <v>98.71</v>
      </c>
      <c r="Q405" s="6">
        <v>98.7</v>
      </c>
      <c r="R405" s="6">
        <v>98.68</v>
      </c>
    </row>
    <row r="406" spans="2:18">
      <c r="B406" s="6">
        <v>31739</v>
      </c>
      <c r="C406" s="6" t="s">
        <v>131</v>
      </c>
      <c r="D406" s="6">
        <v>97.82</v>
      </c>
      <c r="E406" s="6">
        <v>97.54</v>
      </c>
      <c r="F406" s="6">
        <v>97.63</v>
      </c>
      <c r="G406" s="6">
        <v>97.43</v>
      </c>
      <c r="H406" s="6">
        <v>97.49</v>
      </c>
      <c r="I406" s="6">
        <v>97.36</v>
      </c>
      <c r="J406" s="6">
        <v>97.72</v>
      </c>
      <c r="K406" s="6">
        <v>97.84</v>
      </c>
      <c r="L406" s="6">
        <v>97.75</v>
      </c>
      <c r="M406" s="6">
        <v>97.72</v>
      </c>
      <c r="N406" s="6">
        <v>97.83</v>
      </c>
      <c r="O406" s="6">
        <v>97.74</v>
      </c>
      <c r="P406" s="6">
        <v>97.73</v>
      </c>
      <c r="Q406" s="6">
        <v>97.84</v>
      </c>
      <c r="R406" s="6">
        <v>97.75</v>
      </c>
    </row>
    <row r="407" spans="2:18">
      <c r="B407" s="6">
        <v>31739</v>
      </c>
      <c r="C407" s="6" t="s">
        <v>131</v>
      </c>
      <c r="D407" s="6">
        <v>96.32</v>
      </c>
      <c r="E407" s="6">
        <v>96.87</v>
      </c>
      <c r="F407" s="6">
        <v>97.83</v>
      </c>
      <c r="G407" s="6">
        <v>97.88</v>
      </c>
      <c r="H407" s="6">
        <v>97.7</v>
      </c>
      <c r="I407" s="6">
        <v>97.56</v>
      </c>
      <c r="J407" s="6">
        <v>98.01</v>
      </c>
      <c r="K407" s="6">
        <v>97.7</v>
      </c>
      <c r="L407" s="6">
        <v>97.61</v>
      </c>
      <c r="M407" s="6">
        <v>98.02</v>
      </c>
      <c r="N407" s="6">
        <v>97.7</v>
      </c>
      <c r="O407" s="6">
        <v>97.61</v>
      </c>
      <c r="P407" s="6">
        <v>98.02</v>
      </c>
      <c r="Q407" s="6">
        <v>97.7</v>
      </c>
      <c r="R407" s="6">
        <v>97.61</v>
      </c>
    </row>
    <row r="408" spans="2:18">
      <c r="B408" s="6">
        <v>31763</v>
      </c>
      <c r="C408" s="6" t="s">
        <v>1143</v>
      </c>
      <c r="D408" s="6">
        <v>0</v>
      </c>
      <c r="E408" s="6">
        <v>99.42</v>
      </c>
      <c r="F408" s="6">
        <v>99.42</v>
      </c>
      <c r="G408" s="6">
        <v>0</v>
      </c>
      <c r="H408" s="6">
        <v>99.42</v>
      </c>
      <c r="I408" s="6">
        <v>99.42</v>
      </c>
      <c r="J408" s="6">
        <v>0</v>
      </c>
      <c r="K408" s="6">
        <v>99.42</v>
      </c>
      <c r="L408" s="6">
        <v>99.42</v>
      </c>
      <c r="M408" s="6">
        <v>0</v>
      </c>
      <c r="N408" s="6">
        <v>99.42</v>
      </c>
      <c r="O408" s="6">
        <v>99.42</v>
      </c>
      <c r="P408" s="6">
        <v>0</v>
      </c>
      <c r="Q408" s="6">
        <v>99.42</v>
      </c>
      <c r="R408" s="6">
        <v>99.42</v>
      </c>
    </row>
    <row r="409" spans="2:18">
      <c r="B409" s="6">
        <v>31763</v>
      </c>
      <c r="C409" s="6" t="s">
        <v>1143</v>
      </c>
      <c r="D409" s="6">
        <v>0</v>
      </c>
      <c r="E409" s="6">
        <v>100</v>
      </c>
      <c r="F409" s="6">
        <v>100</v>
      </c>
      <c r="G409" s="6">
        <v>0</v>
      </c>
      <c r="H409" s="6">
        <v>100</v>
      </c>
      <c r="I409" s="6">
        <v>100</v>
      </c>
      <c r="J409" s="6">
        <v>0</v>
      </c>
      <c r="K409" s="6">
        <v>100</v>
      </c>
      <c r="L409" s="6">
        <v>100</v>
      </c>
      <c r="M409" s="6">
        <v>0</v>
      </c>
      <c r="N409" s="6">
        <v>100</v>
      </c>
      <c r="O409" s="6">
        <v>100</v>
      </c>
      <c r="P409" s="6">
        <v>0</v>
      </c>
      <c r="Q409" s="6">
        <v>100</v>
      </c>
      <c r="R409" s="6">
        <v>100</v>
      </c>
    </row>
    <row r="410" spans="2:18">
      <c r="B410" s="6">
        <v>31772</v>
      </c>
      <c r="C410" s="6" t="s">
        <v>213</v>
      </c>
      <c r="D410" s="6">
        <v>98.76</v>
      </c>
      <c r="E410" s="6">
        <v>98.8</v>
      </c>
      <c r="F410" s="6">
        <v>98.81</v>
      </c>
      <c r="G410" s="6">
        <v>98.74</v>
      </c>
      <c r="H410" s="6">
        <v>98.8</v>
      </c>
      <c r="I410" s="6">
        <v>98.7</v>
      </c>
      <c r="J410" s="6">
        <v>98.74</v>
      </c>
      <c r="K410" s="6">
        <v>98.8</v>
      </c>
      <c r="L410" s="6">
        <v>98.7</v>
      </c>
      <c r="M410" s="6">
        <v>98.74</v>
      </c>
      <c r="N410" s="6">
        <v>98.8</v>
      </c>
      <c r="O410" s="6">
        <v>98.7</v>
      </c>
      <c r="P410" s="6">
        <v>98.74</v>
      </c>
      <c r="Q410" s="6">
        <v>98.8</v>
      </c>
      <c r="R410" s="6">
        <v>98.7</v>
      </c>
    </row>
    <row r="411" spans="2:18">
      <c r="B411" s="6">
        <v>31772</v>
      </c>
      <c r="C411" s="6" t="s">
        <v>213</v>
      </c>
      <c r="D411" s="6">
        <v>98.04</v>
      </c>
      <c r="E411" s="6">
        <v>97.97</v>
      </c>
      <c r="F411" s="6">
        <v>98.07</v>
      </c>
      <c r="G411" s="6">
        <v>97.98</v>
      </c>
      <c r="H411" s="6">
        <v>98.1</v>
      </c>
      <c r="I411" s="6">
        <v>98.14</v>
      </c>
      <c r="J411" s="6">
        <v>97.98</v>
      </c>
      <c r="K411" s="6">
        <v>98.1</v>
      </c>
      <c r="L411" s="6">
        <v>98.14</v>
      </c>
      <c r="M411" s="6">
        <v>98.29</v>
      </c>
      <c r="N411" s="6">
        <v>97.91</v>
      </c>
      <c r="O411" s="6">
        <v>97.88</v>
      </c>
      <c r="P411" s="6">
        <v>98.29</v>
      </c>
      <c r="Q411" s="6">
        <v>97.91</v>
      </c>
      <c r="R411" s="6">
        <v>97.88</v>
      </c>
    </row>
    <row r="412" spans="2:18">
      <c r="B412" s="6">
        <v>31792</v>
      </c>
      <c r="C412" s="6" t="s">
        <v>632</v>
      </c>
      <c r="D412" s="6">
        <v>0</v>
      </c>
      <c r="E412" s="6">
        <v>97.56</v>
      </c>
      <c r="F412" s="6">
        <v>97.56</v>
      </c>
      <c r="G412" s="6">
        <v>97.31</v>
      </c>
      <c r="H412" s="6">
        <v>97.35</v>
      </c>
      <c r="I412" s="6">
        <v>97.35</v>
      </c>
      <c r="J412" s="6">
        <v>98.51</v>
      </c>
      <c r="K412" s="6">
        <v>98.48</v>
      </c>
      <c r="L412" s="6">
        <v>98.48</v>
      </c>
      <c r="M412" s="6">
        <v>98.51</v>
      </c>
      <c r="N412" s="6">
        <v>98.48</v>
      </c>
      <c r="O412" s="6">
        <v>98.48</v>
      </c>
      <c r="P412" s="6">
        <v>98.51</v>
      </c>
      <c r="Q412" s="6">
        <v>98.48</v>
      </c>
      <c r="R412" s="6">
        <v>98.48</v>
      </c>
    </row>
    <row r="413" spans="2:18">
      <c r="B413" s="6">
        <v>31792</v>
      </c>
      <c r="C413" s="6" t="s">
        <v>632</v>
      </c>
      <c r="D413" s="6">
        <v>0</v>
      </c>
      <c r="E413" s="6">
        <v>99</v>
      </c>
      <c r="F413" s="6">
        <v>99</v>
      </c>
      <c r="G413" s="6">
        <v>96.33</v>
      </c>
      <c r="H413" s="6">
        <v>97.32</v>
      </c>
      <c r="I413" s="6">
        <v>97.05</v>
      </c>
      <c r="J413" s="6">
        <v>96.92</v>
      </c>
      <c r="K413" s="6">
        <v>97.18</v>
      </c>
      <c r="L413" s="6">
        <v>97.09</v>
      </c>
      <c r="M413" s="6">
        <v>97.55</v>
      </c>
      <c r="N413" s="6">
        <v>98.2</v>
      </c>
      <c r="O413" s="6">
        <v>98.27</v>
      </c>
      <c r="P413" s="6">
        <v>98.52</v>
      </c>
      <c r="Q413" s="6">
        <v>98.45</v>
      </c>
      <c r="R413" s="6">
        <v>98.28</v>
      </c>
    </row>
    <row r="414" spans="2:18">
      <c r="B414" s="6">
        <v>31792</v>
      </c>
      <c r="C414" s="6" t="s">
        <v>632</v>
      </c>
      <c r="D414" s="6">
        <v>0</v>
      </c>
      <c r="E414" s="6">
        <v>98.48</v>
      </c>
      <c r="F414" s="6">
        <v>98.48</v>
      </c>
      <c r="G414" s="6">
        <v>98.68</v>
      </c>
      <c r="H414" s="6">
        <v>98.7</v>
      </c>
      <c r="I414" s="6">
        <v>98.63</v>
      </c>
      <c r="J414" s="6">
        <v>99.2</v>
      </c>
      <c r="K414" s="6">
        <v>99.14</v>
      </c>
      <c r="L414" s="6">
        <v>99.05</v>
      </c>
      <c r="M414" s="6">
        <v>99.07</v>
      </c>
      <c r="N414" s="6">
        <v>99.18</v>
      </c>
      <c r="O414" s="6">
        <v>99.18</v>
      </c>
      <c r="P414" s="6">
        <v>99.05</v>
      </c>
      <c r="Q414" s="6">
        <v>99.16</v>
      </c>
      <c r="R414" s="6">
        <v>99.16</v>
      </c>
    </row>
    <row r="415" spans="2:18">
      <c r="B415" s="6">
        <v>31798</v>
      </c>
      <c r="C415" s="6" t="s">
        <v>132</v>
      </c>
      <c r="D415" s="6">
        <v>99.14</v>
      </c>
      <c r="E415" s="6">
        <v>99.12</v>
      </c>
      <c r="F415" s="6">
        <v>98.68</v>
      </c>
      <c r="G415" s="6">
        <v>98.71</v>
      </c>
      <c r="H415" s="6">
        <v>98.48</v>
      </c>
      <c r="I415" s="6">
        <v>98.36</v>
      </c>
      <c r="J415" s="6">
        <v>98.64</v>
      </c>
      <c r="K415" s="6">
        <v>98.48</v>
      </c>
      <c r="L415" s="6">
        <v>98.3</v>
      </c>
      <c r="M415" s="6">
        <v>98.62</v>
      </c>
      <c r="N415" s="6">
        <v>98.46</v>
      </c>
      <c r="O415" s="6">
        <v>98.28</v>
      </c>
      <c r="P415" s="6">
        <v>98.52</v>
      </c>
      <c r="Q415" s="6">
        <v>98.45</v>
      </c>
      <c r="R415" s="6">
        <v>98.28</v>
      </c>
    </row>
    <row r="416" spans="2:18">
      <c r="B416" s="6">
        <v>31798</v>
      </c>
      <c r="C416" s="6" t="s">
        <v>132</v>
      </c>
      <c r="D416" s="6">
        <v>99.15</v>
      </c>
      <c r="E416" s="6">
        <v>99.04</v>
      </c>
      <c r="F416" s="6">
        <v>99.01</v>
      </c>
      <c r="G416" s="6">
        <v>98.91</v>
      </c>
      <c r="H416" s="6">
        <v>98.92</v>
      </c>
      <c r="I416" s="6">
        <v>98.82</v>
      </c>
      <c r="J416" s="6">
        <v>98.86</v>
      </c>
      <c r="K416" s="6">
        <v>98.85</v>
      </c>
      <c r="L416" s="6">
        <v>98.75</v>
      </c>
      <c r="M416" s="6">
        <v>98.86</v>
      </c>
      <c r="N416" s="6">
        <v>98.82</v>
      </c>
      <c r="O416" s="6">
        <v>98.74</v>
      </c>
      <c r="P416" s="6">
        <v>98.83</v>
      </c>
      <c r="Q416" s="6">
        <v>98.81</v>
      </c>
      <c r="R416" s="6">
        <v>98.73</v>
      </c>
    </row>
    <row r="417" spans="2:18">
      <c r="B417" s="6">
        <v>31798</v>
      </c>
      <c r="C417" s="6" t="s">
        <v>132</v>
      </c>
      <c r="D417" s="6">
        <v>98.74</v>
      </c>
      <c r="E417" s="6">
        <v>97.7</v>
      </c>
      <c r="F417" s="6">
        <v>97.61</v>
      </c>
      <c r="G417" s="6">
        <v>98.03</v>
      </c>
      <c r="H417" s="6">
        <v>98.12</v>
      </c>
      <c r="I417" s="6">
        <v>98.05</v>
      </c>
      <c r="J417" s="6">
        <v>97.72</v>
      </c>
      <c r="K417" s="6">
        <v>97.84</v>
      </c>
      <c r="L417" s="6">
        <v>97.75</v>
      </c>
      <c r="M417" s="6">
        <v>97.72</v>
      </c>
      <c r="N417" s="6">
        <v>97.83</v>
      </c>
      <c r="O417" s="6">
        <v>97.74</v>
      </c>
      <c r="P417" s="6">
        <v>97.73</v>
      </c>
      <c r="Q417" s="6">
        <v>97.84</v>
      </c>
      <c r="R417" s="6">
        <v>97.75</v>
      </c>
    </row>
    <row r="418" spans="2:18">
      <c r="B418" s="6">
        <v>31798</v>
      </c>
      <c r="C418" s="6" t="s">
        <v>132</v>
      </c>
      <c r="D418" s="6">
        <v>98.92</v>
      </c>
      <c r="E418" s="6">
        <v>98.05</v>
      </c>
      <c r="F418" s="6">
        <v>98.18</v>
      </c>
      <c r="G418" s="6">
        <v>98.04</v>
      </c>
      <c r="H418" s="6">
        <v>97.78</v>
      </c>
      <c r="I418" s="6">
        <v>97.69</v>
      </c>
      <c r="J418" s="6">
        <v>98.01</v>
      </c>
      <c r="K418" s="6">
        <v>97.7</v>
      </c>
      <c r="L418" s="6">
        <v>97.61</v>
      </c>
      <c r="M418" s="6">
        <v>98.02</v>
      </c>
      <c r="N418" s="6">
        <v>97.7</v>
      </c>
      <c r="O418" s="6">
        <v>97.61</v>
      </c>
      <c r="P418" s="6">
        <v>98.02</v>
      </c>
      <c r="Q418" s="6">
        <v>97.7</v>
      </c>
      <c r="R418" s="6">
        <v>97.61</v>
      </c>
    </row>
    <row r="419" spans="2:18">
      <c r="B419" s="6">
        <v>31799</v>
      </c>
      <c r="C419" s="6" t="s">
        <v>133</v>
      </c>
      <c r="D419" s="6">
        <v>98.99</v>
      </c>
      <c r="E419" s="6">
        <v>99.04</v>
      </c>
      <c r="F419" s="6">
        <v>99.04</v>
      </c>
      <c r="G419" s="6">
        <v>98.71</v>
      </c>
      <c r="H419" s="6">
        <v>98.48</v>
      </c>
      <c r="I419" s="6">
        <v>98.36</v>
      </c>
      <c r="J419" s="6">
        <v>98.64</v>
      </c>
      <c r="K419" s="6">
        <v>98.48</v>
      </c>
      <c r="L419" s="6">
        <v>98.3</v>
      </c>
      <c r="M419" s="6">
        <v>98.62</v>
      </c>
      <c r="N419" s="6">
        <v>98.46</v>
      </c>
      <c r="O419" s="6">
        <v>98.28</v>
      </c>
      <c r="P419" s="6">
        <v>98.52</v>
      </c>
      <c r="Q419" s="6">
        <v>98.45</v>
      </c>
      <c r="R419" s="6">
        <v>98.28</v>
      </c>
    </row>
    <row r="420" spans="2:18">
      <c r="B420" s="6">
        <v>31799</v>
      </c>
      <c r="C420" s="6" t="s">
        <v>133</v>
      </c>
      <c r="D420" s="6">
        <v>99</v>
      </c>
      <c r="E420" s="6">
        <v>99.05</v>
      </c>
      <c r="F420" s="6">
        <v>99.05</v>
      </c>
      <c r="G420" s="6">
        <v>98.91</v>
      </c>
      <c r="H420" s="6">
        <v>98.92</v>
      </c>
      <c r="I420" s="6">
        <v>98.82</v>
      </c>
      <c r="J420" s="6">
        <v>98.86</v>
      </c>
      <c r="K420" s="6">
        <v>98.85</v>
      </c>
      <c r="L420" s="6">
        <v>98.75</v>
      </c>
      <c r="M420" s="6">
        <v>98.86</v>
      </c>
      <c r="N420" s="6">
        <v>98.82</v>
      </c>
      <c r="O420" s="6">
        <v>98.74</v>
      </c>
      <c r="P420" s="6">
        <v>98.83</v>
      </c>
      <c r="Q420" s="6">
        <v>98.81</v>
      </c>
      <c r="R420" s="6">
        <v>98.73</v>
      </c>
    </row>
    <row r="421" spans="2:18">
      <c r="B421" s="6">
        <v>31799</v>
      </c>
      <c r="C421" s="6" t="s">
        <v>133</v>
      </c>
      <c r="D421" s="6">
        <v>97.56</v>
      </c>
      <c r="E421" s="6">
        <v>97.45</v>
      </c>
      <c r="F421" s="6">
        <v>97.52</v>
      </c>
      <c r="G421" s="6">
        <v>98.03</v>
      </c>
      <c r="H421" s="6">
        <v>98.12</v>
      </c>
      <c r="I421" s="6">
        <v>98.05</v>
      </c>
      <c r="J421" s="6">
        <v>97.72</v>
      </c>
      <c r="K421" s="6">
        <v>97.84</v>
      </c>
      <c r="L421" s="6">
        <v>97.75</v>
      </c>
      <c r="M421" s="6">
        <v>97.72</v>
      </c>
      <c r="N421" s="6">
        <v>97.83</v>
      </c>
      <c r="O421" s="6">
        <v>97.74</v>
      </c>
      <c r="P421" s="6">
        <v>97.73</v>
      </c>
      <c r="Q421" s="6">
        <v>97.84</v>
      </c>
      <c r="R421" s="6">
        <v>97.75</v>
      </c>
    </row>
    <row r="422" spans="2:18">
      <c r="B422" s="6">
        <v>31799</v>
      </c>
      <c r="C422" s="6" t="s">
        <v>133</v>
      </c>
      <c r="D422" s="6">
        <v>98.98</v>
      </c>
      <c r="E422" s="6">
        <v>97.33</v>
      </c>
      <c r="F422" s="6">
        <v>97.9</v>
      </c>
      <c r="G422" s="6">
        <v>98.04</v>
      </c>
      <c r="H422" s="6">
        <v>97.78</v>
      </c>
      <c r="I422" s="6">
        <v>97.69</v>
      </c>
      <c r="J422" s="6">
        <v>98.01</v>
      </c>
      <c r="K422" s="6">
        <v>97.7</v>
      </c>
      <c r="L422" s="6">
        <v>97.61</v>
      </c>
      <c r="M422" s="6">
        <v>98.02</v>
      </c>
      <c r="N422" s="6">
        <v>97.7</v>
      </c>
      <c r="O422" s="6">
        <v>97.61</v>
      </c>
      <c r="P422" s="6">
        <v>98.02</v>
      </c>
      <c r="Q422" s="6">
        <v>97.7</v>
      </c>
      <c r="R422" s="6">
        <v>97.61</v>
      </c>
    </row>
    <row r="423" spans="2:18">
      <c r="B423" s="6">
        <v>31800</v>
      </c>
      <c r="C423" s="6" t="s">
        <v>134</v>
      </c>
      <c r="D423" s="6">
        <v>99.03</v>
      </c>
      <c r="E423" s="6">
        <v>98.88</v>
      </c>
      <c r="F423" s="6">
        <v>98.66</v>
      </c>
      <c r="G423" s="6">
        <v>98.71</v>
      </c>
      <c r="H423" s="6">
        <v>98.48</v>
      </c>
      <c r="I423" s="6">
        <v>98.36</v>
      </c>
      <c r="J423" s="6">
        <v>98.64</v>
      </c>
      <c r="K423" s="6">
        <v>98.48</v>
      </c>
      <c r="L423" s="6">
        <v>98.3</v>
      </c>
      <c r="M423" s="6">
        <v>98.62</v>
      </c>
      <c r="N423" s="6">
        <v>98.46</v>
      </c>
      <c r="O423" s="6">
        <v>98.28</v>
      </c>
      <c r="P423" s="6">
        <v>98.52</v>
      </c>
      <c r="Q423" s="6">
        <v>98.45</v>
      </c>
      <c r="R423" s="6">
        <v>98.28</v>
      </c>
    </row>
    <row r="424" spans="2:18">
      <c r="B424" s="6">
        <v>31800</v>
      </c>
      <c r="C424" s="6" t="s">
        <v>134</v>
      </c>
      <c r="D424" s="6">
        <v>99.04</v>
      </c>
      <c r="E424" s="6">
        <v>99.11</v>
      </c>
      <c r="F424" s="6">
        <v>99.13</v>
      </c>
      <c r="G424" s="6">
        <v>98.91</v>
      </c>
      <c r="H424" s="6">
        <v>98.92</v>
      </c>
      <c r="I424" s="6">
        <v>98.82</v>
      </c>
      <c r="J424" s="6">
        <v>98.86</v>
      </c>
      <c r="K424" s="6">
        <v>98.85</v>
      </c>
      <c r="L424" s="6">
        <v>98.75</v>
      </c>
      <c r="M424" s="6">
        <v>98.86</v>
      </c>
      <c r="N424" s="6">
        <v>98.82</v>
      </c>
      <c r="O424" s="6">
        <v>98.74</v>
      </c>
      <c r="P424" s="6">
        <v>98.83</v>
      </c>
      <c r="Q424" s="6">
        <v>98.81</v>
      </c>
      <c r="R424" s="6">
        <v>98.73</v>
      </c>
    </row>
    <row r="425" spans="2:18">
      <c r="B425" s="6">
        <v>31800</v>
      </c>
      <c r="C425" s="6" t="s">
        <v>134</v>
      </c>
      <c r="D425" s="6">
        <v>97.66</v>
      </c>
      <c r="E425" s="6">
        <v>97.67</v>
      </c>
      <c r="F425" s="6">
        <v>97.56</v>
      </c>
      <c r="G425" s="6">
        <v>98.03</v>
      </c>
      <c r="H425" s="6">
        <v>98.12</v>
      </c>
      <c r="I425" s="6">
        <v>98.05</v>
      </c>
      <c r="J425" s="6">
        <v>97.72</v>
      </c>
      <c r="K425" s="6">
        <v>97.84</v>
      </c>
      <c r="L425" s="6">
        <v>97.75</v>
      </c>
      <c r="M425" s="6">
        <v>97.72</v>
      </c>
      <c r="N425" s="6">
        <v>97.83</v>
      </c>
      <c r="O425" s="6">
        <v>97.74</v>
      </c>
      <c r="P425" s="6">
        <v>97.73</v>
      </c>
      <c r="Q425" s="6">
        <v>97.84</v>
      </c>
      <c r="R425" s="6">
        <v>97.75</v>
      </c>
    </row>
    <row r="426" spans="2:18">
      <c r="B426" s="6">
        <v>31800</v>
      </c>
      <c r="C426" s="6" t="s">
        <v>134</v>
      </c>
      <c r="D426" s="6">
        <v>98.53</v>
      </c>
      <c r="E426" s="6">
        <v>98.05</v>
      </c>
      <c r="F426" s="6">
        <v>98.2</v>
      </c>
      <c r="G426" s="6">
        <v>98.04</v>
      </c>
      <c r="H426" s="6">
        <v>97.78</v>
      </c>
      <c r="I426" s="6">
        <v>97.69</v>
      </c>
      <c r="J426" s="6">
        <v>98.01</v>
      </c>
      <c r="K426" s="6">
        <v>97.7</v>
      </c>
      <c r="L426" s="6">
        <v>97.61</v>
      </c>
      <c r="M426" s="6">
        <v>98.02</v>
      </c>
      <c r="N426" s="6">
        <v>97.7</v>
      </c>
      <c r="O426" s="6">
        <v>97.61</v>
      </c>
      <c r="P426" s="6">
        <v>98.02</v>
      </c>
      <c r="Q426" s="6">
        <v>97.7</v>
      </c>
      <c r="R426" s="6">
        <v>97.61</v>
      </c>
    </row>
    <row r="427" spans="2:18">
      <c r="B427" s="6">
        <v>31801</v>
      </c>
      <c r="C427" s="6" t="s">
        <v>745</v>
      </c>
      <c r="D427" s="6">
        <v>0</v>
      </c>
      <c r="E427" s="6">
        <v>0</v>
      </c>
      <c r="F427" s="6">
        <v>99.21</v>
      </c>
      <c r="G427" s="6">
        <v>98.71</v>
      </c>
      <c r="H427" s="6">
        <v>98.48</v>
      </c>
      <c r="I427" s="6">
        <v>98.36</v>
      </c>
      <c r="J427" s="6">
        <v>98.64</v>
      </c>
      <c r="K427" s="6">
        <v>98.48</v>
      </c>
      <c r="L427" s="6">
        <v>98.3</v>
      </c>
      <c r="M427" s="6">
        <v>98.62</v>
      </c>
      <c r="N427" s="6">
        <v>98.46</v>
      </c>
      <c r="O427" s="6">
        <v>98.28</v>
      </c>
      <c r="P427" s="6">
        <v>98.52</v>
      </c>
      <c r="Q427" s="6">
        <v>98.45</v>
      </c>
      <c r="R427" s="6">
        <v>98.28</v>
      </c>
    </row>
    <row r="428" spans="2:18">
      <c r="B428" s="6">
        <v>31801</v>
      </c>
      <c r="C428" s="6" t="s">
        <v>745</v>
      </c>
      <c r="D428" s="6">
        <v>0</v>
      </c>
      <c r="E428" s="6">
        <v>0</v>
      </c>
      <c r="F428" s="6">
        <v>99.22</v>
      </c>
      <c r="G428" s="6">
        <v>98.91</v>
      </c>
      <c r="H428" s="6">
        <v>98.92</v>
      </c>
      <c r="I428" s="6">
        <v>98.82</v>
      </c>
      <c r="J428" s="6">
        <v>98.86</v>
      </c>
      <c r="K428" s="6">
        <v>98.85</v>
      </c>
      <c r="L428" s="6">
        <v>98.75</v>
      </c>
      <c r="M428" s="6">
        <v>98.86</v>
      </c>
      <c r="N428" s="6">
        <v>98.82</v>
      </c>
      <c r="O428" s="6">
        <v>98.74</v>
      </c>
      <c r="P428" s="6">
        <v>98.83</v>
      </c>
      <c r="Q428" s="6">
        <v>98.81</v>
      </c>
      <c r="R428" s="6">
        <v>98.73</v>
      </c>
    </row>
    <row r="429" spans="2:18">
      <c r="B429" s="6">
        <v>31801</v>
      </c>
      <c r="C429" s="6" t="s">
        <v>745</v>
      </c>
      <c r="D429" s="6">
        <v>0</v>
      </c>
      <c r="E429" s="6">
        <v>0</v>
      </c>
      <c r="F429" s="6">
        <v>98.08</v>
      </c>
      <c r="G429" s="6">
        <v>98.03</v>
      </c>
      <c r="H429" s="6">
        <v>98.12</v>
      </c>
      <c r="I429" s="6">
        <v>98.05</v>
      </c>
      <c r="J429" s="6">
        <v>97.72</v>
      </c>
      <c r="K429" s="6">
        <v>97.84</v>
      </c>
      <c r="L429" s="6">
        <v>97.75</v>
      </c>
      <c r="M429" s="6">
        <v>97.72</v>
      </c>
      <c r="N429" s="6">
        <v>97.83</v>
      </c>
      <c r="O429" s="6">
        <v>97.74</v>
      </c>
      <c r="P429" s="6">
        <v>97.73</v>
      </c>
      <c r="Q429" s="6">
        <v>97.84</v>
      </c>
      <c r="R429" s="6">
        <v>97.75</v>
      </c>
    </row>
    <row r="430" spans="2:18">
      <c r="B430" s="6">
        <v>31801</v>
      </c>
      <c r="C430" s="6" t="s">
        <v>745</v>
      </c>
      <c r="D430" s="6">
        <v>0</v>
      </c>
      <c r="E430" s="6">
        <v>98.41</v>
      </c>
      <c r="F430" s="6">
        <v>98.41</v>
      </c>
      <c r="G430" s="6">
        <v>98.04</v>
      </c>
      <c r="H430" s="6">
        <v>97.78</v>
      </c>
      <c r="I430" s="6">
        <v>97.69</v>
      </c>
      <c r="J430" s="6">
        <v>98.01</v>
      </c>
      <c r="K430" s="6">
        <v>97.7</v>
      </c>
      <c r="L430" s="6">
        <v>97.61</v>
      </c>
      <c r="M430" s="6">
        <v>98.02</v>
      </c>
      <c r="N430" s="6">
        <v>97.7</v>
      </c>
      <c r="O430" s="6">
        <v>97.61</v>
      </c>
      <c r="P430" s="6">
        <v>98.02</v>
      </c>
      <c r="Q430" s="6">
        <v>97.7</v>
      </c>
      <c r="R430" s="6">
        <v>97.61</v>
      </c>
    </row>
    <row r="431" spans="2:18">
      <c r="B431" s="6">
        <v>31802</v>
      </c>
      <c r="C431" s="6" t="s">
        <v>135</v>
      </c>
      <c r="D431" s="6">
        <v>98.9</v>
      </c>
      <c r="E431" s="6">
        <v>98.98</v>
      </c>
      <c r="F431" s="6">
        <v>98.76</v>
      </c>
      <c r="G431" s="6">
        <v>98.71</v>
      </c>
      <c r="H431" s="6">
        <v>98.48</v>
      </c>
      <c r="I431" s="6">
        <v>98.36</v>
      </c>
      <c r="J431" s="6">
        <v>98.64</v>
      </c>
      <c r="K431" s="6">
        <v>98.48</v>
      </c>
      <c r="L431" s="6">
        <v>98.3</v>
      </c>
      <c r="M431" s="6">
        <v>98.62</v>
      </c>
      <c r="N431" s="6">
        <v>98.46</v>
      </c>
      <c r="O431" s="6">
        <v>98.28</v>
      </c>
      <c r="P431" s="6">
        <v>98.52</v>
      </c>
      <c r="Q431" s="6">
        <v>98.45</v>
      </c>
      <c r="R431" s="6">
        <v>98.28</v>
      </c>
    </row>
    <row r="432" spans="2:18">
      <c r="B432" s="6">
        <v>31802</v>
      </c>
      <c r="C432" s="6" t="s">
        <v>135</v>
      </c>
      <c r="D432" s="6">
        <v>98.92</v>
      </c>
      <c r="E432" s="6">
        <v>98.99</v>
      </c>
      <c r="F432" s="6">
        <v>99.06</v>
      </c>
      <c r="G432" s="6">
        <v>98.91</v>
      </c>
      <c r="H432" s="6">
        <v>98.92</v>
      </c>
      <c r="I432" s="6">
        <v>98.82</v>
      </c>
      <c r="J432" s="6">
        <v>98.86</v>
      </c>
      <c r="K432" s="6">
        <v>98.85</v>
      </c>
      <c r="L432" s="6">
        <v>98.75</v>
      </c>
      <c r="M432" s="6">
        <v>98.86</v>
      </c>
      <c r="N432" s="6">
        <v>98.82</v>
      </c>
      <c r="O432" s="6">
        <v>98.74</v>
      </c>
      <c r="P432" s="6">
        <v>98.83</v>
      </c>
      <c r="Q432" s="6">
        <v>98.81</v>
      </c>
      <c r="R432" s="6">
        <v>98.73</v>
      </c>
    </row>
    <row r="433" spans="2:18">
      <c r="B433" s="6">
        <v>31802</v>
      </c>
      <c r="C433" s="6" t="s">
        <v>135</v>
      </c>
      <c r="D433" s="6">
        <v>97.99</v>
      </c>
      <c r="E433" s="6">
        <v>98.22</v>
      </c>
      <c r="F433" s="6">
        <v>98.07</v>
      </c>
      <c r="G433" s="6">
        <v>98.03</v>
      </c>
      <c r="H433" s="6">
        <v>98.12</v>
      </c>
      <c r="I433" s="6">
        <v>98.05</v>
      </c>
      <c r="J433" s="6">
        <v>97.72</v>
      </c>
      <c r="K433" s="6">
        <v>97.84</v>
      </c>
      <c r="L433" s="6">
        <v>97.75</v>
      </c>
      <c r="M433" s="6">
        <v>97.72</v>
      </c>
      <c r="N433" s="6">
        <v>97.83</v>
      </c>
      <c r="O433" s="6">
        <v>97.74</v>
      </c>
      <c r="P433" s="6">
        <v>97.73</v>
      </c>
      <c r="Q433" s="6">
        <v>97.84</v>
      </c>
      <c r="R433" s="6">
        <v>97.75</v>
      </c>
    </row>
    <row r="434" spans="2:18">
      <c r="B434" s="6">
        <v>31802</v>
      </c>
      <c r="C434" s="6" t="s">
        <v>135</v>
      </c>
      <c r="D434" s="6">
        <v>98.4</v>
      </c>
      <c r="E434" s="6">
        <v>98.05</v>
      </c>
      <c r="F434" s="6">
        <v>98.17</v>
      </c>
      <c r="G434" s="6">
        <v>98.04</v>
      </c>
      <c r="H434" s="6">
        <v>97.78</v>
      </c>
      <c r="I434" s="6">
        <v>97.69</v>
      </c>
      <c r="J434" s="6">
        <v>98.01</v>
      </c>
      <c r="K434" s="6">
        <v>97.7</v>
      </c>
      <c r="L434" s="6">
        <v>97.61</v>
      </c>
      <c r="M434" s="6">
        <v>98.02</v>
      </c>
      <c r="N434" s="6">
        <v>97.7</v>
      </c>
      <c r="O434" s="6">
        <v>97.61</v>
      </c>
      <c r="P434" s="6">
        <v>98.02</v>
      </c>
      <c r="Q434" s="6">
        <v>97.7</v>
      </c>
      <c r="R434" s="6">
        <v>97.61</v>
      </c>
    </row>
    <row r="435" spans="2:18">
      <c r="B435" s="6">
        <v>31804</v>
      </c>
      <c r="C435" s="6" t="s">
        <v>743</v>
      </c>
      <c r="D435" s="6">
        <v>0</v>
      </c>
      <c r="E435" s="6">
        <v>99.21</v>
      </c>
      <c r="F435" s="6">
        <v>99.21</v>
      </c>
      <c r="G435" s="6">
        <v>98.48</v>
      </c>
      <c r="H435" s="6">
        <v>98.4</v>
      </c>
      <c r="I435" s="6">
        <v>98.25</v>
      </c>
      <c r="J435" s="6">
        <v>98.64</v>
      </c>
      <c r="K435" s="6">
        <v>98.48</v>
      </c>
      <c r="L435" s="6">
        <v>98.3</v>
      </c>
      <c r="M435" s="6">
        <v>98.62</v>
      </c>
      <c r="N435" s="6">
        <v>98.46</v>
      </c>
      <c r="O435" s="6">
        <v>98.28</v>
      </c>
      <c r="P435" s="6">
        <v>98.52</v>
      </c>
      <c r="Q435" s="6">
        <v>98.45</v>
      </c>
      <c r="R435" s="6">
        <v>98.28</v>
      </c>
    </row>
    <row r="436" spans="2:18">
      <c r="B436" s="6">
        <v>31804</v>
      </c>
      <c r="C436" s="6" t="s">
        <v>743</v>
      </c>
      <c r="D436" s="6">
        <v>0</v>
      </c>
      <c r="E436" s="6">
        <v>99.22</v>
      </c>
      <c r="F436" s="6">
        <v>99.22</v>
      </c>
      <c r="G436" s="6">
        <v>98.72</v>
      </c>
      <c r="H436" s="6">
        <v>98.71</v>
      </c>
      <c r="I436" s="6">
        <v>98.75</v>
      </c>
      <c r="J436" s="6">
        <v>98.77</v>
      </c>
      <c r="K436" s="6">
        <v>98.75</v>
      </c>
      <c r="L436" s="6">
        <v>98.72</v>
      </c>
      <c r="M436" s="6">
        <v>98.71</v>
      </c>
      <c r="N436" s="6">
        <v>98.7</v>
      </c>
      <c r="O436" s="6">
        <v>98.68</v>
      </c>
      <c r="P436" s="6">
        <v>98.71</v>
      </c>
      <c r="Q436" s="6">
        <v>98.7</v>
      </c>
      <c r="R436" s="6">
        <v>98.68</v>
      </c>
    </row>
    <row r="437" spans="2:18">
      <c r="B437" s="6">
        <v>31804</v>
      </c>
      <c r="C437" s="6" t="s">
        <v>743</v>
      </c>
      <c r="D437" s="6">
        <v>0</v>
      </c>
      <c r="E437" s="6">
        <v>98.08</v>
      </c>
      <c r="F437" s="6">
        <v>98.08</v>
      </c>
      <c r="G437" s="6">
        <v>97.43</v>
      </c>
      <c r="H437" s="6">
        <v>97.49</v>
      </c>
      <c r="I437" s="6">
        <v>97.36</v>
      </c>
      <c r="J437" s="6">
        <v>97.72</v>
      </c>
      <c r="K437" s="6">
        <v>97.84</v>
      </c>
      <c r="L437" s="6">
        <v>97.75</v>
      </c>
      <c r="M437" s="6">
        <v>97.72</v>
      </c>
      <c r="N437" s="6">
        <v>97.83</v>
      </c>
      <c r="O437" s="6">
        <v>97.74</v>
      </c>
      <c r="P437" s="6">
        <v>97.73</v>
      </c>
      <c r="Q437" s="6">
        <v>97.84</v>
      </c>
      <c r="R437" s="6">
        <v>97.75</v>
      </c>
    </row>
    <row r="438" spans="2:18">
      <c r="B438" s="6">
        <v>31804</v>
      </c>
      <c r="C438" s="6" t="s">
        <v>743</v>
      </c>
      <c r="D438" s="6">
        <v>0</v>
      </c>
      <c r="E438" s="6">
        <v>98.41</v>
      </c>
      <c r="F438" s="6">
        <v>98.41</v>
      </c>
      <c r="G438" s="6">
        <v>97.88</v>
      </c>
      <c r="H438" s="6">
        <v>97.7</v>
      </c>
      <c r="I438" s="6">
        <v>97.56</v>
      </c>
      <c r="J438" s="6">
        <v>98.01</v>
      </c>
      <c r="K438" s="6">
        <v>97.7</v>
      </c>
      <c r="L438" s="6">
        <v>97.61</v>
      </c>
      <c r="M438" s="6">
        <v>98.02</v>
      </c>
      <c r="N438" s="6">
        <v>97.7</v>
      </c>
      <c r="O438" s="6">
        <v>97.61</v>
      </c>
      <c r="P438" s="6">
        <v>98.02</v>
      </c>
      <c r="Q438" s="6">
        <v>97.7</v>
      </c>
      <c r="R438" s="6">
        <v>97.61</v>
      </c>
    </row>
    <row r="439" spans="2:18">
      <c r="B439" s="6">
        <v>31809</v>
      </c>
      <c r="C439" s="6" t="s">
        <v>228</v>
      </c>
      <c r="D439" s="6">
        <v>0</v>
      </c>
      <c r="E439" s="6">
        <v>99.28</v>
      </c>
      <c r="F439" s="6">
        <v>98.09</v>
      </c>
      <c r="G439" s="6">
        <v>98.81</v>
      </c>
      <c r="H439" s="6">
        <v>98.96</v>
      </c>
      <c r="I439" s="6">
        <v>98.18</v>
      </c>
      <c r="J439" s="6">
        <v>98.23</v>
      </c>
      <c r="K439" s="6">
        <v>98.19</v>
      </c>
      <c r="L439" s="6">
        <v>98.1</v>
      </c>
      <c r="M439" s="6">
        <v>98.23</v>
      </c>
      <c r="N439" s="6">
        <v>98.19</v>
      </c>
      <c r="O439" s="6">
        <v>98.1</v>
      </c>
      <c r="P439" s="6">
        <v>98.04</v>
      </c>
      <c r="Q439" s="6">
        <v>98.09</v>
      </c>
      <c r="R439" s="6">
        <v>97.91</v>
      </c>
    </row>
    <row r="440" spans="2:18">
      <c r="B440" s="6">
        <v>31809</v>
      </c>
      <c r="C440" s="6" t="s">
        <v>228</v>
      </c>
      <c r="D440" s="6">
        <v>0</v>
      </c>
      <c r="E440" s="6">
        <v>99.11</v>
      </c>
      <c r="F440" s="6">
        <v>98.49</v>
      </c>
      <c r="G440" s="6">
        <v>98.17</v>
      </c>
      <c r="H440" s="6">
        <v>98.73</v>
      </c>
      <c r="I440" s="6">
        <v>96.14</v>
      </c>
      <c r="J440" s="6">
        <v>98.77</v>
      </c>
      <c r="K440" s="6">
        <v>99.16</v>
      </c>
      <c r="L440" s="6">
        <v>98.56</v>
      </c>
      <c r="M440" s="6">
        <v>98.77</v>
      </c>
      <c r="N440" s="6">
        <v>99.16</v>
      </c>
      <c r="O440" s="6">
        <v>98.56</v>
      </c>
      <c r="P440" s="6">
        <v>98.52</v>
      </c>
      <c r="Q440" s="6">
        <v>98.45</v>
      </c>
      <c r="R440" s="6">
        <v>98.28</v>
      </c>
    </row>
    <row r="441" spans="2:18">
      <c r="B441" s="6">
        <v>31809</v>
      </c>
      <c r="C441" s="6" t="s">
        <v>228</v>
      </c>
      <c r="D441" s="6">
        <v>0</v>
      </c>
      <c r="E441" s="6">
        <v>98.94</v>
      </c>
      <c r="F441" s="6">
        <v>98.64</v>
      </c>
      <c r="G441" s="6">
        <v>98.71</v>
      </c>
      <c r="H441" s="6">
        <v>98.85</v>
      </c>
      <c r="I441" s="6">
        <v>98.33</v>
      </c>
      <c r="J441" s="6">
        <v>99.46</v>
      </c>
      <c r="K441" s="6">
        <v>99.47</v>
      </c>
      <c r="L441" s="6">
        <v>99.27</v>
      </c>
      <c r="M441" s="6">
        <v>99.46</v>
      </c>
      <c r="N441" s="6">
        <v>99.47</v>
      </c>
      <c r="O441" s="6">
        <v>99.27</v>
      </c>
      <c r="P441" s="6">
        <v>97.73</v>
      </c>
      <c r="Q441" s="6">
        <v>97.84</v>
      </c>
      <c r="R441" s="6">
        <v>97.75</v>
      </c>
    </row>
    <row r="442" spans="2:18">
      <c r="B442" s="6">
        <v>31849</v>
      </c>
      <c r="C442" s="6" t="s">
        <v>229</v>
      </c>
      <c r="D442" s="6">
        <v>98.13</v>
      </c>
      <c r="E442" s="6">
        <v>98.13</v>
      </c>
      <c r="F442" s="6">
        <v>97.08</v>
      </c>
      <c r="G442" s="6">
        <v>98.81</v>
      </c>
      <c r="H442" s="6">
        <v>98.96</v>
      </c>
      <c r="I442" s="6">
        <v>98.18</v>
      </c>
      <c r="J442" s="6">
        <v>98.23</v>
      </c>
      <c r="K442" s="6">
        <v>98.19</v>
      </c>
      <c r="L442" s="6">
        <v>98.1</v>
      </c>
      <c r="M442" s="6">
        <v>98.23</v>
      </c>
      <c r="N442" s="6">
        <v>98.19</v>
      </c>
      <c r="O442" s="6">
        <v>98.1</v>
      </c>
      <c r="P442" s="6">
        <v>98.04</v>
      </c>
      <c r="Q442" s="6">
        <v>98.09</v>
      </c>
      <c r="R442" s="6">
        <v>97.91</v>
      </c>
    </row>
    <row r="443" spans="2:18">
      <c r="B443" s="6">
        <v>31849</v>
      </c>
      <c r="C443" s="6" t="s">
        <v>229</v>
      </c>
      <c r="D443" s="6">
        <v>98.17</v>
      </c>
      <c r="E443" s="6">
        <v>98.17</v>
      </c>
      <c r="F443" s="6">
        <v>93.58</v>
      </c>
      <c r="G443" s="6">
        <v>98.17</v>
      </c>
      <c r="H443" s="6">
        <v>98.73</v>
      </c>
      <c r="I443" s="6">
        <v>96.14</v>
      </c>
      <c r="J443" s="6">
        <v>98.77</v>
      </c>
      <c r="K443" s="6">
        <v>99.16</v>
      </c>
      <c r="L443" s="6">
        <v>98.56</v>
      </c>
      <c r="M443" s="6">
        <v>98.77</v>
      </c>
      <c r="N443" s="6">
        <v>99.16</v>
      </c>
      <c r="O443" s="6">
        <v>98.56</v>
      </c>
      <c r="P443" s="6">
        <v>98.52</v>
      </c>
      <c r="Q443" s="6">
        <v>98.45</v>
      </c>
      <c r="R443" s="6">
        <v>98.28</v>
      </c>
    </row>
    <row r="444" spans="2:18">
      <c r="B444" s="6">
        <v>31849</v>
      </c>
      <c r="C444" s="6" t="s">
        <v>229</v>
      </c>
      <c r="D444" s="6">
        <v>98.71</v>
      </c>
      <c r="E444" s="6">
        <v>98.71</v>
      </c>
      <c r="F444" s="6">
        <v>97.99</v>
      </c>
      <c r="G444" s="6">
        <v>98.71</v>
      </c>
      <c r="H444" s="6">
        <v>98.85</v>
      </c>
      <c r="I444" s="6">
        <v>98.33</v>
      </c>
      <c r="J444" s="6">
        <v>99.46</v>
      </c>
      <c r="K444" s="6">
        <v>99.47</v>
      </c>
      <c r="L444" s="6">
        <v>99.27</v>
      </c>
      <c r="M444" s="6">
        <v>99.46</v>
      </c>
      <c r="N444" s="6">
        <v>99.47</v>
      </c>
      <c r="O444" s="6">
        <v>99.27</v>
      </c>
      <c r="P444" s="6">
        <v>97.73</v>
      </c>
      <c r="Q444" s="6">
        <v>97.84</v>
      </c>
      <c r="R444" s="6">
        <v>97.75</v>
      </c>
    </row>
    <row r="445" spans="2:18">
      <c r="B445" s="6">
        <v>31864</v>
      </c>
      <c r="C445" s="6" t="s">
        <v>29</v>
      </c>
      <c r="D445" s="6">
        <v>0</v>
      </c>
      <c r="E445" s="6">
        <v>98.88</v>
      </c>
      <c r="F445" s="6">
        <v>98.88</v>
      </c>
      <c r="G445" s="6">
        <v>98.64</v>
      </c>
      <c r="H445" s="6">
        <v>98.72</v>
      </c>
      <c r="I445" s="6">
        <v>98.71</v>
      </c>
      <c r="J445" s="6">
        <v>98.64</v>
      </c>
      <c r="K445" s="6">
        <v>98.72</v>
      </c>
      <c r="L445" s="6">
        <v>98.71</v>
      </c>
      <c r="M445" s="6">
        <v>98.64</v>
      </c>
      <c r="N445" s="6">
        <v>98.72</v>
      </c>
      <c r="O445" s="6">
        <v>98.71</v>
      </c>
      <c r="P445" s="6">
        <v>98.64</v>
      </c>
      <c r="Q445" s="6">
        <v>98.72</v>
      </c>
      <c r="R445" s="6">
        <v>98.71</v>
      </c>
    </row>
    <row r="446" spans="2:18">
      <c r="B446" s="6">
        <v>31864</v>
      </c>
      <c r="C446" s="6" t="s">
        <v>29</v>
      </c>
      <c r="D446" s="6">
        <v>0</v>
      </c>
      <c r="E446" s="6">
        <v>99.13</v>
      </c>
      <c r="F446" s="6">
        <v>99.13</v>
      </c>
      <c r="G446" s="6">
        <v>99.04</v>
      </c>
      <c r="H446" s="6">
        <v>99.18</v>
      </c>
      <c r="I446" s="6">
        <v>99.21</v>
      </c>
      <c r="J446" s="6">
        <v>99.04</v>
      </c>
      <c r="K446" s="6">
        <v>99.18</v>
      </c>
      <c r="L446" s="6">
        <v>99.21</v>
      </c>
      <c r="M446" s="6">
        <v>99.07</v>
      </c>
      <c r="N446" s="6">
        <v>99.18</v>
      </c>
      <c r="O446" s="6">
        <v>99.18</v>
      </c>
      <c r="P446" s="6">
        <v>99.05</v>
      </c>
      <c r="Q446" s="6">
        <v>99.16</v>
      </c>
      <c r="R446" s="6">
        <v>99.16</v>
      </c>
    </row>
    <row r="447" spans="2:18">
      <c r="B447" s="6">
        <v>31869</v>
      </c>
      <c r="C447" s="6" t="s">
        <v>1177</v>
      </c>
      <c r="D447" s="6">
        <v>0</v>
      </c>
      <c r="E447" s="6">
        <v>0</v>
      </c>
      <c r="F447" s="6">
        <v>54</v>
      </c>
      <c r="G447" s="6">
        <v>0</v>
      </c>
      <c r="H447" s="6">
        <v>0</v>
      </c>
      <c r="I447" s="6">
        <v>82.29</v>
      </c>
      <c r="J447" s="6">
        <v>80.86</v>
      </c>
      <c r="K447" s="6">
        <v>83.63</v>
      </c>
      <c r="L447" s="6">
        <v>83.87</v>
      </c>
      <c r="M447" s="6">
        <v>80.86</v>
      </c>
      <c r="N447" s="6">
        <v>83.63</v>
      </c>
      <c r="O447" s="6">
        <v>83.87</v>
      </c>
      <c r="P447" s="6">
        <v>80.86</v>
      </c>
      <c r="Q447" s="6">
        <v>83.63</v>
      </c>
      <c r="R447" s="6">
        <v>83.87</v>
      </c>
    </row>
    <row r="448" spans="2:18">
      <c r="B448" s="6">
        <v>31869</v>
      </c>
      <c r="C448" s="6" t="s">
        <v>1177</v>
      </c>
      <c r="D448" s="6">
        <v>0</v>
      </c>
      <c r="E448" s="6">
        <v>0</v>
      </c>
      <c r="F448" s="6">
        <v>54</v>
      </c>
      <c r="G448" s="6">
        <v>0</v>
      </c>
      <c r="H448" s="6">
        <v>0</v>
      </c>
      <c r="I448" s="6">
        <v>82.29</v>
      </c>
      <c r="J448" s="6">
        <v>80.86</v>
      </c>
      <c r="K448" s="6">
        <v>83.63</v>
      </c>
      <c r="L448" s="6">
        <v>83.87</v>
      </c>
      <c r="M448" s="6">
        <v>80.86</v>
      </c>
      <c r="N448" s="6">
        <v>83.63</v>
      </c>
      <c r="O448" s="6">
        <v>83.87</v>
      </c>
      <c r="P448" s="6">
        <v>80.86</v>
      </c>
      <c r="Q448" s="6">
        <v>83.63</v>
      </c>
      <c r="R448" s="6">
        <v>83.87</v>
      </c>
    </row>
    <row r="449" spans="2:18">
      <c r="B449" s="6">
        <v>31871</v>
      </c>
      <c r="C449" s="6" t="s">
        <v>136</v>
      </c>
      <c r="D449" s="6">
        <v>98.93</v>
      </c>
      <c r="E449" s="6">
        <v>98.93</v>
      </c>
      <c r="F449" s="6">
        <v>99.01</v>
      </c>
      <c r="G449" s="6">
        <v>98.48</v>
      </c>
      <c r="H449" s="6">
        <v>98.4</v>
      </c>
      <c r="I449" s="6">
        <v>98.25</v>
      </c>
      <c r="J449" s="6">
        <v>98.64</v>
      </c>
      <c r="K449" s="6">
        <v>98.48</v>
      </c>
      <c r="L449" s="6">
        <v>98.3</v>
      </c>
      <c r="M449" s="6">
        <v>98.62</v>
      </c>
      <c r="N449" s="6">
        <v>98.46</v>
      </c>
      <c r="O449" s="6">
        <v>98.28</v>
      </c>
      <c r="P449" s="6">
        <v>98.52</v>
      </c>
      <c r="Q449" s="6">
        <v>98.45</v>
      </c>
      <c r="R449" s="6">
        <v>98.28</v>
      </c>
    </row>
    <row r="450" spans="2:18">
      <c r="B450" s="6">
        <v>31871</v>
      </c>
      <c r="C450" s="6" t="s">
        <v>136</v>
      </c>
      <c r="D450" s="6">
        <v>98.94</v>
      </c>
      <c r="E450" s="6">
        <v>98.94</v>
      </c>
      <c r="F450" s="6">
        <v>99.02</v>
      </c>
      <c r="G450" s="6">
        <v>98.72</v>
      </c>
      <c r="H450" s="6">
        <v>98.71</v>
      </c>
      <c r="I450" s="6">
        <v>98.75</v>
      </c>
      <c r="J450" s="6">
        <v>98.77</v>
      </c>
      <c r="K450" s="6">
        <v>98.75</v>
      </c>
      <c r="L450" s="6">
        <v>98.72</v>
      </c>
      <c r="M450" s="6">
        <v>98.71</v>
      </c>
      <c r="N450" s="6">
        <v>98.7</v>
      </c>
      <c r="O450" s="6">
        <v>98.68</v>
      </c>
      <c r="P450" s="6">
        <v>98.71</v>
      </c>
      <c r="Q450" s="6">
        <v>98.7</v>
      </c>
      <c r="R450" s="6">
        <v>98.68</v>
      </c>
    </row>
    <row r="451" spans="2:18">
      <c r="B451" s="6">
        <v>31871</v>
      </c>
      <c r="C451" s="6" t="s">
        <v>136</v>
      </c>
      <c r="D451" s="6">
        <v>97.42</v>
      </c>
      <c r="E451" s="6">
        <v>97.42</v>
      </c>
      <c r="F451" s="6">
        <v>97.61</v>
      </c>
      <c r="G451" s="6">
        <v>97.43</v>
      </c>
      <c r="H451" s="6">
        <v>97.49</v>
      </c>
      <c r="I451" s="6">
        <v>97.36</v>
      </c>
      <c r="J451" s="6">
        <v>97.72</v>
      </c>
      <c r="K451" s="6">
        <v>97.84</v>
      </c>
      <c r="L451" s="6">
        <v>97.75</v>
      </c>
      <c r="M451" s="6">
        <v>97.72</v>
      </c>
      <c r="N451" s="6">
        <v>97.83</v>
      </c>
      <c r="O451" s="6">
        <v>97.74</v>
      </c>
      <c r="P451" s="6">
        <v>97.73</v>
      </c>
      <c r="Q451" s="6">
        <v>97.84</v>
      </c>
      <c r="R451" s="6">
        <v>97.75</v>
      </c>
    </row>
    <row r="452" spans="2:18">
      <c r="B452" s="6">
        <v>31871</v>
      </c>
      <c r="C452" s="6" t="s">
        <v>136</v>
      </c>
      <c r="D452" s="6">
        <v>99.46</v>
      </c>
      <c r="E452" s="6">
        <v>99.46</v>
      </c>
      <c r="F452" s="6">
        <v>98.75</v>
      </c>
      <c r="G452" s="6">
        <v>97.88</v>
      </c>
      <c r="H452" s="6">
        <v>97.7</v>
      </c>
      <c r="I452" s="6">
        <v>97.56</v>
      </c>
      <c r="J452" s="6">
        <v>98.01</v>
      </c>
      <c r="K452" s="6">
        <v>97.7</v>
      </c>
      <c r="L452" s="6">
        <v>97.61</v>
      </c>
      <c r="M452" s="6">
        <v>98.02</v>
      </c>
      <c r="N452" s="6">
        <v>97.7</v>
      </c>
      <c r="O452" s="6">
        <v>97.61</v>
      </c>
      <c r="P452" s="6">
        <v>98.02</v>
      </c>
      <c r="Q452" s="6">
        <v>97.7</v>
      </c>
      <c r="R452" s="6">
        <v>97.61</v>
      </c>
    </row>
    <row r="453" spans="2:18">
      <c r="B453" s="6">
        <v>31895</v>
      </c>
      <c r="C453" s="6" t="s">
        <v>1102</v>
      </c>
      <c r="D453" s="6">
        <v>0</v>
      </c>
      <c r="E453" s="6">
        <v>0</v>
      </c>
      <c r="F453" s="6">
        <v>98.33</v>
      </c>
      <c r="G453" s="6">
        <v>0</v>
      </c>
      <c r="H453" s="6">
        <v>97.74</v>
      </c>
      <c r="I453" s="6">
        <v>97.38</v>
      </c>
      <c r="J453" s="6">
        <v>90.86</v>
      </c>
      <c r="K453" s="6">
        <v>96.97</v>
      </c>
      <c r="L453" s="6">
        <v>96.91</v>
      </c>
      <c r="M453" s="6">
        <v>98.71</v>
      </c>
      <c r="N453" s="6">
        <v>98.7</v>
      </c>
      <c r="O453" s="6">
        <v>98.68</v>
      </c>
      <c r="P453" s="6">
        <v>98.71</v>
      </c>
      <c r="Q453" s="6">
        <v>98.7</v>
      </c>
      <c r="R453" s="6">
        <v>98.68</v>
      </c>
    </row>
    <row r="454" spans="2:18">
      <c r="B454" s="6">
        <v>31895</v>
      </c>
      <c r="C454" s="6" t="s">
        <v>1102</v>
      </c>
      <c r="D454" s="6">
        <v>0</v>
      </c>
      <c r="E454" s="6">
        <v>0</v>
      </c>
      <c r="F454" s="6">
        <v>96</v>
      </c>
      <c r="G454" s="6">
        <v>0</v>
      </c>
      <c r="H454" s="6">
        <v>97.5</v>
      </c>
      <c r="I454" s="6">
        <v>97.11</v>
      </c>
      <c r="J454" s="6">
        <v>0</v>
      </c>
      <c r="K454" s="6">
        <v>97.22</v>
      </c>
      <c r="L454" s="6">
        <v>96.87</v>
      </c>
      <c r="M454" s="6">
        <v>97.72</v>
      </c>
      <c r="N454" s="6">
        <v>97.83</v>
      </c>
      <c r="O454" s="6">
        <v>97.74</v>
      </c>
      <c r="P454" s="6">
        <v>97.73</v>
      </c>
      <c r="Q454" s="6">
        <v>97.84</v>
      </c>
      <c r="R454" s="6">
        <v>97.75</v>
      </c>
    </row>
    <row r="455" spans="2:18">
      <c r="B455" s="6">
        <v>31895</v>
      </c>
      <c r="C455" s="6" t="s">
        <v>1102</v>
      </c>
      <c r="D455" s="6">
        <v>0</v>
      </c>
      <c r="E455" s="6">
        <v>0</v>
      </c>
      <c r="F455" s="6">
        <v>81.36</v>
      </c>
      <c r="G455" s="6">
        <v>0</v>
      </c>
      <c r="H455" s="6">
        <v>94.82</v>
      </c>
      <c r="I455" s="6">
        <v>93.03</v>
      </c>
      <c r="J455" s="6">
        <v>94.97</v>
      </c>
      <c r="K455" s="6">
        <v>94.84</v>
      </c>
      <c r="L455" s="6">
        <v>91.34</v>
      </c>
      <c r="M455" s="6">
        <v>98.29</v>
      </c>
      <c r="N455" s="6">
        <v>97.91</v>
      </c>
      <c r="O455" s="6">
        <v>97.88</v>
      </c>
      <c r="P455" s="6">
        <v>98.29</v>
      </c>
      <c r="Q455" s="6">
        <v>97.91</v>
      </c>
      <c r="R455" s="6">
        <v>97.88</v>
      </c>
    </row>
    <row r="456" spans="2:18">
      <c r="B456" s="6">
        <v>31896</v>
      </c>
      <c r="C456" s="6" t="s">
        <v>1093</v>
      </c>
      <c r="D456" s="6">
        <v>0</v>
      </c>
      <c r="E456" s="6">
        <v>0</v>
      </c>
      <c r="F456" s="6">
        <v>90</v>
      </c>
      <c r="G456" s="6">
        <v>0</v>
      </c>
      <c r="H456" s="6">
        <v>97.74</v>
      </c>
      <c r="I456" s="6">
        <v>97.38</v>
      </c>
      <c r="J456" s="6">
        <v>90.86</v>
      </c>
      <c r="K456" s="6">
        <v>96.97</v>
      </c>
      <c r="L456" s="6">
        <v>96.91</v>
      </c>
      <c r="M456" s="6">
        <v>98.71</v>
      </c>
      <c r="N456" s="6">
        <v>98.7</v>
      </c>
      <c r="O456" s="6">
        <v>98.68</v>
      </c>
      <c r="P456" s="6">
        <v>98.71</v>
      </c>
      <c r="Q456" s="6">
        <v>98.7</v>
      </c>
      <c r="R456" s="6">
        <v>98.68</v>
      </c>
    </row>
    <row r="457" spans="2:18">
      <c r="B457" s="6">
        <v>31896</v>
      </c>
      <c r="C457" s="6" t="s">
        <v>1093</v>
      </c>
      <c r="D457" s="6">
        <v>0</v>
      </c>
      <c r="E457" s="6">
        <v>0</v>
      </c>
      <c r="F457" s="6">
        <v>96</v>
      </c>
      <c r="G457" s="6">
        <v>0</v>
      </c>
      <c r="H457" s="6">
        <v>97.5</v>
      </c>
      <c r="I457" s="6">
        <v>97.11</v>
      </c>
      <c r="J457" s="6">
        <v>0</v>
      </c>
      <c r="K457" s="6">
        <v>97.22</v>
      </c>
      <c r="L457" s="6">
        <v>96.87</v>
      </c>
      <c r="M457" s="6">
        <v>97.72</v>
      </c>
      <c r="N457" s="6">
        <v>97.83</v>
      </c>
      <c r="O457" s="6">
        <v>97.74</v>
      </c>
      <c r="P457" s="6">
        <v>97.73</v>
      </c>
      <c r="Q457" s="6">
        <v>97.84</v>
      </c>
      <c r="R457" s="6">
        <v>97.75</v>
      </c>
    </row>
    <row r="458" spans="2:18">
      <c r="B458" s="6">
        <v>31896</v>
      </c>
      <c r="C458" s="6" t="s">
        <v>1093</v>
      </c>
      <c r="D458" s="6">
        <v>0</v>
      </c>
      <c r="E458" s="6">
        <v>0</v>
      </c>
      <c r="F458" s="6">
        <v>98.15</v>
      </c>
      <c r="G458" s="6">
        <v>0</v>
      </c>
      <c r="H458" s="6">
        <v>94.82</v>
      </c>
      <c r="I458" s="6">
        <v>93.03</v>
      </c>
      <c r="J458" s="6">
        <v>94.97</v>
      </c>
      <c r="K458" s="6">
        <v>94.84</v>
      </c>
      <c r="L458" s="6">
        <v>91.34</v>
      </c>
      <c r="M458" s="6">
        <v>98.29</v>
      </c>
      <c r="N458" s="6">
        <v>97.91</v>
      </c>
      <c r="O458" s="6">
        <v>97.88</v>
      </c>
      <c r="P458" s="6">
        <v>98.29</v>
      </c>
      <c r="Q458" s="6">
        <v>97.91</v>
      </c>
      <c r="R458" s="6">
        <v>97.88</v>
      </c>
    </row>
    <row r="459" spans="2:18">
      <c r="B459" s="6">
        <v>31898</v>
      </c>
      <c r="C459" s="6" t="s">
        <v>55</v>
      </c>
      <c r="D459" s="6">
        <v>0</v>
      </c>
      <c r="E459" s="6">
        <v>97.86</v>
      </c>
      <c r="F459" s="6">
        <v>97.86</v>
      </c>
      <c r="G459" s="6">
        <v>0</v>
      </c>
      <c r="H459" s="6">
        <v>97.74</v>
      </c>
      <c r="I459" s="6">
        <v>97.38</v>
      </c>
      <c r="J459" s="6">
        <v>90.86</v>
      </c>
      <c r="K459" s="6">
        <v>96.97</v>
      </c>
      <c r="L459" s="6">
        <v>96.91</v>
      </c>
      <c r="M459" s="6">
        <v>98.71</v>
      </c>
      <c r="N459" s="6">
        <v>98.7</v>
      </c>
      <c r="O459" s="6">
        <v>98.68</v>
      </c>
      <c r="P459" s="6">
        <v>98.71</v>
      </c>
      <c r="Q459" s="6">
        <v>98.7</v>
      </c>
      <c r="R459" s="6">
        <v>98.68</v>
      </c>
    </row>
    <row r="460" spans="2:18">
      <c r="B460" s="6">
        <v>31898</v>
      </c>
      <c r="C460" s="6" t="s">
        <v>55</v>
      </c>
      <c r="D460" s="6">
        <v>0</v>
      </c>
      <c r="E460" s="6">
        <v>97.9</v>
      </c>
      <c r="F460" s="6">
        <v>97.9</v>
      </c>
      <c r="G460" s="6">
        <v>0</v>
      </c>
      <c r="H460" s="6">
        <v>97.5</v>
      </c>
      <c r="I460" s="6">
        <v>97.11</v>
      </c>
      <c r="J460" s="6">
        <v>0</v>
      </c>
      <c r="K460" s="6">
        <v>97.22</v>
      </c>
      <c r="L460" s="6">
        <v>96.87</v>
      </c>
      <c r="M460" s="6">
        <v>97.72</v>
      </c>
      <c r="N460" s="6">
        <v>97.83</v>
      </c>
      <c r="O460" s="6">
        <v>97.74</v>
      </c>
      <c r="P460" s="6">
        <v>97.73</v>
      </c>
      <c r="Q460" s="6">
        <v>97.84</v>
      </c>
      <c r="R460" s="6">
        <v>97.75</v>
      </c>
    </row>
    <row r="461" spans="2:18">
      <c r="B461" s="6">
        <v>31898</v>
      </c>
      <c r="C461" s="6" t="s">
        <v>55</v>
      </c>
      <c r="D461" s="6">
        <v>0</v>
      </c>
      <c r="E461" s="6">
        <v>90.15</v>
      </c>
      <c r="F461" s="6">
        <v>90.15</v>
      </c>
      <c r="G461" s="6">
        <v>0</v>
      </c>
      <c r="H461" s="6">
        <v>94.82</v>
      </c>
      <c r="I461" s="6">
        <v>93.03</v>
      </c>
      <c r="J461" s="6">
        <v>94.97</v>
      </c>
      <c r="K461" s="6">
        <v>94.84</v>
      </c>
      <c r="L461" s="6">
        <v>91.34</v>
      </c>
      <c r="M461" s="6">
        <v>98.29</v>
      </c>
      <c r="N461" s="6">
        <v>97.91</v>
      </c>
      <c r="O461" s="6">
        <v>97.88</v>
      </c>
      <c r="P461" s="6">
        <v>98.29</v>
      </c>
      <c r="Q461" s="6">
        <v>97.91</v>
      </c>
      <c r="R461" s="6">
        <v>97.88</v>
      </c>
    </row>
    <row r="462" spans="2:18">
      <c r="B462" s="6">
        <v>31899</v>
      </c>
      <c r="C462" s="6" t="s">
        <v>1103</v>
      </c>
      <c r="D462" s="6">
        <v>0</v>
      </c>
      <c r="E462" s="6">
        <v>99.56</v>
      </c>
      <c r="F462" s="6">
        <v>99.56</v>
      </c>
      <c r="G462" s="6">
        <v>0</v>
      </c>
      <c r="H462" s="6">
        <v>97.74</v>
      </c>
      <c r="I462" s="6">
        <v>97.38</v>
      </c>
      <c r="J462" s="6">
        <v>90.86</v>
      </c>
      <c r="K462" s="6">
        <v>96.97</v>
      </c>
      <c r="L462" s="6">
        <v>96.91</v>
      </c>
      <c r="M462" s="6">
        <v>98.71</v>
      </c>
      <c r="N462" s="6">
        <v>98.7</v>
      </c>
      <c r="O462" s="6">
        <v>98.68</v>
      </c>
      <c r="P462" s="6">
        <v>98.71</v>
      </c>
      <c r="Q462" s="6">
        <v>98.7</v>
      </c>
      <c r="R462" s="6">
        <v>98.68</v>
      </c>
    </row>
    <row r="463" spans="2:18">
      <c r="B463" s="6">
        <v>31899</v>
      </c>
      <c r="C463" s="6" t="s">
        <v>1103</v>
      </c>
      <c r="D463" s="6">
        <v>0</v>
      </c>
      <c r="E463" s="6">
        <v>97.83</v>
      </c>
      <c r="F463" s="6">
        <v>97.83</v>
      </c>
      <c r="G463" s="6">
        <v>0</v>
      </c>
      <c r="H463" s="6">
        <v>97.5</v>
      </c>
      <c r="I463" s="6">
        <v>97.11</v>
      </c>
      <c r="J463" s="6">
        <v>0</v>
      </c>
      <c r="K463" s="6">
        <v>97.22</v>
      </c>
      <c r="L463" s="6">
        <v>96.87</v>
      </c>
      <c r="M463" s="6">
        <v>97.72</v>
      </c>
      <c r="N463" s="6">
        <v>97.83</v>
      </c>
      <c r="O463" s="6">
        <v>97.74</v>
      </c>
      <c r="P463" s="6">
        <v>97.73</v>
      </c>
      <c r="Q463" s="6">
        <v>97.84</v>
      </c>
      <c r="R463" s="6">
        <v>97.75</v>
      </c>
    </row>
    <row r="464" spans="2:18">
      <c r="B464" s="6">
        <v>31899</v>
      </c>
      <c r="C464" s="6" t="s">
        <v>1103</v>
      </c>
      <c r="D464" s="6">
        <v>0</v>
      </c>
      <c r="E464" s="6">
        <v>97.32</v>
      </c>
      <c r="F464" s="6">
        <v>97.32</v>
      </c>
      <c r="G464" s="6">
        <v>0</v>
      </c>
      <c r="H464" s="6">
        <v>94.82</v>
      </c>
      <c r="I464" s="6">
        <v>93.03</v>
      </c>
      <c r="J464" s="6">
        <v>94.97</v>
      </c>
      <c r="K464" s="6">
        <v>94.84</v>
      </c>
      <c r="L464" s="6">
        <v>91.34</v>
      </c>
      <c r="M464" s="6">
        <v>98.29</v>
      </c>
      <c r="N464" s="6">
        <v>97.91</v>
      </c>
      <c r="O464" s="6">
        <v>97.88</v>
      </c>
      <c r="P464" s="6">
        <v>98.29</v>
      </c>
      <c r="Q464" s="6">
        <v>97.91</v>
      </c>
      <c r="R464" s="6">
        <v>97.88</v>
      </c>
    </row>
    <row r="465" spans="2:18">
      <c r="B465" s="6">
        <v>31915</v>
      </c>
      <c r="C465" s="6" t="s">
        <v>856</v>
      </c>
      <c r="D465" s="6">
        <v>0</v>
      </c>
      <c r="E465" s="6">
        <v>98.8</v>
      </c>
      <c r="F465" s="6">
        <v>98.8</v>
      </c>
      <c r="G465" s="6">
        <v>0</v>
      </c>
      <c r="H465" s="6">
        <v>98.8</v>
      </c>
      <c r="I465" s="6">
        <v>98.8</v>
      </c>
      <c r="J465" s="6">
        <v>0</v>
      </c>
      <c r="K465" s="6">
        <v>98.8</v>
      </c>
      <c r="L465" s="6">
        <v>98.8</v>
      </c>
      <c r="M465" s="6">
        <v>87.08</v>
      </c>
      <c r="N465" s="6">
        <v>94.95</v>
      </c>
      <c r="O465" s="6">
        <v>89.9</v>
      </c>
      <c r="P465" s="6">
        <v>96.61</v>
      </c>
      <c r="Q465" s="6">
        <v>97.38</v>
      </c>
      <c r="R465" s="6">
        <v>96.74</v>
      </c>
    </row>
    <row r="466" spans="2:18">
      <c r="B466" s="6">
        <v>31915</v>
      </c>
      <c r="C466" s="6" t="s">
        <v>856</v>
      </c>
      <c r="D466" s="6">
        <v>0</v>
      </c>
      <c r="E466" s="6">
        <v>98.61</v>
      </c>
      <c r="F466" s="6">
        <v>98.61</v>
      </c>
      <c r="G466" s="6">
        <v>97.54</v>
      </c>
      <c r="H466" s="6">
        <v>97.44</v>
      </c>
      <c r="I466" s="6">
        <v>97.36</v>
      </c>
      <c r="J466" s="6">
        <v>97.54</v>
      </c>
      <c r="K466" s="6">
        <v>97.47</v>
      </c>
      <c r="L466" s="6">
        <v>97.49</v>
      </c>
      <c r="M466" s="6">
        <v>97.54</v>
      </c>
      <c r="N466" s="6">
        <v>97.47</v>
      </c>
      <c r="O466" s="6">
        <v>97.49</v>
      </c>
      <c r="P466" s="6">
        <v>97.54</v>
      </c>
      <c r="Q466" s="6">
        <v>97.47</v>
      </c>
      <c r="R466" s="6">
        <v>97.49</v>
      </c>
    </row>
    <row r="467" spans="2:18">
      <c r="B467" s="6">
        <v>31915</v>
      </c>
      <c r="C467" s="6" t="s">
        <v>856</v>
      </c>
      <c r="D467" s="6">
        <v>0</v>
      </c>
      <c r="E467" s="6">
        <v>94.54</v>
      </c>
      <c r="F467" s="6">
        <v>94.54</v>
      </c>
      <c r="G467" s="6">
        <v>98.79</v>
      </c>
      <c r="H467" s="6">
        <v>97.24</v>
      </c>
      <c r="I467" s="6">
        <v>97.66</v>
      </c>
      <c r="J467" s="6">
        <v>98.79</v>
      </c>
      <c r="K467" s="6">
        <v>97.36</v>
      </c>
      <c r="L467" s="6">
        <v>97.73</v>
      </c>
      <c r="M467" s="6">
        <v>98.86</v>
      </c>
      <c r="N467" s="6">
        <v>98.82</v>
      </c>
      <c r="O467" s="6">
        <v>98.74</v>
      </c>
      <c r="P467" s="6">
        <v>98.83</v>
      </c>
      <c r="Q467" s="6">
        <v>98.81</v>
      </c>
      <c r="R467" s="6">
        <v>98.73</v>
      </c>
    </row>
    <row r="468" spans="2:18">
      <c r="B468" s="6">
        <v>31915</v>
      </c>
      <c r="C468" s="6" t="s">
        <v>856</v>
      </c>
      <c r="D468" s="6">
        <v>0</v>
      </c>
      <c r="E468" s="6">
        <v>97.42</v>
      </c>
      <c r="F468" s="6">
        <v>97.42</v>
      </c>
      <c r="G468" s="6">
        <v>0</v>
      </c>
      <c r="H468" s="6">
        <v>94.82</v>
      </c>
      <c r="I468" s="6">
        <v>93.03</v>
      </c>
      <c r="J468" s="6">
        <v>94.97</v>
      </c>
      <c r="K468" s="6">
        <v>94.84</v>
      </c>
      <c r="L468" s="6">
        <v>91.34</v>
      </c>
      <c r="M468" s="6">
        <v>98.29</v>
      </c>
      <c r="N468" s="6">
        <v>97.91</v>
      </c>
      <c r="O468" s="6">
        <v>97.88</v>
      </c>
      <c r="P468" s="6">
        <v>98.29</v>
      </c>
      <c r="Q468" s="6">
        <v>97.91</v>
      </c>
      <c r="R468" s="6">
        <v>97.88</v>
      </c>
    </row>
    <row r="469" spans="2:18">
      <c r="B469" s="6">
        <v>31922</v>
      </c>
      <c r="C469" s="6" t="s">
        <v>137</v>
      </c>
      <c r="D469" s="6">
        <v>0</v>
      </c>
      <c r="E469" s="6">
        <v>0</v>
      </c>
      <c r="F469" s="6">
        <v>97.96</v>
      </c>
      <c r="G469" s="6">
        <v>98.74</v>
      </c>
      <c r="H469" s="6">
        <v>98.55</v>
      </c>
      <c r="I469" s="6">
        <v>98.22</v>
      </c>
      <c r="J469" s="6">
        <v>98.64</v>
      </c>
      <c r="K469" s="6">
        <v>98.48</v>
      </c>
      <c r="L469" s="6">
        <v>98.3</v>
      </c>
      <c r="M469" s="6">
        <v>98.62</v>
      </c>
      <c r="N469" s="6">
        <v>98.46</v>
      </c>
      <c r="O469" s="6">
        <v>98.28</v>
      </c>
      <c r="P469" s="6">
        <v>98.52</v>
      </c>
      <c r="Q469" s="6">
        <v>98.45</v>
      </c>
      <c r="R469" s="6">
        <v>98.28</v>
      </c>
    </row>
    <row r="470" spans="2:18">
      <c r="B470" s="6">
        <v>31922</v>
      </c>
      <c r="C470" s="6" t="s">
        <v>137</v>
      </c>
      <c r="D470" s="6">
        <v>0</v>
      </c>
      <c r="E470" s="6">
        <v>0</v>
      </c>
      <c r="F470" s="6">
        <v>98.56</v>
      </c>
      <c r="G470" s="6">
        <v>98.85</v>
      </c>
      <c r="H470" s="6">
        <v>98.85</v>
      </c>
      <c r="I470" s="6">
        <v>98.64</v>
      </c>
      <c r="J470" s="6">
        <v>98.86</v>
      </c>
      <c r="K470" s="6">
        <v>98.85</v>
      </c>
      <c r="L470" s="6">
        <v>98.75</v>
      </c>
      <c r="M470" s="6">
        <v>98.86</v>
      </c>
      <c r="N470" s="6">
        <v>98.82</v>
      </c>
      <c r="O470" s="6">
        <v>98.74</v>
      </c>
      <c r="P470" s="6">
        <v>98.83</v>
      </c>
      <c r="Q470" s="6">
        <v>98.81</v>
      </c>
      <c r="R470" s="6">
        <v>98.73</v>
      </c>
    </row>
    <row r="471" spans="2:18">
      <c r="B471" s="6">
        <v>31922</v>
      </c>
      <c r="C471" s="6" t="s">
        <v>137</v>
      </c>
      <c r="D471" s="6">
        <v>0</v>
      </c>
      <c r="E471" s="6">
        <v>0</v>
      </c>
      <c r="F471" s="6">
        <v>94.57</v>
      </c>
      <c r="G471" s="6">
        <v>97.49</v>
      </c>
      <c r="H471" s="6">
        <v>97.66</v>
      </c>
      <c r="I471" s="6">
        <v>97.52</v>
      </c>
      <c r="J471" s="6">
        <v>97.72</v>
      </c>
      <c r="K471" s="6">
        <v>97.84</v>
      </c>
      <c r="L471" s="6">
        <v>97.75</v>
      </c>
      <c r="M471" s="6">
        <v>97.72</v>
      </c>
      <c r="N471" s="6">
        <v>97.83</v>
      </c>
      <c r="O471" s="6">
        <v>97.74</v>
      </c>
      <c r="P471" s="6">
        <v>97.73</v>
      </c>
      <c r="Q471" s="6">
        <v>97.84</v>
      </c>
      <c r="R471" s="6">
        <v>97.75</v>
      </c>
    </row>
    <row r="472" spans="2:18">
      <c r="B472" s="6">
        <v>31922</v>
      </c>
      <c r="C472" s="6" t="s">
        <v>137</v>
      </c>
      <c r="D472" s="6">
        <v>0</v>
      </c>
      <c r="E472" s="6">
        <v>0</v>
      </c>
      <c r="F472" s="6">
        <v>97.62</v>
      </c>
      <c r="G472" s="6">
        <v>98.15</v>
      </c>
      <c r="H472" s="6">
        <v>97.53</v>
      </c>
      <c r="I472" s="6">
        <v>97.49</v>
      </c>
      <c r="J472" s="6">
        <v>98.01</v>
      </c>
      <c r="K472" s="6">
        <v>97.7</v>
      </c>
      <c r="L472" s="6">
        <v>97.61</v>
      </c>
      <c r="M472" s="6">
        <v>98.02</v>
      </c>
      <c r="N472" s="6">
        <v>97.7</v>
      </c>
      <c r="O472" s="6">
        <v>97.61</v>
      </c>
      <c r="P472" s="6">
        <v>98.02</v>
      </c>
      <c r="Q472" s="6">
        <v>97.7</v>
      </c>
      <c r="R472" s="6">
        <v>97.61</v>
      </c>
    </row>
    <row r="473" spans="2:18">
      <c r="B473" s="6">
        <v>31923</v>
      </c>
      <c r="C473" s="6" t="s">
        <v>1111</v>
      </c>
      <c r="D473" s="6">
        <v>98.89</v>
      </c>
      <c r="E473" s="6">
        <v>98.89</v>
      </c>
      <c r="F473" s="6">
        <v>98.89</v>
      </c>
      <c r="G473" s="6">
        <v>98.74</v>
      </c>
      <c r="H473" s="6">
        <v>98.55</v>
      </c>
      <c r="I473" s="6">
        <v>98.22</v>
      </c>
      <c r="J473" s="6">
        <v>98.64</v>
      </c>
      <c r="K473" s="6">
        <v>98.48</v>
      </c>
      <c r="L473" s="6">
        <v>98.3</v>
      </c>
      <c r="M473" s="6">
        <v>98.62</v>
      </c>
      <c r="N473" s="6">
        <v>98.46</v>
      </c>
      <c r="O473" s="6">
        <v>98.28</v>
      </c>
      <c r="P473" s="6">
        <v>98.52</v>
      </c>
      <c r="Q473" s="6">
        <v>98.45</v>
      </c>
      <c r="R473" s="6">
        <v>98.28</v>
      </c>
    </row>
    <row r="474" spans="2:18">
      <c r="B474" s="6">
        <v>31923</v>
      </c>
      <c r="C474" s="6" t="s">
        <v>1111</v>
      </c>
      <c r="D474" s="6">
        <v>98.9</v>
      </c>
      <c r="E474" s="6">
        <v>98.9</v>
      </c>
      <c r="F474" s="6">
        <v>98.9</v>
      </c>
      <c r="G474" s="6">
        <v>98.85</v>
      </c>
      <c r="H474" s="6">
        <v>98.85</v>
      </c>
      <c r="I474" s="6">
        <v>98.64</v>
      </c>
      <c r="J474" s="6">
        <v>98.86</v>
      </c>
      <c r="K474" s="6">
        <v>98.85</v>
      </c>
      <c r="L474" s="6">
        <v>98.75</v>
      </c>
      <c r="M474" s="6">
        <v>98.86</v>
      </c>
      <c r="N474" s="6">
        <v>98.82</v>
      </c>
      <c r="O474" s="6">
        <v>98.74</v>
      </c>
      <c r="P474" s="6">
        <v>98.83</v>
      </c>
      <c r="Q474" s="6">
        <v>98.81</v>
      </c>
      <c r="R474" s="6">
        <v>98.73</v>
      </c>
    </row>
    <row r="475" spans="2:18">
      <c r="B475" s="6">
        <v>31923</v>
      </c>
      <c r="C475" s="6" t="s">
        <v>1111</v>
      </c>
      <c r="D475" s="6">
        <v>97.33</v>
      </c>
      <c r="E475" s="6">
        <v>97.33</v>
      </c>
      <c r="F475" s="6">
        <v>97.33</v>
      </c>
      <c r="G475" s="6">
        <v>97.49</v>
      </c>
      <c r="H475" s="6">
        <v>97.66</v>
      </c>
      <c r="I475" s="6">
        <v>97.52</v>
      </c>
      <c r="J475" s="6">
        <v>97.72</v>
      </c>
      <c r="K475" s="6">
        <v>97.84</v>
      </c>
      <c r="L475" s="6">
        <v>97.75</v>
      </c>
      <c r="M475" s="6">
        <v>97.72</v>
      </c>
      <c r="N475" s="6">
        <v>97.83</v>
      </c>
      <c r="O475" s="6">
        <v>97.74</v>
      </c>
      <c r="P475" s="6">
        <v>97.73</v>
      </c>
      <c r="Q475" s="6">
        <v>97.84</v>
      </c>
      <c r="R475" s="6">
        <v>97.75</v>
      </c>
    </row>
    <row r="476" spans="2:18">
      <c r="B476" s="6">
        <v>31923</v>
      </c>
      <c r="C476" s="6" t="s">
        <v>1111</v>
      </c>
      <c r="D476" s="6">
        <v>98.88</v>
      </c>
      <c r="E476" s="6">
        <v>98.88</v>
      </c>
      <c r="F476" s="6">
        <v>98.88</v>
      </c>
      <c r="G476" s="6">
        <v>98.15</v>
      </c>
      <c r="H476" s="6">
        <v>97.53</v>
      </c>
      <c r="I476" s="6">
        <v>97.49</v>
      </c>
      <c r="J476" s="6">
        <v>98.01</v>
      </c>
      <c r="K476" s="6">
        <v>97.7</v>
      </c>
      <c r="L476" s="6">
        <v>97.61</v>
      </c>
      <c r="M476" s="6">
        <v>98.02</v>
      </c>
      <c r="N476" s="6">
        <v>97.7</v>
      </c>
      <c r="O476" s="6">
        <v>97.61</v>
      </c>
      <c r="P476" s="6">
        <v>98.02</v>
      </c>
      <c r="Q476" s="6">
        <v>97.7</v>
      </c>
      <c r="R476" s="6">
        <v>97.61</v>
      </c>
    </row>
    <row r="477" spans="2:18">
      <c r="B477" s="6">
        <v>31924</v>
      </c>
      <c r="C477" s="6" t="s">
        <v>1160</v>
      </c>
      <c r="D477" s="6">
        <v>94.12</v>
      </c>
      <c r="E477" s="6">
        <v>94.12</v>
      </c>
      <c r="F477" s="6">
        <v>93.88</v>
      </c>
      <c r="G477" s="6">
        <v>94.12</v>
      </c>
      <c r="H477" s="6">
        <v>94.12</v>
      </c>
      <c r="I477" s="6">
        <v>93.88</v>
      </c>
      <c r="J477" s="6">
        <v>94.12</v>
      </c>
      <c r="K477" s="6">
        <v>94.12</v>
      </c>
      <c r="L477" s="6">
        <v>93.88</v>
      </c>
      <c r="M477" s="6">
        <v>94.12</v>
      </c>
      <c r="N477" s="6">
        <v>94.12</v>
      </c>
      <c r="O477" s="6">
        <v>93.88</v>
      </c>
      <c r="P477" s="6">
        <v>94.12</v>
      </c>
      <c r="Q477" s="6">
        <v>94.12</v>
      </c>
      <c r="R477" s="6">
        <v>93.88</v>
      </c>
    </row>
    <row r="478" spans="2:18">
      <c r="B478" s="6">
        <v>31924</v>
      </c>
      <c r="C478" s="6" t="s">
        <v>1160</v>
      </c>
      <c r="D478" s="6">
        <v>91.25</v>
      </c>
      <c r="E478" s="6">
        <v>91.25</v>
      </c>
      <c r="F478" s="6">
        <v>93.49</v>
      </c>
      <c r="G478" s="6">
        <v>91.25</v>
      </c>
      <c r="H478" s="6">
        <v>91.25</v>
      </c>
      <c r="I478" s="6">
        <v>93.49</v>
      </c>
      <c r="J478" s="6">
        <v>91.25</v>
      </c>
      <c r="K478" s="6">
        <v>91.25</v>
      </c>
      <c r="L478" s="6">
        <v>93.49</v>
      </c>
      <c r="M478" s="6">
        <v>91.25</v>
      </c>
      <c r="N478" s="6">
        <v>91.25</v>
      </c>
      <c r="O478" s="6">
        <v>93.49</v>
      </c>
      <c r="P478" s="6">
        <v>91.25</v>
      </c>
      <c r="Q478" s="6">
        <v>91.25</v>
      </c>
      <c r="R478" s="6">
        <v>93.49</v>
      </c>
    </row>
    <row r="479" spans="2:18">
      <c r="B479" s="6">
        <v>31925</v>
      </c>
      <c r="C479" s="6" t="s">
        <v>138</v>
      </c>
      <c r="D479" s="6">
        <v>0</v>
      </c>
      <c r="E479" s="6">
        <v>99.06</v>
      </c>
      <c r="F479" s="6">
        <v>98.86</v>
      </c>
      <c r="G479" s="6">
        <v>98.74</v>
      </c>
      <c r="H479" s="6">
        <v>98.55</v>
      </c>
      <c r="I479" s="6">
        <v>98.22</v>
      </c>
      <c r="J479" s="6">
        <v>98.64</v>
      </c>
      <c r="K479" s="6">
        <v>98.48</v>
      </c>
      <c r="L479" s="6">
        <v>98.3</v>
      </c>
      <c r="M479" s="6">
        <v>98.62</v>
      </c>
      <c r="N479" s="6">
        <v>98.46</v>
      </c>
      <c r="O479" s="6">
        <v>98.28</v>
      </c>
      <c r="P479" s="6">
        <v>98.52</v>
      </c>
      <c r="Q479" s="6">
        <v>98.45</v>
      </c>
      <c r="R479" s="6">
        <v>98.28</v>
      </c>
    </row>
    <row r="480" spans="2:18">
      <c r="B480" s="6">
        <v>31925</v>
      </c>
      <c r="C480" s="6" t="s">
        <v>138</v>
      </c>
      <c r="D480" s="6">
        <v>0</v>
      </c>
      <c r="E480" s="6">
        <v>99.07</v>
      </c>
      <c r="F480" s="6">
        <v>98.87</v>
      </c>
      <c r="G480" s="6">
        <v>98.85</v>
      </c>
      <c r="H480" s="6">
        <v>98.85</v>
      </c>
      <c r="I480" s="6">
        <v>98.64</v>
      </c>
      <c r="J480" s="6">
        <v>98.86</v>
      </c>
      <c r="K480" s="6">
        <v>98.85</v>
      </c>
      <c r="L480" s="6">
        <v>98.75</v>
      </c>
      <c r="M480" s="6">
        <v>98.86</v>
      </c>
      <c r="N480" s="6">
        <v>98.82</v>
      </c>
      <c r="O480" s="6">
        <v>98.74</v>
      </c>
      <c r="P480" s="6">
        <v>98.83</v>
      </c>
      <c r="Q480" s="6">
        <v>98.81</v>
      </c>
      <c r="R480" s="6">
        <v>98.73</v>
      </c>
    </row>
    <row r="481" spans="2:18">
      <c r="B481" s="6">
        <v>31925</v>
      </c>
      <c r="C481" s="6" t="s">
        <v>138</v>
      </c>
      <c r="D481" s="6">
        <v>0</v>
      </c>
      <c r="E481" s="6">
        <v>97.73</v>
      </c>
      <c r="F481" s="6">
        <v>95.95</v>
      </c>
      <c r="G481" s="6">
        <v>97.49</v>
      </c>
      <c r="H481" s="6">
        <v>97.66</v>
      </c>
      <c r="I481" s="6">
        <v>97.52</v>
      </c>
      <c r="J481" s="6">
        <v>97.72</v>
      </c>
      <c r="K481" s="6">
        <v>97.84</v>
      </c>
      <c r="L481" s="6">
        <v>97.75</v>
      </c>
      <c r="M481" s="6">
        <v>97.72</v>
      </c>
      <c r="N481" s="6">
        <v>97.83</v>
      </c>
      <c r="O481" s="6">
        <v>97.74</v>
      </c>
      <c r="P481" s="6">
        <v>97.73</v>
      </c>
      <c r="Q481" s="6">
        <v>97.84</v>
      </c>
      <c r="R481" s="6">
        <v>97.75</v>
      </c>
    </row>
    <row r="482" spans="2:18">
      <c r="B482" s="6">
        <v>31925</v>
      </c>
      <c r="C482" s="6" t="s">
        <v>138</v>
      </c>
      <c r="D482" s="6">
        <v>0</v>
      </c>
      <c r="E482" s="6">
        <v>97.39</v>
      </c>
      <c r="F482" s="6">
        <v>97.26</v>
      </c>
      <c r="G482" s="6">
        <v>98.15</v>
      </c>
      <c r="H482" s="6">
        <v>97.53</v>
      </c>
      <c r="I482" s="6">
        <v>97.49</v>
      </c>
      <c r="J482" s="6">
        <v>98.01</v>
      </c>
      <c r="K482" s="6">
        <v>97.7</v>
      </c>
      <c r="L482" s="6">
        <v>97.61</v>
      </c>
      <c r="M482" s="6">
        <v>98.02</v>
      </c>
      <c r="N482" s="6">
        <v>97.7</v>
      </c>
      <c r="O482" s="6">
        <v>97.61</v>
      </c>
      <c r="P482" s="6">
        <v>98.02</v>
      </c>
      <c r="Q482" s="6">
        <v>97.7</v>
      </c>
      <c r="R482" s="6">
        <v>97.61</v>
      </c>
    </row>
    <row r="483" spans="2:18">
      <c r="B483" s="6">
        <v>31930</v>
      </c>
      <c r="C483" s="6" t="s">
        <v>1055</v>
      </c>
      <c r="D483" s="6">
        <v>0</v>
      </c>
      <c r="E483" s="6">
        <v>0</v>
      </c>
      <c r="F483" s="6">
        <v>96.81</v>
      </c>
      <c r="G483" s="6">
        <v>98.74</v>
      </c>
      <c r="H483" s="6">
        <v>98.55</v>
      </c>
      <c r="I483" s="6">
        <v>98.22</v>
      </c>
      <c r="J483" s="6">
        <v>98.64</v>
      </c>
      <c r="K483" s="6">
        <v>98.48</v>
      </c>
      <c r="L483" s="6">
        <v>98.3</v>
      </c>
      <c r="M483" s="6">
        <v>98.62</v>
      </c>
      <c r="N483" s="6">
        <v>98.46</v>
      </c>
      <c r="O483" s="6">
        <v>98.28</v>
      </c>
      <c r="P483" s="6">
        <v>98.52</v>
      </c>
      <c r="Q483" s="6">
        <v>98.45</v>
      </c>
      <c r="R483" s="6">
        <v>98.28</v>
      </c>
    </row>
    <row r="484" spans="2:18">
      <c r="B484" s="6">
        <v>31930</v>
      </c>
      <c r="C484" s="6" t="s">
        <v>1055</v>
      </c>
      <c r="D484" s="6">
        <v>0</v>
      </c>
      <c r="E484" s="6">
        <v>0</v>
      </c>
      <c r="F484" s="6">
        <v>97.24</v>
      </c>
      <c r="G484" s="6">
        <v>98.85</v>
      </c>
      <c r="H484" s="6">
        <v>98.85</v>
      </c>
      <c r="I484" s="6">
        <v>98.64</v>
      </c>
      <c r="J484" s="6">
        <v>98.86</v>
      </c>
      <c r="K484" s="6">
        <v>98.85</v>
      </c>
      <c r="L484" s="6">
        <v>98.75</v>
      </c>
      <c r="M484" s="6">
        <v>98.86</v>
      </c>
      <c r="N484" s="6">
        <v>98.82</v>
      </c>
      <c r="O484" s="6">
        <v>98.74</v>
      </c>
      <c r="P484" s="6">
        <v>98.83</v>
      </c>
      <c r="Q484" s="6">
        <v>98.81</v>
      </c>
      <c r="R484" s="6">
        <v>98.73</v>
      </c>
    </row>
    <row r="485" spans="2:18">
      <c r="B485" s="6">
        <v>31930</v>
      </c>
      <c r="C485" s="6" t="s">
        <v>1055</v>
      </c>
      <c r="D485" s="6">
        <v>0</v>
      </c>
      <c r="E485" s="6">
        <v>0</v>
      </c>
      <c r="F485" s="6">
        <v>96.67</v>
      </c>
      <c r="G485" s="6">
        <v>97.49</v>
      </c>
      <c r="H485" s="6">
        <v>97.66</v>
      </c>
      <c r="I485" s="6">
        <v>97.52</v>
      </c>
      <c r="J485" s="6">
        <v>97.72</v>
      </c>
      <c r="K485" s="6">
        <v>97.84</v>
      </c>
      <c r="L485" s="6">
        <v>97.75</v>
      </c>
      <c r="M485" s="6">
        <v>97.72</v>
      </c>
      <c r="N485" s="6">
        <v>97.83</v>
      </c>
      <c r="O485" s="6">
        <v>97.74</v>
      </c>
      <c r="P485" s="6">
        <v>97.73</v>
      </c>
      <c r="Q485" s="6">
        <v>97.84</v>
      </c>
      <c r="R485" s="6">
        <v>97.75</v>
      </c>
    </row>
    <row r="486" spans="2:18">
      <c r="B486" s="6">
        <v>31930</v>
      </c>
      <c r="C486" s="6" t="s">
        <v>1055</v>
      </c>
      <c r="D486" s="6">
        <v>0</v>
      </c>
      <c r="E486" s="6">
        <v>0</v>
      </c>
      <c r="F486" s="6">
        <v>95.6</v>
      </c>
      <c r="G486" s="6">
        <v>98.15</v>
      </c>
      <c r="H486" s="6">
        <v>97.53</v>
      </c>
      <c r="I486" s="6">
        <v>97.49</v>
      </c>
      <c r="J486" s="6">
        <v>98.01</v>
      </c>
      <c r="K486" s="6">
        <v>97.7</v>
      </c>
      <c r="L486" s="6">
        <v>97.61</v>
      </c>
      <c r="M486" s="6">
        <v>98.02</v>
      </c>
      <c r="N486" s="6">
        <v>97.7</v>
      </c>
      <c r="O486" s="6">
        <v>97.61</v>
      </c>
      <c r="P486" s="6">
        <v>98.02</v>
      </c>
      <c r="Q486" s="6">
        <v>97.7</v>
      </c>
      <c r="R486" s="6">
        <v>97.61</v>
      </c>
    </row>
    <row r="487" spans="2:18">
      <c r="B487" s="6">
        <v>31940</v>
      </c>
      <c r="C487" s="6" t="s">
        <v>230</v>
      </c>
      <c r="D487" s="6">
        <v>95.38</v>
      </c>
      <c r="E487" s="6">
        <v>95.38</v>
      </c>
      <c r="F487" s="6">
        <v>95.38</v>
      </c>
      <c r="G487" s="6">
        <v>97.07</v>
      </c>
      <c r="H487" s="6">
        <v>94.76</v>
      </c>
      <c r="I487" s="6">
        <v>95.55</v>
      </c>
      <c r="J487" s="6">
        <v>98.23</v>
      </c>
      <c r="K487" s="6">
        <v>98.19</v>
      </c>
      <c r="L487" s="6">
        <v>98.1</v>
      </c>
      <c r="M487" s="6">
        <v>98.23</v>
      </c>
      <c r="N487" s="6">
        <v>98.19</v>
      </c>
      <c r="O487" s="6">
        <v>98.1</v>
      </c>
      <c r="P487" s="6">
        <v>98.04</v>
      </c>
      <c r="Q487" s="6">
        <v>98.09</v>
      </c>
      <c r="R487" s="6">
        <v>97.91</v>
      </c>
    </row>
    <row r="488" spans="2:18">
      <c r="B488" s="6">
        <v>31940</v>
      </c>
      <c r="C488" s="6" t="s">
        <v>230</v>
      </c>
      <c r="D488" s="6">
        <v>97.74</v>
      </c>
      <c r="E488" s="6">
        <v>97.74</v>
      </c>
      <c r="F488" s="6">
        <v>97.74</v>
      </c>
      <c r="G488" s="6">
        <v>98.65</v>
      </c>
      <c r="H488" s="6">
        <v>98.92</v>
      </c>
      <c r="I488" s="6">
        <v>98.33</v>
      </c>
      <c r="J488" s="6">
        <v>98.77</v>
      </c>
      <c r="K488" s="6">
        <v>99.16</v>
      </c>
      <c r="L488" s="6">
        <v>98.56</v>
      </c>
      <c r="M488" s="6">
        <v>98.77</v>
      </c>
      <c r="N488" s="6">
        <v>99.16</v>
      </c>
      <c r="O488" s="6">
        <v>98.56</v>
      </c>
      <c r="P488" s="6">
        <v>98.52</v>
      </c>
      <c r="Q488" s="6">
        <v>98.45</v>
      </c>
      <c r="R488" s="6">
        <v>98.28</v>
      </c>
    </row>
    <row r="489" spans="2:18">
      <c r="B489" s="6">
        <v>31940</v>
      </c>
      <c r="C489" s="6" t="s">
        <v>230</v>
      </c>
      <c r="D489" s="6">
        <v>88.67</v>
      </c>
      <c r="E489" s="6">
        <v>88.67</v>
      </c>
      <c r="F489" s="6">
        <v>88.67</v>
      </c>
      <c r="G489" s="6">
        <v>89.16</v>
      </c>
      <c r="H489" s="6">
        <v>90.71</v>
      </c>
      <c r="I489" s="6">
        <v>96</v>
      </c>
      <c r="J489" s="6">
        <v>89.16</v>
      </c>
      <c r="K489" s="6">
        <v>92.29</v>
      </c>
      <c r="L489" s="6">
        <v>95.48</v>
      </c>
      <c r="M489" s="6">
        <v>89.16</v>
      </c>
      <c r="N489" s="6">
        <v>92.29</v>
      </c>
      <c r="O489" s="6">
        <v>95.48</v>
      </c>
      <c r="P489" s="6">
        <v>89.16</v>
      </c>
      <c r="Q489" s="6">
        <v>92.29</v>
      </c>
      <c r="R489" s="6">
        <v>95.48</v>
      </c>
    </row>
    <row r="490" spans="2:18">
      <c r="B490" s="6">
        <v>31940</v>
      </c>
      <c r="C490" s="6" t="s">
        <v>230</v>
      </c>
      <c r="D490" s="6">
        <v>64.94</v>
      </c>
      <c r="E490" s="6">
        <v>68.56</v>
      </c>
      <c r="F490" s="6">
        <v>77.23</v>
      </c>
      <c r="G490" s="6">
        <v>64.94</v>
      </c>
      <c r="H490" s="6">
        <v>68.56</v>
      </c>
      <c r="I490" s="6">
        <v>74.33</v>
      </c>
      <c r="J490" s="6">
        <v>64.94</v>
      </c>
      <c r="K490" s="6">
        <v>72.86</v>
      </c>
      <c r="L490" s="6">
        <v>79.599999999999994</v>
      </c>
      <c r="M490" s="6">
        <v>64.94</v>
      </c>
      <c r="N490" s="6">
        <v>72.86</v>
      </c>
      <c r="O490" s="6">
        <v>79.599999999999994</v>
      </c>
      <c r="P490" s="6">
        <v>91.25</v>
      </c>
      <c r="Q490" s="6">
        <v>89.47</v>
      </c>
      <c r="R490" s="6">
        <v>89.41</v>
      </c>
    </row>
    <row r="491" spans="2:18">
      <c r="B491" s="6">
        <v>31940</v>
      </c>
      <c r="C491" s="6" t="s">
        <v>230</v>
      </c>
      <c r="D491" s="6">
        <v>95.59</v>
      </c>
      <c r="E491" s="6">
        <v>95.59</v>
      </c>
      <c r="F491" s="6">
        <v>95.59</v>
      </c>
      <c r="G491" s="6">
        <v>98.47</v>
      </c>
      <c r="H491" s="6">
        <v>98.2</v>
      </c>
      <c r="I491" s="6">
        <v>98.44</v>
      </c>
      <c r="J491" s="6">
        <v>98.47</v>
      </c>
      <c r="K491" s="6">
        <v>98.28</v>
      </c>
      <c r="L491" s="6">
        <v>97.11</v>
      </c>
      <c r="M491" s="6">
        <v>98.47</v>
      </c>
      <c r="N491" s="6">
        <v>98.28</v>
      </c>
      <c r="O491" s="6">
        <v>97.11</v>
      </c>
      <c r="P491" s="6">
        <v>98.47</v>
      </c>
      <c r="Q491" s="6">
        <v>98.28</v>
      </c>
      <c r="R491" s="6">
        <v>97.11</v>
      </c>
    </row>
    <row r="492" spans="2:18">
      <c r="B492" s="6">
        <v>31959</v>
      </c>
      <c r="C492" s="6" t="s">
        <v>70</v>
      </c>
      <c r="D492" s="6">
        <v>0</v>
      </c>
      <c r="E492" s="6">
        <v>0</v>
      </c>
      <c r="F492" s="6">
        <v>98.25</v>
      </c>
      <c r="G492" s="6">
        <v>98.85</v>
      </c>
      <c r="H492" s="6">
        <v>99.19</v>
      </c>
      <c r="I492" s="6">
        <v>99.17</v>
      </c>
      <c r="J492" s="6">
        <v>98.94</v>
      </c>
      <c r="K492" s="6">
        <v>99.02</v>
      </c>
      <c r="L492" s="6">
        <v>99.03</v>
      </c>
      <c r="M492" s="6">
        <v>98.93</v>
      </c>
      <c r="N492" s="6">
        <v>99.01</v>
      </c>
      <c r="O492" s="6">
        <v>99.01</v>
      </c>
      <c r="P492" s="6">
        <v>99.05</v>
      </c>
      <c r="Q492" s="6">
        <v>99.16</v>
      </c>
      <c r="R492" s="6">
        <v>99.16</v>
      </c>
    </row>
    <row r="493" spans="2:18">
      <c r="B493" s="6">
        <v>31959</v>
      </c>
      <c r="C493" s="6" t="s">
        <v>70</v>
      </c>
      <c r="D493" s="6">
        <v>0</v>
      </c>
      <c r="E493" s="6">
        <v>0</v>
      </c>
      <c r="F493" s="6">
        <v>99.29</v>
      </c>
      <c r="G493" s="6">
        <v>98.47</v>
      </c>
      <c r="H493" s="6">
        <v>98.97</v>
      </c>
      <c r="I493" s="6">
        <v>98.97</v>
      </c>
      <c r="J493" s="6">
        <v>98.44</v>
      </c>
      <c r="K493" s="6">
        <v>98.01</v>
      </c>
      <c r="L493" s="6">
        <v>98.17</v>
      </c>
      <c r="M493" s="6">
        <v>98.29</v>
      </c>
      <c r="N493" s="6">
        <v>97.91</v>
      </c>
      <c r="O493" s="6">
        <v>97.88</v>
      </c>
      <c r="P493" s="6">
        <v>98.29</v>
      </c>
      <c r="Q493" s="6">
        <v>97.91</v>
      </c>
      <c r="R493" s="6">
        <v>97.88</v>
      </c>
    </row>
    <row r="494" spans="2:18">
      <c r="B494" s="6">
        <v>31966</v>
      </c>
      <c r="C494" s="6" t="s">
        <v>233</v>
      </c>
      <c r="D494" s="6">
        <v>99.36</v>
      </c>
      <c r="E494" s="6">
        <v>99.17</v>
      </c>
      <c r="F494" s="6">
        <v>99.23</v>
      </c>
      <c r="G494" s="6">
        <v>98.77</v>
      </c>
      <c r="H494" s="6">
        <v>98.55</v>
      </c>
      <c r="I494" s="6">
        <v>98.72</v>
      </c>
      <c r="J494" s="6">
        <v>98.23</v>
      </c>
      <c r="K494" s="6">
        <v>98.19</v>
      </c>
      <c r="L494" s="6">
        <v>98.1</v>
      </c>
      <c r="M494" s="6">
        <v>98.23</v>
      </c>
      <c r="N494" s="6">
        <v>98.19</v>
      </c>
      <c r="O494" s="6">
        <v>98.1</v>
      </c>
      <c r="P494" s="6">
        <v>98.04</v>
      </c>
      <c r="Q494" s="6">
        <v>98.09</v>
      </c>
      <c r="R494" s="6">
        <v>97.91</v>
      </c>
    </row>
    <row r="495" spans="2:18">
      <c r="B495" s="6">
        <v>31966</v>
      </c>
      <c r="C495" s="6" t="s">
        <v>233</v>
      </c>
      <c r="D495" s="6">
        <v>98.39</v>
      </c>
      <c r="E495" s="6">
        <v>99.63</v>
      </c>
      <c r="F495" s="6">
        <v>99.62</v>
      </c>
      <c r="G495" s="6">
        <v>99.43</v>
      </c>
      <c r="H495" s="6">
        <v>99.52</v>
      </c>
      <c r="I495" s="6">
        <v>99.53</v>
      </c>
      <c r="J495" s="6">
        <v>99.26</v>
      </c>
      <c r="K495" s="6">
        <v>99.39</v>
      </c>
      <c r="L495" s="6">
        <v>99.39</v>
      </c>
      <c r="M495" s="6">
        <v>99.26</v>
      </c>
      <c r="N495" s="6">
        <v>99.39</v>
      </c>
      <c r="O495" s="6">
        <v>99.39</v>
      </c>
      <c r="P495" s="6">
        <v>99.26</v>
      </c>
      <c r="Q495" s="6">
        <v>99.39</v>
      </c>
      <c r="R495" s="6">
        <v>99.39</v>
      </c>
    </row>
    <row r="496" spans="2:18">
      <c r="B496" s="6">
        <v>31972</v>
      </c>
      <c r="C496" s="6" t="s">
        <v>1165</v>
      </c>
      <c r="D496" s="6">
        <v>94.44</v>
      </c>
      <c r="E496" s="6">
        <v>94.44</v>
      </c>
      <c r="F496" s="6">
        <v>94.44</v>
      </c>
      <c r="G496" s="6">
        <v>94.44</v>
      </c>
      <c r="H496" s="6">
        <v>94.44</v>
      </c>
      <c r="I496" s="6">
        <v>94.44</v>
      </c>
      <c r="J496" s="6">
        <v>94.44</v>
      </c>
      <c r="K496" s="6">
        <v>94.44</v>
      </c>
      <c r="L496" s="6">
        <v>94.44</v>
      </c>
      <c r="M496" s="6">
        <v>94.44</v>
      </c>
      <c r="N496" s="6">
        <v>94.44</v>
      </c>
      <c r="O496" s="6">
        <v>94.44</v>
      </c>
      <c r="P496" s="6">
        <v>94.44</v>
      </c>
      <c r="Q496" s="6">
        <v>94.44</v>
      </c>
      <c r="R496" s="6">
        <v>94.44</v>
      </c>
    </row>
    <row r="497" spans="2:18">
      <c r="B497" s="6">
        <v>31972</v>
      </c>
      <c r="C497" s="6" t="s">
        <v>1165</v>
      </c>
      <c r="D497" s="6">
        <v>0</v>
      </c>
      <c r="E497" s="6">
        <v>85.71</v>
      </c>
      <c r="F497" s="6">
        <v>85.71</v>
      </c>
      <c r="G497" s="6">
        <v>0</v>
      </c>
      <c r="H497" s="6">
        <v>85.71</v>
      </c>
      <c r="I497" s="6">
        <v>85.71</v>
      </c>
      <c r="J497" s="6">
        <v>0</v>
      </c>
      <c r="K497" s="6">
        <v>85.71</v>
      </c>
      <c r="L497" s="6">
        <v>85.71</v>
      </c>
      <c r="M497" s="6">
        <v>0</v>
      </c>
      <c r="N497" s="6">
        <v>85.71</v>
      </c>
      <c r="O497" s="6">
        <v>85.71</v>
      </c>
      <c r="P497" s="6">
        <v>0</v>
      </c>
      <c r="Q497" s="6">
        <v>85.71</v>
      </c>
      <c r="R497" s="6">
        <v>85.71</v>
      </c>
    </row>
    <row r="498" spans="2:18">
      <c r="B498" s="6">
        <v>31980</v>
      </c>
      <c r="C498" s="6" t="s">
        <v>56</v>
      </c>
      <c r="D498" s="6">
        <v>0</v>
      </c>
      <c r="E498" s="6">
        <v>97.04</v>
      </c>
      <c r="F498" s="6">
        <v>97.04</v>
      </c>
      <c r="G498" s="6">
        <v>98.7</v>
      </c>
      <c r="H498" s="6">
        <v>98.05</v>
      </c>
      <c r="I498" s="6">
        <v>97.81</v>
      </c>
      <c r="J498" s="6">
        <v>98.72</v>
      </c>
      <c r="K498" s="6">
        <v>98.41</v>
      </c>
      <c r="L498" s="6">
        <v>98.27</v>
      </c>
      <c r="M498" s="6">
        <v>98.62</v>
      </c>
      <c r="N498" s="6">
        <v>98.46</v>
      </c>
      <c r="O498" s="6">
        <v>98.28</v>
      </c>
      <c r="P498" s="6">
        <v>98.52</v>
      </c>
      <c r="Q498" s="6">
        <v>98.45</v>
      </c>
      <c r="R498" s="6">
        <v>98.28</v>
      </c>
    </row>
    <row r="499" spans="2:18">
      <c r="B499" s="6">
        <v>31980</v>
      </c>
      <c r="C499" s="6" t="s">
        <v>56</v>
      </c>
      <c r="D499" s="6">
        <v>0</v>
      </c>
      <c r="E499" s="6">
        <v>98.7</v>
      </c>
      <c r="F499" s="6">
        <v>98.7</v>
      </c>
      <c r="G499" s="6">
        <v>0</v>
      </c>
      <c r="H499" s="6">
        <v>97.74</v>
      </c>
      <c r="I499" s="6">
        <v>97.38</v>
      </c>
      <c r="J499" s="6">
        <v>90.86</v>
      </c>
      <c r="K499" s="6">
        <v>96.97</v>
      </c>
      <c r="L499" s="6">
        <v>96.91</v>
      </c>
      <c r="M499" s="6">
        <v>98.71</v>
      </c>
      <c r="N499" s="6">
        <v>98.7</v>
      </c>
      <c r="O499" s="6">
        <v>98.68</v>
      </c>
      <c r="P499" s="6">
        <v>98.71</v>
      </c>
      <c r="Q499" s="6">
        <v>98.7</v>
      </c>
      <c r="R499" s="6">
        <v>98.68</v>
      </c>
    </row>
    <row r="500" spans="2:18">
      <c r="B500" s="6">
        <v>31980</v>
      </c>
      <c r="C500" s="6" t="s">
        <v>56</v>
      </c>
      <c r="D500" s="6">
        <v>0</v>
      </c>
      <c r="E500" s="6">
        <v>96.86</v>
      </c>
      <c r="F500" s="6">
        <v>96.86</v>
      </c>
      <c r="G500" s="6">
        <v>0</v>
      </c>
      <c r="H500" s="6">
        <v>97.5</v>
      </c>
      <c r="I500" s="6">
        <v>97.11</v>
      </c>
      <c r="J500" s="6">
        <v>0</v>
      </c>
      <c r="K500" s="6">
        <v>97.22</v>
      </c>
      <c r="L500" s="6">
        <v>96.87</v>
      </c>
      <c r="M500" s="6">
        <v>97.72</v>
      </c>
      <c r="N500" s="6">
        <v>97.83</v>
      </c>
      <c r="O500" s="6">
        <v>97.74</v>
      </c>
      <c r="P500" s="6">
        <v>97.73</v>
      </c>
      <c r="Q500" s="6">
        <v>97.84</v>
      </c>
      <c r="R500" s="6">
        <v>97.75</v>
      </c>
    </row>
    <row r="501" spans="2:18">
      <c r="B501" s="6">
        <v>31980</v>
      </c>
      <c r="C501" s="6" t="s">
        <v>56</v>
      </c>
      <c r="D501" s="6">
        <v>0</v>
      </c>
      <c r="E501" s="6">
        <v>94.24</v>
      </c>
      <c r="F501" s="6">
        <v>94.24</v>
      </c>
      <c r="G501" s="6">
        <v>97.82</v>
      </c>
      <c r="H501" s="6">
        <v>97.06</v>
      </c>
      <c r="I501" s="6">
        <v>97.04</v>
      </c>
      <c r="J501" s="6">
        <v>98.06</v>
      </c>
      <c r="K501" s="6">
        <v>97.67</v>
      </c>
      <c r="L501" s="6">
        <v>97.51</v>
      </c>
      <c r="M501" s="6">
        <v>98.02</v>
      </c>
      <c r="N501" s="6">
        <v>97.7</v>
      </c>
      <c r="O501" s="6">
        <v>97.61</v>
      </c>
      <c r="P501" s="6">
        <v>98.02</v>
      </c>
      <c r="Q501" s="6">
        <v>97.7</v>
      </c>
      <c r="R501" s="6">
        <v>97.61</v>
      </c>
    </row>
    <row r="502" spans="2:18">
      <c r="B502" s="6">
        <v>31981</v>
      </c>
      <c r="C502" s="6" t="s">
        <v>57</v>
      </c>
      <c r="D502" s="6">
        <v>0</v>
      </c>
      <c r="E502" s="6">
        <v>100</v>
      </c>
      <c r="F502" s="6">
        <v>100</v>
      </c>
      <c r="G502" s="6">
        <v>98.75</v>
      </c>
      <c r="H502" s="6">
        <v>98.86</v>
      </c>
      <c r="I502" s="6">
        <v>98.84</v>
      </c>
      <c r="J502" s="6">
        <v>98.72</v>
      </c>
      <c r="K502" s="6">
        <v>98.41</v>
      </c>
      <c r="L502" s="6">
        <v>98.27</v>
      </c>
      <c r="M502" s="6">
        <v>98.62</v>
      </c>
      <c r="N502" s="6">
        <v>98.46</v>
      </c>
      <c r="O502" s="6">
        <v>98.28</v>
      </c>
      <c r="P502" s="6">
        <v>98.52</v>
      </c>
      <c r="Q502" s="6">
        <v>98.45</v>
      </c>
      <c r="R502" s="6">
        <v>98.28</v>
      </c>
    </row>
    <row r="503" spans="2:18">
      <c r="B503" s="6">
        <v>31981</v>
      </c>
      <c r="C503" s="6" t="s">
        <v>57</v>
      </c>
      <c r="D503" s="6">
        <v>0</v>
      </c>
      <c r="E503" s="6">
        <v>100</v>
      </c>
      <c r="F503" s="6">
        <v>100</v>
      </c>
      <c r="G503" s="6">
        <v>0</v>
      </c>
      <c r="H503" s="6">
        <v>100</v>
      </c>
      <c r="I503" s="6">
        <v>100</v>
      </c>
      <c r="J503" s="6">
        <v>98.79</v>
      </c>
      <c r="K503" s="6">
        <v>97.36</v>
      </c>
      <c r="L503" s="6">
        <v>97.73</v>
      </c>
      <c r="M503" s="6">
        <v>98.86</v>
      </c>
      <c r="N503" s="6">
        <v>98.82</v>
      </c>
      <c r="O503" s="6">
        <v>98.74</v>
      </c>
      <c r="P503" s="6">
        <v>98.83</v>
      </c>
      <c r="Q503" s="6">
        <v>98.81</v>
      </c>
      <c r="R503" s="6">
        <v>98.73</v>
      </c>
    </row>
    <row r="504" spans="2:18">
      <c r="B504" s="6">
        <v>31981</v>
      </c>
      <c r="C504" s="6" t="s">
        <v>57</v>
      </c>
      <c r="D504" s="6">
        <v>0</v>
      </c>
      <c r="E504" s="6">
        <v>94.32</v>
      </c>
      <c r="F504" s="6">
        <v>94.32</v>
      </c>
      <c r="G504" s="6">
        <v>0</v>
      </c>
      <c r="H504" s="6">
        <v>94.32</v>
      </c>
      <c r="I504" s="6">
        <v>95.69</v>
      </c>
      <c r="J504" s="6">
        <v>0</v>
      </c>
      <c r="K504" s="6">
        <v>97.22</v>
      </c>
      <c r="L504" s="6">
        <v>96.87</v>
      </c>
      <c r="M504" s="6">
        <v>97.72</v>
      </c>
      <c r="N504" s="6">
        <v>97.83</v>
      </c>
      <c r="O504" s="6">
        <v>97.74</v>
      </c>
      <c r="P504" s="6">
        <v>97.73</v>
      </c>
      <c r="Q504" s="6">
        <v>97.84</v>
      </c>
      <c r="R504" s="6">
        <v>97.75</v>
      </c>
    </row>
    <row r="505" spans="2:18">
      <c r="B505" s="6">
        <v>31981</v>
      </c>
      <c r="C505" s="6" t="s">
        <v>57</v>
      </c>
      <c r="D505" s="6">
        <v>0</v>
      </c>
      <c r="E505" s="6">
        <v>100</v>
      </c>
      <c r="F505" s="6">
        <v>100</v>
      </c>
      <c r="G505" s="6">
        <v>98.3</v>
      </c>
      <c r="H505" s="6">
        <v>98.43</v>
      </c>
      <c r="I505" s="6">
        <v>98.06</v>
      </c>
      <c r="J505" s="6">
        <v>98.06</v>
      </c>
      <c r="K505" s="6">
        <v>97.67</v>
      </c>
      <c r="L505" s="6">
        <v>97.51</v>
      </c>
      <c r="M505" s="6">
        <v>98.02</v>
      </c>
      <c r="N505" s="6">
        <v>97.7</v>
      </c>
      <c r="O505" s="6">
        <v>97.61</v>
      </c>
      <c r="P505" s="6">
        <v>98.02</v>
      </c>
      <c r="Q505" s="6">
        <v>97.7</v>
      </c>
      <c r="R505" s="6">
        <v>97.61</v>
      </c>
    </row>
    <row r="506" spans="2:18">
      <c r="B506" s="6">
        <v>31982</v>
      </c>
      <c r="C506" s="6" t="s">
        <v>1125</v>
      </c>
      <c r="D506" s="6">
        <v>0</v>
      </c>
      <c r="E506" s="6">
        <v>0</v>
      </c>
      <c r="F506" s="6">
        <v>100</v>
      </c>
      <c r="G506" s="6">
        <v>0</v>
      </c>
      <c r="H506" s="6">
        <v>0</v>
      </c>
      <c r="I506" s="6">
        <v>100</v>
      </c>
      <c r="J506" s="6">
        <v>0</v>
      </c>
      <c r="K506" s="6">
        <v>0</v>
      </c>
      <c r="L506" s="6">
        <v>100</v>
      </c>
      <c r="M506" s="6">
        <v>98.71</v>
      </c>
      <c r="N506" s="6">
        <v>98.7</v>
      </c>
      <c r="O506" s="6">
        <v>98.68</v>
      </c>
      <c r="P506" s="6">
        <v>98.71</v>
      </c>
      <c r="Q506" s="6">
        <v>98.7</v>
      </c>
      <c r="R506" s="6">
        <v>98.68</v>
      </c>
    </row>
    <row r="507" spans="2:18">
      <c r="B507" s="6">
        <v>31982</v>
      </c>
      <c r="C507" s="6" t="s">
        <v>1125</v>
      </c>
      <c r="D507" s="6">
        <v>0</v>
      </c>
      <c r="E507" s="6">
        <v>0</v>
      </c>
      <c r="F507" s="6">
        <v>94.62</v>
      </c>
      <c r="G507" s="6">
        <v>0</v>
      </c>
      <c r="H507" s="6">
        <v>0</v>
      </c>
      <c r="I507" s="6">
        <v>94.62</v>
      </c>
      <c r="J507" s="6">
        <v>0</v>
      </c>
      <c r="K507" s="6">
        <v>0</v>
      </c>
      <c r="L507" s="6">
        <v>94.62</v>
      </c>
      <c r="M507" s="6">
        <v>97.72</v>
      </c>
      <c r="N507" s="6">
        <v>97.83</v>
      </c>
      <c r="O507" s="6">
        <v>97.74</v>
      </c>
      <c r="P507" s="6">
        <v>97.73</v>
      </c>
      <c r="Q507" s="6">
        <v>97.84</v>
      </c>
      <c r="R507" s="6">
        <v>97.75</v>
      </c>
    </row>
    <row r="508" spans="2:18">
      <c r="B508" s="6">
        <v>31982</v>
      </c>
      <c r="C508" s="6" t="s">
        <v>1125</v>
      </c>
      <c r="D508" s="6">
        <v>0</v>
      </c>
      <c r="E508" s="6">
        <v>0</v>
      </c>
      <c r="F508" s="6">
        <v>97.73</v>
      </c>
      <c r="G508" s="6">
        <v>97.65</v>
      </c>
      <c r="H508" s="6">
        <v>97.65</v>
      </c>
      <c r="I508" s="6">
        <v>96.92</v>
      </c>
      <c r="J508" s="6">
        <v>98.44</v>
      </c>
      <c r="K508" s="6">
        <v>98.01</v>
      </c>
      <c r="L508" s="6">
        <v>98.17</v>
      </c>
      <c r="M508" s="6">
        <v>98.29</v>
      </c>
      <c r="N508" s="6">
        <v>97.91</v>
      </c>
      <c r="O508" s="6">
        <v>97.88</v>
      </c>
      <c r="P508" s="6">
        <v>98.29</v>
      </c>
      <c r="Q508" s="6">
        <v>97.91</v>
      </c>
      <c r="R508" s="6">
        <v>97.88</v>
      </c>
    </row>
    <row r="509" spans="2:18">
      <c r="B509" s="6">
        <v>31984</v>
      </c>
      <c r="C509" s="6" t="s">
        <v>234</v>
      </c>
      <c r="D509" s="6">
        <v>97.3</v>
      </c>
      <c r="E509" s="6">
        <v>97.35</v>
      </c>
      <c r="F509" s="6">
        <v>97.43</v>
      </c>
      <c r="G509" s="6">
        <v>97.07</v>
      </c>
      <c r="H509" s="6">
        <v>94.76</v>
      </c>
      <c r="I509" s="6">
        <v>95.55</v>
      </c>
      <c r="J509" s="6">
        <v>98.23</v>
      </c>
      <c r="K509" s="6">
        <v>98.19</v>
      </c>
      <c r="L509" s="6">
        <v>98.1</v>
      </c>
      <c r="M509" s="6">
        <v>98.23</v>
      </c>
      <c r="N509" s="6">
        <v>98.19</v>
      </c>
      <c r="O509" s="6">
        <v>98.1</v>
      </c>
      <c r="P509" s="6">
        <v>98.04</v>
      </c>
      <c r="Q509" s="6">
        <v>98.09</v>
      </c>
      <c r="R509" s="6">
        <v>97.91</v>
      </c>
    </row>
    <row r="510" spans="2:18">
      <c r="B510" s="6">
        <v>31984</v>
      </c>
      <c r="C510" s="6" t="s">
        <v>234</v>
      </c>
      <c r="D510" s="6">
        <v>99.26</v>
      </c>
      <c r="E510" s="6">
        <v>99.29</v>
      </c>
      <c r="F510" s="6">
        <v>99.29</v>
      </c>
      <c r="G510" s="6">
        <v>98.65</v>
      </c>
      <c r="H510" s="6">
        <v>98.92</v>
      </c>
      <c r="I510" s="6">
        <v>98.33</v>
      </c>
      <c r="J510" s="6">
        <v>98.77</v>
      </c>
      <c r="K510" s="6">
        <v>99.16</v>
      </c>
      <c r="L510" s="6">
        <v>98.56</v>
      </c>
      <c r="M510" s="6">
        <v>98.77</v>
      </c>
      <c r="N510" s="6">
        <v>99.16</v>
      </c>
      <c r="O510" s="6">
        <v>98.56</v>
      </c>
      <c r="P510" s="6">
        <v>98.52</v>
      </c>
      <c r="Q510" s="6">
        <v>98.45</v>
      </c>
      <c r="R510" s="6">
        <v>98.28</v>
      </c>
    </row>
    <row r="511" spans="2:18">
      <c r="B511" s="6">
        <v>31984</v>
      </c>
      <c r="C511" s="6" t="s">
        <v>234</v>
      </c>
      <c r="D511" s="6">
        <v>99.6</v>
      </c>
      <c r="E511" s="6">
        <v>99.6</v>
      </c>
      <c r="F511" s="6">
        <v>99.6</v>
      </c>
      <c r="G511" s="6">
        <v>99.6</v>
      </c>
      <c r="H511" s="6">
        <v>99.6</v>
      </c>
      <c r="I511" s="6">
        <v>99.6</v>
      </c>
      <c r="J511" s="6">
        <v>99.46</v>
      </c>
      <c r="K511" s="6">
        <v>99.47</v>
      </c>
      <c r="L511" s="6">
        <v>99.27</v>
      </c>
      <c r="M511" s="6">
        <v>99.46</v>
      </c>
      <c r="N511" s="6">
        <v>99.47</v>
      </c>
      <c r="O511" s="6">
        <v>99.27</v>
      </c>
      <c r="P511" s="6">
        <v>97.73</v>
      </c>
      <c r="Q511" s="6">
        <v>97.84</v>
      </c>
      <c r="R511" s="6">
        <v>97.75</v>
      </c>
    </row>
    <row r="512" spans="2:18">
      <c r="B512" s="6">
        <v>31985</v>
      </c>
      <c r="C512" s="6" t="s">
        <v>235</v>
      </c>
      <c r="D512" s="6">
        <v>98.02</v>
      </c>
      <c r="E512" s="6">
        <v>97.79</v>
      </c>
      <c r="F512" s="6">
        <v>91.03</v>
      </c>
      <c r="G512" s="6">
        <v>97.07</v>
      </c>
      <c r="H512" s="6">
        <v>94.76</v>
      </c>
      <c r="I512" s="6">
        <v>95.55</v>
      </c>
      <c r="J512" s="6">
        <v>98.23</v>
      </c>
      <c r="K512" s="6">
        <v>98.19</v>
      </c>
      <c r="L512" s="6">
        <v>98.1</v>
      </c>
      <c r="M512" s="6">
        <v>98.23</v>
      </c>
      <c r="N512" s="6">
        <v>98.19</v>
      </c>
      <c r="O512" s="6">
        <v>98.1</v>
      </c>
      <c r="P512" s="6">
        <v>98.04</v>
      </c>
      <c r="Q512" s="6">
        <v>98.09</v>
      </c>
      <c r="R512" s="6">
        <v>97.91</v>
      </c>
    </row>
    <row r="513" spans="2:18">
      <c r="B513" s="6">
        <v>31985</v>
      </c>
      <c r="C513" s="6" t="s">
        <v>235</v>
      </c>
      <c r="D513" s="6">
        <v>0</v>
      </c>
      <c r="E513" s="6">
        <v>97.3</v>
      </c>
      <c r="F513" s="6">
        <v>98.92</v>
      </c>
      <c r="G513" s="6">
        <v>98.65</v>
      </c>
      <c r="H513" s="6">
        <v>98.92</v>
      </c>
      <c r="I513" s="6">
        <v>98.33</v>
      </c>
      <c r="J513" s="6">
        <v>98.77</v>
      </c>
      <c r="K513" s="6">
        <v>99.16</v>
      </c>
      <c r="L513" s="6">
        <v>98.56</v>
      </c>
      <c r="M513" s="6">
        <v>98.77</v>
      </c>
      <c r="N513" s="6">
        <v>99.16</v>
      </c>
      <c r="O513" s="6">
        <v>98.56</v>
      </c>
      <c r="P513" s="6">
        <v>98.52</v>
      </c>
      <c r="Q513" s="6">
        <v>98.45</v>
      </c>
      <c r="R513" s="6">
        <v>98.28</v>
      </c>
    </row>
    <row r="514" spans="2:18">
      <c r="B514" s="6">
        <v>31985</v>
      </c>
      <c r="C514" s="6" t="s">
        <v>235</v>
      </c>
      <c r="D514" s="6">
        <v>0</v>
      </c>
      <c r="E514" s="6">
        <v>97.37</v>
      </c>
      <c r="F514" s="6">
        <v>94.44</v>
      </c>
      <c r="G514" s="6">
        <v>89.16</v>
      </c>
      <c r="H514" s="6">
        <v>90.71</v>
      </c>
      <c r="I514" s="6">
        <v>96</v>
      </c>
      <c r="J514" s="6">
        <v>89.16</v>
      </c>
      <c r="K514" s="6">
        <v>92.29</v>
      </c>
      <c r="L514" s="6">
        <v>95.48</v>
      </c>
      <c r="M514" s="6">
        <v>89.16</v>
      </c>
      <c r="N514" s="6">
        <v>92.29</v>
      </c>
      <c r="O514" s="6">
        <v>95.48</v>
      </c>
      <c r="P514" s="6">
        <v>89.16</v>
      </c>
      <c r="Q514" s="6">
        <v>92.29</v>
      </c>
      <c r="R514" s="6">
        <v>95.48</v>
      </c>
    </row>
    <row r="515" spans="2:18">
      <c r="B515" s="6">
        <v>31985</v>
      </c>
      <c r="C515" s="6" t="s">
        <v>235</v>
      </c>
      <c r="D515" s="6">
        <v>0</v>
      </c>
      <c r="E515" s="6">
        <v>0</v>
      </c>
      <c r="F515" s="6">
        <v>61.35</v>
      </c>
      <c r="G515" s="6">
        <v>64.94</v>
      </c>
      <c r="H515" s="6">
        <v>68.56</v>
      </c>
      <c r="I515" s="6">
        <v>74.33</v>
      </c>
      <c r="J515" s="6">
        <v>64.94</v>
      </c>
      <c r="K515" s="6">
        <v>72.86</v>
      </c>
      <c r="L515" s="6">
        <v>79.599999999999994</v>
      </c>
      <c r="M515" s="6">
        <v>64.94</v>
      </c>
      <c r="N515" s="6">
        <v>72.86</v>
      </c>
      <c r="O515" s="6">
        <v>79.599999999999994</v>
      </c>
      <c r="P515" s="6">
        <v>91.25</v>
      </c>
      <c r="Q515" s="6">
        <v>89.47</v>
      </c>
      <c r="R515" s="6">
        <v>89.41</v>
      </c>
    </row>
    <row r="516" spans="2:18">
      <c r="B516" s="6">
        <v>31985</v>
      </c>
      <c r="C516" s="6" t="s">
        <v>235</v>
      </c>
      <c r="D516" s="6">
        <v>99.48</v>
      </c>
      <c r="E516" s="6">
        <v>98.87</v>
      </c>
      <c r="F516" s="6">
        <v>98.94</v>
      </c>
      <c r="G516" s="6">
        <v>98.47</v>
      </c>
      <c r="H516" s="6">
        <v>98.2</v>
      </c>
      <c r="I516" s="6">
        <v>98.44</v>
      </c>
      <c r="J516" s="6">
        <v>98.47</v>
      </c>
      <c r="K516" s="6">
        <v>98.28</v>
      </c>
      <c r="L516" s="6">
        <v>97.11</v>
      </c>
      <c r="M516" s="6">
        <v>98.47</v>
      </c>
      <c r="N516" s="6">
        <v>98.28</v>
      </c>
      <c r="O516" s="6">
        <v>97.11</v>
      </c>
      <c r="P516" s="6">
        <v>98.47</v>
      </c>
      <c r="Q516" s="6">
        <v>98.28</v>
      </c>
      <c r="R516" s="6">
        <v>97.11</v>
      </c>
    </row>
    <row r="517" spans="2:18">
      <c r="B517" s="6">
        <v>31994</v>
      </c>
      <c r="C517" s="6" t="s">
        <v>1099</v>
      </c>
      <c r="D517" s="6">
        <v>0</v>
      </c>
      <c r="E517" s="6">
        <v>0</v>
      </c>
      <c r="F517" s="6">
        <v>97.71</v>
      </c>
      <c r="G517" s="6">
        <v>98.74</v>
      </c>
      <c r="H517" s="6">
        <v>98.55</v>
      </c>
      <c r="I517" s="6">
        <v>98.22</v>
      </c>
      <c r="J517" s="6">
        <v>98.64</v>
      </c>
      <c r="K517" s="6">
        <v>98.48</v>
      </c>
      <c r="L517" s="6">
        <v>98.3</v>
      </c>
      <c r="M517" s="6">
        <v>98.62</v>
      </c>
      <c r="N517" s="6">
        <v>98.46</v>
      </c>
      <c r="O517" s="6">
        <v>98.28</v>
      </c>
      <c r="P517" s="6">
        <v>98.52</v>
      </c>
      <c r="Q517" s="6">
        <v>98.45</v>
      </c>
      <c r="R517" s="6">
        <v>98.28</v>
      </c>
    </row>
    <row r="518" spans="2:18">
      <c r="B518" s="6">
        <v>31994</v>
      </c>
      <c r="C518" s="6" t="s">
        <v>1099</v>
      </c>
      <c r="D518" s="6">
        <v>0</v>
      </c>
      <c r="E518" s="6">
        <v>0</v>
      </c>
      <c r="F518" s="6">
        <v>98.71</v>
      </c>
      <c r="G518" s="6">
        <v>98.78</v>
      </c>
      <c r="H518" s="6">
        <v>98.67</v>
      </c>
      <c r="I518" s="6">
        <v>98.6</v>
      </c>
      <c r="J518" s="6">
        <v>98.77</v>
      </c>
      <c r="K518" s="6">
        <v>98.75</v>
      </c>
      <c r="L518" s="6">
        <v>98.72</v>
      </c>
      <c r="M518" s="6">
        <v>98.71</v>
      </c>
      <c r="N518" s="6">
        <v>98.7</v>
      </c>
      <c r="O518" s="6">
        <v>98.68</v>
      </c>
      <c r="P518" s="6">
        <v>98.71</v>
      </c>
      <c r="Q518" s="6">
        <v>98.7</v>
      </c>
      <c r="R518" s="6">
        <v>98.68</v>
      </c>
    </row>
    <row r="519" spans="2:18">
      <c r="B519" s="6">
        <v>31994</v>
      </c>
      <c r="C519" s="6" t="s">
        <v>1099</v>
      </c>
      <c r="D519" s="6">
        <v>0</v>
      </c>
      <c r="E519" s="6">
        <v>0</v>
      </c>
      <c r="F519" s="6">
        <v>96.88</v>
      </c>
      <c r="G519" s="6">
        <v>97.49</v>
      </c>
      <c r="H519" s="6">
        <v>97.66</v>
      </c>
      <c r="I519" s="6">
        <v>97.52</v>
      </c>
      <c r="J519" s="6">
        <v>97.72</v>
      </c>
      <c r="K519" s="6">
        <v>97.84</v>
      </c>
      <c r="L519" s="6">
        <v>97.75</v>
      </c>
      <c r="M519" s="6">
        <v>97.72</v>
      </c>
      <c r="N519" s="6">
        <v>97.83</v>
      </c>
      <c r="O519" s="6">
        <v>97.74</v>
      </c>
      <c r="P519" s="6">
        <v>97.73</v>
      </c>
      <c r="Q519" s="6">
        <v>97.84</v>
      </c>
      <c r="R519" s="6">
        <v>97.75</v>
      </c>
    </row>
    <row r="520" spans="2:18">
      <c r="B520" s="6">
        <v>31994</v>
      </c>
      <c r="C520" s="6" t="s">
        <v>1099</v>
      </c>
      <c r="D520" s="6">
        <v>0</v>
      </c>
      <c r="E520" s="6">
        <v>0</v>
      </c>
      <c r="F520" s="6">
        <v>97.99</v>
      </c>
      <c r="G520" s="6">
        <v>98.15</v>
      </c>
      <c r="H520" s="6">
        <v>97.53</v>
      </c>
      <c r="I520" s="6">
        <v>97.49</v>
      </c>
      <c r="J520" s="6">
        <v>98.01</v>
      </c>
      <c r="K520" s="6">
        <v>97.7</v>
      </c>
      <c r="L520" s="6">
        <v>97.61</v>
      </c>
      <c r="M520" s="6">
        <v>98.02</v>
      </c>
      <c r="N520" s="6">
        <v>97.7</v>
      </c>
      <c r="O520" s="6">
        <v>97.61</v>
      </c>
      <c r="P520" s="6">
        <v>98.02</v>
      </c>
      <c r="Q520" s="6">
        <v>97.7</v>
      </c>
      <c r="R520" s="6">
        <v>97.61</v>
      </c>
    </row>
    <row r="521" spans="2:18">
      <c r="B521" s="6">
        <v>31995</v>
      </c>
      <c r="C521" s="6" t="s">
        <v>139</v>
      </c>
      <c r="D521" s="6">
        <v>0</v>
      </c>
      <c r="E521" s="6">
        <v>97.05</v>
      </c>
      <c r="F521" s="6">
        <v>97.97</v>
      </c>
      <c r="G521" s="6">
        <v>98.74</v>
      </c>
      <c r="H521" s="6">
        <v>98.55</v>
      </c>
      <c r="I521" s="6">
        <v>98.22</v>
      </c>
      <c r="J521" s="6">
        <v>98.64</v>
      </c>
      <c r="K521" s="6">
        <v>98.48</v>
      </c>
      <c r="L521" s="6">
        <v>98.3</v>
      </c>
      <c r="M521" s="6">
        <v>98.62</v>
      </c>
      <c r="N521" s="6">
        <v>98.46</v>
      </c>
      <c r="O521" s="6">
        <v>98.28</v>
      </c>
      <c r="P521" s="6">
        <v>98.52</v>
      </c>
      <c r="Q521" s="6">
        <v>98.45</v>
      </c>
      <c r="R521" s="6">
        <v>98.28</v>
      </c>
    </row>
    <row r="522" spans="2:18">
      <c r="B522" s="6">
        <v>31995</v>
      </c>
      <c r="C522" s="6" t="s">
        <v>139</v>
      </c>
      <c r="D522" s="6">
        <v>0</v>
      </c>
      <c r="E522" s="6">
        <v>98.39</v>
      </c>
      <c r="F522" s="6">
        <v>97.79</v>
      </c>
      <c r="G522" s="6">
        <v>98.78</v>
      </c>
      <c r="H522" s="6">
        <v>98.67</v>
      </c>
      <c r="I522" s="6">
        <v>98.6</v>
      </c>
      <c r="J522" s="6">
        <v>98.77</v>
      </c>
      <c r="K522" s="6">
        <v>98.75</v>
      </c>
      <c r="L522" s="6">
        <v>98.72</v>
      </c>
      <c r="M522" s="6">
        <v>98.71</v>
      </c>
      <c r="N522" s="6">
        <v>98.7</v>
      </c>
      <c r="O522" s="6">
        <v>98.68</v>
      </c>
      <c r="P522" s="6">
        <v>98.71</v>
      </c>
      <c r="Q522" s="6">
        <v>98.7</v>
      </c>
      <c r="R522" s="6">
        <v>98.68</v>
      </c>
    </row>
    <row r="523" spans="2:18">
      <c r="B523" s="6">
        <v>31995</v>
      </c>
      <c r="C523" s="6" t="s">
        <v>139</v>
      </c>
      <c r="D523" s="6">
        <v>0</v>
      </c>
      <c r="E523" s="6">
        <v>93.94</v>
      </c>
      <c r="F523" s="6">
        <v>95.55</v>
      </c>
      <c r="G523" s="6">
        <v>97.49</v>
      </c>
      <c r="H523" s="6">
        <v>97.66</v>
      </c>
      <c r="I523" s="6">
        <v>97.52</v>
      </c>
      <c r="J523" s="6">
        <v>97.72</v>
      </c>
      <c r="K523" s="6">
        <v>97.84</v>
      </c>
      <c r="L523" s="6">
        <v>97.75</v>
      </c>
      <c r="M523" s="6">
        <v>97.72</v>
      </c>
      <c r="N523" s="6">
        <v>97.83</v>
      </c>
      <c r="O523" s="6">
        <v>97.74</v>
      </c>
      <c r="P523" s="6">
        <v>97.73</v>
      </c>
      <c r="Q523" s="6">
        <v>97.84</v>
      </c>
      <c r="R523" s="6">
        <v>97.75</v>
      </c>
    </row>
    <row r="524" spans="2:18">
      <c r="B524" s="6">
        <v>31995</v>
      </c>
      <c r="C524" s="6" t="s">
        <v>139</v>
      </c>
      <c r="D524" s="6">
        <v>0</v>
      </c>
      <c r="E524" s="6">
        <v>97.64</v>
      </c>
      <c r="F524" s="6">
        <v>98.18</v>
      </c>
      <c r="G524" s="6">
        <v>98.15</v>
      </c>
      <c r="H524" s="6">
        <v>97.53</v>
      </c>
      <c r="I524" s="6">
        <v>97.49</v>
      </c>
      <c r="J524" s="6">
        <v>98.01</v>
      </c>
      <c r="K524" s="6">
        <v>97.7</v>
      </c>
      <c r="L524" s="6">
        <v>97.61</v>
      </c>
      <c r="M524" s="6">
        <v>98.02</v>
      </c>
      <c r="N524" s="6">
        <v>97.7</v>
      </c>
      <c r="O524" s="6">
        <v>97.61</v>
      </c>
      <c r="P524" s="6">
        <v>98.02</v>
      </c>
      <c r="Q524" s="6">
        <v>97.7</v>
      </c>
      <c r="R524" s="6">
        <v>97.61</v>
      </c>
    </row>
    <row r="525" spans="2:18">
      <c r="B525" s="6">
        <v>31996</v>
      </c>
      <c r="C525" s="6" t="s">
        <v>140</v>
      </c>
      <c r="D525" s="6">
        <v>98.96</v>
      </c>
      <c r="E525" s="6">
        <v>97.51</v>
      </c>
      <c r="F525" s="6">
        <v>94.11</v>
      </c>
      <c r="G525" s="6">
        <v>98.74</v>
      </c>
      <c r="H525" s="6">
        <v>98.55</v>
      </c>
      <c r="I525" s="6">
        <v>98.22</v>
      </c>
      <c r="J525" s="6">
        <v>98.64</v>
      </c>
      <c r="K525" s="6">
        <v>98.48</v>
      </c>
      <c r="L525" s="6">
        <v>98.3</v>
      </c>
      <c r="M525" s="6">
        <v>98.62</v>
      </c>
      <c r="N525" s="6">
        <v>98.46</v>
      </c>
      <c r="O525" s="6">
        <v>98.28</v>
      </c>
      <c r="P525" s="6">
        <v>98.52</v>
      </c>
      <c r="Q525" s="6">
        <v>98.45</v>
      </c>
      <c r="R525" s="6">
        <v>98.28</v>
      </c>
    </row>
    <row r="526" spans="2:18">
      <c r="B526" s="6">
        <v>31996</v>
      </c>
      <c r="C526" s="6" t="s">
        <v>140</v>
      </c>
      <c r="D526" s="6">
        <v>98.97</v>
      </c>
      <c r="E526" s="6">
        <v>98.96</v>
      </c>
      <c r="F526" s="6">
        <v>98.51</v>
      </c>
      <c r="G526" s="6">
        <v>98.78</v>
      </c>
      <c r="H526" s="6">
        <v>98.67</v>
      </c>
      <c r="I526" s="6">
        <v>98.6</v>
      </c>
      <c r="J526" s="6">
        <v>98.77</v>
      </c>
      <c r="K526" s="6">
        <v>98.75</v>
      </c>
      <c r="L526" s="6">
        <v>98.72</v>
      </c>
      <c r="M526" s="6">
        <v>98.71</v>
      </c>
      <c r="N526" s="6">
        <v>98.7</v>
      </c>
      <c r="O526" s="6">
        <v>98.68</v>
      </c>
      <c r="P526" s="6">
        <v>98.71</v>
      </c>
      <c r="Q526" s="6">
        <v>98.7</v>
      </c>
      <c r="R526" s="6">
        <v>98.68</v>
      </c>
    </row>
    <row r="527" spans="2:18">
      <c r="B527" s="6">
        <v>31996</v>
      </c>
      <c r="C527" s="6" t="s">
        <v>140</v>
      </c>
      <c r="D527" s="6">
        <v>97.5</v>
      </c>
      <c r="E527" s="6">
        <v>97.47</v>
      </c>
      <c r="F527" s="6">
        <v>96.41</v>
      </c>
      <c r="G527" s="6">
        <v>97.49</v>
      </c>
      <c r="H527" s="6">
        <v>97.66</v>
      </c>
      <c r="I527" s="6">
        <v>97.52</v>
      </c>
      <c r="J527" s="6">
        <v>97.72</v>
      </c>
      <c r="K527" s="6">
        <v>97.84</v>
      </c>
      <c r="L527" s="6">
        <v>97.75</v>
      </c>
      <c r="M527" s="6">
        <v>97.72</v>
      </c>
      <c r="N527" s="6">
        <v>97.83</v>
      </c>
      <c r="O527" s="6">
        <v>97.74</v>
      </c>
      <c r="P527" s="6">
        <v>97.73</v>
      </c>
      <c r="Q527" s="6">
        <v>97.84</v>
      </c>
      <c r="R527" s="6">
        <v>97.75</v>
      </c>
    </row>
    <row r="528" spans="2:18">
      <c r="B528" s="6">
        <v>31996</v>
      </c>
      <c r="C528" s="6" t="s">
        <v>140</v>
      </c>
      <c r="D528" s="6">
        <v>97.91</v>
      </c>
      <c r="E528" s="6">
        <v>97.71</v>
      </c>
      <c r="F528" s="6">
        <v>97.76</v>
      </c>
      <c r="G528" s="6">
        <v>98.15</v>
      </c>
      <c r="H528" s="6">
        <v>97.53</v>
      </c>
      <c r="I528" s="6">
        <v>97.49</v>
      </c>
      <c r="J528" s="6">
        <v>98.01</v>
      </c>
      <c r="K528" s="6">
        <v>97.7</v>
      </c>
      <c r="L528" s="6">
        <v>97.61</v>
      </c>
      <c r="M528" s="6">
        <v>98.02</v>
      </c>
      <c r="N528" s="6">
        <v>97.7</v>
      </c>
      <c r="O528" s="6">
        <v>97.61</v>
      </c>
      <c r="P528" s="6">
        <v>98.02</v>
      </c>
      <c r="Q528" s="6">
        <v>97.7</v>
      </c>
      <c r="R528" s="6">
        <v>97.61</v>
      </c>
    </row>
    <row r="529" spans="2:18">
      <c r="B529" s="6">
        <v>32000</v>
      </c>
      <c r="C529" s="6" t="s">
        <v>550</v>
      </c>
      <c r="D529" s="6">
        <v>0</v>
      </c>
      <c r="E529" s="6">
        <v>0</v>
      </c>
      <c r="F529" s="6">
        <v>92.82</v>
      </c>
      <c r="G529" s="6">
        <v>98.48</v>
      </c>
      <c r="H529" s="6">
        <v>98.4</v>
      </c>
      <c r="I529" s="6">
        <v>98.25</v>
      </c>
      <c r="J529" s="6">
        <v>98.64</v>
      </c>
      <c r="K529" s="6">
        <v>98.48</v>
      </c>
      <c r="L529" s="6">
        <v>98.3</v>
      </c>
      <c r="M529" s="6">
        <v>98.62</v>
      </c>
      <c r="N529" s="6">
        <v>98.46</v>
      </c>
      <c r="O529" s="6">
        <v>98.28</v>
      </c>
      <c r="P529" s="6">
        <v>98.52</v>
      </c>
      <c r="Q529" s="6">
        <v>98.45</v>
      </c>
      <c r="R529" s="6">
        <v>98.28</v>
      </c>
    </row>
    <row r="530" spans="2:18">
      <c r="B530" s="6">
        <v>32000</v>
      </c>
      <c r="C530" s="6" t="s">
        <v>550</v>
      </c>
      <c r="D530" s="6">
        <v>0</v>
      </c>
      <c r="E530" s="6">
        <v>0</v>
      </c>
      <c r="F530" s="6">
        <v>93.3</v>
      </c>
      <c r="G530" s="6">
        <v>98.72</v>
      </c>
      <c r="H530" s="6">
        <v>98.71</v>
      </c>
      <c r="I530" s="6">
        <v>98.75</v>
      </c>
      <c r="J530" s="6">
        <v>98.77</v>
      </c>
      <c r="K530" s="6">
        <v>98.75</v>
      </c>
      <c r="L530" s="6">
        <v>98.72</v>
      </c>
      <c r="M530" s="6">
        <v>98.71</v>
      </c>
      <c r="N530" s="6">
        <v>98.7</v>
      </c>
      <c r="O530" s="6">
        <v>98.68</v>
      </c>
      <c r="P530" s="6">
        <v>98.71</v>
      </c>
      <c r="Q530" s="6">
        <v>98.7</v>
      </c>
      <c r="R530" s="6">
        <v>98.68</v>
      </c>
    </row>
    <row r="531" spans="2:18">
      <c r="B531" s="6">
        <v>32000</v>
      </c>
      <c r="C531" s="6" t="s">
        <v>550</v>
      </c>
      <c r="D531" s="6">
        <v>0</v>
      </c>
      <c r="E531" s="6">
        <v>0</v>
      </c>
      <c r="F531" s="6">
        <v>97.21</v>
      </c>
      <c r="G531" s="6">
        <v>97.43</v>
      </c>
      <c r="H531" s="6">
        <v>97.49</v>
      </c>
      <c r="I531" s="6">
        <v>97.36</v>
      </c>
      <c r="J531" s="6">
        <v>97.72</v>
      </c>
      <c r="K531" s="6">
        <v>97.84</v>
      </c>
      <c r="L531" s="6">
        <v>97.75</v>
      </c>
      <c r="M531" s="6">
        <v>97.72</v>
      </c>
      <c r="N531" s="6">
        <v>97.83</v>
      </c>
      <c r="O531" s="6">
        <v>97.74</v>
      </c>
      <c r="P531" s="6">
        <v>97.73</v>
      </c>
      <c r="Q531" s="6">
        <v>97.84</v>
      </c>
      <c r="R531" s="6">
        <v>97.75</v>
      </c>
    </row>
    <row r="532" spans="2:18">
      <c r="B532" s="6">
        <v>32000</v>
      </c>
      <c r="C532" s="6" t="s">
        <v>550</v>
      </c>
      <c r="D532" s="6">
        <v>0</v>
      </c>
      <c r="E532" s="6">
        <v>0</v>
      </c>
      <c r="F532" s="6">
        <v>95.3</v>
      </c>
      <c r="G532" s="6">
        <v>97.88</v>
      </c>
      <c r="H532" s="6">
        <v>97.7</v>
      </c>
      <c r="I532" s="6">
        <v>97.56</v>
      </c>
      <c r="J532" s="6">
        <v>98.01</v>
      </c>
      <c r="K532" s="6">
        <v>97.7</v>
      </c>
      <c r="L532" s="6">
        <v>97.61</v>
      </c>
      <c r="M532" s="6">
        <v>98.02</v>
      </c>
      <c r="N532" s="6">
        <v>97.7</v>
      </c>
      <c r="O532" s="6">
        <v>97.61</v>
      </c>
      <c r="P532" s="6">
        <v>98.02</v>
      </c>
      <c r="Q532" s="6">
        <v>97.7</v>
      </c>
      <c r="R532" s="6">
        <v>97.61</v>
      </c>
    </row>
    <row r="533" spans="2:18">
      <c r="B533" s="6">
        <v>32001</v>
      </c>
      <c r="C533" s="6" t="s">
        <v>141</v>
      </c>
      <c r="D533" s="6">
        <v>0</v>
      </c>
      <c r="E533" s="6">
        <v>98.19</v>
      </c>
      <c r="F533" s="6">
        <v>97.62</v>
      </c>
      <c r="G533" s="6">
        <v>98.74</v>
      </c>
      <c r="H533" s="6">
        <v>98.55</v>
      </c>
      <c r="I533" s="6">
        <v>98.22</v>
      </c>
      <c r="J533" s="6">
        <v>98.64</v>
      </c>
      <c r="K533" s="6">
        <v>98.48</v>
      </c>
      <c r="L533" s="6">
        <v>98.3</v>
      </c>
      <c r="M533" s="6">
        <v>98.62</v>
      </c>
      <c r="N533" s="6">
        <v>98.46</v>
      </c>
      <c r="O533" s="6">
        <v>98.28</v>
      </c>
      <c r="P533" s="6">
        <v>98.52</v>
      </c>
      <c r="Q533" s="6">
        <v>98.45</v>
      </c>
      <c r="R533" s="6">
        <v>98.28</v>
      </c>
    </row>
    <row r="534" spans="2:18">
      <c r="B534" s="6">
        <v>32001</v>
      </c>
      <c r="C534" s="6" t="s">
        <v>141</v>
      </c>
      <c r="D534" s="6">
        <v>0</v>
      </c>
      <c r="E534" s="6">
        <v>99.1</v>
      </c>
      <c r="F534" s="6">
        <v>98.52</v>
      </c>
      <c r="G534" s="6">
        <v>98.78</v>
      </c>
      <c r="H534" s="6">
        <v>98.67</v>
      </c>
      <c r="I534" s="6">
        <v>98.6</v>
      </c>
      <c r="J534" s="6">
        <v>98.77</v>
      </c>
      <c r="K534" s="6">
        <v>98.75</v>
      </c>
      <c r="L534" s="6">
        <v>98.72</v>
      </c>
      <c r="M534" s="6">
        <v>98.71</v>
      </c>
      <c r="N534" s="6">
        <v>98.7</v>
      </c>
      <c r="O534" s="6">
        <v>98.68</v>
      </c>
      <c r="P534" s="6">
        <v>98.71</v>
      </c>
      <c r="Q534" s="6">
        <v>98.7</v>
      </c>
      <c r="R534" s="6">
        <v>98.68</v>
      </c>
    </row>
    <row r="535" spans="2:18">
      <c r="B535" s="6">
        <v>32001</v>
      </c>
      <c r="C535" s="6" t="s">
        <v>141</v>
      </c>
      <c r="D535" s="6">
        <v>0</v>
      </c>
      <c r="E535" s="6">
        <v>96.74</v>
      </c>
      <c r="F535" s="6">
        <v>96.89</v>
      </c>
      <c r="G535" s="6">
        <v>97.49</v>
      </c>
      <c r="H535" s="6">
        <v>97.66</v>
      </c>
      <c r="I535" s="6">
        <v>97.52</v>
      </c>
      <c r="J535" s="6">
        <v>97.72</v>
      </c>
      <c r="K535" s="6">
        <v>97.84</v>
      </c>
      <c r="L535" s="6">
        <v>97.75</v>
      </c>
      <c r="M535" s="6">
        <v>97.72</v>
      </c>
      <c r="N535" s="6">
        <v>97.83</v>
      </c>
      <c r="O535" s="6">
        <v>97.74</v>
      </c>
      <c r="P535" s="6">
        <v>97.73</v>
      </c>
      <c r="Q535" s="6">
        <v>97.84</v>
      </c>
      <c r="R535" s="6">
        <v>97.75</v>
      </c>
    </row>
    <row r="536" spans="2:18">
      <c r="B536" s="6">
        <v>32001</v>
      </c>
      <c r="C536" s="6" t="s">
        <v>141</v>
      </c>
      <c r="D536" s="6">
        <v>0</v>
      </c>
      <c r="E536" s="6">
        <v>97.69</v>
      </c>
      <c r="F536" s="6">
        <v>97.44</v>
      </c>
      <c r="G536" s="6">
        <v>98.15</v>
      </c>
      <c r="H536" s="6">
        <v>97.53</v>
      </c>
      <c r="I536" s="6">
        <v>97.49</v>
      </c>
      <c r="J536" s="6">
        <v>98.01</v>
      </c>
      <c r="K536" s="6">
        <v>97.7</v>
      </c>
      <c r="L536" s="6">
        <v>97.61</v>
      </c>
      <c r="M536" s="6">
        <v>98.02</v>
      </c>
      <c r="N536" s="6">
        <v>97.7</v>
      </c>
      <c r="O536" s="6">
        <v>97.61</v>
      </c>
      <c r="P536" s="6">
        <v>98.02</v>
      </c>
      <c r="Q536" s="6">
        <v>97.7</v>
      </c>
      <c r="R536" s="6">
        <v>97.61</v>
      </c>
    </row>
    <row r="537" spans="2:18">
      <c r="B537" s="6">
        <v>32002</v>
      </c>
      <c r="C537" s="6" t="s">
        <v>142</v>
      </c>
      <c r="D537" s="6">
        <v>0</v>
      </c>
      <c r="E537" s="6">
        <v>98.77</v>
      </c>
      <c r="F537" s="6">
        <v>98.43</v>
      </c>
      <c r="G537" s="6">
        <v>98.74</v>
      </c>
      <c r="H537" s="6">
        <v>98.55</v>
      </c>
      <c r="I537" s="6">
        <v>98.22</v>
      </c>
      <c r="J537" s="6">
        <v>98.64</v>
      </c>
      <c r="K537" s="6">
        <v>98.48</v>
      </c>
      <c r="L537" s="6">
        <v>98.3</v>
      </c>
      <c r="M537" s="6">
        <v>98.62</v>
      </c>
      <c r="N537" s="6">
        <v>98.46</v>
      </c>
      <c r="O537" s="6">
        <v>98.28</v>
      </c>
      <c r="P537" s="6">
        <v>98.52</v>
      </c>
      <c r="Q537" s="6">
        <v>98.45</v>
      </c>
      <c r="R537" s="6">
        <v>98.28</v>
      </c>
    </row>
    <row r="538" spans="2:18">
      <c r="B538" s="6">
        <v>32002</v>
      </c>
      <c r="C538" s="6" t="s">
        <v>142</v>
      </c>
      <c r="D538" s="6">
        <v>0</v>
      </c>
      <c r="E538" s="6">
        <v>98.79</v>
      </c>
      <c r="F538" s="6">
        <v>96.51</v>
      </c>
      <c r="G538" s="6">
        <v>98.78</v>
      </c>
      <c r="H538" s="6">
        <v>98.67</v>
      </c>
      <c r="I538" s="6">
        <v>98.6</v>
      </c>
      <c r="J538" s="6">
        <v>98.77</v>
      </c>
      <c r="K538" s="6">
        <v>98.75</v>
      </c>
      <c r="L538" s="6">
        <v>98.72</v>
      </c>
      <c r="M538" s="6">
        <v>98.71</v>
      </c>
      <c r="N538" s="6">
        <v>98.7</v>
      </c>
      <c r="O538" s="6">
        <v>98.68</v>
      </c>
      <c r="P538" s="6">
        <v>98.71</v>
      </c>
      <c r="Q538" s="6">
        <v>98.7</v>
      </c>
      <c r="R538" s="6">
        <v>98.68</v>
      </c>
    </row>
    <row r="539" spans="2:18">
      <c r="B539" s="6">
        <v>32002</v>
      </c>
      <c r="C539" s="6" t="s">
        <v>142</v>
      </c>
      <c r="D539" s="6">
        <v>0</v>
      </c>
      <c r="E539" s="6">
        <v>97.63</v>
      </c>
      <c r="F539" s="6">
        <v>97.34</v>
      </c>
      <c r="G539" s="6">
        <v>97.49</v>
      </c>
      <c r="H539" s="6">
        <v>97.66</v>
      </c>
      <c r="I539" s="6">
        <v>97.52</v>
      </c>
      <c r="J539" s="6">
        <v>97.72</v>
      </c>
      <c r="K539" s="6">
        <v>97.84</v>
      </c>
      <c r="L539" s="6">
        <v>97.75</v>
      </c>
      <c r="M539" s="6">
        <v>97.72</v>
      </c>
      <c r="N539" s="6">
        <v>97.83</v>
      </c>
      <c r="O539" s="6">
        <v>97.74</v>
      </c>
      <c r="P539" s="6">
        <v>97.73</v>
      </c>
      <c r="Q539" s="6">
        <v>97.84</v>
      </c>
      <c r="R539" s="6">
        <v>97.75</v>
      </c>
    </row>
    <row r="540" spans="2:18">
      <c r="B540" s="6">
        <v>32002</v>
      </c>
      <c r="C540" s="6" t="s">
        <v>142</v>
      </c>
      <c r="D540" s="6">
        <v>0</v>
      </c>
      <c r="E540" s="6">
        <v>96.58</v>
      </c>
      <c r="F540" s="6">
        <v>96.88</v>
      </c>
      <c r="G540" s="6">
        <v>98.15</v>
      </c>
      <c r="H540" s="6">
        <v>97.53</v>
      </c>
      <c r="I540" s="6">
        <v>97.49</v>
      </c>
      <c r="J540" s="6">
        <v>98.01</v>
      </c>
      <c r="K540" s="6">
        <v>97.7</v>
      </c>
      <c r="L540" s="6">
        <v>97.61</v>
      </c>
      <c r="M540" s="6">
        <v>98.02</v>
      </c>
      <c r="N540" s="6">
        <v>97.7</v>
      </c>
      <c r="O540" s="6">
        <v>97.61</v>
      </c>
      <c r="P540" s="6">
        <v>98.02</v>
      </c>
      <c r="Q540" s="6">
        <v>97.7</v>
      </c>
      <c r="R540" s="6">
        <v>97.61</v>
      </c>
    </row>
    <row r="541" spans="2:18">
      <c r="B541" s="6">
        <v>32016</v>
      </c>
      <c r="C541" s="6" t="s">
        <v>143</v>
      </c>
      <c r="D541" s="6">
        <v>98.02</v>
      </c>
      <c r="E541" s="6">
        <v>97.62</v>
      </c>
      <c r="F541" s="6">
        <v>97.89</v>
      </c>
      <c r="G541" s="6">
        <v>98.48</v>
      </c>
      <c r="H541" s="6">
        <v>98.4</v>
      </c>
      <c r="I541" s="6">
        <v>98.25</v>
      </c>
      <c r="J541" s="6">
        <v>98.64</v>
      </c>
      <c r="K541" s="6">
        <v>98.48</v>
      </c>
      <c r="L541" s="6">
        <v>98.3</v>
      </c>
      <c r="M541" s="6">
        <v>98.62</v>
      </c>
      <c r="N541" s="6">
        <v>98.46</v>
      </c>
      <c r="O541" s="6">
        <v>98.28</v>
      </c>
      <c r="P541" s="6">
        <v>98.52</v>
      </c>
      <c r="Q541" s="6">
        <v>98.45</v>
      </c>
      <c r="R541" s="6">
        <v>98.28</v>
      </c>
    </row>
    <row r="542" spans="2:18">
      <c r="B542" s="6">
        <v>32016</v>
      </c>
      <c r="C542" s="6" t="s">
        <v>143</v>
      </c>
      <c r="D542" s="6">
        <v>98.54</v>
      </c>
      <c r="E542" s="6">
        <v>97.45</v>
      </c>
      <c r="F542" s="6">
        <v>97.24</v>
      </c>
      <c r="G542" s="6">
        <v>97.97</v>
      </c>
      <c r="H542" s="6">
        <v>98.08</v>
      </c>
      <c r="I542" s="6">
        <v>98.09</v>
      </c>
      <c r="J542" s="6">
        <v>98.86</v>
      </c>
      <c r="K542" s="6">
        <v>98.85</v>
      </c>
      <c r="L542" s="6">
        <v>98.75</v>
      </c>
      <c r="M542" s="6">
        <v>98.86</v>
      </c>
      <c r="N542" s="6">
        <v>98.82</v>
      </c>
      <c r="O542" s="6">
        <v>98.74</v>
      </c>
      <c r="P542" s="6">
        <v>98.83</v>
      </c>
      <c r="Q542" s="6">
        <v>98.81</v>
      </c>
      <c r="R542" s="6">
        <v>98.73</v>
      </c>
    </row>
    <row r="543" spans="2:18">
      <c r="B543" s="6">
        <v>32016</v>
      </c>
      <c r="C543" s="6" t="s">
        <v>143</v>
      </c>
      <c r="D543" s="6">
        <v>97.39</v>
      </c>
      <c r="E543" s="6">
        <v>96.71</v>
      </c>
      <c r="F543" s="6">
        <v>97.06</v>
      </c>
      <c r="G543" s="6">
        <v>97.43</v>
      </c>
      <c r="H543" s="6">
        <v>97.49</v>
      </c>
      <c r="I543" s="6">
        <v>97.36</v>
      </c>
      <c r="J543" s="6">
        <v>97.72</v>
      </c>
      <c r="K543" s="6">
        <v>97.84</v>
      </c>
      <c r="L543" s="6">
        <v>97.75</v>
      </c>
      <c r="M543" s="6">
        <v>97.72</v>
      </c>
      <c r="N543" s="6">
        <v>97.83</v>
      </c>
      <c r="O543" s="6">
        <v>97.74</v>
      </c>
      <c r="P543" s="6">
        <v>97.73</v>
      </c>
      <c r="Q543" s="6">
        <v>97.84</v>
      </c>
      <c r="R543" s="6">
        <v>97.75</v>
      </c>
    </row>
    <row r="544" spans="2:18">
      <c r="B544" s="6">
        <v>32016</v>
      </c>
      <c r="C544" s="6" t="s">
        <v>143</v>
      </c>
      <c r="D544" s="6">
        <v>97.79</v>
      </c>
      <c r="E544" s="6">
        <v>97.4</v>
      </c>
      <c r="F544" s="6">
        <v>97.11</v>
      </c>
      <c r="G544" s="6">
        <v>97.88</v>
      </c>
      <c r="H544" s="6">
        <v>97.7</v>
      </c>
      <c r="I544" s="6">
        <v>97.56</v>
      </c>
      <c r="J544" s="6">
        <v>98.01</v>
      </c>
      <c r="K544" s="6">
        <v>97.7</v>
      </c>
      <c r="L544" s="6">
        <v>97.61</v>
      </c>
      <c r="M544" s="6">
        <v>98.02</v>
      </c>
      <c r="N544" s="6">
        <v>97.7</v>
      </c>
      <c r="O544" s="6">
        <v>97.61</v>
      </c>
      <c r="P544" s="6">
        <v>98.02</v>
      </c>
      <c r="Q544" s="6">
        <v>97.7</v>
      </c>
      <c r="R544" s="6">
        <v>97.61</v>
      </c>
    </row>
    <row r="545" spans="2:18">
      <c r="B545" s="6">
        <v>32017</v>
      </c>
      <c r="C545" s="6" t="s">
        <v>144</v>
      </c>
      <c r="D545" s="6">
        <v>99.7</v>
      </c>
      <c r="E545" s="6">
        <v>98.6</v>
      </c>
      <c r="F545" s="6">
        <v>97.98</v>
      </c>
      <c r="G545" s="6">
        <v>98.48</v>
      </c>
      <c r="H545" s="6">
        <v>98.4</v>
      </c>
      <c r="I545" s="6">
        <v>98.25</v>
      </c>
      <c r="J545" s="6">
        <v>98.64</v>
      </c>
      <c r="K545" s="6">
        <v>98.48</v>
      </c>
      <c r="L545" s="6">
        <v>98.3</v>
      </c>
      <c r="M545" s="6">
        <v>98.62</v>
      </c>
      <c r="N545" s="6">
        <v>98.46</v>
      </c>
      <c r="O545" s="6">
        <v>98.28</v>
      </c>
      <c r="P545" s="6">
        <v>98.52</v>
      </c>
      <c r="Q545" s="6">
        <v>98.45</v>
      </c>
      <c r="R545" s="6">
        <v>98.28</v>
      </c>
    </row>
    <row r="546" spans="2:18">
      <c r="B546" s="6">
        <v>32017</v>
      </c>
      <c r="C546" s="6" t="s">
        <v>144</v>
      </c>
      <c r="D546" s="6">
        <v>99.7</v>
      </c>
      <c r="E546" s="6">
        <v>98.62</v>
      </c>
      <c r="F546" s="6">
        <v>98.7</v>
      </c>
      <c r="G546" s="6">
        <v>97.97</v>
      </c>
      <c r="H546" s="6">
        <v>98.08</v>
      </c>
      <c r="I546" s="6">
        <v>98.09</v>
      </c>
      <c r="J546" s="6">
        <v>98.86</v>
      </c>
      <c r="K546" s="6">
        <v>98.85</v>
      </c>
      <c r="L546" s="6">
        <v>98.75</v>
      </c>
      <c r="M546" s="6">
        <v>98.86</v>
      </c>
      <c r="N546" s="6">
        <v>98.82</v>
      </c>
      <c r="O546" s="6">
        <v>98.74</v>
      </c>
      <c r="P546" s="6">
        <v>98.83</v>
      </c>
      <c r="Q546" s="6">
        <v>98.81</v>
      </c>
      <c r="R546" s="6">
        <v>98.73</v>
      </c>
    </row>
    <row r="547" spans="2:18">
      <c r="B547" s="6">
        <v>32017</v>
      </c>
      <c r="C547" s="6" t="s">
        <v>144</v>
      </c>
      <c r="D547" s="6">
        <v>97.92</v>
      </c>
      <c r="E547" s="6">
        <v>98.15</v>
      </c>
      <c r="F547" s="6">
        <v>97.68</v>
      </c>
      <c r="G547" s="6">
        <v>97.43</v>
      </c>
      <c r="H547" s="6">
        <v>97.49</v>
      </c>
      <c r="I547" s="6">
        <v>97.36</v>
      </c>
      <c r="J547" s="6">
        <v>97.72</v>
      </c>
      <c r="K547" s="6">
        <v>97.84</v>
      </c>
      <c r="L547" s="6">
        <v>97.75</v>
      </c>
      <c r="M547" s="6">
        <v>97.72</v>
      </c>
      <c r="N547" s="6">
        <v>97.83</v>
      </c>
      <c r="O547" s="6">
        <v>97.74</v>
      </c>
      <c r="P547" s="6">
        <v>97.73</v>
      </c>
      <c r="Q547" s="6">
        <v>97.84</v>
      </c>
      <c r="R547" s="6">
        <v>97.75</v>
      </c>
    </row>
    <row r="548" spans="2:18">
      <c r="B548" s="6">
        <v>32017</v>
      </c>
      <c r="C548" s="6" t="s">
        <v>144</v>
      </c>
      <c r="D548" s="6">
        <v>99.7</v>
      </c>
      <c r="E548" s="6">
        <v>97.99</v>
      </c>
      <c r="F548" s="6">
        <v>98.12</v>
      </c>
      <c r="G548" s="6">
        <v>97.88</v>
      </c>
      <c r="H548" s="6">
        <v>97.7</v>
      </c>
      <c r="I548" s="6">
        <v>97.56</v>
      </c>
      <c r="J548" s="6">
        <v>98.01</v>
      </c>
      <c r="K548" s="6">
        <v>97.7</v>
      </c>
      <c r="L548" s="6">
        <v>97.61</v>
      </c>
      <c r="M548" s="6">
        <v>98.02</v>
      </c>
      <c r="N548" s="6">
        <v>97.7</v>
      </c>
      <c r="O548" s="6">
        <v>97.61</v>
      </c>
      <c r="P548" s="6">
        <v>98.02</v>
      </c>
      <c r="Q548" s="6">
        <v>97.7</v>
      </c>
      <c r="R548" s="6">
        <v>97.61</v>
      </c>
    </row>
    <row r="549" spans="2:18">
      <c r="B549" s="6">
        <v>32018</v>
      </c>
      <c r="C549" s="6" t="s">
        <v>145</v>
      </c>
      <c r="D549" s="6">
        <v>0</v>
      </c>
      <c r="E549" s="6">
        <v>98.4</v>
      </c>
      <c r="F549" s="6">
        <v>98.41</v>
      </c>
      <c r="G549" s="6">
        <v>98.48</v>
      </c>
      <c r="H549" s="6">
        <v>98.4</v>
      </c>
      <c r="I549" s="6">
        <v>98.25</v>
      </c>
      <c r="J549" s="6">
        <v>98.64</v>
      </c>
      <c r="K549" s="6">
        <v>98.48</v>
      </c>
      <c r="L549" s="6">
        <v>98.3</v>
      </c>
      <c r="M549" s="6">
        <v>98.62</v>
      </c>
      <c r="N549" s="6">
        <v>98.46</v>
      </c>
      <c r="O549" s="6">
        <v>98.28</v>
      </c>
      <c r="P549" s="6">
        <v>98.52</v>
      </c>
      <c r="Q549" s="6">
        <v>98.45</v>
      </c>
      <c r="R549" s="6">
        <v>98.28</v>
      </c>
    </row>
    <row r="550" spans="2:18">
      <c r="B550" s="6">
        <v>32018</v>
      </c>
      <c r="C550" s="6" t="s">
        <v>145</v>
      </c>
      <c r="D550" s="6">
        <v>0</v>
      </c>
      <c r="E550" s="6">
        <v>98.42</v>
      </c>
      <c r="F550" s="6">
        <v>98.48</v>
      </c>
      <c r="G550" s="6">
        <v>97.97</v>
      </c>
      <c r="H550" s="6">
        <v>98.08</v>
      </c>
      <c r="I550" s="6">
        <v>98.09</v>
      </c>
      <c r="J550" s="6">
        <v>98.86</v>
      </c>
      <c r="K550" s="6">
        <v>98.85</v>
      </c>
      <c r="L550" s="6">
        <v>98.75</v>
      </c>
      <c r="M550" s="6">
        <v>98.86</v>
      </c>
      <c r="N550" s="6">
        <v>98.82</v>
      </c>
      <c r="O550" s="6">
        <v>98.74</v>
      </c>
      <c r="P550" s="6">
        <v>98.83</v>
      </c>
      <c r="Q550" s="6">
        <v>98.81</v>
      </c>
      <c r="R550" s="6">
        <v>98.73</v>
      </c>
    </row>
    <row r="551" spans="2:18">
      <c r="B551" s="6">
        <v>32018</v>
      </c>
      <c r="C551" s="6" t="s">
        <v>145</v>
      </c>
      <c r="D551" s="6">
        <v>0</v>
      </c>
      <c r="E551" s="6">
        <v>98.19</v>
      </c>
      <c r="F551" s="6">
        <v>97.77</v>
      </c>
      <c r="G551" s="6">
        <v>97.43</v>
      </c>
      <c r="H551" s="6">
        <v>97.49</v>
      </c>
      <c r="I551" s="6">
        <v>97.36</v>
      </c>
      <c r="J551" s="6">
        <v>97.72</v>
      </c>
      <c r="K551" s="6">
        <v>97.84</v>
      </c>
      <c r="L551" s="6">
        <v>97.75</v>
      </c>
      <c r="M551" s="6">
        <v>97.72</v>
      </c>
      <c r="N551" s="6">
        <v>97.83</v>
      </c>
      <c r="O551" s="6">
        <v>97.74</v>
      </c>
      <c r="P551" s="6">
        <v>97.73</v>
      </c>
      <c r="Q551" s="6">
        <v>97.84</v>
      </c>
      <c r="R551" s="6">
        <v>97.75</v>
      </c>
    </row>
    <row r="552" spans="2:18">
      <c r="B552" s="6">
        <v>32018</v>
      </c>
      <c r="C552" s="6" t="s">
        <v>145</v>
      </c>
      <c r="D552" s="6">
        <v>0</v>
      </c>
      <c r="E552" s="6">
        <v>99.01</v>
      </c>
      <c r="F552" s="6">
        <v>98.34</v>
      </c>
      <c r="G552" s="6">
        <v>97.88</v>
      </c>
      <c r="H552" s="6">
        <v>97.7</v>
      </c>
      <c r="I552" s="6">
        <v>97.56</v>
      </c>
      <c r="J552" s="6">
        <v>98.01</v>
      </c>
      <c r="K552" s="6">
        <v>97.7</v>
      </c>
      <c r="L552" s="6">
        <v>97.61</v>
      </c>
      <c r="M552" s="6">
        <v>98.02</v>
      </c>
      <c r="N552" s="6">
        <v>97.7</v>
      </c>
      <c r="O552" s="6">
        <v>97.61</v>
      </c>
      <c r="P552" s="6">
        <v>98.02</v>
      </c>
      <c r="Q552" s="6">
        <v>97.7</v>
      </c>
      <c r="R552" s="6">
        <v>97.61</v>
      </c>
    </row>
    <row r="553" spans="2:18">
      <c r="B553" s="6">
        <v>32019</v>
      </c>
      <c r="C553" s="6" t="s">
        <v>146</v>
      </c>
      <c r="D553" s="6">
        <v>98.45</v>
      </c>
      <c r="E553" s="6">
        <v>98.44</v>
      </c>
      <c r="F553" s="6">
        <v>98.33</v>
      </c>
      <c r="G553" s="6">
        <v>98.48</v>
      </c>
      <c r="H553" s="6">
        <v>98.4</v>
      </c>
      <c r="I553" s="6">
        <v>98.25</v>
      </c>
      <c r="J553" s="6">
        <v>98.64</v>
      </c>
      <c r="K553" s="6">
        <v>98.48</v>
      </c>
      <c r="L553" s="6">
        <v>98.3</v>
      </c>
      <c r="M553" s="6">
        <v>98.62</v>
      </c>
      <c r="N553" s="6">
        <v>98.46</v>
      </c>
      <c r="O553" s="6">
        <v>98.28</v>
      </c>
      <c r="P553" s="6">
        <v>98.52</v>
      </c>
      <c r="Q553" s="6">
        <v>98.45</v>
      </c>
      <c r="R553" s="6">
        <v>98.28</v>
      </c>
    </row>
    <row r="554" spans="2:18">
      <c r="B554" s="6">
        <v>32019</v>
      </c>
      <c r="C554" s="6" t="s">
        <v>146</v>
      </c>
      <c r="D554" s="6">
        <v>98.47</v>
      </c>
      <c r="E554" s="6">
        <v>98.95</v>
      </c>
      <c r="F554" s="6">
        <v>98.65</v>
      </c>
      <c r="G554" s="6">
        <v>97.97</v>
      </c>
      <c r="H554" s="6">
        <v>98.08</v>
      </c>
      <c r="I554" s="6">
        <v>98.09</v>
      </c>
      <c r="J554" s="6">
        <v>98.86</v>
      </c>
      <c r="K554" s="6">
        <v>98.85</v>
      </c>
      <c r="L554" s="6">
        <v>98.75</v>
      </c>
      <c r="M554" s="6">
        <v>98.86</v>
      </c>
      <c r="N554" s="6">
        <v>98.82</v>
      </c>
      <c r="O554" s="6">
        <v>98.74</v>
      </c>
      <c r="P554" s="6">
        <v>98.83</v>
      </c>
      <c r="Q554" s="6">
        <v>98.81</v>
      </c>
      <c r="R554" s="6">
        <v>98.73</v>
      </c>
    </row>
    <row r="555" spans="2:18">
      <c r="B555" s="6">
        <v>32019</v>
      </c>
      <c r="C555" s="6" t="s">
        <v>146</v>
      </c>
      <c r="D555" s="6">
        <v>97.28</v>
      </c>
      <c r="E555" s="6">
        <v>98.17</v>
      </c>
      <c r="F555" s="6">
        <v>97.56</v>
      </c>
      <c r="G555" s="6">
        <v>97.43</v>
      </c>
      <c r="H555" s="6">
        <v>97.49</v>
      </c>
      <c r="I555" s="6">
        <v>97.36</v>
      </c>
      <c r="J555" s="6">
        <v>97.72</v>
      </c>
      <c r="K555" s="6">
        <v>97.84</v>
      </c>
      <c r="L555" s="6">
        <v>97.75</v>
      </c>
      <c r="M555" s="6">
        <v>97.72</v>
      </c>
      <c r="N555" s="6">
        <v>97.83</v>
      </c>
      <c r="O555" s="6">
        <v>97.74</v>
      </c>
      <c r="P555" s="6">
        <v>97.73</v>
      </c>
      <c r="Q555" s="6">
        <v>97.84</v>
      </c>
      <c r="R555" s="6">
        <v>97.75</v>
      </c>
    </row>
    <row r="556" spans="2:18">
      <c r="B556" s="6">
        <v>32019</v>
      </c>
      <c r="C556" s="6" t="s">
        <v>146</v>
      </c>
      <c r="D556" s="6">
        <v>98.43</v>
      </c>
      <c r="E556" s="6">
        <v>98.05</v>
      </c>
      <c r="F556" s="6">
        <v>97.91</v>
      </c>
      <c r="G556" s="6">
        <v>97.88</v>
      </c>
      <c r="H556" s="6">
        <v>97.7</v>
      </c>
      <c r="I556" s="6">
        <v>97.56</v>
      </c>
      <c r="J556" s="6">
        <v>98.01</v>
      </c>
      <c r="K556" s="6">
        <v>97.7</v>
      </c>
      <c r="L556" s="6">
        <v>97.61</v>
      </c>
      <c r="M556" s="6">
        <v>98.02</v>
      </c>
      <c r="N556" s="6">
        <v>97.7</v>
      </c>
      <c r="O556" s="6">
        <v>97.61</v>
      </c>
      <c r="P556" s="6">
        <v>98.02</v>
      </c>
      <c r="Q556" s="6">
        <v>97.7</v>
      </c>
      <c r="R556" s="6">
        <v>97.61</v>
      </c>
    </row>
    <row r="557" spans="2:18">
      <c r="B557" s="6">
        <v>32022</v>
      </c>
      <c r="C557" s="6" t="s">
        <v>236</v>
      </c>
      <c r="D557" s="6">
        <v>0</v>
      </c>
      <c r="E557" s="6">
        <v>0</v>
      </c>
      <c r="F557" s="6">
        <v>98.69</v>
      </c>
      <c r="G557" s="6">
        <v>97.07</v>
      </c>
      <c r="H557" s="6">
        <v>94.76</v>
      </c>
      <c r="I557" s="6">
        <v>95.55</v>
      </c>
      <c r="J557" s="6">
        <v>98.23</v>
      </c>
      <c r="K557" s="6">
        <v>98.19</v>
      </c>
      <c r="L557" s="6">
        <v>98.1</v>
      </c>
      <c r="M557" s="6">
        <v>98.23</v>
      </c>
      <c r="N557" s="6">
        <v>98.19</v>
      </c>
      <c r="O557" s="6">
        <v>98.1</v>
      </c>
      <c r="P557" s="6">
        <v>98.04</v>
      </c>
      <c r="Q557" s="6">
        <v>98.09</v>
      </c>
      <c r="R557" s="6">
        <v>97.91</v>
      </c>
    </row>
    <row r="558" spans="2:18">
      <c r="B558" s="6">
        <v>32022</v>
      </c>
      <c r="C558" s="6" t="s">
        <v>236</v>
      </c>
      <c r="D558" s="6">
        <v>0</v>
      </c>
      <c r="E558" s="6">
        <v>0</v>
      </c>
      <c r="F558" s="6">
        <v>97.45</v>
      </c>
      <c r="G558" s="6">
        <v>98.65</v>
      </c>
      <c r="H558" s="6">
        <v>98.92</v>
      </c>
      <c r="I558" s="6">
        <v>98.33</v>
      </c>
      <c r="J558" s="6">
        <v>98.77</v>
      </c>
      <c r="K558" s="6">
        <v>99.16</v>
      </c>
      <c r="L558" s="6">
        <v>98.56</v>
      </c>
      <c r="M558" s="6">
        <v>98.77</v>
      </c>
      <c r="N558" s="6">
        <v>99.16</v>
      </c>
      <c r="O558" s="6">
        <v>98.56</v>
      </c>
      <c r="P558" s="6">
        <v>98.52</v>
      </c>
      <c r="Q558" s="6">
        <v>98.45</v>
      </c>
      <c r="R558" s="6">
        <v>98.28</v>
      </c>
    </row>
    <row r="559" spans="2:18">
      <c r="B559" s="6">
        <v>32022</v>
      </c>
      <c r="C559" s="6" t="s">
        <v>236</v>
      </c>
      <c r="D559" s="6">
        <v>0</v>
      </c>
      <c r="E559" s="6">
        <v>0</v>
      </c>
      <c r="F559" s="6">
        <v>98.13</v>
      </c>
      <c r="G559" s="6">
        <v>96.62</v>
      </c>
      <c r="H559" s="6">
        <v>98.65</v>
      </c>
      <c r="I559" s="6">
        <v>98.32</v>
      </c>
      <c r="J559" s="6">
        <v>99.33</v>
      </c>
      <c r="K559" s="6">
        <v>99.31</v>
      </c>
      <c r="L559" s="6">
        <v>98.87</v>
      </c>
      <c r="M559" s="6">
        <v>99.33</v>
      </c>
      <c r="N559" s="6">
        <v>99.31</v>
      </c>
      <c r="O559" s="6">
        <v>98.87</v>
      </c>
      <c r="P559" s="6">
        <v>97.69</v>
      </c>
      <c r="Q559" s="6">
        <v>98.01</v>
      </c>
      <c r="R559" s="6">
        <v>98.3</v>
      </c>
    </row>
    <row r="560" spans="2:18">
      <c r="B560" s="6">
        <v>32023</v>
      </c>
      <c r="C560" s="6" t="s">
        <v>237</v>
      </c>
      <c r="D560" s="6">
        <v>95.94</v>
      </c>
      <c r="E560" s="6">
        <v>97.91</v>
      </c>
      <c r="F560" s="6">
        <v>96.63</v>
      </c>
      <c r="G560" s="6">
        <v>96.77</v>
      </c>
      <c r="H560" s="6">
        <v>97.74</v>
      </c>
      <c r="I560" s="6">
        <v>96.78</v>
      </c>
      <c r="J560" s="6">
        <v>98.23</v>
      </c>
      <c r="K560" s="6">
        <v>98.19</v>
      </c>
      <c r="L560" s="6">
        <v>98.1</v>
      </c>
      <c r="M560" s="6">
        <v>98.23</v>
      </c>
      <c r="N560" s="6">
        <v>98.19</v>
      </c>
      <c r="O560" s="6">
        <v>98.1</v>
      </c>
      <c r="P560" s="6">
        <v>98.04</v>
      </c>
      <c r="Q560" s="6">
        <v>98.09</v>
      </c>
      <c r="R560" s="6">
        <v>97.91</v>
      </c>
    </row>
    <row r="561" spans="2:18">
      <c r="B561" s="6">
        <v>32023</v>
      </c>
      <c r="C561" s="6" t="s">
        <v>237</v>
      </c>
      <c r="D561" s="6">
        <v>0</v>
      </c>
      <c r="E561" s="6">
        <v>99.52</v>
      </c>
      <c r="F561" s="6">
        <v>99.48</v>
      </c>
      <c r="G561" s="6">
        <v>95.91</v>
      </c>
      <c r="H561" s="6">
        <v>99.23</v>
      </c>
      <c r="I561" s="6">
        <v>99.12</v>
      </c>
      <c r="J561" s="6">
        <v>98.77</v>
      </c>
      <c r="K561" s="6">
        <v>99.16</v>
      </c>
      <c r="L561" s="6">
        <v>98.56</v>
      </c>
      <c r="M561" s="6">
        <v>98.77</v>
      </c>
      <c r="N561" s="6">
        <v>99.16</v>
      </c>
      <c r="O561" s="6">
        <v>98.56</v>
      </c>
      <c r="P561" s="6">
        <v>98.52</v>
      </c>
      <c r="Q561" s="6">
        <v>98.45</v>
      </c>
      <c r="R561" s="6">
        <v>98.28</v>
      </c>
    </row>
    <row r="562" spans="2:18">
      <c r="B562" s="6">
        <v>32041</v>
      </c>
      <c r="C562" s="6" t="s">
        <v>238</v>
      </c>
      <c r="D562" s="6">
        <v>99.32</v>
      </c>
      <c r="E562" s="6">
        <v>96.32</v>
      </c>
      <c r="F562" s="6">
        <v>97.69</v>
      </c>
      <c r="G562" s="6">
        <v>98.77</v>
      </c>
      <c r="H562" s="6">
        <v>98.55</v>
      </c>
      <c r="I562" s="6">
        <v>98.72</v>
      </c>
      <c r="J562" s="6">
        <v>98.23</v>
      </c>
      <c r="K562" s="6">
        <v>98.19</v>
      </c>
      <c r="L562" s="6">
        <v>98.1</v>
      </c>
      <c r="M562" s="6">
        <v>98.23</v>
      </c>
      <c r="N562" s="6">
        <v>98.19</v>
      </c>
      <c r="O562" s="6">
        <v>98.1</v>
      </c>
      <c r="P562" s="6">
        <v>98.04</v>
      </c>
      <c r="Q562" s="6">
        <v>98.09</v>
      </c>
      <c r="R562" s="6">
        <v>97.91</v>
      </c>
    </row>
    <row r="563" spans="2:18">
      <c r="B563" s="6">
        <v>32041</v>
      </c>
      <c r="C563" s="6" t="s">
        <v>238</v>
      </c>
      <c r="D563" s="6">
        <v>99.61</v>
      </c>
      <c r="E563" s="6">
        <v>99.61</v>
      </c>
      <c r="F563" s="6">
        <v>99.59</v>
      </c>
      <c r="G563" s="6">
        <v>99.61</v>
      </c>
      <c r="H563" s="6">
        <v>99.61</v>
      </c>
      <c r="I563" s="6">
        <v>98.62</v>
      </c>
      <c r="J563" s="6">
        <v>98.77</v>
      </c>
      <c r="K563" s="6">
        <v>99.16</v>
      </c>
      <c r="L563" s="6">
        <v>98.56</v>
      </c>
      <c r="M563" s="6">
        <v>98.77</v>
      </c>
      <c r="N563" s="6">
        <v>99.16</v>
      </c>
      <c r="O563" s="6">
        <v>98.56</v>
      </c>
      <c r="P563" s="6">
        <v>98.52</v>
      </c>
      <c r="Q563" s="6">
        <v>98.45</v>
      </c>
      <c r="R563" s="6">
        <v>98.28</v>
      </c>
    </row>
    <row r="564" spans="2:18">
      <c r="B564" s="6">
        <v>32048</v>
      </c>
      <c r="C564" s="6" t="s">
        <v>58</v>
      </c>
      <c r="D564" s="6">
        <v>0</v>
      </c>
      <c r="E564" s="6">
        <v>97.47</v>
      </c>
      <c r="F564" s="6">
        <v>97.95</v>
      </c>
      <c r="G564" s="6">
        <v>0</v>
      </c>
      <c r="H564" s="6">
        <v>97.74</v>
      </c>
      <c r="I564" s="6">
        <v>97.38</v>
      </c>
      <c r="J564" s="6">
        <v>90.86</v>
      </c>
      <c r="K564" s="6">
        <v>96.97</v>
      </c>
      <c r="L564" s="6">
        <v>96.91</v>
      </c>
      <c r="M564" s="6">
        <v>98.71</v>
      </c>
      <c r="N564" s="6">
        <v>98.7</v>
      </c>
      <c r="O564" s="6">
        <v>98.68</v>
      </c>
      <c r="P564" s="6">
        <v>98.71</v>
      </c>
      <c r="Q564" s="6">
        <v>98.7</v>
      </c>
      <c r="R564" s="6">
        <v>98.68</v>
      </c>
    </row>
    <row r="565" spans="2:18">
      <c r="B565" s="6">
        <v>32048</v>
      </c>
      <c r="C565" s="6" t="s">
        <v>58</v>
      </c>
      <c r="D565" s="6">
        <v>0</v>
      </c>
      <c r="E565" s="6">
        <v>97.13</v>
      </c>
      <c r="F565" s="6">
        <v>97.4</v>
      </c>
      <c r="G565" s="6">
        <v>0</v>
      </c>
      <c r="H565" s="6">
        <v>97.5</v>
      </c>
      <c r="I565" s="6">
        <v>97.11</v>
      </c>
      <c r="J565" s="6">
        <v>0</v>
      </c>
      <c r="K565" s="6">
        <v>97.22</v>
      </c>
      <c r="L565" s="6">
        <v>96.87</v>
      </c>
      <c r="M565" s="6">
        <v>97.72</v>
      </c>
      <c r="N565" s="6">
        <v>97.83</v>
      </c>
      <c r="O565" s="6">
        <v>97.74</v>
      </c>
      <c r="P565" s="6">
        <v>97.73</v>
      </c>
      <c r="Q565" s="6">
        <v>97.84</v>
      </c>
      <c r="R565" s="6">
        <v>97.75</v>
      </c>
    </row>
    <row r="566" spans="2:18">
      <c r="B566" s="6">
        <v>32048</v>
      </c>
      <c r="C566" s="6" t="s">
        <v>58</v>
      </c>
      <c r="D566" s="6">
        <v>0</v>
      </c>
      <c r="E566" s="6">
        <v>92.47</v>
      </c>
      <c r="F566" s="6">
        <v>89.54</v>
      </c>
      <c r="G566" s="6">
        <v>0</v>
      </c>
      <c r="H566" s="6">
        <v>94.82</v>
      </c>
      <c r="I566" s="6">
        <v>93.03</v>
      </c>
      <c r="J566" s="6">
        <v>94.97</v>
      </c>
      <c r="K566" s="6">
        <v>94.84</v>
      </c>
      <c r="L566" s="6">
        <v>91.34</v>
      </c>
      <c r="M566" s="6">
        <v>98.29</v>
      </c>
      <c r="N566" s="6">
        <v>97.91</v>
      </c>
      <c r="O566" s="6">
        <v>97.88</v>
      </c>
      <c r="P566" s="6">
        <v>98.29</v>
      </c>
      <c r="Q566" s="6">
        <v>97.91</v>
      </c>
      <c r="R566" s="6">
        <v>97.88</v>
      </c>
    </row>
    <row r="567" spans="2:18">
      <c r="B567" s="6">
        <v>32060</v>
      </c>
      <c r="C567" s="6" t="s">
        <v>1150</v>
      </c>
      <c r="D567" s="6">
        <v>0</v>
      </c>
      <c r="E567" s="6">
        <v>0</v>
      </c>
      <c r="F567" s="6">
        <v>64.81</v>
      </c>
      <c r="G567" s="6">
        <v>54.56</v>
      </c>
      <c r="H567" s="6">
        <v>58.08</v>
      </c>
      <c r="I567" s="6">
        <v>59.52</v>
      </c>
      <c r="J567" s="6">
        <v>54.56</v>
      </c>
      <c r="K567" s="6">
        <v>58.08</v>
      </c>
      <c r="L567" s="6">
        <v>59.52</v>
      </c>
      <c r="M567" s="6">
        <v>54.56</v>
      </c>
      <c r="N567" s="6">
        <v>58.08</v>
      </c>
      <c r="O567" s="6">
        <v>59.52</v>
      </c>
      <c r="P567" s="6">
        <v>53.45</v>
      </c>
      <c r="Q567" s="6">
        <v>47.12</v>
      </c>
      <c r="R567" s="6">
        <v>50.07</v>
      </c>
    </row>
    <row r="568" spans="2:18">
      <c r="B568" s="6">
        <v>32064</v>
      </c>
      <c r="C568" s="6" t="s">
        <v>239</v>
      </c>
      <c r="D568" s="6">
        <v>0</v>
      </c>
      <c r="E568" s="6">
        <v>0</v>
      </c>
      <c r="F568" s="6">
        <v>98.04</v>
      </c>
      <c r="G568" s="6">
        <v>99.61</v>
      </c>
      <c r="H568" s="6">
        <v>99.61</v>
      </c>
      <c r="I568" s="6">
        <v>98.62</v>
      </c>
      <c r="J568" s="6">
        <v>98.77</v>
      </c>
      <c r="K568" s="6">
        <v>99.16</v>
      </c>
      <c r="L568" s="6">
        <v>98.56</v>
      </c>
      <c r="M568" s="6">
        <v>98.77</v>
      </c>
      <c r="N568" s="6">
        <v>99.16</v>
      </c>
      <c r="O568" s="6">
        <v>98.56</v>
      </c>
      <c r="P568" s="6">
        <v>98.52</v>
      </c>
      <c r="Q568" s="6">
        <v>98.45</v>
      </c>
      <c r="R568" s="6">
        <v>98.28</v>
      </c>
    </row>
    <row r="569" spans="2:18">
      <c r="B569" s="6">
        <v>32075</v>
      </c>
      <c r="C569" s="6" t="s">
        <v>1064</v>
      </c>
      <c r="D569" s="6">
        <v>0</v>
      </c>
      <c r="E569" s="6">
        <v>0</v>
      </c>
      <c r="F569" s="6">
        <v>97.39</v>
      </c>
      <c r="G569" s="6">
        <v>0</v>
      </c>
      <c r="H569" s="6">
        <v>0</v>
      </c>
      <c r="I569" s="6">
        <v>98.23</v>
      </c>
      <c r="J569" s="6">
        <v>0</v>
      </c>
      <c r="K569" s="6">
        <v>0</v>
      </c>
      <c r="L569" s="6">
        <v>98.23</v>
      </c>
      <c r="M569" s="6">
        <v>0</v>
      </c>
      <c r="N569" s="6">
        <v>0</v>
      </c>
      <c r="O569" s="6">
        <v>98.23</v>
      </c>
      <c r="P569" s="6">
        <v>0</v>
      </c>
      <c r="Q569" s="6">
        <v>0</v>
      </c>
      <c r="R569" s="6">
        <v>98.23</v>
      </c>
    </row>
    <row r="570" spans="2:18">
      <c r="B570" s="6">
        <v>32075</v>
      </c>
      <c r="C570" s="6" t="s">
        <v>1064</v>
      </c>
      <c r="D570" s="6">
        <v>0</v>
      </c>
      <c r="E570" s="6">
        <v>0</v>
      </c>
      <c r="F570" s="6">
        <v>98.08</v>
      </c>
      <c r="G570" s="6">
        <v>98.48</v>
      </c>
      <c r="H570" s="6">
        <v>98.4</v>
      </c>
      <c r="I570" s="6">
        <v>98.25</v>
      </c>
      <c r="J570" s="6">
        <v>98.64</v>
      </c>
      <c r="K570" s="6">
        <v>98.48</v>
      </c>
      <c r="L570" s="6">
        <v>98.3</v>
      </c>
      <c r="M570" s="6">
        <v>98.62</v>
      </c>
      <c r="N570" s="6">
        <v>98.46</v>
      </c>
      <c r="O570" s="6">
        <v>98.28</v>
      </c>
      <c r="P570" s="6">
        <v>98.52</v>
      </c>
      <c r="Q570" s="6">
        <v>98.45</v>
      </c>
      <c r="R570" s="6">
        <v>98.28</v>
      </c>
    </row>
    <row r="571" spans="2:18">
      <c r="B571" s="6">
        <v>32075</v>
      </c>
      <c r="C571" s="6" t="s">
        <v>1064</v>
      </c>
      <c r="D571" s="6">
        <v>0</v>
      </c>
      <c r="E571" s="6">
        <v>0</v>
      </c>
      <c r="F571" s="6">
        <v>98.12</v>
      </c>
      <c r="G571" s="6">
        <v>98.9</v>
      </c>
      <c r="H571" s="6">
        <v>98.86</v>
      </c>
      <c r="I571" s="6">
        <v>98.83</v>
      </c>
      <c r="J571" s="6">
        <v>98.78</v>
      </c>
      <c r="K571" s="6">
        <v>98.81</v>
      </c>
      <c r="L571" s="6">
        <v>98.78</v>
      </c>
      <c r="M571" s="6">
        <v>98.78</v>
      </c>
      <c r="N571" s="6">
        <v>98.81</v>
      </c>
      <c r="O571" s="6">
        <v>98.78</v>
      </c>
      <c r="P571" s="6">
        <v>98.78</v>
      </c>
      <c r="Q571" s="6">
        <v>98.81</v>
      </c>
      <c r="R571" s="6">
        <v>98.78</v>
      </c>
    </row>
    <row r="572" spans="2:18">
      <c r="B572" s="6">
        <v>32075</v>
      </c>
      <c r="C572" s="6" t="s">
        <v>1064</v>
      </c>
      <c r="D572" s="6">
        <v>0</v>
      </c>
      <c r="E572" s="6">
        <v>0</v>
      </c>
      <c r="F572" s="6">
        <v>96.67</v>
      </c>
      <c r="G572" s="6">
        <v>97.43</v>
      </c>
      <c r="H572" s="6">
        <v>97.49</v>
      </c>
      <c r="I572" s="6">
        <v>97.36</v>
      </c>
      <c r="J572" s="6">
        <v>97.72</v>
      </c>
      <c r="K572" s="6">
        <v>97.84</v>
      </c>
      <c r="L572" s="6">
        <v>97.75</v>
      </c>
      <c r="M572" s="6">
        <v>97.72</v>
      </c>
      <c r="N572" s="6">
        <v>97.83</v>
      </c>
      <c r="O572" s="6">
        <v>97.74</v>
      </c>
      <c r="P572" s="6">
        <v>97.73</v>
      </c>
      <c r="Q572" s="6">
        <v>97.84</v>
      </c>
      <c r="R572" s="6">
        <v>97.75</v>
      </c>
    </row>
    <row r="573" spans="2:18">
      <c r="B573" s="6">
        <v>32076</v>
      </c>
      <c r="C573" s="6" t="s">
        <v>1050</v>
      </c>
      <c r="D573" s="6">
        <v>0</v>
      </c>
      <c r="E573" s="6">
        <v>0</v>
      </c>
      <c r="F573" s="6">
        <v>98.35</v>
      </c>
      <c r="G573" s="6">
        <v>0</v>
      </c>
      <c r="H573" s="6">
        <v>0</v>
      </c>
      <c r="I573" s="6">
        <v>98.23</v>
      </c>
      <c r="J573" s="6">
        <v>0</v>
      </c>
      <c r="K573" s="6">
        <v>0</v>
      </c>
      <c r="L573" s="6">
        <v>98.23</v>
      </c>
      <c r="M573" s="6">
        <v>0</v>
      </c>
      <c r="N573" s="6">
        <v>0</v>
      </c>
      <c r="O573" s="6">
        <v>98.23</v>
      </c>
      <c r="P573" s="6">
        <v>0</v>
      </c>
      <c r="Q573" s="6">
        <v>0</v>
      </c>
      <c r="R573" s="6">
        <v>98.23</v>
      </c>
    </row>
    <row r="574" spans="2:18">
      <c r="B574" s="6">
        <v>32076</v>
      </c>
      <c r="C574" s="6" t="s">
        <v>1050</v>
      </c>
      <c r="D574" s="6">
        <v>0</v>
      </c>
      <c r="E574" s="6">
        <v>0</v>
      </c>
      <c r="F574" s="6">
        <v>98.61</v>
      </c>
      <c r="G574" s="6">
        <v>98.48</v>
      </c>
      <c r="H574" s="6">
        <v>98.4</v>
      </c>
      <c r="I574" s="6">
        <v>98.25</v>
      </c>
      <c r="J574" s="6">
        <v>98.64</v>
      </c>
      <c r="K574" s="6">
        <v>98.48</v>
      </c>
      <c r="L574" s="6">
        <v>98.3</v>
      </c>
      <c r="M574" s="6">
        <v>98.62</v>
      </c>
      <c r="N574" s="6">
        <v>98.46</v>
      </c>
      <c r="O574" s="6">
        <v>98.28</v>
      </c>
      <c r="P574" s="6">
        <v>98.52</v>
      </c>
      <c r="Q574" s="6">
        <v>98.45</v>
      </c>
      <c r="R574" s="6">
        <v>98.28</v>
      </c>
    </row>
    <row r="575" spans="2:18">
      <c r="B575" s="6">
        <v>32076</v>
      </c>
      <c r="C575" s="6" t="s">
        <v>1050</v>
      </c>
      <c r="D575" s="6">
        <v>0</v>
      </c>
      <c r="E575" s="6">
        <v>0</v>
      </c>
      <c r="F575" s="6">
        <v>98.85</v>
      </c>
      <c r="G575" s="6">
        <v>98.9</v>
      </c>
      <c r="H575" s="6">
        <v>98.86</v>
      </c>
      <c r="I575" s="6">
        <v>98.83</v>
      </c>
      <c r="J575" s="6">
        <v>98.78</v>
      </c>
      <c r="K575" s="6">
        <v>98.81</v>
      </c>
      <c r="L575" s="6">
        <v>98.78</v>
      </c>
      <c r="M575" s="6">
        <v>98.78</v>
      </c>
      <c r="N575" s="6">
        <v>98.81</v>
      </c>
      <c r="O575" s="6">
        <v>98.78</v>
      </c>
      <c r="P575" s="6">
        <v>98.78</v>
      </c>
      <c r="Q575" s="6">
        <v>98.81</v>
      </c>
      <c r="R575" s="6">
        <v>98.78</v>
      </c>
    </row>
    <row r="576" spans="2:18">
      <c r="B576" s="6">
        <v>32076</v>
      </c>
      <c r="C576" s="6" t="s">
        <v>1050</v>
      </c>
      <c r="D576" s="6">
        <v>0</v>
      </c>
      <c r="E576" s="6">
        <v>0</v>
      </c>
      <c r="F576" s="6">
        <v>98.2</v>
      </c>
      <c r="G576" s="6">
        <v>97.43</v>
      </c>
      <c r="H576" s="6">
        <v>97.49</v>
      </c>
      <c r="I576" s="6">
        <v>97.36</v>
      </c>
      <c r="J576" s="6">
        <v>97.72</v>
      </c>
      <c r="K576" s="6">
        <v>97.84</v>
      </c>
      <c r="L576" s="6">
        <v>97.75</v>
      </c>
      <c r="M576" s="6">
        <v>97.72</v>
      </c>
      <c r="N576" s="6">
        <v>97.83</v>
      </c>
      <c r="O576" s="6">
        <v>97.74</v>
      </c>
      <c r="P576" s="6">
        <v>97.73</v>
      </c>
      <c r="Q576" s="6">
        <v>97.84</v>
      </c>
      <c r="R576" s="6">
        <v>97.75</v>
      </c>
    </row>
    <row r="577" spans="2:18">
      <c r="B577" s="6">
        <v>32077</v>
      </c>
      <c r="C577" s="6" t="s">
        <v>1084</v>
      </c>
      <c r="D577" s="6">
        <v>0</v>
      </c>
      <c r="E577" s="6">
        <v>0</v>
      </c>
      <c r="F577" s="6">
        <v>98.39</v>
      </c>
      <c r="G577" s="6">
        <v>0</v>
      </c>
      <c r="H577" s="6">
        <v>0</v>
      </c>
      <c r="I577" s="6">
        <v>98.23</v>
      </c>
      <c r="J577" s="6">
        <v>0</v>
      </c>
      <c r="K577" s="6">
        <v>0</v>
      </c>
      <c r="L577" s="6">
        <v>98.23</v>
      </c>
      <c r="M577" s="6">
        <v>0</v>
      </c>
      <c r="N577" s="6">
        <v>0</v>
      </c>
      <c r="O577" s="6">
        <v>98.23</v>
      </c>
      <c r="P577" s="6">
        <v>0</v>
      </c>
      <c r="Q577" s="6">
        <v>0</v>
      </c>
      <c r="R577" s="6">
        <v>98.23</v>
      </c>
    </row>
    <row r="578" spans="2:18">
      <c r="B578" s="6">
        <v>32077</v>
      </c>
      <c r="C578" s="6" t="s">
        <v>1084</v>
      </c>
      <c r="D578" s="6">
        <v>0</v>
      </c>
      <c r="E578" s="6">
        <v>0</v>
      </c>
      <c r="F578" s="6">
        <v>98.42</v>
      </c>
      <c r="G578" s="6">
        <v>98.48</v>
      </c>
      <c r="H578" s="6">
        <v>98.4</v>
      </c>
      <c r="I578" s="6">
        <v>98.25</v>
      </c>
      <c r="J578" s="6">
        <v>98.64</v>
      </c>
      <c r="K578" s="6">
        <v>98.48</v>
      </c>
      <c r="L578" s="6">
        <v>98.3</v>
      </c>
      <c r="M578" s="6">
        <v>98.62</v>
      </c>
      <c r="N578" s="6">
        <v>98.46</v>
      </c>
      <c r="O578" s="6">
        <v>98.28</v>
      </c>
      <c r="P578" s="6">
        <v>98.52</v>
      </c>
      <c r="Q578" s="6">
        <v>98.45</v>
      </c>
      <c r="R578" s="6">
        <v>98.28</v>
      </c>
    </row>
    <row r="579" spans="2:18">
      <c r="B579" s="6">
        <v>32077</v>
      </c>
      <c r="C579" s="6" t="s">
        <v>1084</v>
      </c>
      <c r="D579" s="6">
        <v>0</v>
      </c>
      <c r="E579" s="6">
        <v>0</v>
      </c>
      <c r="F579" s="6">
        <v>98.88</v>
      </c>
      <c r="G579" s="6">
        <v>98.9</v>
      </c>
      <c r="H579" s="6">
        <v>98.86</v>
      </c>
      <c r="I579" s="6">
        <v>98.83</v>
      </c>
      <c r="J579" s="6">
        <v>98.78</v>
      </c>
      <c r="K579" s="6">
        <v>98.81</v>
      </c>
      <c r="L579" s="6">
        <v>98.78</v>
      </c>
      <c r="M579" s="6">
        <v>98.78</v>
      </c>
      <c r="N579" s="6">
        <v>98.81</v>
      </c>
      <c r="O579" s="6">
        <v>98.78</v>
      </c>
      <c r="P579" s="6">
        <v>98.78</v>
      </c>
      <c r="Q579" s="6">
        <v>98.81</v>
      </c>
      <c r="R579" s="6">
        <v>98.78</v>
      </c>
    </row>
    <row r="580" spans="2:18">
      <c r="B580" s="6">
        <v>32077</v>
      </c>
      <c r="C580" s="6" t="s">
        <v>1084</v>
      </c>
      <c r="D580" s="6">
        <v>0</v>
      </c>
      <c r="E580" s="6">
        <v>0</v>
      </c>
      <c r="F580" s="6">
        <v>98.03</v>
      </c>
      <c r="G580" s="6">
        <v>97.43</v>
      </c>
      <c r="H580" s="6">
        <v>97.49</v>
      </c>
      <c r="I580" s="6">
        <v>97.36</v>
      </c>
      <c r="J580" s="6">
        <v>97.72</v>
      </c>
      <c r="K580" s="6">
        <v>97.84</v>
      </c>
      <c r="L580" s="6">
        <v>97.75</v>
      </c>
      <c r="M580" s="6">
        <v>97.72</v>
      </c>
      <c r="N580" s="6">
        <v>97.83</v>
      </c>
      <c r="O580" s="6">
        <v>97.74</v>
      </c>
      <c r="P580" s="6">
        <v>97.73</v>
      </c>
      <c r="Q580" s="6">
        <v>97.84</v>
      </c>
      <c r="R580" s="6">
        <v>97.75</v>
      </c>
    </row>
    <row r="581" spans="2:18">
      <c r="B581" s="6">
        <v>32079</v>
      </c>
      <c r="C581" s="6" t="s">
        <v>1158</v>
      </c>
      <c r="D581" s="6">
        <v>99.85</v>
      </c>
      <c r="E581" s="6">
        <v>99.76</v>
      </c>
      <c r="F581" s="6">
        <v>99.63</v>
      </c>
      <c r="G581" s="6">
        <v>99.86</v>
      </c>
      <c r="H581" s="6">
        <v>99.78</v>
      </c>
      <c r="I581" s="6">
        <v>99.64</v>
      </c>
      <c r="J581" s="6">
        <v>99.86</v>
      </c>
      <c r="K581" s="6">
        <v>99.78</v>
      </c>
      <c r="L581" s="6">
        <v>99.64</v>
      </c>
      <c r="M581" s="6">
        <v>99.86</v>
      </c>
      <c r="N581" s="6">
        <v>99.78</v>
      </c>
      <c r="O581" s="6">
        <v>99.64</v>
      </c>
      <c r="P581" s="6">
        <v>99.86</v>
      </c>
      <c r="Q581" s="6">
        <v>99.78</v>
      </c>
      <c r="R581" s="6">
        <v>99.64</v>
      </c>
    </row>
    <row r="582" spans="2:18">
      <c r="B582" s="6">
        <v>32079</v>
      </c>
      <c r="C582" s="6" t="s">
        <v>1158</v>
      </c>
      <c r="D582" s="6">
        <v>96.54</v>
      </c>
      <c r="E582" s="6">
        <v>95.65</v>
      </c>
      <c r="F582" s="6">
        <v>96.64</v>
      </c>
      <c r="G582" s="6">
        <v>96.33</v>
      </c>
      <c r="H582" s="6">
        <v>95.55</v>
      </c>
      <c r="I582" s="6">
        <v>96.55</v>
      </c>
      <c r="J582" s="6">
        <v>96.33</v>
      </c>
      <c r="K582" s="6">
        <v>95.55</v>
      </c>
      <c r="L582" s="6">
        <v>96.55</v>
      </c>
      <c r="M582" s="6">
        <v>96.33</v>
      </c>
      <c r="N582" s="6">
        <v>95.55</v>
      </c>
      <c r="O582" s="6">
        <v>96.55</v>
      </c>
      <c r="P582" s="6">
        <v>96.33</v>
      </c>
      <c r="Q582" s="6">
        <v>95.55</v>
      </c>
      <c r="R582" s="6">
        <v>96.55</v>
      </c>
    </row>
    <row r="583" spans="2:18">
      <c r="B583" s="6">
        <v>32083</v>
      </c>
      <c r="C583" s="6" t="s">
        <v>998</v>
      </c>
      <c r="D583" s="6">
        <v>0</v>
      </c>
      <c r="E583" s="6">
        <v>0</v>
      </c>
      <c r="F583" s="6">
        <v>98.74</v>
      </c>
      <c r="G583" s="6">
        <v>0</v>
      </c>
      <c r="H583" s="6">
        <v>0</v>
      </c>
      <c r="I583" s="6">
        <v>98.74</v>
      </c>
      <c r="J583" s="6">
        <v>98.23</v>
      </c>
      <c r="K583" s="6">
        <v>98.19</v>
      </c>
      <c r="L583" s="6">
        <v>98.1</v>
      </c>
      <c r="M583" s="6">
        <v>98.23</v>
      </c>
      <c r="N583" s="6">
        <v>98.19</v>
      </c>
      <c r="O583" s="6">
        <v>98.1</v>
      </c>
      <c r="P583" s="6">
        <v>98.04</v>
      </c>
      <c r="Q583" s="6">
        <v>98.09</v>
      </c>
      <c r="R583" s="6">
        <v>97.91</v>
      </c>
    </row>
    <row r="584" spans="2:18">
      <c r="B584" s="6">
        <v>32083</v>
      </c>
      <c r="C584" s="6" t="s">
        <v>998</v>
      </c>
      <c r="D584" s="6">
        <v>0</v>
      </c>
      <c r="E584" s="6">
        <v>0</v>
      </c>
      <c r="F584" s="6">
        <v>99.17</v>
      </c>
      <c r="G584" s="6">
        <v>0</v>
      </c>
      <c r="H584" s="6">
        <v>0</v>
      </c>
      <c r="I584" s="6">
        <v>99.17</v>
      </c>
      <c r="J584" s="6">
        <v>98.77</v>
      </c>
      <c r="K584" s="6">
        <v>99.16</v>
      </c>
      <c r="L584" s="6">
        <v>98.56</v>
      </c>
      <c r="M584" s="6">
        <v>98.77</v>
      </c>
      <c r="N584" s="6">
        <v>99.16</v>
      </c>
      <c r="O584" s="6">
        <v>98.56</v>
      </c>
      <c r="P584" s="6">
        <v>98.52</v>
      </c>
      <c r="Q584" s="6">
        <v>98.45</v>
      </c>
      <c r="R584" s="6">
        <v>98.28</v>
      </c>
    </row>
    <row r="585" spans="2:18">
      <c r="B585" s="6">
        <v>32083</v>
      </c>
      <c r="C585" s="6" t="s">
        <v>998</v>
      </c>
      <c r="D585" s="6">
        <v>0</v>
      </c>
      <c r="E585" s="6">
        <v>0</v>
      </c>
      <c r="F585" s="6">
        <v>99.38</v>
      </c>
      <c r="G585" s="6">
        <v>0</v>
      </c>
      <c r="H585" s="6">
        <v>0</v>
      </c>
      <c r="I585" s="6">
        <v>99.38</v>
      </c>
      <c r="J585" s="6">
        <v>99.33</v>
      </c>
      <c r="K585" s="6">
        <v>99.31</v>
      </c>
      <c r="L585" s="6">
        <v>98.87</v>
      </c>
      <c r="M585" s="6">
        <v>99.33</v>
      </c>
      <c r="N585" s="6">
        <v>99.31</v>
      </c>
      <c r="O585" s="6">
        <v>98.87</v>
      </c>
      <c r="P585" s="6">
        <v>97.69</v>
      </c>
      <c r="Q585" s="6">
        <v>98.01</v>
      </c>
      <c r="R585" s="6">
        <v>98.3</v>
      </c>
    </row>
    <row r="586" spans="2:18">
      <c r="B586" s="6">
        <v>32089</v>
      </c>
      <c r="C586" s="6" t="s">
        <v>240</v>
      </c>
      <c r="D586" s="6">
        <v>0</v>
      </c>
      <c r="E586" s="6">
        <v>90</v>
      </c>
      <c r="F586" s="6">
        <v>90.89</v>
      </c>
      <c r="G586" s="6">
        <v>0</v>
      </c>
      <c r="H586" s="6">
        <v>90</v>
      </c>
      <c r="I586" s="6">
        <v>90.89</v>
      </c>
      <c r="J586" s="6">
        <v>64.94</v>
      </c>
      <c r="K586" s="6">
        <v>72.86</v>
      </c>
      <c r="L586" s="6">
        <v>79.599999999999994</v>
      </c>
      <c r="M586" s="6">
        <v>64.94</v>
      </c>
      <c r="N586" s="6">
        <v>72.86</v>
      </c>
      <c r="O586" s="6">
        <v>79.599999999999994</v>
      </c>
      <c r="P586" s="6">
        <v>91.25</v>
      </c>
      <c r="Q586" s="6">
        <v>89.47</v>
      </c>
      <c r="R586" s="6">
        <v>89.41</v>
      </c>
    </row>
    <row r="587" spans="2:18">
      <c r="B587" s="6">
        <v>32090</v>
      </c>
      <c r="C587" s="6" t="s">
        <v>36</v>
      </c>
      <c r="D587" s="6">
        <v>94.64</v>
      </c>
      <c r="E587" s="6">
        <v>91.97</v>
      </c>
      <c r="F587" s="6">
        <v>91.11</v>
      </c>
      <c r="G587" s="6">
        <v>94.64</v>
      </c>
      <c r="H587" s="6">
        <v>91.97</v>
      </c>
      <c r="I587" s="6">
        <v>91.11</v>
      </c>
      <c r="J587" s="6">
        <v>94.64</v>
      </c>
      <c r="K587" s="6">
        <v>91.97</v>
      </c>
      <c r="L587" s="6">
        <v>91.11</v>
      </c>
      <c r="M587" s="6">
        <v>94.64</v>
      </c>
      <c r="N587" s="6">
        <v>91.97</v>
      </c>
      <c r="O587" s="6">
        <v>91.11</v>
      </c>
      <c r="P587" s="6">
        <v>91.25</v>
      </c>
      <c r="Q587" s="6">
        <v>89.47</v>
      </c>
      <c r="R587" s="6">
        <v>89.41</v>
      </c>
    </row>
    <row r="588" spans="2:18">
      <c r="B588" s="6">
        <v>32105</v>
      </c>
      <c r="C588" s="6" t="s">
        <v>1008</v>
      </c>
      <c r="D588" s="6">
        <v>99.1</v>
      </c>
      <c r="E588" s="6">
        <v>99.1</v>
      </c>
      <c r="F588" s="6">
        <v>99.1</v>
      </c>
      <c r="G588" s="6">
        <v>98.81</v>
      </c>
      <c r="H588" s="6">
        <v>98.96</v>
      </c>
      <c r="I588" s="6">
        <v>98.18</v>
      </c>
      <c r="J588" s="6">
        <v>98.23</v>
      </c>
      <c r="K588" s="6">
        <v>98.19</v>
      </c>
      <c r="L588" s="6">
        <v>98.1</v>
      </c>
      <c r="M588" s="6">
        <v>98.23</v>
      </c>
      <c r="N588" s="6">
        <v>98.19</v>
      </c>
      <c r="O588" s="6">
        <v>98.1</v>
      </c>
      <c r="P588" s="6">
        <v>98.04</v>
      </c>
      <c r="Q588" s="6">
        <v>98.09</v>
      </c>
      <c r="R588" s="6">
        <v>97.91</v>
      </c>
    </row>
    <row r="589" spans="2:18">
      <c r="B589" s="6">
        <v>32105</v>
      </c>
      <c r="C589" s="6" t="s">
        <v>1008</v>
      </c>
      <c r="D589" s="6">
        <v>99.45</v>
      </c>
      <c r="E589" s="6">
        <v>99.45</v>
      </c>
      <c r="F589" s="6">
        <v>99.45</v>
      </c>
      <c r="G589" s="6">
        <v>99.45</v>
      </c>
      <c r="H589" s="6">
        <v>99.45</v>
      </c>
      <c r="I589" s="6">
        <v>99.45</v>
      </c>
      <c r="J589" s="6">
        <v>99.33</v>
      </c>
      <c r="K589" s="6">
        <v>99.31</v>
      </c>
      <c r="L589" s="6">
        <v>98.87</v>
      </c>
      <c r="M589" s="6">
        <v>99.33</v>
      </c>
      <c r="N589" s="6">
        <v>99.31</v>
      </c>
      <c r="O589" s="6">
        <v>98.87</v>
      </c>
      <c r="P589" s="6">
        <v>97.69</v>
      </c>
      <c r="Q589" s="6">
        <v>98.01</v>
      </c>
      <c r="R589" s="6">
        <v>98.3</v>
      </c>
    </row>
    <row r="590" spans="2:18">
      <c r="B590" s="6">
        <v>32105</v>
      </c>
      <c r="C590" s="6" t="s">
        <v>1008</v>
      </c>
      <c r="D590" s="6">
        <v>99.44</v>
      </c>
      <c r="E590" s="6">
        <v>99.44</v>
      </c>
      <c r="F590" s="6">
        <v>99.44</v>
      </c>
      <c r="G590" s="6">
        <v>99.44</v>
      </c>
      <c r="H590" s="6">
        <v>99.44</v>
      </c>
      <c r="I590" s="6">
        <v>99.44</v>
      </c>
      <c r="J590" s="6">
        <v>99.26</v>
      </c>
      <c r="K590" s="6">
        <v>99.39</v>
      </c>
      <c r="L590" s="6">
        <v>99.39</v>
      </c>
      <c r="M590" s="6">
        <v>99.26</v>
      </c>
      <c r="N590" s="6">
        <v>99.39</v>
      </c>
      <c r="O590" s="6">
        <v>99.39</v>
      </c>
      <c r="P590" s="6">
        <v>99.26</v>
      </c>
      <c r="Q590" s="6">
        <v>99.39</v>
      </c>
      <c r="R590" s="6">
        <v>99.39</v>
      </c>
    </row>
    <row r="591" spans="2:18">
      <c r="B591" s="6">
        <v>32108</v>
      </c>
      <c r="C591" s="6" t="s">
        <v>1122</v>
      </c>
      <c r="D591" s="6">
        <v>93.62</v>
      </c>
      <c r="E591" s="6">
        <v>93.62</v>
      </c>
      <c r="F591" s="6">
        <v>93.62</v>
      </c>
      <c r="G591" s="6">
        <v>96.54</v>
      </c>
      <c r="H591" s="6">
        <v>95.53</v>
      </c>
      <c r="I591" s="6">
        <v>93.73</v>
      </c>
      <c r="J591" s="6">
        <v>96.54</v>
      </c>
      <c r="K591" s="6">
        <v>95.53</v>
      </c>
      <c r="L591" s="6">
        <v>93.73</v>
      </c>
      <c r="M591" s="6">
        <v>96.54</v>
      </c>
      <c r="N591" s="6">
        <v>95.53</v>
      </c>
      <c r="O591" s="6">
        <v>93.73</v>
      </c>
      <c r="P591" s="6">
        <v>98.04</v>
      </c>
      <c r="Q591" s="6">
        <v>98.09</v>
      </c>
      <c r="R591" s="6">
        <v>97.91</v>
      </c>
    </row>
    <row r="592" spans="2:18">
      <c r="B592" s="6">
        <v>32108</v>
      </c>
      <c r="C592" s="6" t="s">
        <v>1122</v>
      </c>
      <c r="D592" s="6">
        <v>88.64</v>
      </c>
      <c r="E592" s="6">
        <v>88.64</v>
      </c>
      <c r="F592" s="6">
        <v>88.64</v>
      </c>
      <c r="G592" s="6">
        <v>95.22</v>
      </c>
      <c r="H592" s="6">
        <v>95.27</v>
      </c>
      <c r="I592" s="6">
        <v>92.98</v>
      </c>
      <c r="J592" s="6">
        <v>95.22</v>
      </c>
      <c r="K592" s="6">
        <v>95.27</v>
      </c>
      <c r="L592" s="6">
        <v>92.98</v>
      </c>
      <c r="M592" s="6">
        <v>98.62</v>
      </c>
      <c r="N592" s="6">
        <v>98.46</v>
      </c>
      <c r="O592" s="6">
        <v>98.28</v>
      </c>
      <c r="P592" s="6">
        <v>98.52</v>
      </c>
      <c r="Q592" s="6">
        <v>98.45</v>
      </c>
      <c r="R592" s="6">
        <v>98.28</v>
      </c>
    </row>
    <row r="593" spans="2:18">
      <c r="B593" s="6">
        <v>32108</v>
      </c>
      <c r="C593" s="6" t="s">
        <v>1122</v>
      </c>
      <c r="D593" s="6">
        <v>46.08</v>
      </c>
      <c r="E593" s="6">
        <v>46.08</v>
      </c>
      <c r="F593" s="6">
        <v>46.08</v>
      </c>
      <c r="G593" s="6">
        <v>46.08</v>
      </c>
      <c r="H593" s="6">
        <v>46.08</v>
      </c>
      <c r="I593" s="6">
        <v>46.08</v>
      </c>
      <c r="J593" s="6">
        <v>46.08</v>
      </c>
      <c r="K593" s="6">
        <v>46.08</v>
      </c>
      <c r="L593" s="6">
        <v>46.08</v>
      </c>
      <c r="M593" s="6">
        <v>64.22</v>
      </c>
      <c r="N593" s="6">
        <v>87.68</v>
      </c>
      <c r="O593" s="6">
        <v>77.75</v>
      </c>
      <c r="P593" s="6">
        <v>64.22</v>
      </c>
      <c r="Q593" s="6">
        <v>89.74</v>
      </c>
      <c r="R593" s="6">
        <v>82.9</v>
      </c>
    </row>
    <row r="594" spans="2:18">
      <c r="B594" s="6">
        <v>32111</v>
      </c>
      <c r="C594" s="6" t="s">
        <v>241</v>
      </c>
      <c r="D594" s="6">
        <v>0</v>
      </c>
      <c r="E594" s="6">
        <v>98.09</v>
      </c>
      <c r="F594" s="6">
        <v>97.33</v>
      </c>
      <c r="G594" s="6">
        <v>96.77</v>
      </c>
      <c r="H594" s="6">
        <v>97.74</v>
      </c>
      <c r="I594" s="6">
        <v>96.78</v>
      </c>
      <c r="J594" s="6">
        <v>98.23</v>
      </c>
      <c r="K594" s="6">
        <v>98.19</v>
      </c>
      <c r="L594" s="6">
        <v>98.1</v>
      </c>
      <c r="M594" s="6">
        <v>98.23</v>
      </c>
      <c r="N594" s="6">
        <v>98.19</v>
      </c>
      <c r="O594" s="6">
        <v>98.1</v>
      </c>
      <c r="P594" s="6">
        <v>98.04</v>
      </c>
      <c r="Q594" s="6">
        <v>98.09</v>
      </c>
      <c r="R594" s="6">
        <v>97.91</v>
      </c>
    </row>
    <row r="595" spans="2:18">
      <c r="B595" s="6">
        <v>32111</v>
      </c>
      <c r="C595" s="6" t="s">
        <v>241</v>
      </c>
      <c r="D595" s="6">
        <v>0</v>
      </c>
      <c r="E595" s="6">
        <v>99.64</v>
      </c>
      <c r="F595" s="6">
        <v>99.48</v>
      </c>
      <c r="G595" s="6">
        <v>99.73</v>
      </c>
      <c r="H595" s="6">
        <v>99.59</v>
      </c>
      <c r="I595" s="6">
        <v>99.48</v>
      </c>
      <c r="J595" s="6">
        <v>99.33</v>
      </c>
      <c r="K595" s="6">
        <v>99.31</v>
      </c>
      <c r="L595" s="6">
        <v>98.87</v>
      </c>
      <c r="M595" s="6">
        <v>99.33</v>
      </c>
      <c r="N595" s="6">
        <v>99.31</v>
      </c>
      <c r="O595" s="6">
        <v>98.87</v>
      </c>
      <c r="P595" s="6">
        <v>97.69</v>
      </c>
      <c r="Q595" s="6">
        <v>98.01</v>
      </c>
      <c r="R595" s="6">
        <v>98.3</v>
      </c>
    </row>
    <row r="596" spans="2:18">
      <c r="B596" s="6">
        <v>32111</v>
      </c>
      <c r="C596" s="6" t="s">
        <v>241</v>
      </c>
      <c r="D596" s="6">
        <v>0</v>
      </c>
      <c r="E596" s="6">
        <v>97.83</v>
      </c>
      <c r="F596" s="6">
        <v>98.64</v>
      </c>
      <c r="G596" s="6">
        <v>99.56</v>
      </c>
      <c r="H596" s="6">
        <v>99.17</v>
      </c>
      <c r="I596" s="6">
        <v>99.23</v>
      </c>
      <c r="J596" s="6">
        <v>99.26</v>
      </c>
      <c r="K596" s="6">
        <v>99.39</v>
      </c>
      <c r="L596" s="6">
        <v>99.39</v>
      </c>
      <c r="M596" s="6">
        <v>99.26</v>
      </c>
      <c r="N596" s="6">
        <v>99.39</v>
      </c>
      <c r="O596" s="6">
        <v>99.39</v>
      </c>
      <c r="P596" s="6">
        <v>99.26</v>
      </c>
      <c r="Q596" s="6">
        <v>99.39</v>
      </c>
      <c r="R596" s="6">
        <v>99.39</v>
      </c>
    </row>
    <row r="597" spans="2:18">
      <c r="B597" s="6">
        <v>32118</v>
      </c>
      <c r="C597" s="6" t="s">
        <v>148</v>
      </c>
      <c r="D597" s="6">
        <v>0</v>
      </c>
      <c r="E597" s="6">
        <v>0</v>
      </c>
      <c r="F597" s="6">
        <v>98.06</v>
      </c>
      <c r="G597" s="6">
        <v>98.48</v>
      </c>
      <c r="H597" s="6">
        <v>98.4</v>
      </c>
      <c r="I597" s="6">
        <v>98.25</v>
      </c>
      <c r="J597" s="6">
        <v>98.64</v>
      </c>
      <c r="K597" s="6">
        <v>98.48</v>
      </c>
      <c r="L597" s="6">
        <v>98.3</v>
      </c>
      <c r="M597" s="6">
        <v>98.62</v>
      </c>
      <c r="N597" s="6">
        <v>98.46</v>
      </c>
      <c r="O597" s="6">
        <v>98.28</v>
      </c>
      <c r="P597" s="6">
        <v>98.52</v>
      </c>
      <c r="Q597" s="6">
        <v>98.45</v>
      </c>
      <c r="R597" s="6">
        <v>98.28</v>
      </c>
    </row>
    <row r="598" spans="2:18">
      <c r="B598" s="6">
        <v>32118</v>
      </c>
      <c r="C598" s="6" t="s">
        <v>148</v>
      </c>
      <c r="D598" s="6">
        <v>0</v>
      </c>
      <c r="E598" s="6">
        <v>0</v>
      </c>
      <c r="F598" s="6">
        <v>98.1</v>
      </c>
      <c r="G598" s="6">
        <v>98.9</v>
      </c>
      <c r="H598" s="6">
        <v>98.86</v>
      </c>
      <c r="I598" s="6">
        <v>98.83</v>
      </c>
      <c r="J598" s="6">
        <v>98.78</v>
      </c>
      <c r="K598" s="6">
        <v>98.81</v>
      </c>
      <c r="L598" s="6">
        <v>98.78</v>
      </c>
      <c r="M598" s="6">
        <v>98.78</v>
      </c>
      <c r="N598" s="6">
        <v>98.81</v>
      </c>
      <c r="O598" s="6">
        <v>98.78</v>
      </c>
      <c r="P598" s="6">
        <v>98.78</v>
      </c>
      <c r="Q598" s="6">
        <v>98.81</v>
      </c>
      <c r="R598" s="6">
        <v>98.78</v>
      </c>
    </row>
    <row r="599" spans="2:18">
      <c r="B599" s="6">
        <v>32118</v>
      </c>
      <c r="C599" s="6" t="s">
        <v>148</v>
      </c>
      <c r="D599" s="6">
        <v>0</v>
      </c>
      <c r="E599" s="6">
        <v>0</v>
      </c>
      <c r="F599" s="6">
        <v>95.45</v>
      </c>
      <c r="G599" s="6">
        <v>97.43</v>
      </c>
      <c r="H599" s="6">
        <v>97.49</v>
      </c>
      <c r="I599" s="6">
        <v>97.36</v>
      </c>
      <c r="J599" s="6">
        <v>97.72</v>
      </c>
      <c r="K599" s="6">
        <v>97.84</v>
      </c>
      <c r="L599" s="6">
        <v>97.75</v>
      </c>
      <c r="M599" s="6">
        <v>97.72</v>
      </c>
      <c r="N599" s="6">
        <v>97.83</v>
      </c>
      <c r="O599" s="6">
        <v>97.74</v>
      </c>
      <c r="P599" s="6">
        <v>97.73</v>
      </c>
      <c r="Q599" s="6">
        <v>97.84</v>
      </c>
      <c r="R599" s="6">
        <v>97.75</v>
      </c>
    </row>
    <row r="600" spans="2:18">
      <c r="B600" s="6">
        <v>32118</v>
      </c>
      <c r="C600" s="6" t="s">
        <v>148</v>
      </c>
      <c r="D600" s="6">
        <v>0</v>
      </c>
      <c r="E600" s="6">
        <v>0</v>
      </c>
      <c r="F600" s="6">
        <v>98.02</v>
      </c>
      <c r="G600" s="6">
        <v>97.88</v>
      </c>
      <c r="H600" s="6">
        <v>97.7</v>
      </c>
      <c r="I600" s="6">
        <v>97.56</v>
      </c>
      <c r="J600" s="6">
        <v>98.01</v>
      </c>
      <c r="K600" s="6">
        <v>97.7</v>
      </c>
      <c r="L600" s="6">
        <v>97.61</v>
      </c>
      <c r="M600" s="6">
        <v>98.02</v>
      </c>
      <c r="N600" s="6">
        <v>97.7</v>
      </c>
      <c r="O600" s="6">
        <v>97.61</v>
      </c>
      <c r="P600" s="6">
        <v>98.02</v>
      </c>
      <c r="Q600" s="6">
        <v>97.7</v>
      </c>
      <c r="R600" s="6">
        <v>97.61</v>
      </c>
    </row>
    <row r="601" spans="2:18">
      <c r="B601" s="6">
        <v>32160</v>
      </c>
      <c r="C601" s="6" t="s">
        <v>462</v>
      </c>
      <c r="D601" s="6">
        <v>0</v>
      </c>
      <c r="E601" s="6">
        <v>0</v>
      </c>
      <c r="F601" s="6">
        <v>97.69</v>
      </c>
      <c r="G601" s="6">
        <v>0</v>
      </c>
      <c r="H601" s="6">
        <v>97.74</v>
      </c>
      <c r="I601" s="6">
        <v>97.38</v>
      </c>
      <c r="J601" s="6">
        <v>90.86</v>
      </c>
      <c r="K601" s="6">
        <v>96.97</v>
      </c>
      <c r="L601" s="6">
        <v>96.91</v>
      </c>
      <c r="M601" s="6">
        <v>98.71</v>
      </c>
      <c r="N601" s="6">
        <v>98.7</v>
      </c>
      <c r="O601" s="6">
        <v>98.68</v>
      </c>
      <c r="P601" s="6">
        <v>98.71</v>
      </c>
      <c r="Q601" s="6">
        <v>98.7</v>
      </c>
      <c r="R601" s="6">
        <v>98.68</v>
      </c>
    </row>
    <row r="602" spans="2:18">
      <c r="B602" s="6">
        <v>32160</v>
      </c>
      <c r="C602" s="6" t="s">
        <v>462</v>
      </c>
      <c r="D602" s="6">
        <v>0</v>
      </c>
      <c r="E602" s="6">
        <v>0</v>
      </c>
      <c r="F602" s="6">
        <v>96.3</v>
      </c>
      <c r="G602" s="6">
        <v>0</v>
      </c>
      <c r="H602" s="6">
        <v>97.5</v>
      </c>
      <c r="I602" s="6">
        <v>97.11</v>
      </c>
      <c r="J602" s="6">
        <v>0</v>
      </c>
      <c r="K602" s="6">
        <v>97.22</v>
      </c>
      <c r="L602" s="6">
        <v>96.87</v>
      </c>
      <c r="M602" s="6">
        <v>97.72</v>
      </c>
      <c r="N602" s="6">
        <v>97.83</v>
      </c>
      <c r="O602" s="6">
        <v>97.74</v>
      </c>
      <c r="P602" s="6">
        <v>97.73</v>
      </c>
      <c r="Q602" s="6">
        <v>97.84</v>
      </c>
      <c r="R602" s="6">
        <v>97.75</v>
      </c>
    </row>
    <row r="603" spans="2:18">
      <c r="B603" s="6">
        <v>32160</v>
      </c>
      <c r="C603" s="6" t="s">
        <v>462</v>
      </c>
      <c r="D603" s="6">
        <v>0</v>
      </c>
      <c r="E603" s="6">
        <v>0</v>
      </c>
      <c r="F603" s="6">
        <v>92.91</v>
      </c>
      <c r="G603" s="6">
        <v>0</v>
      </c>
      <c r="H603" s="6">
        <v>94.82</v>
      </c>
      <c r="I603" s="6">
        <v>93.03</v>
      </c>
      <c r="J603" s="6">
        <v>94.97</v>
      </c>
      <c r="K603" s="6">
        <v>94.84</v>
      </c>
      <c r="L603" s="6">
        <v>91.34</v>
      </c>
      <c r="M603" s="6">
        <v>98.29</v>
      </c>
      <c r="N603" s="6">
        <v>97.91</v>
      </c>
      <c r="O603" s="6">
        <v>97.88</v>
      </c>
      <c r="P603" s="6">
        <v>98.29</v>
      </c>
      <c r="Q603" s="6">
        <v>97.91</v>
      </c>
      <c r="R603" s="6">
        <v>97.88</v>
      </c>
    </row>
    <row r="604" spans="2:18">
      <c r="B604" s="6">
        <v>32166</v>
      </c>
      <c r="C604" s="6" t="s">
        <v>149</v>
      </c>
      <c r="D604" s="6">
        <v>0</v>
      </c>
      <c r="E604" s="6">
        <v>96.72</v>
      </c>
      <c r="F604" s="6">
        <v>97.07</v>
      </c>
      <c r="G604" s="6">
        <v>98.48</v>
      </c>
      <c r="H604" s="6">
        <v>98.4</v>
      </c>
      <c r="I604" s="6">
        <v>98.25</v>
      </c>
      <c r="J604" s="6">
        <v>98.64</v>
      </c>
      <c r="K604" s="6">
        <v>98.48</v>
      </c>
      <c r="L604" s="6">
        <v>98.3</v>
      </c>
      <c r="M604" s="6">
        <v>98.62</v>
      </c>
      <c r="N604" s="6">
        <v>98.46</v>
      </c>
      <c r="O604" s="6">
        <v>98.28</v>
      </c>
      <c r="P604" s="6">
        <v>98.52</v>
      </c>
      <c r="Q604" s="6">
        <v>98.45</v>
      </c>
      <c r="R604" s="6">
        <v>98.28</v>
      </c>
    </row>
    <row r="605" spans="2:18">
      <c r="B605" s="6">
        <v>32166</v>
      </c>
      <c r="C605" s="6" t="s">
        <v>149</v>
      </c>
      <c r="D605" s="6">
        <v>0</v>
      </c>
      <c r="E605" s="6">
        <v>98.56</v>
      </c>
      <c r="F605" s="6">
        <v>98.08</v>
      </c>
      <c r="G605" s="6">
        <v>97.97</v>
      </c>
      <c r="H605" s="6">
        <v>98.08</v>
      </c>
      <c r="I605" s="6">
        <v>98.09</v>
      </c>
      <c r="J605" s="6">
        <v>98.86</v>
      </c>
      <c r="K605" s="6">
        <v>98.85</v>
      </c>
      <c r="L605" s="6">
        <v>98.75</v>
      </c>
      <c r="M605" s="6">
        <v>98.86</v>
      </c>
      <c r="N605" s="6">
        <v>98.82</v>
      </c>
      <c r="O605" s="6">
        <v>98.74</v>
      </c>
      <c r="P605" s="6">
        <v>98.83</v>
      </c>
      <c r="Q605" s="6">
        <v>98.81</v>
      </c>
      <c r="R605" s="6">
        <v>98.73</v>
      </c>
    </row>
    <row r="606" spans="2:18">
      <c r="B606" s="6">
        <v>32166</v>
      </c>
      <c r="C606" s="6" t="s">
        <v>149</v>
      </c>
      <c r="D606" s="6">
        <v>0</v>
      </c>
      <c r="E606" s="6">
        <v>97.54</v>
      </c>
      <c r="F606" s="6">
        <v>95.96</v>
      </c>
      <c r="G606" s="6">
        <v>97.43</v>
      </c>
      <c r="H606" s="6">
        <v>97.49</v>
      </c>
      <c r="I606" s="6">
        <v>97.36</v>
      </c>
      <c r="J606" s="6">
        <v>97.72</v>
      </c>
      <c r="K606" s="6">
        <v>97.84</v>
      </c>
      <c r="L606" s="6">
        <v>97.75</v>
      </c>
      <c r="M606" s="6">
        <v>97.72</v>
      </c>
      <c r="N606" s="6">
        <v>97.83</v>
      </c>
      <c r="O606" s="6">
        <v>97.74</v>
      </c>
      <c r="P606" s="6">
        <v>97.73</v>
      </c>
      <c r="Q606" s="6">
        <v>97.84</v>
      </c>
      <c r="R606" s="6">
        <v>97.75</v>
      </c>
    </row>
    <row r="607" spans="2:18">
      <c r="B607" s="6">
        <v>32166</v>
      </c>
      <c r="C607" s="6" t="s">
        <v>149</v>
      </c>
      <c r="D607" s="6">
        <v>0</v>
      </c>
      <c r="E607" s="6">
        <v>96.98</v>
      </c>
      <c r="F607" s="6">
        <v>96.48</v>
      </c>
      <c r="G607" s="6">
        <v>97.88</v>
      </c>
      <c r="H607" s="6">
        <v>97.7</v>
      </c>
      <c r="I607" s="6">
        <v>97.56</v>
      </c>
      <c r="J607" s="6">
        <v>98.01</v>
      </c>
      <c r="K607" s="6">
        <v>97.7</v>
      </c>
      <c r="L607" s="6">
        <v>97.61</v>
      </c>
      <c r="M607" s="6">
        <v>98.02</v>
      </c>
      <c r="N607" s="6">
        <v>97.7</v>
      </c>
      <c r="O607" s="6">
        <v>97.61</v>
      </c>
      <c r="P607" s="6">
        <v>98.02</v>
      </c>
      <c r="Q607" s="6">
        <v>97.7</v>
      </c>
      <c r="R607" s="6">
        <v>97.61</v>
      </c>
    </row>
    <row r="608" spans="2:18">
      <c r="B608" s="6">
        <v>32167</v>
      </c>
      <c r="C608" s="6" t="s">
        <v>150</v>
      </c>
      <c r="D608" s="6">
        <v>0</v>
      </c>
      <c r="E608" s="6">
        <v>99.01</v>
      </c>
      <c r="F608" s="6">
        <v>99.56</v>
      </c>
      <c r="G608" s="6">
        <v>98.48</v>
      </c>
      <c r="H608" s="6">
        <v>98.4</v>
      </c>
      <c r="I608" s="6">
        <v>98.25</v>
      </c>
      <c r="J608" s="6">
        <v>98.64</v>
      </c>
      <c r="K608" s="6">
        <v>98.48</v>
      </c>
      <c r="L608" s="6">
        <v>98.3</v>
      </c>
      <c r="M608" s="6">
        <v>98.62</v>
      </c>
      <c r="N608" s="6">
        <v>98.46</v>
      </c>
      <c r="O608" s="6">
        <v>98.28</v>
      </c>
      <c r="P608" s="6">
        <v>98.52</v>
      </c>
      <c r="Q608" s="6">
        <v>98.45</v>
      </c>
      <c r="R608" s="6">
        <v>98.28</v>
      </c>
    </row>
    <row r="609" spans="2:18">
      <c r="B609" s="6">
        <v>32167</v>
      </c>
      <c r="C609" s="6" t="s">
        <v>150</v>
      </c>
      <c r="D609" s="6">
        <v>0</v>
      </c>
      <c r="E609" s="6">
        <v>99.02</v>
      </c>
      <c r="F609" s="6">
        <v>98.28</v>
      </c>
      <c r="G609" s="6">
        <v>99.01</v>
      </c>
      <c r="H609" s="6">
        <v>98.74</v>
      </c>
      <c r="I609" s="6">
        <v>98.68</v>
      </c>
      <c r="J609" s="6">
        <v>99.01</v>
      </c>
      <c r="K609" s="6">
        <v>98.76</v>
      </c>
      <c r="L609" s="6">
        <v>98.69</v>
      </c>
      <c r="M609" s="6">
        <v>99.01</v>
      </c>
      <c r="N609" s="6">
        <v>98.76</v>
      </c>
      <c r="O609" s="6">
        <v>98.71</v>
      </c>
      <c r="P609" s="6">
        <v>99.01</v>
      </c>
      <c r="Q609" s="6">
        <v>98.76</v>
      </c>
      <c r="R609" s="6">
        <v>98.71</v>
      </c>
    </row>
    <row r="610" spans="2:18">
      <c r="B610" s="6">
        <v>32167</v>
      </c>
      <c r="C610" s="6" t="s">
        <v>150</v>
      </c>
      <c r="D610" s="6">
        <v>0</v>
      </c>
      <c r="E610" s="6">
        <v>97.62</v>
      </c>
      <c r="F610" s="6">
        <v>96.67</v>
      </c>
      <c r="G610" s="6">
        <v>97.43</v>
      </c>
      <c r="H610" s="6">
        <v>97.49</v>
      </c>
      <c r="I610" s="6">
        <v>97.36</v>
      </c>
      <c r="J610" s="6">
        <v>97.72</v>
      </c>
      <c r="K610" s="6">
        <v>97.84</v>
      </c>
      <c r="L610" s="6">
        <v>97.75</v>
      </c>
      <c r="M610" s="6">
        <v>97.72</v>
      </c>
      <c r="N610" s="6">
        <v>97.83</v>
      </c>
      <c r="O610" s="6">
        <v>97.74</v>
      </c>
      <c r="P610" s="6">
        <v>97.73</v>
      </c>
      <c r="Q610" s="6">
        <v>97.84</v>
      </c>
      <c r="R610" s="6">
        <v>97.75</v>
      </c>
    </row>
    <row r="611" spans="2:18">
      <c r="B611" s="6">
        <v>32167</v>
      </c>
      <c r="C611" s="6" t="s">
        <v>150</v>
      </c>
      <c r="D611" s="6">
        <v>0</v>
      </c>
      <c r="E611" s="6">
        <v>96.52</v>
      </c>
      <c r="F611" s="6">
        <v>95.38</v>
      </c>
      <c r="G611" s="6">
        <v>97.88</v>
      </c>
      <c r="H611" s="6">
        <v>97.7</v>
      </c>
      <c r="I611" s="6">
        <v>97.56</v>
      </c>
      <c r="J611" s="6">
        <v>98.01</v>
      </c>
      <c r="K611" s="6">
        <v>97.7</v>
      </c>
      <c r="L611" s="6">
        <v>97.61</v>
      </c>
      <c r="M611" s="6">
        <v>98.02</v>
      </c>
      <c r="N611" s="6">
        <v>97.7</v>
      </c>
      <c r="O611" s="6">
        <v>97.61</v>
      </c>
      <c r="P611" s="6">
        <v>98.02</v>
      </c>
      <c r="Q611" s="6">
        <v>97.7</v>
      </c>
      <c r="R611" s="6">
        <v>97.61</v>
      </c>
    </row>
    <row r="612" spans="2:18">
      <c r="B612" s="6">
        <v>32168</v>
      </c>
      <c r="C612" s="6" t="s">
        <v>1072</v>
      </c>
      <c r="D612" s="6">
        <v>0</v>
      </c>
      <c r="E612" s="6">
        <v>0</v>
      </c>
      <c r="F612" s="6">
        <v>98.84</v>
      </c>
      <c r="G612" s="6">
        <v>98.71</v>
      </c>
      <c r="H612" s="6">
        <v>98.48</v>
      </c>
      <c r="I612" s="6">
        <v>98.36</v>
      </c>
      <c r="J612" s="6">
        <v>98.64</v>
      </c>
      <c r="K612" s="6">
        <v>98.48</v>
      </c>
      <c r="L612" s="6">
        <v>98.3</v>
      </c>
      <c r="M612" s="6">
        <v>98.62</v>
      </c>
      <c r="N612" s="6">
        <v>98.46</v>
      </c>
      <c r="O612" s="6">
        <v>98.28</v>
      </c>
      <c r="P612" s="6">
        <v>98.52</v>
      </c>
      <c r="Q612" s="6">
        <v>98.45</v>
      </c>
      <c r="R612" s="6">
        <v>98.28</v>
      </c>
    </row>
    <row r="613" spans="2:18">
      <c r="B613" s="6">
        <v>32168</v>
      </c>
      <c r="C613" s="6" t="s">
        <v>1072</v>
      </c>
      <c r="D613" s="6">
        <v>0</v>
      </c>
      <c r="E613" s="6">
        <v>0</v>
      </c>
      <c r="F613" s="6">
        <v>98.86</v>
      </c>
      <c r="G613" s="6">
        <v>0</v>
      </c>
      <c r="H613" s="6">
        <v>0</v>
      </c>
      <c r="I613" s="6">
        <v>98.45</v>
      </c>
      <c r="J613" s="6">
        <v>98.78</v>
      </c>
      <c r="K613" s="6">
        <v>98.81</v>
      </c>
      <c r="L613" s="6">
        <v>98.78</v>
      </c>
      <c r="M613" s="6">
        <v>98.78</v>
      </c>
      <c r="N613" s="6">
        <v>98.81</v>
      </c>
      <c r="O613" s="6">
        <v>98.78</v>
      </c>
      <c r="P613" s="6">
        <v>98.78</v>
      </c>
      <c r="Q613" s="6">
        <v>98.81</v>
      </c>
      <c r="R613" s="6">
        <v>98.78</v>
      </c>
    </row>
    <row r="614" spans="2:18">
      <c r="B614" s="6">
        <v>32168</v>
      </c>
      <c r="C614" s="6" t="s">
        <v>1072</v>
      </c>
      <c r="D614" s="6">
        <v>0</v>
      </c>
      <c r="E614" s="6">
        <v>0</v>
      </c>
      <c r="F614" s="6">
        <v>97.22</v>
      </c>
      <c r="G614" s="6">
        <v>98.03</v>
      </c>
      <c r="H614" s="6">
        <v>98.12</v>
      </c>
      <c r="I614" s="6">
        <v>98.05</v>
      </c>
      <c r="J614" s="6">
        <v>97.72</v>
      </c>
      <c r="K614" s="6">
        <v>97.84</v>
      </c>
      <c r="L614" s="6">
        <v>97.75</v>
      </c>
      <c r="M614" s="6">
        <v>97.72</v>
      </c>
      <c r="N614" s="6">
        <v>97.83</v>
      </c>
      <c r="O614" s="6">
        <v>97.74</v>
      </c>
      <c r="P614" s="6">
        <v>97.73</v>
      </c>
      <c r="Q614" s="6">
        <v>97.84</v>
      </c>
      <c r="R614" s="6">
        <v>97.75</v>
      </c>
    </row>
    <row r="615" spans="2:18">
      <c r="B615" s="6">
        <v>32168</v>
      </c>
      <c r="C615" s="6" t="s">
        <v>1072</v>
      </c>
      <c r="D615" s="6">
        <v>0</v>
      </c>
      <c r="E615" s="6">
        <v>0</v>
      </c>
      <c r="F615" s="6">
        <v>98.83</v>
      </c>
      <c r="G615" s="6">
        <v>98.04</v>
      </c>
      <c r="H615" s="6">
        <v>97.78</v>
      </c>
      <c r="I615" s="6">
        <v>97.69</v>
      </c>
      <c r="J615" s="6">
        <v>98.01</v>
      </c>
      <c r="K615" s="6">
        <v>97.7</v>
      </c>
      <c r="L615" s="6">
        <v>97.61</v>
      </c>
      <c r="M615" s="6">
        <v>98.02</v>
      </c>
      <c r="N615" s="6">
        <v>97.7</v>
      </c>
      <c r="O615" s="6">
        <v>97.61</v>
      </c>
      <c r="P615" s="6">
        <v>98.02</v>
      </c>
      <c r="Q615" s="6">
        <v>97.7</v>
      </c>
      <c r="R615" s="6">
        <v>97.61</v>
      </c>
    </row>
    <row r="616" spans="2:18">
      <c r="B616" s="6">
        <v>32169</v>
      </c>
      <c r="C616" s="6" t="s">
        <v>1056</v>
      </c>
      <c r="D616" s="6">
        <v>0</v>
      </c>
      <c r="E616" s="6">
        <v>0</v>
      </c>
      <c r="F616" s="6">
        <v>98.2</v>
      </c>
      <c r="G616" s="6">
        <v>98.71</v>
      </c>
      <c r="H616" s="6">
        <v>98.48</v>
      </c>
      <c r="I616" s="6">
        <v>98.36</v>
      </c>
      <c r="J616" s="6">
        <v>98.64</v>
      </c>
      <c r="K616" s="6">
        <v>98.48</v>
      </c>
      <c r="L616" s="6">
        <v>98.3</v>
      </c>
      <c r="M616" s="6">
        <v>98.62</v>
      </c>
      <c r="N616" s="6">
        <v>98.46</v>
      </c>
      <c r="O616" s="6">
        <v>98.28</v>
      </c>
      <c r="P616" s="6">
        <v>98.52</v>
      </c>
      <c r="Q616" s="6">
        <v>98.45</v>
      </c>
      <c r="R616" s="6">
        <v>98.28</v>
      </c>
    </row>
    <row r="617" spans="2:18">
      <c r="B617" s="6">
        <v>32169</v>
      </c>
      <c r="C617" s="6" t="s">
        <v>1056</v>
      </c>
      <c r="D617" s="6">
        <v>0</v>
      </c>
      <c r="E617" s="6">
        <v>0</v>
      </c>
      <c r="F617" s="6">
        <v>98.62</v>
      </c>
      <c r="G617" s="6">
        <v>0</v>
      </c>
      <c r="H617" s="6">
        <v>0</v>
      </c>
      <c r="I617" s="6">
        <v>98.45</v>
      </c>
      <c r="J617" s="6">
        <v>98.78</v>
      </c>
      <c r="K617" s="6">
        <v>98.81</v>
      </c>
      <c r="L617" s="6">
        <v>98.78</v>
      </c>
      <c r="M617" s="6">
        <v>98.78</v>
      </c>
      <c r="N617" s="6">
        <v>98.81</v>
      </c>
      <c r="O617" s="6">
        <v>98.78</v>
      </c>
      <c r="P617" s="6">
        <v>98.78</v>
      </c>
      <c r="Q617" s="6">
        <v>98.81</v>
      </c>
      <c r="R617" s="6">
        <v>98.78</v>
      </c>
    </row>
    <row r="618" spans="2:18">
      <c r="B618" s="6">
        <v>32169</v>
      </c>
      <c r="C618" s="6" t="s">
        <v>1056</v>
      </c>
      <c r="D618" s="6">
        <v>0</v>
      </c>
      <c r="E618" s="6">
        <v>0</v>
      </c>
      <c r="F618" s="6">
        <v>97.69</v>
      </c>
      <c r="G618" s="6">
        <v>98.03</v>
      </c>
      <c r="H618" s="6">
        <v>98.12</v>
      </c>
      <c r="I618" s="6">
        <v>98.05</v>
      </c>
      <c r="J618" s="6">
        <v>97.72</v>
      </c>
      <c r="K618" s="6">
        <v>97.84</v>
      </c>
      <c r="L618" s="6">
        <v>97.75</v>
      </c>
      <c r="M618" s="6">
        <v>97.72</v>
      </c>
      <c r="N618" s="6">
        <v>97.83</v>
      </c>
      <c r="O618" s="6">
        <v>97.74</v>
      </c>
      <c r="P618" s="6">
        <v>97.73</v>
      </c>
      <c r="Q618" s="6">
        <v>97.84</v>
      </c>
      <c r="R618" s="6">
        <v>97.75</v>
      </c>
    </row>
    <row r="619" spans="2:18">
      <c r="B619" s="6">
        <v>32169</v>
      </c>
      <c r="C619" s="6" t="s">
        <v>1056</v>
      </c>
      <c r="D619" s="6">
        <v>0</v>
      </c>
      <c r="E619" s="6">
        <v>0</v>
      </c>
      <c r="F619" s="6">
        <v>98.17</v>
      </c>
      <c r="G619" s="6">
        <v>98.04</v>
      </c>
      <c r="H619" s="6">
        <v>97.78</v>
      </c>
      <c r="I619" s="6">
        <v>97.69</v>
      </c>
      <c r="J619" s="6">
        <v>98.01</v>
      </c>
      <c r="K619" s="6">
        <v>97.7</v>
      </c>
      <c r="L619" s="6">
        <v>97.61</v>
      </c>
      <c r="M619" s="6">
        <v>98.02</v>
      </c>
      <c r="N619" s="6">
        <v>97.7</v>
      </c>
      <c r="O619" s="6">
        <v>97.61</v>
      </c>
      <c r="P619" s="6">
        <v>98.02</v>
      </c>
      <c r="Q619" s="6">
        <v>97.7</v>
      </c>
      <c r="R619" s="6">
        <v>97.61</v>
      </c>
    </row>
    <row r="620" spans="2:18">
      <c r="B620" s="6">
        <v>32170</v>
      </c>
      <c r="C620" s="6" t="s">
        <v>1045</v>
      </c>
      <c r="D620" s="6">
        <v>0</v>
      </c>
      <c r="E620" s="6">
        <v>0</v>
      </c>
      <c r="F620" s="6">
        <v>98.12</v>
      </c>
      <c r="G620" s="6">
        <v>98.71</v>
      </c>
      <c r="H620" s="6">
        <v>98.48</v>
      </c>
      <c r="I620" s="6">
        <v>98.36</v>
      </c>
      <c r="J620" s="6">
        <v>98.64</v>
      </c>
      <c r="K620" s="6">
        <v>98.48</v>
      </c>
      <c r="L620" s="6">
        <v>98.3</v>
      </c>
      <c r="M620" s="6">
        <v>98.62</v>
      </c>
      <c r="N620" s="6">
        <v>98.46</v>
      </c>
      <c r="O620" s="6">
        <v>98.28</v>
      </c>
      <c r="P620" s="6">
        <v>98.52</v>
      </c>
      <c r="Q620" s="6">
        <v>98.45</v>
      </c>
      <c r="R620" s="6">
        <v>98.28</v>
      </c>
    </row>
    <row r="621" spans="2:18">
      <c r="B621" s="6">
        <v>32170</v>
      </c>
      <c r="C621" s="6" t="s">
        <v>1045</v>
      </c>
      <c r="D621" s="6">
        <v>0</v>
      </c>
      <c r="E621" s="6">
        <v>0</v>
      </c>
      <c r="F621" s="6">
        <v>98.16</v>
      </c>
      <c r="G621" s="6">
        <v>0</v>
      </c>
      <c r="H621" s="6">
        <v>0</v>
      </c>
      <c r="I621" s="6">
        <v>98.45</v>
      </c>
      <c r="J621" s="6">
        <v>98.78</v>
      </c>
      <c r="K621" s="6">
        <v>98.81</v>
      </c>
      <c r="L621" s="6">
        <v>98.78</v>
      </c>
      <c r="M621" s="6">
        <v>98.78</v>
      </c>
      <c r="N621" s="6">
        <v>98.81</v>
      </c>
      <c r="O621" s="6">
        <v>98.78</v>
      </c>
      <c r="P621" s="6">
        <v>98.78</v>
      </c>
      <c r="Q621" s="6">
        <v>98.81</v>
      </c>
      <c r="R621" s="6">
        <v>98.78</v>
      </c>
    </row>
    <row r="622" spans="2:18">
      <c r="B622" s="6">
        <v>32170</v>
      </c>
      <c r="C622" s="6" t="s">
        <v>1045</v>
      </c>
      <c r="D622" s="6">
        <v>0</v>
      </c>
      <c r="E622" s="6">
        <v>0</v>
      </c>
      <c r="F622" s="6">
        <v>96.11</v>
      </c>
      <c r="G622" s="6">
        <v>98.03</v>
      </c>
      <c r="H622" s="6">
        <v>98.12</v>
      </c>
      <c r="I622" s="6">
        <v>98.05</v>
      </c>
      <c r="J622" s="6">
        <v>97.72</v>
      </c>
      <c r="K622" s="6">
        <v>97.84</v>
      </c>
      <c r="L622" s="6">
        <v>97.75</v>
      </c>
      <c r="M622" s="6">
        <v>97.72</v>
      </c>
      <c r="N622" s="6">
        <v>97.83</v>
      </c>
      <c r="O622" s="6">
        <v>97.74</v>
      </c>
      <c r="P622" s="6">
        <v>97.73</v>
      </c>
      <c r="Q622" s="6">
        <v>97.84</v>
      </c>
      <c r="R622" s="6">
        <v>97.75</v>
      </c>
    </row>
    <row r="623" spans="2:18">
      <c r="B623" s="6">
        <v>32170</v>
      </c>
      <c r="C623" s="6" t="s">
        <v>1045</v>
      </c>
      <c r="D623" s="6">
        <v>0</v>
      </c>
      <c r="E623" s="6">
        <v>0</v>
      </c>
      <c r="F623" s="6">
        <v>97.42</v>
      </c>
      <c r="G623" s="6">
        <v>98.04</v>
      </c>
      <c r="H623" s="6">
        <v>97.78</v>
      </c>
      <c r="I623" s="6">
        <v>97.69</v>
      </c>
      <c r="J623" s="6">
        <v>98.01</v>
      </c>
      <c r="K623" s="6">
        <v>97.7</v>
      </c>
      <c r="L623" s="6">
        <v>97.61</v>
      </c>
      <c r="M623" s="6">
        <v>98.02</v>
      </c>
      <c r="N623" s="6">
        <v>97.7</v>
      </c>
      <c r="O623" s="6">
        <v>97.61</v>
      </c>
      <c r="P623" s="6">
        <v>98.02</v>
      </c>
      <c r="Q623" s="6">
        <v>97.7</v>
      </c>
      <c r="R623" s="6">
        <v>97.61</v>
      </c>
    </row>
    <row r="624" spans="2:18">
      <c r="B624" s="6">
        <v>32172</v>
      </c>
      <c r="C624" s="6" t="s">
        <v>1123</v>
      </c>
      <c r="D624" s="6">
        <v>0</v>
      </c>
      <c r="E624" s="6">
        <v>0</v>
      </c>
      <c r="F624" s="6">
        <v>97.89</v>
      </c>
      <c r="G624" s="6">
        <v>98.74</v>
      </c>
      <c r="H624" s="6">
        <v>98.55</v>
      </c>
      <c r="I624" s="6">
        <v>98.22</v>
      </c>
      <c r="J624" s="6">
        <v>98.64</v>
      </c>
      <c r="K624" s="6">
        <v>98.48</v>
      </c>
      <c r="L624" s="6">
        <v>98.3</v>
      </c>
      <c r="M624" s="6">
        <v>98.62</v>
      </c>
      <c r="N624" s="6">
        <v>98.46</v>
      </c>
      <c r="O624" s="6">
        <v>98.28</v>
      </c>
      <c r="P624" s="6">
        <v>98.52</v>
      </c>
      <c r="Q624" s="6">
        <v>98.45</v>
      </c>
      <c r="R624" s="6">
        <v>98.28</v>
      </c>
    </row>
    <row r="625" spans="2:18">
      <c r="B625" s="6">
        <v>32172</v>
      </c>
      <c r="C625" s="6" t="s">
        <v>1123</v>
      </c>
      <c r="D625" s="6">
        <v>0</v>
      </c>
      <c r="E625" s="6">
        <v>0</v>
      </c>
      <c r="F625" s="6">
        <v>98.34</v>
      </c>
      <c r="G625" s="6">
        <v>98.62</v>
      </c>
      <c r="H625" s="6">
        <v>98.73</v>
      </c>
      <c r="I625" s="6">
        <v>98.74</v>
      </c>
      <c r="J625" s="6">
        <v>98.78</v>
      </c>
      <c r="K625" s="6">
        <v>98.81</v>
      </c>
      <c r="L625" s="6">
        <v>98.78</v>
      </c>
      <c r="M625" s="6">
        <v>98.78</v>
      </c>
      <c r="N625" s="6">
        <v>98.81</v>
      </c>
      <c r="O625" s="6">
        <v>98.78</v>
      </c>
      <c r="P625" s="6">
        <v>98.78</v>
      </c>
      <c r="Q625" s="6">
        <v>98.81</v>
      </c>
      <c r="R625" s="6">
        <v>98.78</v>
      </c>
    </row>
    <row r="626" spans="2:18">
      <c r="B626" s="6">
        <v>32172</v>
      </c>
      <c r="C626" s="6" t="s">
        <v>1123</v>
      </c>
      <c r="D626" s="6">
        <v>0</v>
      </c>
      <c r="E626" s="6">
        <v>0</v>
      </c>
      <c r="F626" s="6">
        <v>96.01</v>
      </c>
      <c r="G626" s="6">
        <v>97.49</v>
      </c>
      <c r="H626" s="6">
        <v>97.66</v>
      </c>
      <c r="I626" s="6">
        <v>97.52</v>
      </c>
      <c r="J626" s="6">
        <v>97.72</v>
      </c>
      <c r="K626" s="6">
        <v>97.84</v>
      </c>
      <c r="L626" s="6">
        <v>97.75</v>
      </c>
      <c r="M626" s="6">
        <v>97.72</v>
      </c>
      <c r="N626" s="6">
        <v>97.83</v>
      </c>
      <c r="O626" s="6">
        <v>97.74</v>
      </c>
      <c r="P626" s="6">
        <v>97.73</v>
      </c>
      <c r="Q626" s="6">
        <v>97.84</v>
      </c>
      <c r="R626" s="6">
        <v>97.75</v>
      </c>
    </row>
    <row r="627" spans="2:18">
      <c r="B627" s="6">
        <v>32172</v>
      </c>
      <c r="C627" s="6" t="s">
        <v>1123</v>
      </c>
      <c r="D627" s="6">
        <v>0</v>
      </c>
      <c r="E627" s="6">
        <v>0</v>
      </c>
      <c r="F627" s="6">
        <v>96.65</v>
      </c>
      <c r="G627" s="6">
        <v>98.15</v>
      </c>
      <c r="H627" s="6">
        <v>97.53</v>
      </c>
      <c r="I627" s="6">
        <v>97.49</v>
      </c>
      <c r="J627" s="6">
        <v>98.01</v>
      </c>
      <c r="K627" s="6">
        <v>97.7</v>
      </c>
      <c r="L627" s="6">
        <v>97.61</v>
      </c>
      <c r="M627" s="6">
        <v>98.02</v>
      </c>
      <c r="N627" s="6">
        <v>97.7</v>
      </c>
      <c r="O627" s="6">
        <v>97.61</v>
      </c>
      <c r="P627" s="6">
        <v>98.02</v>
      </c>
      <c r="Q627" s="6">
        <v>97.7</v>
      </c>
      <c r="R627" s="6">
        <v>97.61</v>
      </c>
    </row>
    <row r="628" spans="2:18">
      <c r="B628" s="6">
        <v>32173</v>
      </c>
      <c r="C628" s="6" t="s">
        <v>1124</v>
      </c>
      <c r="D628" s="6">
        <v>0</v>
      </c>
      <c r="E628" s="6">
        <v>0</v>
      </c>
      <c r="F628" s="6">
        <v>98.34</v>
      </c>
      <c r="G628" s="6">
        <v>98.74</v>
      </c>
      <c r="H628" s="6">
        <v>98.55</v>
      </c>
      <c r="I628" s="6">
        <v>98.22</v>
      </c>
      <c r="J628" s="6">
        <v>98.64</v>
      </c>
      <c r="K628" s="6">
        <v>98.48</v>
      </c>
      <c r="L628" s="6">
        <v>98.3</v>
      </c>
      <c r="M628" s="6">
        <v>98.62</v>
      </c>
      <c r="N628" s="6">
        <v>98.46</v>
      </c>
      <c r="O628" s="6">
        <v>98.28</v>
      </c>
      <c r="P628" s="6">
        <v>98.52</v>
      </c>
      <c r="Q628" s="6">
        <v>98.45</v>
      </c>
      <c r="R628" s="6">
        <v>98.28</v>
      </c>
    </row>
    <row r="629" spans="2:18">
      <c r="B629" s="6">
        <v>32173</v>
      </c>
      <c r="C629" s="6" t="s">
        <v>1124</v>
      </c>
      <c r="D629" s="6">
        <v>0</v>
      </c>
      <c r="E629" s="6">
        <v>0</v>
      </c>
      <c r="F629" s="6">
        <v>98.37</v>
      </c>
      <c r="G629" s="6">
        <v>98.62</v>
      </c>
      <c r="H629" s="6">
        <v>98.73</v>
      </c>
      <c r="I629" s="6">
        <v>98.74</v>
      </c>
      <c r="J629" s="6">
        <v>98.78</v>
      </c>
      <c r="K629" s="6">
        <v>98.81</v>
      </c>
      <c r="L629" s="6">
        <v>98.78</v>
      </c>
      <c r="M629" s="6">
        <v>98.78</v>
      </c>
      <c r="N629" s="6">
        <v>98.81</v>
      </c>
      <c r="O629" s="6">
        <v>98.78</v>
      </c>
      <c r="P629" s="6">
        <v>98.78</v>
      </c>
      <c r="Q629" s="6">
        <v>98.81</v>
      </c>
      <c r="R629" s="6">
        <v>98.78</v>
      </c>
    </row>
    <row r="630" spans="2:18">
      <c r="B630" s="6">
        <v>32173</v>
      </c>
      <c r="C630" s="6" t="s">
        <v>1124</v>
      </c>
      <c r="D630" s="6">
        <v>0</v>
      </c>
      <c r="E630" s="6">
        <v>0</v>
      </c>
      <c r="F630" s="6">
        <v>97.03</v>
      </c>
      <c r="G630" s="6">
        <v>97.49</v>
      </c>
      <c r="H630" s="6">
        <v>97.66</v>
      </c>
      <c r="I630" s="6">
        <v>97.52</v>
      </c>
      <c r="J630" s="6">
        <v>97.72</v>
      </c>
      <c r="K630" s="6">
        <v>97.84</v>
      </c>
      <c r="L630" s="6">
        <v>97.75</v>
      </c>
      <c r="M630" s="6">
        <v>97.72</v>
      </c>
      <c r="N630" s="6">
        <v>97.83</v>
      </c>
      <c r="O630" s="6">
        <v>97.74</v>
      </c>
      <c r="P630" s="6">
        <v>97.73</v>
      </c>
      <c r="Q630" s="6">
        <v>97.84</v>
      </c>
      <c r="R630" s="6">
        <v>97.75</v>
      </c>
    </row>
    <row r="631" spans="2:18">
      <c r="B631" s="6">
        <v>32173</v>
      </c>
      <c r="C631" s="6" t="s">
        <v>1124</v>
      </c>
      <c r="D631" s="6">
        <v>0</v>
      </c>
      <c r="E631" s="6">
        <v>0</v>
      </c>
      <c r="F631" s="6">
        <v>98</v>
      </c>
      <c r="G631" s="6">
        <v>98.15</v>
      </c>
      <c r="H631" s="6">
        <v>97.53</v>
      </c>
      <c r="I631" s="6">
        <v>97.49</v>
      </c>
      <c r="J631" s="6">
        <v>98.01</v>
      </c>
      <c r="K631" s="6">
        <v>97.7</v>
      </c>
      <c r="L631" s="6">
        <v>97.61</v>
      </c>
      <c r="M631" s="6">
        <v>98.02</v>
      </c>
      <c r="N631" s="6">
        <v>97.7</v>
      </c>
      <c r="O631" s="6">
        <v>97.61</v>
      </c>
      <c r="P631" s="6">
        <v>98.02</v>
      </c>
      <c r="Q631" s="6">
        <v>97.7</v>
      </c>
      <c r="R631" s="6">
        <v>97.61</v>
      </c>
    </row>
    <row r="632" spans="2:18">
      <c r="B632" s="6">
        <v>32174</v>
      </c>
      <c r="C632" s="6" t="s">
        <v>242</v>
      </c>
      <c r="D632" s="6">
        <v>0</v>
      </c>
      <c r="E632" s="6">
        <v>0</v>
      </c>
      <c r="F632" s="6">
        <v>85.14</v>
      </c>
      <c r="G632" s="6">
        <v>0</v>
      </c>
      <c r="H632" s="6">
        <v>99.57</v>
      </c>
      <c r="I632" s="6">
        <v>94.95</v>
      </c>
      <c r="J632" s="6">
        <v>98.23</v>
      </c>
      <c r="K632" s="6">
        <v>98.19</v>
      </c>
      <c r="L632" s="6">
        <v>98.1</v>
      </c>
      <c r="M632" s="6">
        <v>98.23</v>
      </c>
      <c r="N632" s="6">
        <v>98.19</v>
      </c>
      <c r="O632" s="6">
        <v>98.1</v>
      </c>
      <c r="P632" s="6">
        <v>98.04</v>
      </c>
      <c r="Q632" s="6">
        <v>98.09</v>
      </c>
      <c r="R632" s="6">
        <v>97.91</v>
      </c>
    </row>
    <row r="633" spans="2:18">
      <c r="B633" s="6">
        <v>32174</v>
      </c>
      <c r="C633" s="6" t="s">
        <v>242</v>
      </c>
      <c r="D633" s="6">
        <v>0</v>
      </c>
      <c r="E633" s="6">
        <v>0</v>
      </c>
      <c r="F633" s="6">
        <v>98.59</v>
      </c>
      <c r="G633" s="6">
        <v>0</v>
      </c>
      <c r="H633" s="6">
        <v>98.63</v>
      </c>
      <c r="I633" s="6">
        <v>94.93</v>
      </c>
      <c r="J633" s="6">
        <v>89.16</v>
      </c>
      <c r="K633" s="6">
        <v>92.29</v>
      </c>
      <c r="L633" s="6">
        <v>95.48</v>
      </c>
      <c r="M633" s="6">
        <v>89.16</v>
      </c>
      <c r="N633" s="6">
        <v>92.29</v>
      </c>
      <c r="O633" s="6">
        <v>95.48</v>
      </c>
      <c r="P633" s="6">
        <v>89.16</v>
      </c>
      <c r="Q633" s="6">
        <v>92.29</v>
      </c>
      <c r="R633" s="6">
        <v>95.48</v>
      </c>
    </row>
    <row r="634" spans="2:18">
      <c r="B634" s="6">
        <v>32174</v>
      </c>
      <c r="C634" s="6" t="s">
        <v>242</v>
      </c>
      <c r="D634" s="6">
        <v>0</v>
      </c>
      <c r="E634" s="6">
        <v>0</v>
      </c>
      <c r="F634" s="6">
        <v>97.14</v>
      </c>
      <c r="G634" s="6">
        <v>0</v>
      </c>
      <c r="H634" s="6">
        <v>0</v>
      </c>
      <c r="I634" s="6">
        <v>95.79</v>
      </c>
      <c r="J634" s="6">
        <v>99.26</v>
      </c>
      <c r="K634" s="6">
        <v>99.39</v>
      </c>
      <c r="L634" s="6">
        <v>99.39</v>
      </c>
      <c r="M634" s="6">
        <v>99.26</v>
      </c>
      <c r="N634" s="6">
        <v>99.39</v>
      </c>
      <c r="O634" s="6">
        <v>99.39</v>
      </c>
      <c r="P634" s="6">
        <v>99.26</v>
      </c>
      <c r="Q634" s="6">
        <v>99.39</v>
      </c>
      <c r="R634" s="6">
        <v>99.39</v>
      </c>
    </row>
    <row r="635" spans="2:18">
      <c r="B635" s="6">
        <v>32174</v>
      </c>
      <c r="C635" s="6" t="s">
        <v>242</v>
      </c>
      <c r="D635" s="6">
        <v>0</v>
      </c>
      <c r="E635" s="6">
        <v>0</v>
      </c>
      <c r="F635" s="6">
        <v>98.37</v>
      </c>
      <c r="G635" s="6">
        <v>0</v>
      </c>
      <c r="H635" s="6">
        <v>97.83</v>
      </c>
      <c r="I635" s="6">
        <v>97.12</v>
      </c>
      <c r="J635" s="6">
        <v>98.47</v>
      </c>
      <c r="K635" s="6">
        <v>98.28</v>
      </c>
      <c r="L635" s="6">
        <v>97.11</v>
      </c>
      <c r="M635" s="6">
        <v>98.47</v>
      </c>
      <c r="N635" s="6">
        <v>98.28</v>
      </c>
      <c r="O635" s="6">
        <v>97.11</v>
      </c>
      <c r="P635" s="6">
        <v>98.47</v>
      </c>
      <c r="Q635" s="6">
        <v>98.28</v>
      </c>
      <c r="R635" s="6">
        <v>97.11</v>
      </c>
    </row>
    <row r="636" spans="2:18">
      <c r="B636" s="6">
        <v>32198</v>
      </c>
      <c r="C636" s="6" t="s">
        <v>243</v>
      </c>
      <c r="D636" s="6">
        <v>0</v>
      </c>
      <c r="E636" s="6">
        <v>0</v>
      </c>
      <c r="F636" s="6">
        <v>96.6</v>
      </c>
      <c r="G636" s="6">
        <v>96.77</v>
      </c>
      <c r="H636" s="6">
        <v>97.74</v>
      </c>
      <c r="I636" s="6">
        <v>96.78</v>
      </c>
      <c r="J636" s="6">
        <v>98.23</v>
      </c>
      <c r="K636" s="6">
        <v>98.19</v>
      </c>
      <c r="L636" s="6">
        <v>98.1</v>
      </c>
      <c r="M636" s="6">
        <v>98.23</v>
      </c>
      <c r="N636" s="6">
        <v>98.19</v>
      </c>
      <c r="O636" s="6">
        <v>98.1</v>
      </c>
      <c r="P636" s="6">
        <v>98.04</v>
      </c>
      <c r="Q636" s="6">
        <v>98.09</v>
      </c>
      <c r="R636" s="6">
        <v>97.91</v>
      </c>
    </row>
    <row r="637" spans="2:18">
      <c r="B637" s="6">
        <v>32198</v>
      </c>
      <c r="C637" s="6" t="s">
        <v>243</v>
      </c>
      <c r="D637" s="6">
        <v>0</v>
      </c>
      <c r="E637" s="6">
        <v>0</v>
      </c>
      <c r="F637" s="6">
        <v>99.53</v>
      </c>
      <c r="G637" s="6">
        <v>99.56</v>
      </c>
      <c r="H637" s="6">
        <v>99.17</v>
      </c>
      <c r="I637" s="6">
        <v>99.23</v>
      </c>
      <c r="J637" s="6">
        <v>99.26</v>
      </c>
      <c r="K637" s="6">
        <v>99.39</v>
      </c>
      <c r="L637" s="6">
        <v>99.39</v>
      </c>
      <c r="M637" s="6">
        <v>99.26</v>
      </c>
      <c r="N637" s="6">
        <v>99.39</v>
      </c>
      <c r="O637" s="6">
        <v>99.39</v>
      </c>
      <c r="P637" s="6">
        <v>99.26</v>
      </c>
      <c r="Q637" s="6">
        <v>99.39</v>
      </c>
      <c r="R637" s="6">
        <v>99.39</v>
      </c>
    </row>
    <row r="638" spans="2:18">
      <c r="B638" s="6">
        <v>32199</v>
      </c>
      <c r="C638" s="6" t="s">
        <v>244</v>
      </c>
      <c r="D638" s="6">
        <v>0</v>
      </c>
      <c r="E638" s="6">
        <v>95.02</v>
      </c>
      <c r="F638" s="6">
        <v>97.56</v>
      </c>
      <c r="G638" s="6">
        <v>97.07</v>
      </c>
      <c r="H638" s="6">
        <v>94.76</v>
      </c>
      <c r="I638" s="6">
        <v>95.55</v>
      </c>
      <c r="J638" s="6">
        <v>98.23</v>
      </c>
      <c r="K638" s="6">
        <v>98.19</v>
      </c>
      <c r="L638" s="6">
        <v>98.1</v>
      </c>
      <c r="M638" s="6">
        <v>98.23</v>
      </c>
      <c r="N638" s="6">
        <v>98.19</v>
      </c>
      <c r="O638" s="6">
        <v>98.1</v>
      </c>
      <c r="P638" s="6">
        <v>98.04</v>
      </c>
      <c r="Q638" s="6">
        <v>98.09</v>
      </c>
      <c r="R638" s="6">
        <v>97.91</v>
      </c>
    </row>
    <row r="639" spans="2:18">
      <c r="B639" s="6">
        <v>32199</v>
      </c>
      <c r="C639" s="6" t="s">
        <v>244</v>
      </c>
      <c r="D639" s="6">
        <v>0</v>
      </c>
      <c r="E639" s="6">
        <v>0</v>
      </c>
      <c r="F639" s="6">
        <v>99.42</v>
      </c>
      <c r="G639" s="6">
        <v>96.62</v>
      </c>
      <c r="H639" s="6">
        <v>98.65</v>
      </c>
      <c r="I639" s="6">
        <v>98.32</v>
      </c>
      <c r="J639" s="6">
        <v>99.33</v>
      </c>
      <c r="K639" s="6">
        <v>99.31</v>
      </c>
      <c r="L639" s="6">
        <v>98.87</v>
      </c>
      <c r="M639" s="6">
        <v>99.33</v>
      </c>
      <c r="N639" s="6">
        <v>99.31</v>
      </c>
      <c r="O639" s="6">
        <v>98.87</v>
      </c>
      <c r="P639" s="6">
        <v>97.69</v>
      </c>
      <c r="Q639" s="6">
        <v>98.01</v>
      </c>
      <c r="R639" s="6">
        <v>98.3</v>
      </c>
    </row>
    <row r="640" spans="2:18">
      <c r="B640" s="6">
        <v>32199</v>
      </c>
      <c r="C640" s="6" t="s">
        <v>244</v>
      </c>
      <c r="D640" s="6">
        <v>0</v>
      </c>
      <c r="E640" s="6">
        <v>0</v>
      </c>
      <c r="F640" s="6">
        <v>99.17</v>
      </c>
      <c r="G640" s="6">
        <v>78.87</v>
      </c>
      <c r="H640" s="6">
        <v>91.66</v>
      </c>
      <c r="I640" s="6">
        <v>96.42</v>
      </c>
      <c r="J640" s="6">
        <v>99.26</v>
      </c>
      <c r="K640" s="6">
        <v>99.39</v>
      </c>
      <c r="L640" s="6">
        <v>99.39</v>
      </c>
      <c r="M640" s="6">
        <v>99.26</v>
      </c>
      <c r="N640" s="6">
        <v>99.39</v>
      </c>
      <c r="O640" s="6">
        <v>99.39</v>
      </c>
      <c r="P640" s="6">
        <v>99.26</v>
      </c>
      <c r="Q640" s="6">
        <v>99.39</v>
      </c>
      <c r="R640" s="6">
        <v>99.39</v>
      </c>
    </row>
    <row r="641" spans="2:18">
      <c r="B641" s="6">
        <v>32200</v>
      </c>
      <c r="C641" s="6" t="s">
        <v>1005</v>
      </c>
      <c r="D641" s="6">
        <v>0</v>
      </c>
      <c r="E641" s="6">
        <v>0</v>
      </c>
      <c r="F641" s="6">
        <v>63.58</v>
      </c>
      <c r="G641" s="6">
        <v>97.07</v>
      </c>
      <c r="H641" s="6">
        <v>94.76</v>
      </c>
      <c r="I641" s="6">
        <v>95.55</v>
      </c>
      <c r="J641" s="6">
        <v>98.23</v>
      </c>
      <c r="K641" s="6">
        <v>98.19</v>
      </c>
      <c r="L641" s="6">
        <v>98.1</v>
      </c>
      <c r="M641" s="6">
        <v>98.23</v>
      </c>
      <c r="N641" s="6">
        <v>98.19</v>
      </c>
      <c r="O641" s="6">
        <v>98.1</v>
      </c>
      <c r="P641" s="6">
        <v>98.04</v>
      </c>
      <c r="Q641" s="6">
        <v>98.09</v>
      </c>
      <c r="R641" s="6">
        <v>97.91</v>
      </c>
    </row>
    <row r="642" spans="2:18">
      <c r="B642" s="6">
        <v>32200</v>
      </c>
      <c r="C642" s="6" t="s">
        <v>1005</v>
      </c>
      <c r="D642" s="6">
        <v>0</v>
      </c>
      <c r="E642" s="6">
        <v>0</v>
      </c>
      <c r="F642" s="6">
        <v>99.15</v>
      </c>
      <c r="G642" s="6">
        <v>96.62</v>
      </c>
      <c r="H642" s="6">
        <v>98.65</v>
      </c>
      <c r="I642" s="6">
        <v>98.32</v>
      </c>
      <c r="J642" s="6">
        <v>99.33</v>
      </c>
      <c r="K642" s="6">
        <v>99.31</v>
      </c>
      <c r="L642" s="6">
        <v>98.87</v>
      </c>
      <c r="M642" s="6">
        <v>99.33</v>
      </c>
      <c r="N642" s="6">
        <v>99.31</v>
      </c>
      <c r="O642" s="6">
        <v>98.87</v>
      </c>
      <c r="P642" s="6">
        <v>97.69</v>
      </c>
      <c r="Q642" s="6">
        <v>98.01</v>
      </c>
      <c r="R642" s="6">
        <v>98.3</v>
      </c>
    </row>
    <row r="643" spans="2:18">
      <c r="B643" s="6">
        <v>32200</v>
      </c>
      <c r="C643" s="6" t="s">
        <v>1005</v>
      </c>
      <c r="D643" s="6">
        <v>0</v>
      </c>
      <c r="E643" s="6">
        <v>0</v>
      </c>
      <c r="F643" s="6">
        <v>98.86</v>
      </c>
      <c r="G643" s="6">
        <v>78.87</v>
      </c>
      <c r="H643" s="6">
        <v>91.66</v>
      </c>
      <c r="I643" s="6">
        <v>96.42</v>
      </c>
      <c r="J643" s="6">
        <v>99.26</v>
      </c>
      <c r="K643" s="6">
        <v>99.39</v>
      </c>
      <c r="L643" s="6">
        <v>99.39</v>
      </c>
      <c r="M643" s="6">
        <v>99.26</v>
      </c>
      <c r="N643" s="6">
        <v>99.39</v>
      </c>
      <c r="O643" s="6">
        <v>99.39</v>
      </c>
      <c r="P643" s="6">
        <v>99.26</v>
      </c>
      <c r="Q643" s="6">
        <v>99.39</v>
      </c>
      <c r="R643" s="6">
        <v>99.39</v>
      </c>
    </row>
    <row r="644" spans="2:18">
      <c r="B644" s="6">
        <v>32221</v>
      </c>
      <c r="C644" s="6" t="s">
        <v>151</v>
      </c>
      <c r="D644" s="6">
        <v>98.95</v>
      </c>
      <c r="E644" s="6">
        <v>98.9</v>
      </c>
      <c r="F644" s="6">
        <v>98.81</v>
      </c>
      <c r="G644" s="6">
        <v>98.71</v>
      </c>
      <c r="H644" s="6">
        <v>98.48</v>
      </c>
      <c r="I644" s="6">
        <v>98.36</v>
      </c>
      <c r="J644" s="6">
        <v>98.64</v>
      </c>
      <c r="K644" s="6">
        <v>98.48</v>
      </c>
      <c r="L644" s="6">
        <v>98.3</v>
      </c>
      <c r="M644" s="6">
        <v>98.62</v>
      </c>
      <c r="N644" s="6">
        <v>98.46</v>
      </c>
      <c r="O644" s="6">
        <v>98.28</v>
      </c>
      <c r="P644" s="6">
        <v>98.52</v>
      </c>
      <c r="Q644" s="6">
        <v>98.45</v>
      </c>
      <c r="R644" s="6">
        <v>98.28</v>
      </c>
    </row>
    <row r="645" spans="2:18">
      <c r="B645" s="6">
        <v>32221</v>
      </c>
      <c r="C645" s="6" t="s">
        <v>151</v>
      </c>
      <c r="D645" s="6">
        <v>99.03</v>
      </c>
      <c r="E645" s="6">
        <v>98.74</v>
      </c>
      <c r="F645" s="6">
        <v>98.76</v>
      </c>
      <c r="G645" s="6">
        <v>98.91</v>
      </c>
      <c r="H645" s="6">
        <v>98.92</v>
      </c>
      <c r="I645" s="6">
        <v>98.82</v>
      </c>
      <c r="J645" s="6">
        <v>98.86</v>
      </c>
      <c r="K645" s="6">
        <v>98.85</v>
      </c>
      <c r="L645" s="6">
        <v>98.75</v>
      </c>
      <c r="M645" s="6">
        <v>98.86</v>
      </c>
      <c r="N645" s="6">
        <v>98.82</v>
      </c>
      <c r="O645" s="6">
        <v>98.74</v>
      </c>
      <c r="P645" s="6">
        <v>98.83</v>
      </c>
      <c r="Q645" s="6">
        <v>98.81</v>
      </c>
      <c r="R645" s="6">
        <v>98.73</v>
      </c>
    </row>
    <row r="646" spans="2:18">
      <c r="B646" s="6">
        <v>32221</v>
      </c>
      <c r="C646" s="6" t="s">
        <v>151</v>
      </c>
      <c r="D646" s="6">
        <v>96.19</v>
      </c>
      <c r="E646" s="6">
        <v>96.88</v>
      </c>
      <c r="F646" s="6">
        <v>97.1</v>
      </c>
      <c r="G646" s="6">
        <v>98.03</v>
      </c>
      <c r="H646" s="6">
        <v>98.12</v>
      </c>
      <c r="I646" s="6">
        <v>98.05</v>
      </c>
      <c r="J646" s="6">
        <v>97.72</v>
      </c>
      <c r="K646" s="6">
        <v>97.84</v>
      </c>
      <c r="L646" s="6">
        <v>97.75</v>
      </c>
      <c r="M646" s="6">
        <v>97.72</v>
      </c>
      <c r="N646" s="6">
        <v>97.83</v>
      </c>
      <c r="O646" s="6">
        <v>97.74</v>
      </c>
      <c r="P646" s="6">
        <v>97.73</v>
      </c>
      <c r="Q646" s="6">
        <v>97.84</v>
      </c>
      <c r="R646" s="6">
        <v>97.75</v>
      </c>
    </row>
    <row r="647" spans="2:18">
      <c r="B647" s="6">
        <v>32221</v>
      </c>
      <c r="C647" s="6" t="s">
        <v>151</v>
      </c>
      <c r="D647" s="6">
        <v>98.73</v>
      </c>
      <c r="E647" s="6">
        <v>98.26</v>
      </c>
      <c r="F647" s="6">
        <v>98.09</v>
      </c>
      <c r="G647" s="6">
        <v>98.04</v>
      </c>
      <c r="H647" s="6">
        <v>97.78</v>
      </c>
      <c r="I647" s="6">
        <v>97.69</v>
      </c>
      <c r="J647" s="6">
        <v>98.01</v>
      </c>
      <c r="K647" s="6">
        <v>97.7</v>
      </c>
      <c r="L647" s="6">
        <v>97.61</v>
      </c>
      <c r="M647" s="6">
        <v>98.02</v>
      </c>
      <c r="N647" s="6">
        <v>97.7</v>
      </c>
      <c r="O647" s="6">
        <v>97.61</v>
      </c>
      <c r="P647" s="6">
        <v>98.02</v>
      </c>
      <c r="Q647" s="6">
        <v>97.7</v>
      </c>
      <c r="R647" s="6">
        <v>97.61</v>
      </c>
    </row>
    <row r="648" spans="2:18">
      <c r="B648" s="6">
        <v>32222</v>
      </c>
      <c r="C648" s="6" t="s">
        <v>152</v>
      </c>
      <c r="D648" s="6">
        <v>98.98</v>
      </c>
      <c r="E648" s="6">
        <v>98.49</v>
      </c>
      <c r="F648" s="6">
        <v>98.09</v>
      </c>
      <c r="G648" s="6">
        <v>98.71</v>
      </c>
      <c r="H648" s="6">
        <v>98.48</v>
      </c>
      <c r="I648" s="6">
        <v>98.36</v>
      </c>
      <c r="J648" s="6">
        <v>98.64</v>
      </c>
      <c r="K648" s="6">
        <v>98.48</v>
      </c>
      <c r="L648" s="6">
        <v>98.3</v>
      </c>
      <c r="M648" s="6">
        <v>98.62</v>
      </c>
      <c r="N648" s="6">
        <v>98.46</v>
      </c>
      <c r="O648" s="6">
        <v>98.28</v>
      </c>
      <c r="P648" s="6">
        <v>98.52</v>
      </c>
      <c r="Q648" s="6">
        <v>98.45</v>
      </c>
      <c r="R648" s="6">
        <v>98.28</v>
      </c>
    </row>
    <row r="649" spans="2:18">
      <c r="B649" s="6">
        <v>32222</v>
      </c>
      <c r="C649" s="6" t="s">
        <v>152</v>
      </c>
      <c r="D649" s="6">
        <v>98.99</v>
      </c>
      <c r="E649" s="6">
        <v>98.91</v>
      </c>
      <c r="F649" s="6">
        <v>98.62</v>
      </c>
      <c r="G649" s="6">
        <v>98.91</v>
      </c>
      <c r="H649" s="6">
        <v>98.92</v>
      </c>
      <c r="I649" s="6">
        <v>98.82</v>
      </c>
      <c r="J649" s="6">
        <v>98.86</v>
      </c>
      <c r="K649" s="6">
        <v>98.85</v>
      </c>
      <c r="L649" s="6">
        <v>98.75</v>
      </c>
      <c r="M649" s="6">
        <v>98.86</v>
      </c>
      <c r="N649" s="6">
        <v>98.82</v>
      </c>
      <c r="O649" s="6">
        <v>98.74</v>
      </c>
      <c r="P649" s="6">
        <v>98.83</v>
      </c>
      <c r="Q649" s="6">
        <v>98.81</v>
      </c>
      <c r="R649" s="6">
        <v>98.73</v>
      </c>
    </row>
    <row r="650" spans="2:18">
      <c r="B650" s="6">
        <v>32222</v>
      </c>
      <c r="C650" s="6" t="s">
        <v>152</v>
      </c>
      <c r="D650" s="6">
        <v>99.28</v>
      </c>
      <c r="E650" s="6">
        <v>99</v>
      </c>
      <c r="F650" s="6">
        <v>98.72</v>
      </c>
      <c r="G650" s="6">
        <v>98.03</v>
      </c>
      <c r="H650" s="6">
        <v>98.12</v>
      </c>
      <c r="I650" s="6">
        <v>98.05</v>
      </c>
      <c r="J650" s="6">
        <v>97.72</v>
      </c>
      <c r="K650" s="6">
        <v>97.84</v>
      </c>
      <c r="L650" s="6">
        <v>97.75</v>
      </c>
      <c r="M650" s="6">
        <v>97.72</v>
      </c>
      <c r="N650" s="6">
        <v>97.83</v>
      </c>
      <c r="O650" s="6">
        <v>97.74</v>
      </c>
      <c r="P650" s="6">
        <v>97.73</v>
      </c>
      <c r="Q650" s="6">
        <v>97.84</v>
      </c>
      <c r="R650" s="6">
        <v>97.75</v>
      </c>
    </row>
    <row r="651" spans="2:18">
      <c r="B651" s="6">
        <v>32222</v>
      </c>
      <c r="C651" s="6" t="s">
        <v>152</v>
      </c>
      <c r="D651" s="6">
        <v>98.29</v>
      </c>
      <c r="E651" s="6">
        <v>97.62</v>
      </c>
      <c r="F651" s="6">
        <v>97.61</v>
      </c>
      <c r="G651" s="6">
        <v>98.04</v>
      </c>
      <c r="H651" s="6">
        <v>97.78</v>
      </c>
      <c r="I651" s="6">
        <v>97.69</v>
      </c>
      <c r="J651" s="6">
        <v>98.01</v>
      </c>
      <c r="K651" s="6">
        <v>97.7</v>
      </c>
      <c r="L651" s="6">
        <v>97.61</v>
      </c>
      <c r="M651" s="6">
        <v>98.02</v>
      </c>
      <c r="N651" s="6">
        <v>97.7</v>
      </c>
      <c r="O651" s="6">
        <v>97.61</v>
      </c>
      <c r="P651" s="6">
        <v>98.02</v>
      </c>
      <c r="Q651" s="6">
        <v>97.7</v>
      </c>
      <c r="R651" s="6">
        <v>97.61</v>
      </c>
    </row>
    <row r="652" spans="2:18">
      <c r="B652" s="6">
        <v>32223</v>
      </c>
      <c r="C652" s="6" t="s">
        <v>153</v>
      </c>
      <c r="D652" s="6">
        <v>98.72</v>
      </c>
      <c r="E652" s="6">
        <v>98.12</v>
      </c>
      <c r="F652" s="6">
        <v>98.54</v>
      </c>
      <c r="G652" s="6">
        <v>98.71</v>
      </c>
      <c r="H652" s="6">
        <v>98.48</v>
      </c>
      <c r="I652" s="6">
        <v>98.36</v>
      </c>
      <c r="J652" s="6">
        <v>98.64</v>
      </c>
      <c r="K652" s="6">
        <v>98.48</v>
      </c>
      <c r="L652" s="6">
        <v>98.3</v>
      </c>
      <c r="M652" s="6">
        <v>98.62</v>
      </c>
      <c r="N652" s="6">
        <v>98.46</v>
      </c>
      <c r="O652" s="6">
        <v>98.28</v>
      </c>
      <c r="P652" s="6">
        <v>98.52</v>
      </c>
      <c r="Q652" s="6">
        <v>98.45</v>
      </c>
      <c r="R652" s="6">
        <v>98.28</v>
      </c>
    </row>
    <row r="653" spans="2:18">
      <c r="B653" s="6">
        <v>32223</v>
      </c>
      <c r="C653" s="6" t="s">
        <v>153</v>
      </c>
      <c r="D653" s="6">
        <v>99.13</v>
      </c>
      <c r="E653" s="6">
        <v>99.02</v>
      </c>
      <c r="F653" s="6">
        <v>98.93</v>
      </c>
      <c r="G653" s="6">
        <v>98.91</v>
      </c>
      <c r="H653" s="6">
        <v>98.92</v>
      </c>
      <c r="I653" s="6">
        <v>98.82</v>
      </c>
      <c r="J653" s="6">
        <v>98.86</v>
      </c>
      <c r="K653" s="6">
        <v>98.85</v>
      </c>
      <c r="L653" s="6">
        <v>98.75</v>
      </c>
      <c r="M653" s="6">
        <v>98.86</v>
      </c>
      <c r="N653" s="6">
        <v>98.82</v>
      </c>
      <c r="O653" s="6">
        <v>98.74</v>
      </c>
      <c r="P653" s="6">
        <v>98.83</v>
      </c>
      <c r="Q653" s="6">
        <v>98.81</v>
      </c>
      <c r="R653" s="6">
        <v>98.73</v>
      </c>
    </row>
    <row r="654" spans="2:18">
      <c r="B654" s="6">
        <v>32223</v>
      </c>
      <c r="C654" s="6" t="s">
        <v>153</v>
      </c>
      <c r="D654" s="6">
        <v>98.24</v>
      </c>
      <c r="E654" s="6">
        <v>98.46</v>
      </c>
      <c r="F654" s="6">
        <v>98.54</v>
      </c>
      <c r="G654" s="6">
        <v>98.03</v>
      </c>
      <c r="H654" s="6">
        <v>98.12</v>
      </c>
      <c r="I654" s="6">
        <v>98.05</v>
      </c>
      <c r="J654" s="6">
        <v>97.72</v>
      </c>
      <c r="K654" s="6">
        <v>97.84</v>
      </c>
      <c r="L654" s="6">
        <v>97.75</v>
      </c>
      <c r="M654" s="6">
        <v>97.72</v>
      </c>
      <c r="N654" s="6">
        <v>97.83</v>
      </c>
      <c r="O654" s="6">
        <v>97.74</v>
      </c>
      <c r="P654" s="6">
        <v>97.73</v>
      </c>
      <c r="Q654" s="6">
        <v>97.84</v>
      </c>
      <c r="R654" s="6">
        <v>97.75</v>
      </c>
    </row>
    <row r="655" spans="2:18">
      <c r="B655" s="6">
        <v>32223</v>
      </c>
      <c r="C655" s="6" t="s">
        <v>153</v>
      </c>
      <c r="D655" s="6">
        <v>97.6</v>
      </c>
      <c r="E655" s="6">
        <v>97.86</v>
      </c>
      <c r="F655" s="6">
        <v>97.83</v>
      </c>
      <c r="G655" s="6">
        <v>98.04</v>
      </c>
      <c r="H655" s="6">
        <v>97.78</v>
      </c>
      <c r="I655" s="6">
        <v>97.69</v>
      </c>
      <c r="J655" s="6">
        <v>98.01</v>
      </c>
      <c r="K655" s="6">
        <v>97.7</v>
      </c>
      <c r="L655" s="6">
        <v>97.61</v>
      </c>
      <c r="M655" s="6">
        <v>98.02</v>
      </c>
      <c r="N655" s="6">
        <v>97.7</v>
      </c>
      <c r="O655" s="6">
        <v>97.61</v>
      </c>
      <c r="P655" s="6">
        <v>98.02</v>
      </c>
      <c r="Q655" s="6">
        <v>97.7</v>
      </c>
      <c r="R655" s="6">
        <v>97.61</v>
      </c>
    </row>
    <row r="656" spans="2:18">
      <c r="B656" s="6">
        <v>32224</v>
      </c>
      <c r="C656" s="6" t="s">
        <v>154</v>
      </c>
      <c r="D656" s="6">
        <v>99.23</v>
      </c>
      <c r="E656" s="6">
        <v>98.55</v>
      </c>
      <c r="F656" s="6">
        <v>98.73</v>
      </c>
      <c r="G656" s="6">
        <v>98.71</v>
      </c>
      <c r="H656" s="6">
        <v>98.48</v>
      </c>
      <c r="I656" s="6">
        <v>98.36</v>
      </c>
      <c r="J656" s="6">
        <v>98.64</v>
      </c>
      <c r="K656" s="6">
        <v>98.48</v>
      </c>
      <c r="L656" s="6">
        <v>98.3</v>
      </c>
      <c r="M656" s="6">
        <v>98.62</v>
      </c>
      <c r="N656" s="6">
        <v>98.46</v>
      </c>
      <c r="O656" s="6">
        <v>98.28</v>
      </c>
      <c r="P656" s="6">
        <v>98.52</v>
      </c>
      <c r="Q656" s="6">
        <v>98.45</v>
      </c>
      <c r="R656" s="6">
        <v>98.28</v>
      </c>
    </row>
    <row r="657" spans="2:18">
      <c r="B657" s="6">
        <v>32224</v>
      </c>
      <c r="C657" s="6" t="s">
        <v>154</v>
      </c>
      <c r="D657" s="6">
        <v>99.24</v>
      </c>
      <c r="E657" s="6">
        <v>99.28</v>
      </c>
      <c r="F657" s="6">
        <v>99.23</v>
      </c>
      <c r="G657" s="6">
        <v>98.91</v>
      </c>
      <c r="H657" s="6">
        <v>98.92</v>
      </c>
      <c r="I657" s="6">
        <v>98.82</v>
      </c>
      <c r="J657" s="6">
        <v>98.86</v>
      </c>
      <c r="K657" s="6">
        <v>98.85</v>
      </c>
      <c r="L657" s="6">
        <v>98.75</v>
      </c>
      <c r="M657" s="6">
        <v>98.86</v>
      </c>
      <c r="N657" s="6">
        <v>98.82</v>
      </c>
      <c r="O657" s="6">
        <v>98.74</v>
      </c>
      <c r="P657" s="6">
        <v>98.83</v>
      </c>
      <c r="Q657" s="6">
        <v>98.81</v>
      </c>
      <c r="R657" s="6">
        <v>98.73</v>
      </c>
    </row>
    <row r="658" spans="2:18">
      <c r="B658" s="6">
        <v>32224</v>
      </c>
      <c r="C658" s="6" t="s">
        <v>154</v>
      </c>
      <c r="D658" s="6">
        <v>98.62</v>
      </c>
      <c r="E658" s="6">
        <v>98.17</v>
      </c>
      <c r="F658" s="6">
        <v>97.59</v>
      </c>
      <c r="G658" s="6">
        <v>98.03</v>
      </c>
      <c r="H658" s="6">
        <v>98.12</v>
      </c>
      <c r="I658" s="6">
        <v>98.05</v>
      </c>
      <c r="J658" s="6">
        <v>97.72</v>
      </c>
      <c r="K658" s="6">
        <v>97.84</v>
      </c>
      <c r="L658" s="6">
        <v>97.75</v>
      </c>
      <c r="M658" s="6">
        <v>97.72</v>
      </c>
      <c r="N658" s="6">
        <v>97.83</v>
      </c>
      <c r="O658" s="6">
        <v>97.74</v>
      </c>
      <c r="P658" s="6">
        <v>97.73</v>
      </c>
      <c r="Q658" s="6">
        <v>97.84</v>
      </c>
      <c r="R658" s="6">
        <v>97.75</v>
      </c>
    </row>
    <row r="659" spans="2:18">
      <c r="B659" s="6">
        <v>32224</v>
      </c>
      <c r="C659" s="6" t="s">
        <v>154</v>
      </c>
      <c r="D659" s="6">
        <v>97.94</v>
      </c>
      <c r="E659" s="6">
        <v>97.8</v>
      </c>
      <c r="F659" s="6">
        <v>97.83</v>
      </c>
      <c r="G659" s="6">
        <v>98.04</v>
      </c>
      <c r="H659" s="6">
        <v>97.78</v>
      </c>
      <c r="I659" s="6">
        <v>97.69</v>
      </c>
      <c r="J659" s="6">
        <v>98.01</v>
      </c>
      <c r="K659" s="6">
        <v>97.7</v>
      </c>
      <c r="L659" s="6">
        <v>97.61</v>
      </c>
      <c r="M659" s="6">
        <v>98.02</v>
      </c>
      <c r="N659" s="6">
        <v>97.7</v>
      </c>
      <c r="O659" s="6">
        <v>97.61</v>
      </c>
      <c r="P659" s="6">
        <v>98.02</v>
      </c>
      <c r="Q659" s="6">
        <v>97.7</v>
      </c>
      <c r="R659" s="6">
        <v>97.61</v>
      </c>
    </row>
    <row r="660" spans="2:18">
      <c r="B660" s="6">
        <v>32225</v>
      </c>
      <c r="C660" s="6" t="s">
        <v>155</v>
      </c>
      <c r="D660" s="6">
        <v>98.96</v>
      </c>
      <c r="E660" s="6">
        <v>98.36</v>
      </c>
      <c r="F660" s="6">
        <v>98.42</v>
      </c>
      <c r="G660" s="6">
        <v>98.71</v>
      </c>
      <c r="H660" s="6">
        <v>98.48</v>
      </c>
      <c r="I660" s="6">
        <v>98.36</v>
      </c>
      <c r="J660" s="6">
        <v>98.64</v>
      </c>
      <c r="K660" s="6">
        <v>98.48</v>
      </c>
      <c r="L660" s="6">
        <v>98.3</v>
      </c>
      <c r="M660" s="6">
        <v>98.62</v>
      </c>
      <c r="N660" s="6">
        <v>98.46</v>
      </c>
      <c r="O660" s="6">
        <v>98.28</v>
      </c>
      <c r="P660" s="6">
        <v>98.52</v>
      </c>
      <c r="Q660" s="6">
        <v>98.45</v>
      </c>
      <c r="R660" s="6">
        <v>98.28</v>
      </c>
    </row>
    <row r="661" spans="2:18">
      <c r="B661" s="6">
        <v>32225</v>
      </c>
      <c r="C661" s="6" t="s">
        <v>155</v>
      </c>
      <c r="D661" s="6">
        <v>98.97</v>
      </c>
      <c r="E661" s="6">
        <v>99.13</v>
      </c>
      <c r="F661" s="6">
        <v>99.01</v>
      </c>
      <c r="G661" s="6">
        <v>98.91</v>
      </c>
      <c r="H661" s="6">
        <v>98.92</v>
      </c>
      <c r="I661" s="6">
        <v>98.82</v>
      </c>
      <c r="J661" s="6">
        <v>98.86</v>
      </c>
      <c r="K661" s="6">
        <v>98.85</v>
      </c>
      <c r="L661" s="6">
        <v>98.75</v>
      </c>
      <c r="M661" s="6">
        <v>98.86</v>
      </c>
      <c r="N661" s="6">
        <v>98.82</v>
      </c>
      <c r="O661" s="6">
        <v>98.74</v>
      </c>
      <c r="P661" s="6">
        <v>98.83</v>
      </c>
      <c r="Q661" s="6">
        <v>98.81</v>
      </c>
      <c r="R661" s="6">
        <v>98.73</v>
      </c>
    </row>
    <row r="662" spans="2:18">
      <c r="B662" s="6">
        <v>32225</v>
      </c>
      <c r="C662" s="6" t="s">
        <v>155</v>
      </c>
      <c r="D662" s="6">
        <v>97.5</v>
      </c>
      <c r="E662" s="6">
        <v>98.08</v>
      </c>
      <c r="F662" s="6">
        <v>97.44</v>
      </c>
      <c r="G662" s="6">
        <v>98.03</v>
      </c>
      <c r="H662" s="6">
        <v>98.12</v>
      </c>
      <c r="I662" s="6">
        <v>98.05</v>
      </c>
      <c r="J662" s="6">
        <v>97.72</v>
      </c>
      <c r="K662" s="6">
        <v>97.84</v>
      </c>
      <c r="L662" s="6">
        <v>97.75</v>
      </c>
      <c r="M662" s="6">
        <v>97.72</v>
      </c>
      <c r="N662" s="6">
        <v>97.83</v>
      </c>
      <c r="O662" s="6">
        <v>97.74</v>
      </c>
      <c r="P662" s="6">
        <v>97.73</v>
      </c>
      <c r="Q662" s="6">
        <v>97.84</v>
      </c>
      <c r="R662" s="6">
        <v>97.75</v>
      </c>
    </row>
    <row r="663" spans="2:18">
      <c r="B663" s="6">
        <v>32225</v>
      </c>
      <c r="C663" s="6" t="s">
        <v>155</v>
      </c>
      <c r="D663" s="6">
        <v>99.48</v>
      </c>
      <c r="E663" s="6">
        <v>98.11</v>
      </c>
      <c r="F663" s="6">
        <v>98.06</v>
      </c>
      <c r="G663" s="6">
        <v>98.04</v>
      </c>
      <c r="H663" s="6">
        <v>97.78</v>
      </c>
      <c r="I663" s="6">
        <v>97.69</v>
      </c>
      <c r="J663" s="6">
        <v>98.01</v>
      </c>
      <c r="K663" s="6">
        <v>97.7</v>
      </c>
      <c r="L663" s="6">
        <v>97.61</v>
      </c>
      <c r="M663" s="6">
        <v>98.02</v>
      </c>
      <c r="N663" s="6">
        <v>97.7</v>
      </c>
      <c r="O663" s="6">
        <v>97.61</v>
      </c>
      <c r="P663" s="6">
        <v>98.02</v>
      </c>
      <c r="Q663" s="6">
        <v>97.7</v>
      </c>
      <c r="R663" s="6">
        <v>97.61</v>
      </c>
    </row>
    <row r="664" spans="2:18">
      <c r="B664" s="6">
        <v>32238</v>
      </c>
      <c r="C664" s="6" t="s">
        <v>1089</v>
      </c>
      <c r="D664" s="6">
        <v>99.31</v>
      </c>
      <c r="E664" s="6">
        <v>99.31</v>
      </c>
      <c r="F664" s="6">
        <v>99.31</v>
      </c>
      <c r="G664" s="6">
        <v>98.91</v>
      </c>
      <c r="H664" s="6">
        <v>98.92</v>
      </c>
      <c r="I664" s="6">
        <v>98.82</v>
      </c>
      <c r="J664" s="6">
        <v>98.86</v>
      </c>
      <c r="K664" s="6">
        <v>98.85</v>
      </c>
      <c r="L664" s="6">
        <v>98.75</v>
      </c>
      <c r="M664" s="6">
        <v>98.86</v>
      </c>
      <c r="N664" s="6">
        <v>98.82</v>
      </c>
      <c r="O664" s="6">
        <v>98.74</v>
      </c>
      <c r="P664" s="6">
        <v>98.83</v>
      </c>
      <c r="Q664" s="6">
        <v>98.81</v>
      </c>
      <c r="R664" s="6">
        <v>98.73</v>
      </c>
    </row>
    <row r="665" spans="2:18">
      <c r="B665" s="6">
        <v>32238</v>
      </c>
      <c r="C665" s="6" t="s">
        <v>1089</v>
      </c>
      <c r="D665" s="6">
        <v>98.31</v>
      </c>
      <c r="E665" s="6">
        <v>98.31</v>
      </c>
      <c r="F665" s="6">
        <v>98.31</v>
      </c>
      <c r="G665" s="6">
        <v>97.15</v>
      </c>
      <c r="H665" s="6">
        <v>97.15</v>
      </c>
      <c r="I665" s="6">
        <v>97.15</v>
      </c>
      <c r="J665" s="6">
        <v>97.15</v>
      </c>
      <c r="K665" s="6">
        <v>97.15</v>
      </c>
      <c r="L665" s="6">
        <v>97.15</v>
      </c>
      <c r="M665" s="6">
        <v>97.15</v>
      </c>
      <c r="N665" s="6">
        <v>97.15</v>
      </c>
      <c r="O665" s="6">
        <v>97.15</v>
      </c>
      <c r="P665" s="6">
        <v>97.69</v>
      </c>
      <c r="Q665" s="6">
        <v>98.01</v>
      </c>
      <c r="R665" s="6">
        <v>98.3</v>
      </c>
    </row>
    <row r="666" spans="2:18">
      <c r="B666" s="6">
        <v>32240</v>
      </c>
      <c r="C666" s="6" t="s">
        <v>1058</v>
      </c>
      <c r="D666" s="6">
        <v>99.22</v>
      </c>
      <c r="E666" s="6">
        <v>99.22</v>
      </c>
      <c r="F666" s="6">
        <v>99.22</v>
      </c>
      <c r="G666" s="6">
        <v>98.91</v>
      </c>
      <c r="H666" s="6">
        <v>98.92</v>
      </c>
      <c r="I666" s="6">
        <v>98.82</v>
      </c>
      <c r="J666" s="6">
        <v>98.86</v>
      </c>
      <c r="K666" s="6">
        <v>98.85</v>
      </c>
      <c r="L666" s="6">
        <v>98.75</v>
      </c>
      <c r="M666" s="6">
        <v>98.86</v>
      </c>
      <c r="N666" s="6">
        <v>98.82</v>
      </c>
      <c r="O666" s="6">
        <v>98.74</v>
      </c>
      <c r="P666" s="6">
        <v>98.83</v>
      </c>
      <c r="Q666" s="6">
        <v>98.81</v>
      </c>
      <c r="R666" s="6">
        <v>98.73</v>
      </c>
    </row>
    <row r="667" spans="2:18">
      <c r="B667" s="6">
        <v>32240</v>
      </c>
      <c r="C667" s="6" t="s">
        <v>1058</v>
      </c>
      <c r="D667" s="6">
        <v>98.08</v>
      </c>
      <c r="E667" s="6">
        <v>98.08</v>
      </c>
      <c r="F667" s="6">
        <v>98.08</v>
      </c>
      <c r="G667" s="6">
        <v>97.15</v>
      </c>
      <c r="H667" s="6">
        <v>97.15</v>
      </c>
      <c r="I667" s="6">
        <v>97.15</v>
      </c>
      <c r="J667" s="6">
        <v>97.15</v>
      </c>
      <c r="K667" s="6">
        <v>97.15</v>
      </c>
      <c r="L667" s="6">
        <v>97.15</v>
      </c>
      <c r="M667" s="6">
        <v>97.15</v>
      </c>
      <c r="N667" s="6">
        <v>97.15</v>
      </c>
      <c r="O667" s="6">
        <v>97.15</v>
      </c>
      <c r="P667" s="6">
        <v>97.69</v>
      </c>
      <c r="Q667" s="6">
        <v>98.01</v>
      </c>
      <c r="R667" s="6">
        <v>98.3</v>
      </c>
    </row>
    <row r="668" spans="2:18">
      <c r="B668" s="6">
        <v>32241</v>
      </c>
      <c r="C668" s="6" t="s">
        <v>1113</v>
      </c>
      <c r="D668" s="6">
        <v>97.14</v>
      </c>
      <c r="E668" s="6">
        <v>97.14</v>
      </c>
      <c r="F668" s="6">
        <v>97.14</v>
      </c>
      <c r="G668" s="6">
        <v>98.91</v>
      </c>
      <c r="H668" s="6">
        <v>98.92</v>
      </c>
      <c r="I668" s="6">
        <v>98.82</v>
      </c>
      <c r="J668" s="6">
        <v>98.86</v>
      </c>
      <c r="K668" s="6">
        <v>98.85</v>
      </c>
      <c r="L668" s="6">
        <v>98.75</v>
      </c>
      <c r="M668" s="6">
        <v>98.86</v>
      </c>
      <c r="N668" s="6">
        <v>98.82</v>
      </c>
      <c r="O668" s="6">
        <v>98.74</v>
      </c>
      <c r="P668" s="6">
        <v>98.83</v>
      </c>
      <c r="Q668" s="6">
        <v>98.81</v>
      </c>
      <c r="R668" s="6">
        <v>98.73</v>
      </c>
    </row>
    <row r="669" spans="2:18">
      <c r="B669" s="6">
        <v>32241</v>
      </c>
      <c r="C669" s="6" t="s">
        <v>1113</v>
      </c>
      <c r="D669" s="6">
        <v>93.33</v>
      </c>
      <c r="E669" s="6">
        <v>93.33</v>
      </c>
      <c r="F669" s="6">
        <v>93.33</v>
      </c>
      <c r="G669" s="6">
        <v>97.15</v>
      </c>
      <c r="H669" s="6">
        <v>97.15</v>
      </c>
      <c r="I669" s="6">
        <v>97.15</v>
      </c>
      <c r="J669" s="6">
        <v>97.15</v>
      </c>
      <c r="K669" s="6">
        <v>97.15</v>
      </c>
      <c r="L669" s="6">
        <v>97.15</v>
      </c>
      <c r="M669" s="6">
        <v>97.15</v>
      </c>
      <c r="N669" s="6">
        <v>97.15</v>
      </c>
      <c r="O669" s="6">
        <v>97.15</v>
      </c>
      <c r="P669" s="6">
        <v>97.69</v>
      </c>
      <c r="Q669" s="6">
        <v>98.01</v>
      </c>
      <c r="R669" s="6">
        <v>98.3</v>
      </c>
    </row>
    <row r="670" spans="2:18">
      <c r="B670" s="6">
        <v>32242</v>
      </c>
      <c r="C670" s="6" t="s">
        <v>1079</v>
      </c>
      <c r="D670" s="6">
        <v>98.82</v>
      </c>
      <c r="E670" s="6">
        <v>98.82</v>
      </c>
      <c r="F670" s="6">
        <v>98.82</v>
      </c>
      <c r="G670" s="6">
        <v>98.91</v>
      </c>
      <c r="H670" s="6">
        <v>98.92</v>
      </c>
      <c r="I670" s="6">
        <v>98.82</v>
      </c>
      <c r="J670" s="6">
        <v>98.86</v>
      </c>
      <c r="K670" s="6">
        <v>98.85</v>
      </c>
      <c r="L670" s="6">
        <v>98.75</v>
      </c>
      <c r="M670" s="6">
        <v>98.86</v>
      </c>
      <c r="N670" s="6">
        <v>98.82</v>
      </c>
      <c r="O670" s="6">
        <v>98.74</v>
      </c>
      <c r="P670" s="6">
        <v>98.83</v>
      </c>
      <c r="Q670" s="6">
        <v>98.81</v>
      </c>
      <c r="R670" s="6">
        <v>98.73</v>
      </c>
    </row>
    <row r="671" spans="2:18">
      <c r="B671" s="6">
        <v>32242</v>
      </c>
      <c r="C671" s="6" t="s">
        <v>1079</v>
      </c>
      <c r="D671" s="6">
        <v>97.13</v>
      </c>
      <c r="E671" s="6">
        <v>97.13</v>
      </c>
      <c r="F671" s="6">
        <v>97.13</v>
      </c>
      <c r="G671" s="6">
        <v>97.15</v>
      </c>
      <c r="H671" s="6">
        <v>97.15</v>
      </c>
      <c r="I671" s="6">
        <v>97.15</v>
      </c>
      <c r="J671" s="6">
        <v>97.15</v>
      </c>
      <c r="K671" s="6">
        <v>97.15</v>
      </c>
      <c r="L671" s="6">
        <v>97.15</v>
      </c>
      <c r="M671" s="6">
        <v>97.15</v>
      </c>
      <c r="N671" s="6">
        <v>97.15</v>
      </c>
      <c r="O671" s="6">
        <v>97.15</v>
      </c>
      <c r="P671" s="6">
        <v>97.69</v>
      </c>
      <c r="Q671" s="6">
        <v>98.01</v>
      </c>
      <c r="R671" s="6">
        <v>98.3</v>
      </c>
    </row>
    <row r="672" spans="2:18">
      <c r="B672" s="6">
        <v>32244</v>
      </c>
      <c r="C672" s="6" t="s">
        <v>157</v>
      </c>
      <c r="D672" s="6">
        <v>0</v>
      </c>
      <c r="E672" s="6">
        <v>98.81</v>
      </c>
      <c r="F672" s="6">
        <v>98.81</v>
      </c>
      <c r="G672" s="6">
        <v>98.48</v>
      </c>
      <c r="H672" s="6">
        <v>98.4</v>
      </c>
      <c r="I672" s="6">
        <v>98.25</v>
      </c>
      <c r="J672" s="6">
        <v>98.64</v>
      </c>
      <c r="K672" s="6">
        <v>98.48</v>
      </c>
      <c r="L672" s="6">
        <v>98.3</v>
      </c>
      <c r="M672" s="6">
        <v>98.62</v>
      </c>
      <c r="N672" s="6">
        <v>98.46</v>
      </c>
      <c r="O672" s="6">
        <v>98.28</v>
      </c>
      <c r="P672" s="6">
        <v>98.52</v>
      </c>
      <c r="Q672" s="6">
        <v>98.45</v>
      </c>
      <c r="R672" s="6">
        <v>98.28</v>
      </c>
    </row>
    <row r="673" spans="2:18">
      <c r="B673" s="6">
        <v>32244</v>
      </c>
      <c r="C673" s="6" t="s">
        <v>157</v>
      </c>
      <c r="D673" s="6">
        <v>0</v>
      </c>
      <c r="E673" s="6">
        <v>98.83</v>
      </c>
      <c r="F673" s="6">
        <v>98.83</v>
      </c>
      <c r="G673" s="6">
        <v>98.72</v>
      </c>
      <c r="H673" s="6">
        <v>98.71</v>
      </c>
      <c r="I673" s="6">
        <v>98.75</v>
      </c>
      <c r="J673" s="6">
        <v>98.77</v>
      </c>
      <c r="K673" s="6">
        <v>98.75</v>
      </c>
      <c r="L673" s="6">
        <v>98.72</v>
      </c>
      <c r="M673" s="6">
        <v>98.71</v>
      </c>
      <c r="N673" s="6">
        <v>98.7</v>
      </c>
      <c r="O673" s="6">
        <v>98.68</v>
      </c>
      <c r="P673" s="6">
        <v>98.71</v>
      </c>
      <c r="Q673" s="6">
        <v>98.7</v>
      </c>
      <c r="R673" s="6">
        <v>98.68</v>
      </c>
    </row>
    <row r="674" spans="2:18">
      <c r="B674" s="6">
        <v>32244</v>
      </c>
      <c r="C674" s="6" t="s">
        <v>157</v>
      </c>
      <c r="D674" s="6">
        <v>0</v>
      </c>
      <c r="E674" s="6">
        <v>98.84</v>
      </c>
      <c r="F674" s="6">
        <v>98.84</v>
      </c>
      <c r="G674" s="6">
        <v>97.43</v>
      </c>
      <c r="H674" s="6">
        <v>97.49</v>
      </c>
      <c r="I674" s="6">
        <v>97.36</v>
      </c>
      <c r="J674" s="6">
        <v>97.72</v>
      </c>
      <c r="K674" s="6">
        <v>97.84</v>
      </c>
      <c r="L674" s="6">
        <v>97.75</v>
      </c>
      <c r="M674" s="6">
        <v>97.72</v>
      </c>
      <c r="N674" s="6">
        <v>97.83</v>
      </c>
      <c r="O674" s="6">
        <v>97.74</v>
      </c>
      <c r="P674" s="6">
        <v>97.73</v>
      </c>
      <c r="Q674" s="6">
        <v>97.84</v>
      </c>
      <c r="R674" s="6">
        <v>97.75</v>
      </c>
    </row>
    <row r="675" spans="2:18">
      <c r="B675" s="6">
        <v>32244</v>
      </c>
      <c r="C675" s="6" t="s">
        <v>157</v>
      </c>
      <c r="D675" s="6">
        <v>0</v>
      </c>
      <c r="E675" s="6">
        <v>95.95</v>
      </c>
      <c r="F675" s="6">
        <v>95.95</v>
      </c>
      <c r="G675" s="6">
        <v>97.88</v>
      </c>
      <c r="H675" s="6">
        <v>97.7</v>
      </c>
      <c r="I675" s="6">
        <v>97.56</v>
      </c>
      <c r="J675" s="6">
        <v>98.01</v>
      </c>
      <c r="K675" s="6">
        <v>97.7</v>
      </c>
      <c r="L675" s="6">
        <v>97.61</v>
      </c>
      <c r="M675" s="6">
        <v>98.02</v>
      </c>
      <c r="N675" s="6">
        <v>97.7</v>
      </c>
      <c r="O675" s="6">
        <v>97.61</v>
      </c>
      <c r="P675" s="6">
        <v>98.02</v>
      </c>
      <c r="Q675" s="6">
        <v>97.7</v>
      </c>
      <c r="R675" s="6">
        <v>97.61</v>
      </c>
    </row>
    <row r="676" spans="2:18">
      <c r="B676" s="6">
        <v>32247</v>
      </c>
      <c r="C676" s="6" t="s">
        <v>158</v>
      </c>
      <c r="D676" s="6">
        <v>0</v>
      </c>
      <c r="E676" s="6">
        <v>98.74</v>
      </c>
      <c r="F676" s="6">
        <v>98.84</v>
      </c>
      <c r="G676" s="6">
        <v>98.74</v>
      </c>
      <c r="H676" s="6">
        <v>98.55</v>
      </c>
      <c r="I676" s="6">
        <v>98.22</v>
      </c>
      <c r="J676" s="6">
        <v>98.64</v>
      </c>
      <c r="K676" s="6">
        <v>98.48</v>
      </c>
      <c r="L676" s="6">
        <v>98.3</v>
      </c>
      <c r="M676" s="6">
        <v>98.62</v>
      </c>
      <c r="N676" s="6">
        <v>98.46</v>
      </c>
      <c r="O676" s="6">
        <v>98.28</v>
      </c>
      <c r="P676" s="6">
        <v>98.52</v>
      </c>
      <c r="Q676" s="6">
        <v>98.45</v>
      </c>
      <c r="R676" s="6">
        <v>98.28</v>
      </c>
    </row>
    <row r="677" spans="2:18">
      <c r="B677" s="6">
        <v>32247</v>
      </c>
      <c r="C677" s="6" t="s">
        <v>158</v>
      </c>
      <c r="D677" s="6">
        <v>0</v>
      </c>
      <c r="E677" s="6">
        <v>99.2</v>
      </c>
      <c r="F677" s="6">
        <v>99.2</v>
      </c>
      <c r="G677" s="6">
        <v>98.85</v>
      </c>
      <c r="H677" s="6">
        <v>98.85</v>
      </c>
      <c r="I677" s="6">
        <v>98.64</v>
      </c>
      <c r="J677" s="6">
        <v>98.86</v>
      </c>
      <c r="K677" s="6">
        <v>98.85</v>
      </c>
      <c r="L677" s="6">
        <v>98.75</v>
      </c>
      <c r="M677" s="6">
        <v>98.86</v>
      </c>
      <c r="N677" s="6">
        <v>98.82</v>
      </c>
      <c r="O677" s="6">
        <v>98.74</v>
      </c>
      <c r="P677" s="6">
        <v>98.83</v>
      </c>
      <c r="Q677" s="6">
        <v>98.81</v>
      </c>
      <c r="R677" s="6">
        <v>98.73</v>
      </c>
    </row>
    <row r="678" spans="2:18">
      <c r="B678" s="6">
        <v>32247</v>
      </c>
      <c r="C678" s="6" t="s">
        <v>158</v>
      </c>
      <c r="D678" s="6">
        <v>0</v>
      </c>
      <c r="E678" s="6">
        <v>98.23</v>
      </c>
      <c r="F678" s="6">
        <v>98.3</v>
      </c>
      <c r="G678" s="6">
        <v>97.49</v>
      </c>
      <c r="H678" s="6">
        <v>97.66</v>
      </c>
      <c r="I678" s="6">
        <v>97.52</v>
      </c>
      <c r="J678" s="6">
        <v>97.72</v>
      </c>
      <c r="K678" s="6">
        <v>97.84</v>
      </c>
      <c r="L678" s="6">
        <v>97.75</v>
      </c>
      <c r="M678" s="6">
        <v>97.72</v>
      </c>
      <c r="N678" s="6">
        <v>97.83</v>
      </c>
      <c r="O678" s="6">
        <v>97.74</v>
      </c>
      <c r="P678" s="6">
        <v>97.73</v>
      </c>
      <c r="Q678" s="6">
        <v>97.84</v>
      </c>
      <c r="R678" s="6">
        <v>97.75</v>
      </c>
    </row>
    <row r="679" spans="2:18">
      <c r="B679" s="6">
        <v>32247</v>
      </c>
      <c r="C679" s="6" t="s">
        <v>158</v>
      </c>
      <c r="D679" s="6">
        <v>0</v>
      </c>
      <c r="E679" s="6">
        <v>98.34</v>
      </c>
      <c r="F679" s="6">
        <v>98.49</v>
      </c>
      <c r="G679" s="6">
        <v>98.15</v>
      </c>
      <c r="H679" s="6">
        <v>97.53</v>
      </c>
      <c r="I679" s="6">
        <v>97.49</v>
      </c>
      <c r="J679" s="6">
        <v>98.01</v>
      </c>
      <c r="K679" s="6">
        <v>97.7</v>
      </c>
      <c r="L679" s="6">
        <v>97.61</v>
      </c>
      <c r="M679" s="6">
        <v>98.02</v>
      </c>
      <c r="N679" s="6">
        <v>97.7</v>
      </c>
      <c r="O679" s="6">
        <v>97.61</v>
      </c>
      <c r="P679" s="6">
        <v>98.02</v>
      </c>
      <c r="Q679" s="6">
        <v>97.7</v>
      </c>
      <c r="R679" s="6">
        <v>97.61</v>
      </c>
    </row>
    <row r="680" spans="2:18">
      <c r="B680" s="6">
        <v>32252</v>
      </c>
      <c r="C680" s="6" t="s">
        <v>336</v>
      </c>
      <c r="D680" s="6">
        <v>0</v>
      </c>
      <c r="E680" s="6">
        <v>0</v>
      </c>
      <c r="F680" s="6">
        <v>97.92</v>
      </c>
      <c r="G680" s="6">
        <v>97.07</v>
      </c>
      <c r="H680" s="6">
        <v>94.76</v>
      </c>
      <c r="I680" s="6">
        <v>95.55</v>
      </c>
      <c r="J680" s="6">
        <v>98.23</v>
      </c>
      <c r="K680" s="6">
        <v>98.19</v>
      </c>
      <c r="L680" s="6">
        <v>98.1</v>
      </c>
      <c r="M680" s="6">
        <v>98.23</v>
      </c>
      <c r="N680" s="6">
        <v>98.19</v>
      </c>
      <c r="O680" s="6">
        <v>98.1</v>
      </c>
      <c r="P680" s="6">
        <v>98.04</v>
      </c>
      <c r="Q680" s="6">
        <v>98.09</v>
      </c>
      <c r="R680" s="6">
        <v>97.91</v>
      </c>
    </row>
    <row r="681" spans="2:18">
      <c r="B681" s="6">
        <v>32252</v>
      </c>
      <c r="C681" s="6" t="s">
        <v>336</v>
      </c>
      <c r="D681" s="6">
        <v>0</v>
      </c>
      <c r="E681" s="6">
        <v>0</v>
      </c>
      <c r="F681" s="6">
        <v>98.15</v>
      </c>
      <c r="G681" s="6">
        <v>89.16</v>
      </c>
      <c r="H681" s="6">
        <v>90.71</v>
      </c>
      <c r="I681" s="6">
        <v>96</v>
      </c>
      <c r="J681" s="6">
        <v>89.16</v>
      </c>
      <c r="K681" s="6">
        <v>92.29</v>
      </c>
      <c r="L681" s="6">
        <v>95.48</v>
      </c>
      <c r="M681" s="6">
        <v>89.16</v>
      </c>
      <c r="N681" s="6">
        <v>92.29</v>
      </c>
      <c r="O681" s="6">
        <v>95.48</v>
      </c>
      <c r="P681" s="6">
        <v>89.16</v>
      </c>
      <c r="Q681" s="6">
        <v>92.29</v>
      </c>
      <c r="R681" s="6">
        <v>95.48</v>
      </c>
    </row>
    <row r="682" spans="2:18">
      <c r="B682" s="6">
        <v>32252</v>
      </c>
      <c r="C682" s="6" t="s">
        <v>336</v>
      </c>
      <c r="D682" s="6">
        <v>0</v>
      </c>
      <c r="E682" s="6">
        <v>0</v>
      </c>
      <c r="F682" s="6">
        <v>90.57</v>
      </c>
      <c r="G682" s="6">
        <v>78.87</v>
      </c>
      <c r="H682" s="6">
        <v>91.66</v>
      </c>
      <c r="I682" s="6">
        <v>96.42</v>
      </c>
      <c r="J682" s="6">
        <v>99.26</v>
      </c>
      <c r="K682" s="6">
        <v>99.39</v>
      </c>
      <c r="L682" s="6">
        <v>99.39</v>
      </c>
      <c r="M682" s="6">
        <v>99.26</v>
      </c>
      <c r="N682" s="6">
        <v>99.39</v>
      </c>
      <c r="O682" s="6">
        <v>99.39</v>
      </c>
      <c r="P682" s="6">
        <v>99.26</v>
      </c>
      <c r="Q682" s="6">
        <v>99.39</v>
      </c>
      <c r="R682" s="6">
        <v>99.39</v>
      </c>
    </row>
    <row r="683" spans="2:18">
      <c r="B683" s="6">
        <v>32252</v>
      </c>
      <c r="C683" s="6" t="s">
        <v>336</v>
      </c>
      <c r="D683" s="6">
        <v>0</v>
      </c>
      <c r="E683" s="6">
        <v>0</v>
      </c>
      <c r="F683" s="6">
        <v>91.53</v>
      </c>
      <c r="G683" s="6">
        <v>89.78</v>
      </c>
      <c r="H683" s="6">
        <v>89.78</v>
      </c>
      <c r="I683" s="6">
        <v>97.82</v>
      </c>
      <c r="J683" s="6">
        <v>89.78</v>
      </c>
      <c r="K683" s="6">
        <v>89.78</v>
      </c>
      <c r="L683" s="6">
        <v>97.82</v>
      </c>
      <c r="M683" s="6">
        <v>89.78</v>
      </c>
      <c r="N683" s="6">
        <v>89.78</v>
      </c>
      <c r="O683" s="6">
        <v>97.82</v>
      </c>
      <c r="P683" s="6">
        <v>89.78</v>
      </c>
      <c r="Q683" s="6">
        <v>89.78</v>
      </c>
      <c r="R683" s="6">
        <v>97.82</v>
      </c>
    </row>
    <row r="684" spans="2:18">
      <c r="B684" s="6">
        <v>32254</v>
      </c>
      <c r="C684" s="6" t="s">
        <v>245</v>
      </c>
      <c r="D684" s="6">
        <v>0</v>
      </c>
      <c r="E684" s="6">
        <v>99.18</v>
      </c>
      <c r="F684" s="6">
        <v>99.18</v>
      </c>
      <c r="G684" s="6">
        <v>97.07</v>
      </c>
      <c r="H684" s="6">
        <v>94.76</v>
      </c>
      <c r="I684" s="6">
        <v>95.55</v>
      </c>
      <c r="J684" s="6">
        <v>98.23</v>
      </c>
      <c r="K684" s="6">
        <v>98.19</v>
      </c>
      <c r="L684" s="6">
        <v>98.1</v>
      </c>
      <c r="M684" s="6">
        <v>98.23</v>
      </c>
      <c r="N684" s="6">
        <v>98.19</v>
      </c>
      <c r="O684" s="6">
        <v>98.1</v>
      </c>
      <c r="P684" s="6">
        <v>98.04</v>
      </c>
      <c r="Q684" s="6">
        <v>98.09</v>
      </c>
      <c r="R684" s="6">
        <v>97.91</v>
      </c>
    </row>
    <row r="685" spans="2:18">
      <c r="B685" s="6">
        <v>32254</v>
      </c>
      <c r="C685" s="6" t="s">
        <v>245</v>
      </c>
      <c r="D685" s="6">
        <v>0</v>
      </c>
      <c r="E685" s="6">
        <v>98.99</v>
      </c>
      <c r="F685" s="6">
        <v>98.99</v>
      </c>
      <c r="G685" s="6">
        <v>78.87</v>
      </c>
      <c r="H685" s="6">
        <v>91.66</v>
      </c>
      <c r="I685" s="6">
        <v>96.42</v>
      </c>
      <c r="J685" s="6">
        <v>99.26</v>
      </c>
      <c r="K685" s="6">
        <v>99.39</v>
      </c>
      <c r="L685" s="6">
        <v>99.39</v>
      </c>
      <c r="M685" s="6">
        <v>99.26</v>
      </c>
      <c r="N685" s="6">
        <v>99.39</v>
      </c>
      <c r="O685" s="6">
        <v>99.39</v>
      </c>
      <c r="P685" s="6">
        <v>99.26</v>
      </c>
      <c r="Q685" s="6">
        <v>99.39</v>
      </c>
      <c r="R685" s="6">
        <v>99.39</v>
      </c>
    </row>
    <row r="686" spans="2:18">
      <c r="B686" s="6">
        <v>32254</v>
      </c>
      <c r="C686" s="6" t="s">
        <v>245</v>
      </c>
      <c r="D686" s="6">
        <v>0</v>
      </c>
      <c r="E686" s="6">
        <v>99</v>
      </c>
      <c r="F686" s="6">
        <v>99</v>
      </c>
      <c r="G686" s="6">
        <v>0</v>
      </c>
      <c r="H686" s="6">
        <v>99</v>
      </c>
      <c r="I686" s="6">
        <v>99</v>
      </c>
      <c r="J686" s="6">
        <v>0</v>
      </c>
      <c r="K686" s="6">
        <v>99.39</v>
      </c>
      <c r="L686" s="6">
        <v>97.81</v>
      </c>
      <c r="M686" s="6">
        <v>0</v>
      </c>
      <c r="N686" s="6">
        <v>99.39</v>
      </c>
      <c r="O686" s="6">
        <v>97.81</v>
      </c>
      <c r="P686" s="6">
        <v>64.22</v>
      </c>
      <c r="Q686" s="6">
        <v>89.74</v>
      </c>
      <c r="R686" s="6">
        <v>82.9</v>
      </c>
    </row>
    <row r="687" spans="2:18">
      <c r="B687" s="6">
        <v>32257</v>
      </c>
      <c r="C687" s="6" t="s">
        <v>545</v>
      </c>
      <c r="D687" s="6">
        <v>0</v>
      </c>
      <c r="E687" s="6">
        <v>0</v>
      </c>
      <c r="F687" s="6">
        <v>96.47</v>
      </c>
      <c r="G687" s="6">
        <v>98.74</v>
      </c>
      <c r="H687" s="6">
        <v>98.55</v>
      </c>
      <c r="I687" s="6">
        <v>98.22</v>
      </c>
      <c r="J687" s="6">
        <v>98.64</v>
      </c>
      <c r="K687" s="6">
        <v>98.48</v>
      </c>
      <c r="L687" s="6">
        <v>98.3</v>
      </c>
      <c r="M687" s="6">
        <v>98.62</v>
      </c>
      <c r="N687" s="6">
        <v>98.46</v>
      </c>
      <c r="O687" s="6">
        <v>98.28</v>
      </c>
      <c r="P687" s="6">
        <v>98.52</v>
      </c>
      <c r="Q687" s="6">
        <v>98.45</v>
      </c>
      <c r="R687" s="6">
        <v>98.28</v>
      </c>
    </row>
    <row r="688" spans="2:18">
      <c r="B688" s="6">
        <v>32257</v>
      </c>
      <c r="C688" s="6" t="s">
        <v>545</v>
      </c>
      <c r="D688" s="6">
        <v>0</v>
      </c>
      <c r="E688" s="6">
        <v>0</v>
      </c>
      <c r="F688" s="6">
        <v>98.84</v>
      </c>
      <c r="G688" s="6">
        <v>98.78</v>
      </c>
      <c r="H688" s="6">
        <v>98.67</v>
      </c>
      <c r="I688" s="6">
        <v>98.6</v>
      </c>
      <c r="J688" s="6">
        <v>98.77</v>
      </c>
      <c r="K688" s="6">
        <v>98.75</v>
      </c>
      <c r="L688" s="6">
        <v>98.72</v>
      </c>
      <c r="M688" s="6">
        <v>98.71</v>
      </c>
      <c r="N688" s="6">
        <v>98.7</v>
      </c>
      <c r="O688" s="6">
        <v>98.68</v>
      </c>
      <c r="P688" s="6">
        <v>98.71</v>
      </c>
      <c r="Q688" s="6">
        <v>98.7</v>
      </c>
      <c r="R688" s="6">
        <v>98.68</v>
      </c>
    </row>
    <row r="689" spans="2:18">
      <c r="B689" s="6">
        <v>32257</v>
      </c>
      <c r="C689" s="6" t="s">
        <v>545</v>
      </c>
      <c r="D689" s="6">
        <v>0</v>
      </c>
      <c r="E689" s="6">
        <v>0</v>
      </c>
      <c r="F689" s="6">
        <v>97.18</v>
      </c>
      <c r="G689" s="6">
        <v>97.49</v>
      </c>
      <c r="H689" s="6">
        <v>97.66</v>
      </c>
      <c r="I689" s="6">
        <v>97.52</v>
      </c>
      <c r="J689" s="6">
        <v>97.72</v>
      </c>
      <c r="K689" s="6">
        <v>97.84</v>
      </c>
      <c r="L689" s="6">
        <v>97.75</v>
      </c>
      <c r="M689" s="6">
        <v>97.72</v>
      </c>
      <c r="N689" s="6">
        <v>97.83</v>
      </c>
      <c r="O689" s="6">
        <v>97.74</v>
      </c>
      <c r="P689" s="6">
        <v>97.73</v>
      </c>
      <c r="Q689" s="6">
        <v>97.84</v>
      </c>
      <c r="R689" s="6">
        <v>97.75</v>
      </c>
    </row>
    <row r="690" spans="2:18">
      <c r="B690" s="6">
        <v>32257</v>
      </c>
      <c r="C690" s="6" t="s">
        <v>545</v>
      </c>
      <c r="D690" s="6">
        <v>0</v>
      </c>
      <c r="E690" s="6">
        <v>0</v>
      </c>
      <c r="F690" s="6">
        <v>95.12</v>
      </c>
      <c r="G690" s="6">
        <v>98.15</v>
      </c>
      <c r="H690" s="6">
        <v>97.53</v>
      </c>
      <c r="I690" s="6">
        <v>97.49</v>
      </c>
      <c r="J690" s="6">
        <v>98.01</v>
      </c>
      <c r="K690" s="6">
        <v>97.7</v>
      </c>
      <c r="L690" s="6">
        <v>97.61</v>
      </c>
      <c r="M690" s="6">
        <v>98.02</v>
      </c>
      <c r="N690" s="6">
        <v>97.7</v>
      </c>
      <c r="O690" s="6">
        <v>97.61</v>
      </c>
      <c r="P690" s="6">
        <v>98.02</v>
      </c>
      <c r="Q690" s="6">
        <v>97.7</v>
      </c>
      <c r="R690" s="6">
        <v>97.61</v>
      </c>
    </row>
    <row r="691" spans="2:18">
      <c r="B691" s="6">
        <v>32259</v>
      </c>
      <c r="C691" s="6" t="s">
        <v>159</v>
      </c>
      <c r="D691" s="6">
        <v>0</v>
      </c>
      <c r="E691" s="6">
        <v>0</v>
      </c>
      <c r="F691" s="6">
        <v>98.7</v>
      </c>
      <c r="G691" s="6">
        <v>98.74</v>
      </c>
      <c r="H691" s="6">
        <v>98.55</v>
      </c>
      <c r="I691" s="6">
        <v>98.22</v>
      </c>
      <c r="J691" s="6">
        <v>98.64</v>
      </c>
      <c r="K691" s="6">
        <v>98.48</v>
      </c>
      <c r="L691" s="6">
        <v>98.3</v>
      </c>
      <c r="M691" s="6">
        <v>98.62</v>
      </c>
      <c r="N691" s="6">
        <v>98.46</v>
      </c>
      <c r="O691" s="6">
        <v>98.28</v>
      </c>
      <c r="P691" s="6">
        <v>98.52</v>
      </c>
      <c r="Q691" s="6">
        <v>98.45</v>
      </c>
      <c r="R691" s="6">
        <v>98.28</v>
      </c>
    </row>
    <row r="692" spans="2:18">
      <c r="B692" s="6">
        <v>32259</v>
      </c>
      <c r="C692" s="6" t="s">
        <v>159</v>
      </c>
      <c r="D692" s="6">
        <v>0</v>
      </c>
      <c r="E692" s="6">
        <v>0</v>
      </c>
      <c r="F692" s="6">
        <v>98.72</v>
      </c>
      <c r="G692" s="6">
        <v>98.78</v>
      </c>
      <c r="H692" s="6">
        <v>98.67</v>
      </c>
      <c r="I692" s="6">
        <v>98.6</v>
      </c>
      <c r="J692" s="6">
        <v>98.77</v>
      </c>
      <c r="K692" s="6">
        <v>98.75</v>
      </c>
      <c r="L692" s="6">
        <v>98.72</v>
      </c>
      <c r="M692" s="6">
        <v>98.71</v>
      </c>
      <c r="N692" s="6">
        <v>98.7</v>
      </c>
      <c r="O692" s="6">
        <v>98.68</v>
      </c>
      <c r="P692" s="6">
        <v>98.71</v>
      </c>
      <c r="Q692" s="6">
        <v>98.7</v>
      </c>
      <c r="R692" s="6">
        <v>98.68</v>
      </c>
    </row>
    <row r="693" spans="2:18">
      <c r="B693" s="6">
        <v>32259</v>
      </c>
      <c r="C693" s="6" t="s">
        <v>159</v>
      </c>
      <c r="D693" s="6">
        <v>0</v>
      </c>
      <c r="E693" s="6">
        <v>0</v>
      </c>
      <c r="F693" s="6">
        <v>96.89</v>
      </c>
      <c r="G693" s="6">
        <v>97.49</v>
      </c>
      <c r="H693" s="6">
        <v>97.66</v>
      </c>
      <c r="I693" s="6">
        <v>97.52</v>
      </c>
      <c r="J693" s="6">
        <v>97.72</v>
      </c>
      <c r="K693" s="6">
        <v>97.84</v>
      </c>
      <c r="L693" s="6">
        <v>97.75</v>
      </c>
      <c r="M693" s="6">
        <v>97.72</v>
      </c>
      <c r="N693" s="6">
        <v>97.83</v>
      </c>
      <c r="O693" s="6">
        <v>97.74</v>
      </c>
      <c r="P693" s="6">
        <v>97.73</v>
      </c>
      <c r="Q693" s="6">
        <v>97.84</v>
      </c>
      <c r="R693" s="6">
        <v>97.75</v>
      </c>
    </row>
    <row r="694" spans="2:18">
      <c r="B694" s="6">
        <v>32259</v>
      </c>
      <c r="C694" s="6" t="s">
        <v>159</v>
      </c>
      <c r="D694" s="6">
        <v>0</v>
      </c>
      <c r="E694" s="6">
        <v>0</v>
      </c>
      <c r="F694" s="6">
        <v>98.68</v>
      </c>
      <c r="G694" s="6">
        <v>98.15</v>
      </c>
      <c r="H694" s="6">
        <v>97.53</v>
      </c>
      <c r="I694" s="6">
        <v>97.49</v>
      </c>
      <c r="J694" s="6">
        <v>98.01</v>
      </c>
      <c r="K694" s="6">
        <v>97.7</v>
      </c>
      <c r="L694" s="6">
        <v>97.61</v>
      </c>
      <c r="M694" s="6">
        <v>98.02</v>
      </c>
      <c r="N694" s="6">
        <v>97.7</v>
      </c>
      <c r="O694" s="6">
        <v>97.61</v>
      </c>
      <c r="P694" s="6">
        <v>98.02</v>
      </c>
      <c r="Q694" s="6">
        <v>97.7</v>
      </c>
      <c r="R694" s="6">
        <v>97.61</v>
      </c>
    </row>
    <row r="695" spans="2:18">
      <c r="B695" s="6">
        <v>32260</v>
      </c>
      <c r="C695" s="6" t="s">
        <v>160</v>
      </c>
      <c r="D695" s="6">
        <v>99.1</v>
      </c>
      <c r="E695" s="6">
        <v>99.09</v>
      </c>
      <c r="F695" s="6">
        <v>98.2</v>
      </c>
      <c r="G695" s="6">
        <v>98.74</v>
      </c>
      <c r="H695" s="6">
        <v>98.55</v>
      </c>
      <c r="I695" s="6">
        <v>98.22</v>
      </c>
      <c r="J695" s="6">
        <v>98.64</v>
      </c>
      <c r="K695" s="6">
        <v>98.48</v>
      </c>
      <c r="L695" s="6">
        <v>98.3</v>
      </c>
      <c r="M695" s="6">
        <v>98.62</v>
      </c>
      <c r="N695" s="6">
        <v>98.46</v>
      </c>
      <c r="O695" s="6">
        <v>98.28</v>
      </c>
      <c r="P695" s="6">
        <v>98.52</v>
      </c>
      <c r="Q695" s="6">
        <v>98.45</v>
      </c>
      <c r="R695" s="6">
        <v>98.28</v>
      </c>
    </row>
    <row r="696" spans="2:18">
      <c r="B696" s="6">
        <v>32260</v>
      </c>
      <c r="C696" s="6" t="s">
        <v>160</v>
      </c>
      <c r="D696" s="6">
        <v>99.11</v>
      </c>
      <c r="E696" s="6">
        <v>97.95</v>
      </c>
      <c r="F696" s="6">
        <v>98.13</v>
      </c>
      <c r="G696" s="6">
        <v>98.78</v>
      </c>
      <c r="H696" s="6">
        <v>98.67</v>
      </c>
      <c r="I696" s="6">
        <v>98.6</v>
      </c>
      <c r="J696" s="6">
        <v>98.77</v>
      </c>
      <c r="K696" s="6">
        <v>98.75</v>
      </c>
      <c r="L696" s="6">
        <v>98.72</v>
      </c>
      <c r="M696" s="6">
        <v>98.71</v>
      </c>
      <c r="N696" s="6">
        <v>98.7</v>
      </c>
      <c r="O696" s="6">
        <v>98.68</v>
      </c>
      <c r="P696" s="6">
        <v>98.71</v>
      </c>
      <c r="Q696" s="6">
        <v>98.7</v>
      </c>
      <c r="R696" s="6">
        <v>98.68</v>
      </c>
    </row>
    <row r="697" spans="2:18">
      <c r="B697" s="6">
        <v>32260</v>
      </c>
      <c r="C697" s="6" t="s">
        <v>160</v>
      </c>
      <c r="D697" s="6">
        <v>97.76</v>
      </c>
      <c r="E697" s="6">
        <v>98.16</v>
      </c>
      <c r="F697" s="6">
        <v>97.72</v>
      </c>
      <c r="G697" s="6">
        <v>97.49</v>
      </c>
      <c r="H697" s="6">
        <v>97.66</v>
      </c>
      <c r="I697" s="6">
        <v>97.52</v>
      </c>
      <c r="J697" s="6">
        <v>97.72</v>
      </c>
      <c r="K697" s="6">
        <v>97.84</v>
      </c>
      <c r="L697" s="6">
        <v>97.75</v>
      </c>
      <c r="M697" s="6">
        <v>97.72</v>
      </c>
      <c r="N697" s="6">
        <v>97.83</v>
      </c>
      <c r="O697" s="6">
        <v>97.74</v>
      </c>
      <c r="P697" s="6">
        <v>97.73</v>
      </c>
      <c r="Q697" s="6">
        <v>97.84</v>
      </c>
      <c r="R697" s="6">
        <v>97.75</v>
      </c>
    </row>
    <row r="698" spans="2:18">
      <c r="B698" s="6">
        <v>32260</v>
      </c>
      <c r="C698" s="6" t="s">
        <v>160</v>
      </c>
      <c r="D698" s="6">
        <v>99.09</v>
      </c>
      <c r="E698" s="6">
        <v>98.25</v>
      </c>
      <c r="F698" s="6">
        <v>97.8</v>
      </c>
      <c r="G698" s="6">
        <v>98.15</v>
      </c>
      <c r="H698" s="6">
        <v>97.53</v>
      </c>
      <c r="I698" s="6">
        <v>97.49</v>
      </c>
      <c r="J698" s="6">
        <v>98.01</v>
      </c>
      <c r="K698" s="6">
        <v>97.7</v>
      </c>
      <c r="L698" s="6">
        <v>97.61</v>
      </c>
      <c r="M698" s="6">
        <v>98.02</v>
      </c>
      <c r="N698" s="6">
        <v>97.7</v>
      </c>
      <c r="O698" s="6">
        <v>97.61</v>
      </c>
      <c r="P698" s="6">
        <v>98.02</v>
      </c>
      <c r="Q698" s="6">
        <v>97.7</v>
      </c>
      <c r="R698" s="6">
        <v>97.61</v>
      </c>
    </row>
    <row r="699" spans="2:18">
      <c r="B699" s="6">
        <v>32261</v>
      </c>
      <c r="C699" s="6" t="s">
        <v>161</v>
      </c>
      <c r="D699" s="6">
        <v>98.57</v>
      </c>
      <c r="E699" s="6">
        <v>98.72</v>
      </c>
      <c r="F699" s="6">
        <v>98.23</v>
      </c>
      <c r="G699" s="6">
        <v>98.74</v>
      </c>
      <c r="H699" s="6">
        <v>98.55</v>
      </c>
      <c r="I699" s="6">
        <v>98.22</v>
      </c>
      <c r="J699" s="6">
        <v>98.64</v>
      </c>
      <c r="K699" s="6">
        <v>98.48</v>
      </c>
      <c r="L699" s="6">
        <v>98.3</v>
      </c>
      <c r="M699" s="6">
        <v>98.62</v>
      </c>
      <c r="N699" s="6">
        <v>98.46</v>
      </c>
      <c r="O699" s="6">
        <v>98.28</v>
      </c>
      <c r="P699" s="6">
        <v>98.52</v>
      </c>
      <c r="Q699" s="6">
        <v>98.45</v>
      </c>
      <c r="R699" s="6">
        <v>98.28</v>
      </c>
    </row>
    <row r="700" spans="2:18">
      <c r="B700" s="6">
        <v>32261</v>
      </c>
      <c r="C700" s="6" t="s">
        <v>161</v>
      </c>
      <c r="D700" s="6">
        <v>98.59</v>
      </c>
      <c r="E700" s="6">
        <v>98.72</v>
      </c>
      <c r="F700" s="6">
        <v>98.75</v>
      </c>
      <c r="G700" s="6">
        <v>98.78</v>
      </c>
      <c r="H700" s="6">
        <v>98.67</v>
      </c>
      <c r="I700" s="6">
        <v>98.6</v>
      </c>
      <c r="J700" s="6">
        <v>98.77</v>
      </c>
      <c r="K700" s="6">
        <v>98.75</v>
      </c>
      <c r="L700" s="6">
        <v>98.72</v>
      </c>
      <c r="M700" s="6">
        <v>98.71</v>
      </c>
      <c r="N700" s="6">
        <v>98.7</v>
      </c>
      <c r="O700" s="6">
        <v>98.68</v>
      </c>
      <c r="P700" s="6">
        <v>98.71</v>
      </c>
      <c r="Q700" s="6">
        <v>98.7</v>
      </c>
      <c r="R700" s="6">
        <v>98.68</v>
      </c>
    </row>
    <row r="701" spans="2:18">
      <c r="B701" s="6">
        <v>32261</v>
      </c>
      <c r="C701" s="6" t="s">
        <v>161</v>
      </c>
      <c r="D701" s="6">
        <v>96.38</v>
      </c>
      <c r="E701" s="6">
        <v>97.56</v>
      </c>
      <c r="F701" s="6">
        <v>98.05</v>
      </c>
      <c r="G701" s="6">
        <v>97.49</v>
      </c>
      <c r="H701" s="6">
        <v>97.66</v>
      </c>
      <c r="I701" s="6">
        <v>97.52</v>
      </c>
      <c r="J701" s="6">
        <v>97.72</v>
      </c>
      <c r="K701" s="6">
        <v>97.84</v>
      </c>
      <c r="L701" s="6">
        <v>97.75</v>
      </c>
      <c r="M701" s="6">
        <v>97.72</v>
      </c>
      <c r="N701" s="6">
        <v>97.83</v>
      </c>
      <c r="O701" s="6">
        <v>97.74</v>
      </c>
      <c r="P701" s="6">
        <v>97.73</v>
      </c>
      <c r="Q701" s="6">
        <v>97.84</v>
      </c>
      <c r="R701" s="6">
        <v>97.75</v>
      </c>
    </row>
    <row r="702" spans="2:18">
      <c r="B702" s="6">
        <v>32261</v>
      </c>
      <c r="C702" s="6" t="s">
        <v>161</v>
      </c>
      <c r="D702" s="6">
        <v>98.43</v>
      </c>
      <c r="E702" s="6">
        <v>97.92</v>
      </c>
      <c r="F702" s="6">
        <v>98.01</v>
      </c>
      <c r="G702" s="6">
        <v>98.15</v>
      </c>
      <c r="H702" s="6">
        <v>97.53</v>
      </c>
      <c r="I702" s="6">
        <v>97.49</v>
      </c>
      <c r="J702" s="6">
        <v>98.01</v>
      </c>
      <c r="K702" s="6">
        <v>97.7</v>
      </c>
      <c r="L702" s="6">
        <v>97.61</v>
      </c>
      <c r="M702" s="6">
        <v>98.02</v>
      </c>
      <c r="N702" s="6">
        <v>97.7</v>
      </c>
      <c r="O702" s="6">
        <v>97.61</v>
      </c>
      <c r="P702" s="6">
        <v>98.02</v>
      </c>
      <c r="Q702" s="6">
        <v>97.7</v>
      </c>
      <c r="R702" s="6">
        <v>97.61</v>
      </c>
    </row>
    <row r="703" spans="2:18">
      <c r="B703" s="6">
        <v>32262</v>
      </c>
      <c r="C703" s="6" t="s">
        <v>162</v>
      </c>
      <c r="D703" s="6">
        <v>0</v>
      </c>
      <c r="E703" s="6">
        <v>98.25</v>
      </c>
      <c r="F703" s="6">
        <v>96.34</v>
      </c>
      <c r="G703" s="6">
        <v>98.74</v>
      </c>
      <c r="H703" s="6">
        <v>98.55</v>
      </c>
      <c r="I703" s="6">
        <v>98.22</v>
      </c>
      <c r="J703" s="6">
        <v>98.64</v>
      </c>
      <c r="K703" s="6">
        <v>98.48</v>
      </c>
      <c r="L703" s="6">
        <v>98.3</v>
      </c>
      <c r="M703" s="6">
        <v>98.62</v>
      </c>
      <c r="N703" s="6">
        <v>98.46</v>
      </c>
      <c r="O703" s="6">
        <v>98.28</v>
      </c>
      <c r="P703" s="6">
        <v>98.52</v>
      </c>
      <c r="Q703" s="6">
        <v>98.45</v>
      </c>
      <c r="R703" s="6">
        <v>98.28</v>
      </c>
    </row>
    <row r="704" spans="2:18">
      <c r="B704" s="6">
        <v>32262</v>
      </c>
      <c r="C704" s="6" t="s">
        <v>162</v>
      </c>
      <c r="D704" s="6">
        <v>0</v>
      </c>
      <c r="E704" s="6">
        <v>98.28</v>
      </c>
      <c r="F704" s="6">
        <v>98.31</v>
      </c>
      <c r="G704" s="6">
        <v>98.78</v>
      </c>
      <c r="H704" s="6">
        <v>98.67</v>
      </c>
      <c r="I704" s="6">
        <v>98.6</v>
      </c>
      <c r="J704" s="6">
        <v>98.77</v>
      </c>
      <c r="K704" s="6">
        <v>98.75</v>
      </c>
      <c r="L704" s="6">
        <v>98.72</v>
      </c>
      <c r="M704" s="6">
        <v>98.71</v>
      </c>
      <c r="N704" s="6">
        <v>98.7</v>
      </c>
      <c r="O704" s="6">
        <v>98.68</v>
      </c>
      <c r="P704" s="6">
        <v>98.71</v>
      </c>
      <c r="Q704" s="6">
        <v>98.7</v>
      </c>
      <c r="R704" s="6">
        <v>98.68</v>
      </c>
    </row>
    <row r="705" spans="2:18">
      <c r="B705" s="6">
        <v>32262</v>
      </c>
      <c r="C705" s="6" t="s">
        <v>162</v>
      </c>
      <c r="D705" s="6">
        <v>0</v>
      </c>
      <c r="E705" s="6">
        <v>97.48</v>
      </c>
      <c r="F705" s="6">
        <v>96.53</v>
      </c>
      <c r="G705" s="6">
        <v>97.49</v>
      </c>
      <c r="H705" s="6">
        <v>97.66</v>
      </c>
      <c r="I705" s="6">
        <v>97.52</v>
      </c>
      <c r="J705" s="6">
        <v>97.72</v>
      </c>
      <c r="K705" s="6">
        <v>97.84</v>
      </c>
      <c r="L705" s="6">
        <v>97.75</v>
      </c>
      <c r="M705" s="6">
        <v>97.72</v>
      </c>
      <c r="N705" s="6">
        <v>97.83</v>
      </c>
      <c r="O705" s="6">
        <v>97.74</v>
      </c>
      <c r="P705" s="6">
        <v>97.73</v>
      </c>
      <c r="Q705" s="6">
        <v>97.84</v>
      </c>
      <c r="R705" s="6">
        <v>97.75</v>
      </c>
    </row>
    <row r="706" spans="2:18">
      <c r="B706" s="6">
        <v>32262</v>
      </c>
      <c r="C706" s="6" t="s">
        <v>162</v>
      </c>
      <c r="D706" s="6">
        <v>0</v>
      </c>
      <c r="E706" s="6">
        <v>91.96</v>
      </c>
      <c r="F706" s="6">
        <v>95.09</v>
      </c>
      <c r="G706" s="6">
        <v>98.15</v>
      </c>
      <c r="H706" s="6">
        <v>97.53</v>
      </c>
      <c r="I706" s="6">
        <v>97.49</v>
      </c>
      <c r="J706" s="6">
        <v>98.01</v>
      </c>
      <c r="K706" s="6">
        <v>97.7</v>
      </c>
      <c r="L706" s="6">
        <v>97.61</v>
      </c>
      <c r="M706" s="6">
        <v>98.02</v>
      </c>
      <c r="N706" s="6">
        <v>97.7</v>
      </c>
      <c r="O706" s="6">
        <v>97.61</v>
      </c>
      <c r="P706" s="6">
        <v>98.02</v>
      </c>
      <c r="Q706" s="6">
        <v>97.7</v>
      </c>
      <c r="R706" s="6">
        <v>97.61</v>
      </c>
    </row>
    <row r="707" spans="2:18">
      <c r="B707" s="6">
        <v>32263</v>
      </c>
      <c r="C707" s="6" t="s">
        <v>163</v>
      </c>
      <c r="D707" s="6">
        <v>98.2</v>
      </c>
      <c r="E707" s="6">
        <v>98.47</v>
      </c>
      <c r="F707" s="6">
        <v>97.73</v>
      </c>
      <c r="G707" s="6">
        <v>98.74</v>
      </c>
      <c r="H707" s="6">
        <v>98.55</v>
      </c>
      <c r="I707" s="6">
        <v>98.22</v>
      </c>
      <c r="J707" s="6">
        <v>98.64</v>
      </c>
      <c r="K707" s="6">
        <v>98.48</v>
      </c>
      <c r="L707" s="6">
        <v>98.3</v>
      </c>
      <c r="M707" s="6">
        <v>98.62</v>
      </c>
      <c r="N707" s="6">
        <v>98.46</v>
      </c>
      <c r="O707" s="6">
        <v>98.28</v>
      </c>
      <c r="P707" s="6">
        <v>98.52</v>
      </c>
      <c r="Q707" s="6">
        <v>98.45</v>
      </c>
      <c r="R707" s="6">
        <v>98.28</v>
      </c>
    </row>
    <row r="708" spans="2:18">
      <c r="B708" s="6">
        <v>32263</v>
      </c>
      <c r="C708" s="6" t="s">
        <v>163</v>
      </c>
      <c r="D708" s="6">
        <v>98.49</v>
      </c>
      <c r="E708" s="6">
        <v>98.74</v>
      </c>
      <c r="F708" s="6">
        <v>98.71</v>
      </c>
      <c r="G708" s="6">
        <v>98.78</v>
      </c>
      <c r="H708" s="6">
        <v>98.67</v>
      </c>
      <c r="I708" s="6">
        <v>98.6</v>
      </c>
      <c r="J708" s="6">
        <v>98.77</v>
      </c>
      <c r="K708" s="6">
        <v>98.75</v>
      </c>
      <c r="L708" s="6">
        <v>98.72</v>
      </c>
      <c r="M708" s="6">
        <v>98.71</v>
      </c>
      <c r="N708" s="6">
        <v>98.7</v>
      </c>
      <c r="O708" s="6">
        <v>98.68</v>
      </c>
      <c r="P708" s="6">
        <v>98.71</v>
      </c>
      <c r="Q708" s="6">
        <v>98.7</v>
      </c>
      <c r="R708" s="6">
        <v>98.68</v>
      </c>
    </row>
    <row r="709" spans="2:18">
      <c r="B709" s="6">
        <v>32263</v>
      </c>
      <c r="C709" s="6" t="s">
        <v>163</v>
      </c>
      <c r="D709" s="6">
        <v>98.26</v>
      </c>
      <c r="E709" s="6">
        <v>98.46</v>
      </c>
      <c r="F709" s="6">
        <v>97.98</v>
      </c>
      <c r="G709" s="6">
        <v>97.49</v>
      </c>
      <c r="H709" s="6">
        <v>97.66</v>
      </c>
      <c r="I709" s="6">
        <v>97.52</v>
      </c>
      <c r="J709" s="6">
        <v>97.72</v>
      </c>
      <c r="K709" s="6">
        <v>97.84</v>
      </c>
      <c r="L709" s="6">
        <v>97.75</v>
      </c>
      <c r="M709" s="6">
        <v>97.72</v>
      </c>
      <c r="N709" s="6">
        <v>97.83</v>
      </c>
      <c r="O709" s="6">
        <v>97.74</v>
      </c>
      <c r="P709" s="6">
        <v>97.73</v>
      </c>
      <c r="Q709" s="6">
        <v>97.84</v>
      </c>
      <c r="R709" s="6">
        <v>97.75</v>
      </c>
    </row>
    <row r="710" spans="2:18">
      <c r="B710" s="6">
        <v>32263</v>
      </c>
      <c r="C710" s="6" t="s">
        <v>163</v>
      </c>
      <c r="D710" s="6">
        <v>98.26</v>
      </c>
      <c r="E710" s="6">
        <v>98.24</v>
      </c>
      <c r="F710" s="6">
        <v>98.31</v>
      </c>
      <c r="G710" s="6">
        <v>98.15</v>
      </c>
      <c r="H710" s="6">
        <v>97.53</v>
      </c>
      <c r="I710" s="6">
        <v>97.49</v>
      </c>
      <c r="J710" s="6">
        <v>98.01</v>
      </c>
      <c r="K710" s="6">
        <v>97.7</v>
      </c>
      <c r="L710" s="6">
        <v>97.61</v>
      </c>
      <c r="M710" s="6">
        <v>98.02</v>
      </c>
      <c r="N710" s="6">
        <v>97.7</v>
      </c>
      <c r="O710" s="6">
        <v>97.61</v>
      </c>
      <c r="P710" s="6">
        <v>98.02</v>
      </c>
      <c r="Q710" s="6">
        <v>97.7</v>
      </c>
      <c r="R710" s="6">
        <v>97.61</v>
      </c>
    </row>
    <row r="711" spans="2:18">
      <c r="B711" s="6">
        <v>32264</v>
      </c>
      <c r="C711" s="6" t="s">
        <v>164</v>
      </c>
      <c r="D711" s="6">
        <v>99.03</v>
      </c>
      <c r="E711" s="6">
        <v>98.63</v>
      </c>
      <c r="F711" s="6">
        <v>98.34</v>
      </c>
      <c r="G711" s="6">
        <v>98.48</v>
      </c>
      <c r="H711" s="6">
        <v>98.4</v>
      </c>
      <c r="I711" s="6">
        <v>98.25</v>
      </c>
      <c r="J711" s="6">
        <v>98.64</v>
      </c>
      <c r="K711" s="6">
        <v>98.48</v>
      </c>
      <c r="L711" s="6">
        <v>98.3</v>
      </c>
      <c r="M711" s="6">
        <v>98.62</v>
      </c>
      <c r="N711" s="6">
        <v>98.46</v>
      </c>
      <c r="O711" s="6">
        <v>98.28</v>
      </c>
      <c r="P711" s="6">
        <v>98.52</v>
      </c>
      <c r="Q711" s="6">
        <v>98.45</v>
      </c>
      <c r="R711" s="6">
        <v>98.28</v>
      </c>
    </row>
    <row r="712" spans="2:18">
      <c r="B712" s="6">
        <v>32264</v>
      </c>
      <c r="C712" s="6" t="s">
        <v>164</v>
      </c>
      <c r="D712" s="6">
        <v>99.04</v>
      </c>
      <c r="E712" s="6">
        <v>98.57</v>
      </c>
      <c r="F712" s="6">
        <v>98.71</v>
      </c>
      <c r="G712" s="6">
        <v>98.72</v>
      </c>
      <c r="H712" s="6">
        <v>98.71</v>
      </c>
      <c r="I712" s="6">
        <v>98.75</v>
      </c>
      <c r="J712" s="6">
        <v>98.77</v>
      </c>
      <c r="K712" s="6">
        <v>98.75</v>
      </c>
      <c r="L712" s="6">
        <v>98.72</v>
      </c>
      <c r="M712" s="6">
        <v>98.71</v>
      </c>
      <c r="N712" s="6">
        <v>98.7</v>
      </c>
      <c r="O712" s="6">
        <v>98.68</v>
      </c>
      <c r="P712" s="6">
        <v>98.71</v>
      </c>
      <c r="Q712" s="6">
        <v>98.7</v>
      </c>
      <c r="R712" s="6">
        <v>98.68</v>
      </c>
    </row>
    <row r="713" spans="2:18">
      <c r="B713" s="6">
        <v>32264</v>
      </c>
      <c r="C713" s="6" t="s">
        <v>164</v>
      </c>
      <c r="D713" s="6">
        <v>97.37</v>
      </c>
      <c r="E713" s="6">
        <v>97.32</v>
      </c>
      <c r="F713" s="6">
        <v>97.25</v>
      </c>
      <c r="G713" s="6">
        <v>97.43</v>
      </c>
      <c r="H713" s="6">
        <v>97.49</v>
      </c>
      <c r="I713" s="6">
        <v>97.36</v>
      </c>
      <c r="J713" s="6">
        <v>97.72</v>
      </c>
      <c r="K713" s="6">
        <v>97.84</v>
      </c>
      <c r="L713" s="6">
        <v>97.75</v>
      </c>
      <c r="M713" s="6">
        <v>97.72</v>
      </c>
      <c r="N713" s="6">
        <v>97.83</v>
      </c>
      <c r="O713" s="6">
        <v>97.74</v>
      </c>
      <c r="P713" s="6">
        <v>97.73</v>
      </c>
      <c r="Q713" s="6">
        <v>97.84</v>
      </c>
      <c r="R713" s="6">
        <v>97.75</v>
      </c>
    </row>
    <row r="714" spans="2:18">
      <c r="B714" s="6">
        <v>32264</v>
      </c>
      <c r="C714" s="6" t="s">
        <v>164</v>
      </c>
      <c r="D714" s="6">
        <v>98.53</v>
      </c>
      <c r="E714" s="6">
        <v>97.92</v>
      </c>
      <c r="F714" s="6">
        <v>97.82</v>
      </c>
      <c r="G714" s="6">
        <v>97.88</v>
      </c>
      <c r="H714" s="6">
        <v>97.7</v>
      </c>
      <c r="I714" s="6">
        <v>97.56</v>
      </c>
      <c r="J714" s="6">
        <v>98.01</v>
      </c>
      <c r="K714" s="6">
        <v>97.7</v>
      </c>
      <c r="L714" s="6">
        <v>97.61</v>
      </c>
      <c r="M714" s="6">
        <v>98.02</v>
      </c>
      <c r="N714" s="6">
        <v>97.7</v>
      </c>
      <c r="O714" s="6">
        <v>97.61</v>
      </c>
      <c r="P714" s="6">
        <v>98.02</v>
      </c>
      <c r="Q714" s="6">
        <v>97.7</v>
      </c>
      <c r="R714" s="6">
        <v>97.61</v>
      </c>
    </row>
    <row r="715" spans="2:18">
      <c r="B715" s="6">
        <v>32265</v>
      </c>
      <c r="C715" s="6" t="s">
        <v>165</v>
      </c>
      <c r="D715" s="6">
        <v>98.44</v>
      </c>
      <c r="E715" s="6">
        <v>98.61</v>
      </c>
      <c r="F715" s="6">
        <v>97.09</v>
      </c>
      <c r="G715" s="6">
        <v>98.48</v>
      </c>
      <c r="H715" s="6">
        <v>98.4</v>
      </c>
      <c r="I715" s="6">
        <v>98.25</v>
      </c>
      <c r="J715" s="6">
        <v>98.64</v>
      </c>
      <c r="K715" s="6">
        <v>98.48</v>
      </c>
      <c r="L715" s="6">
        <v>98.3</v>
      </c>
      <c r="M715" s="6">
        <v>98.62</v>
      </c>
      <c r="N715" s="6">
        <v>98.46</v>
      </c>
      <c r="O715" s="6">
        <v>98.28</v>
      </c>
      <c r="P715" s="6">
        <v>98.52</v>
      </c>
      <c r="Q715" s="6">
        <v>98.45</v>
      </c>
      <c r="R715" s="6">
        <v>98.28</v>
      </c>
    </row>
    <row r="716" spans="2:18">
      <c r="B716" s="6">
        <v>32265</v>
      </c>
      <c r="C716" s="6" t="s">
        <v>165</v>
      </c>
      <c r="D716" s="6">
        <v>98.67</v>
      </c>
      <c r="E716" s="6">
        <v>98.86</v>
      </c>
      <c r="F716" s="6">
        <v>98.68</v>
      </c>
      <c r="G716" s="6">
        <v>98.72</v>
      </c>
      <c r="H716" s="6">
        <v>98.71</v>
      </c>
      <c r="I716" s="6">
        <v>98.75</v>
      </c>
      <c r="J716" s="6">
        <v>98.77</v>
      </c>
      <c r="K716" s="6">
        <v>98.75</v>
      </c>
      <c r="L716" s="6">
        <v>98.72</v>
      </c>
      <c r="M716" s="6">
        <v>98.71</v>
      </c>
      <c r="N716" s="6">
        <v>98.7</v>
      </c>
      <c r="O716" s="6">
        <v>98.68</v>
      </c>
      <c r="P716" s="6">
        <v>98.71</v>
      </c>
      <c r="Q716" s="6">
        <v>98.7</v>
      </c>
      <c r="R716" s="6">
        <v>98.68</v>
      </c>
    </row>
    <row r="717" spans="2:18">
      <c r="B717" s="6">
        <v>32265</v>
      </c>
      <c r="C717" s="6" t="s">
        <v>165</v>
      </c>
      <c r="D717" s="6">
        <v>97.79</v>
      </c>
      <c r="E717" s="6">
        <v>97.98</v>
      </c>
      <c r="F717" s="6">
        <v>97.71</v>
      </c>
      <c r="G717" s="6">
        <v>97.43</v>
      </c>
      <c r="H717" s="6">
        <v>97.49</v>
      </c>
      <c r="I717" s="6">
        <v>97.36</v>
      </c>
      <c r="J717" s="6">
        <v>97.72</v>
      </c>
      <c r="K717" s="6">
        <v>97.84</v>
      </c>
      <c r="L717" s="6">
        <v>97.75</v>
      </c>
      <c r="M717" s="6">
        <v>97.72</v>
      </c>
      <c r="N717" s="6">
        <v>97.83</v>
      </c>
      <c r="O717" s="6">
        <v>97.74</v>
      </c>
      <c r="P717" s="6">
        <v>97.73</v>
      </c>
      <c r="Q717" s="6">
        <v>97.84</v>
      </c>
      <c r="R717" s="6">
        <v>97.75</v>
      </c>
    </row>
    <row r="718" spans="2:18">
      <c r="B718" s="6">
        <v>32265</v>
      </c>
      <c r="C718" s="6" t="s">
        <v>165</v>
      </c>
      <c r="D718" s="6">
        <v>97.78</v>
      </c>
      <c r="E718" s="6">
        <v>98.07</v>
      </c>
      <c r="F718" s="6">
        <v>97.45</v>
      </c>
      <c r="G718" s="6">
        <v>97.88</v>
      </c>
      <c r="H718" s="6">
        <v>97.7</v>
      </c>
      <c r="I718" s="6">
        <v>97.56</v>
      </c>
      <c r="J718" s="6">
        <v>98.01</v>
      </c>
      <c r="K718" s="6">
        <v>97.7</v>
      </c>
      <c r="L718" s="6">
        <v>97.61</v>
      </c>
      <c r="M718" s="6">
        <v>98.02</v>
      </c>
      <c r="N718" s="6">
        <v>97.7</v>
      </c>
      <c r="O718" s="6">
        <v>97.61</v>
      </c>
      <c r="P718" s="6">
        <v>98.02</v>
      </c>
      <c r="Q718" s="6">
        <v>97.7</v>
      </c>
      <c r="R718" s="6">
        <v>97.61</v>
      </c>
    </row>
    <row r="719" spans="2:18">
      <c r="B719" s="6">
        <v>32266</v>
      </c>
      <c r="C719" s="6" t="s">
        <v>166</v>
      </c>
      <c r="D719" s="6">
        <v>98.01</v>
      </c>
      <c r="E719" s="6">
        <v>98.03</v>
      </c>
      <c r="F719" s="6">
        <v>98.26</v>
      </c>
      <c r="G719" s="6">
        <v>98.48</v>
      </c>
      <c r="H719" s="6">
        <v>98.4</v>
      </c>
      <c r="I719" s="6">
        <v>98.25</v>
      </c>
      <c r="J719" s="6">
        <v>98.64</v>
      </c>
      <c r="K719" s="6">
        <v>98.48</v>
      </c>
      <c r="L719" s="6">
        <v>98.3</v>
      </c>
      <c r="M719" s="6">
        <v>98.62</v>
      </c>
      <c r="N719" s="6">
        <v>98.46</v>
      </c>
      <c r="O719" s="6">
        <v>98.28</v>
      </c>
      <c r="P719" s="6">
        <v>98.52</v>
      </c>
      <c r="Q719" s="6">
        <v>98.45</v>
      </c>
      <c r="R719" s="6">
        <v>98.28</v>
      </c>
    </row>
    <row r="720" spans="2:18">
      <c r="B720" s="6">
        <v>32266</v>
      </c>
      <c r="C720" s="6" t="s">
        <v>166</v>
      </c>
      <c r="D720" s="6">
        <v>98.69</v>
      </c>
      <c r="E720" s="6">
        <v>98.56</v>
      </c>
      <c r="F720" s="6">
        <v>98.67</v>
      </c>
      <c r="G720" s="6">
        <v>98.72</v>
      </c>
      <c r="H720" s="6">
        <v>98.71</v>
      </c>
      <c r="I720" s="6">
        <v>98.75</v>
      </c>
      <c r="J720" s="6">
        <v>98.77</v>
      </c>
      <c r="K720" s="6">
        <v>98.75</v>
      </c>
      <c r="L720" s="6">
        <v>98.72</v>
      </c>
      <c r="M720" s="6">
        <v>98.71</v>
      </c>
      <c r="N720" s="6">
        <v>98.7</v>
      </c>
      <c r="O720" s="6">
        <v>98.68</v>
      </c>
      <c r="P720" s="6">
        <v>98.71</v>
      </c>
      <c r="Q720" s="6">
        <v>98.7</v>
      </c>
      <c r="R720" s="6">
        <v>98.68</v>
      </c>
    </row>
    <row r="721" spans="2:18">
      <c r="B721" s="6">
        <v>32266</v>
      </c>
      <c r="C721" s="6" t="s">
        <v>166</v>
      </c>
      <c r="D721" s="6">
        <v>96.83</v>
      </c>
      <c r="E721" s="6">
        <v>97.07</v>
      </c>
      <c r="F721" s="6">
        <v>97.2</v>
      </c>
      <c r="G721" s="6">
        <v>97.43</v>
      </c>
      <c r="H721" s="6">
        <v>97.49</v>
      </c>
      <c r="I721" s="6">
        <v>97.36</v>
      </c>
      <c r="J721" s="6">
        <v>97.72</v>
      </c>
      <c r="K721" s="6">
        <v>97.84</v>
      </c>
      <c r="L721" s="6">
        <v>97.75</v>
      </c>
      <c r="M721" s="6">
        <v>97.72</v>
      </c>
      <c r="N721" s="6">
        <v>97.83</v>
      </c>
      <c r="O721" s="6">
        <v>97.74</v>
      </c>
      <c r="P721" s="6">
        <v>97.73</v>
      </c>
      <c r="Q721" s="6">
        <v>97.84</v>
      </c>
      <c r="R721" s="6">
        <v>97.75</v>
      </c>
    </row>
    <row r="722" spans="2:18">
      <c r="B722" s="6">
        <v>32266</v>
      </c>
      <c r="C722" s="6" t="s">
        <v>166</v>
      </c>
      <c r="D722" s="6">
        <v>97.97</v>
      </c>
      <c r="E722" s="6">
        <v>97.77</v>
      </c>
      <c r="F722" s="6">
        <v>97.83</v>
      </c>
      <c r="G722" s="6">
        <v>97.88</v>
      </c>
      <c r="H722" s="6">
        <v>97.7</v>
      </c>
      <c r="I722" s="6">
        <v>97.56</v>
      </c>
      <c r="J722" s="6">
        <v>98.01</v>
      </c>
      <c r="K722" s="6">
        <v>97.7</v>
      </c>
      <c r="L722" s="6">
        <v>97.61</v>
      </c>
      <c r="M722" s="6">
        <v>98.02</v>
      </c>
      <c r="N722" s="6">
        <v>97.7</v>
      </c>
      <c r="O722" s="6">
        <v>97.61</v>
      </c>
      <c r="P722" s="6">
        <v>98.02</v>
      </c>
      <c r="Q722" s="6">
        <v>97.7</v>
      </c>
      <c r="R722" s="6">
        <v>97.61</v>
      </c>
    </row>
    <row r="723" spans="2:18">
      <c r="B723" s="6">
        <v>32267</v>
      </c>
      <c r="C723" s="6" t="s">
        <v>167</v>
      </c>
      <c r="D723" s="6">
        <v>99.02</v>
      </c>
      <c r="E723" s="6">
        <v>99.02</v>
      </c>
      <c r="F723" s="6">
        <v>98.24</v>
      </c>
      <c r="G723" s="6">
        <v>98.48</v>
      </c>
      <c r="H723" s="6">
        <v>98.4</v>
      </c>
      <c r="I723" s="6">
        <v>98.25</v>
      </c>
      <c r="J723" s="6">
        <v>98.64</v>
      </c>
      <c r="K723" s="6">
        <v>98.48</v>
      </c>
      <c r="L723" s="6">
        <v>98.3</v>
      </c>
      <c r="M723" s="6">
        <v>98.62</v>
      </c>
      <c r="N723" s="6">
        <v>98.46</v>
      </c>
      <c r="O723" s="6">
        <v>98.28</v>
      </c>
      <c r="P723" s="6">
        <v>98.52</v>
      </c>
      <c r="Q723" s="6">
        <v>98.45</v>
      </c>
      <c r="R723" s="6">
        <v>98.28</v>
      </c>
    </row>
    <row r="724" spans="2:18">
      <c r="B724" s="6">
        <v>32267</v>
      </c>
      <c r="C724" s="6" t="s">
        <v>167</v>
      </c>
      <c r="D724" s="6">
        <v>99.04</v>
      </c>
      <c r="E724" s="6">
        <v>99.04</v>
      </c>
      <c r="F724" s="6">
        <v>99.04</v>
      </c>
      <c r="G724" s="6">
        <v>98.72</v>
      </c>
      <c r="H724" s="6">
        <v>98.71</v>
      </c>
      <c r="I724" s="6">
        <v>98.75</v>
      </c>
      <c r="J724" s="6">
        <v>98.77</v>
      </c>
      <c r="K724" s="6">
        <v>98.75</v>
      </c>
      <c r="L724" s="6">
        <v>98.72</v>
      </c>
      <c r="M724" s="6">
        <v>98.71</v>
      </c>
      <c r="N724" s="6">
        <v>98.7</v>
      </c>
      <c r="O724" s="6">
        <v>98.68</v>
      </c>
      <c r="P724" s="6">
        <v>98.71</v>
      </c>
      <c r="Q724" s="6">
        <v>98.7</v>
      </c>
      <c r="R724" s="6">
        <v>98.68</v>
      </c>
    </row>
    <row r="725" spans="2:18">
      <c r="B725" s="6">
        <v>32267</v>
      </c>
      <c r="C725" s="6" t="s">
        <v>167</v>
      </c>
      <c r="D725" s="6">
        <v>97.81</v>
      </c>
      <c r="E725" s="6">
        <v>97.87</v>
      </c>
      <c r="F725" s="6">
        <v>97.8</v>
      </c>
      <c r="G725" s="6">
        <v>97.43</v>
      </c>
      <c r="H725" s="6">
        <v>97.49</v>
      </c>
      <c r="I725" s="6">
        <v>97.36</v>
      </c>
      <c r="J725" s="6">
        <v>97.72</v>
      </c>
      <c r="K725" s="6">
        <v>97.84</v>
      </c>
      <c r="L725" s="6">
        <v>97.75</v>
      </c>
      <c r="M725" s="6">
        <v>97.72</v>
      </c>
      <c r="N725" s="6">
        <v>97.83</v>
      </c>
      <c r="O725" s="6">
        <v>97.74</v>
      </c>
      <c r="P725" s="6">
        <v>97.73</v>
      </c>
      <c r="Q725" s="6">
        <v>97.84</v>
      </c>
      <c r="R725" s="6">
        <v>97.75</v>
      </c>
    </row>
    <row r="726" spans="2:18">
      <c r="B726" s="6">
        <v>32267</v>
      </c>
      <c r="C726" s="6" t="s">
        <v>167</v>
      </c>
      <c r="D726" s="6">
        <v>99.01</v>
      </c>
      <c r="E726" s="6">
        <v>98.84</v>
      </c>
      <c r="F726" s="6">
        <v>95.62</v>
      </c>
      <c r="G726" s="6">
        <v>97.88</v>
      </c>
      <c r="H726" s="6">
        <v>97.7</v>
      </c>
      <c r="I726" s="6">
        <v>97.56</v>
      </c>
      <c r="J726" s="6">
        <v>98.01</v>
      </c>
      <c r="K726" s="6">
        <v>97.7</v>
      </c>
      <c r="L726" s="6">
        <v>97.61</v>
      </c>
      <c r="M726" s="6">
        <v>98.02</v>
      </c>
      <c r="N726" s="6">
        <v>97.7</v>
      </c>
      <c r="O726" s="6">
        <v>97.61</v>
      </c>
      <c r="P726" s="6">
        <v>98.02</v>
      </c>
      <c r="Q726" s="6">
        <v>97.7</v>
      </c>
      <c r="R726" s="6">
        <v>97.61</v>
      </c>
    </row>
    <row r="727" spans="2:18">
      <c r="B727" s="6">
        <v>32276</v>
      </c>
      <c r="C727" s="6" t="s">
        <v>168</v>
      </c>
      <c r="D727" s="6">
        <v>0</v>
      </c>
      <c r="E727" s="6">
        <v>98.28</v>
      </c>
      <c r="F727" s="6">
        <v>98.28</v>
      </c>
      <c r="G727" s="6">
        <v>98.71</v>
      </c>
      <c r="H727" s="6">
        <v>98.48</v>
      </c>
      <c r="I727" s="6">
        <v>98.36</v>
      </c>
      <c r="J727" s="6">
        <v>98.64</v>
      </c>
      <c r="K727" s="6">
        <v>98.48</v>
      </c>
      <c r="L727" s="6">
        <v>98.3</v>
      </c>
      <c r="M727" s="6">
        <v>98.62</v>
      </c>
      <c r="N727" s="6">
        <v>98.46</v>
      </c>
      <c r="O727" s="6">
        <v>98.28</v>
      </c>
      <c r="P727" s="6">
        <v>98.52</v>
      </c>
      <c r="Q727" s="6">
        <v>98.45</v>
      </c>
      <c r="R727" s="6">
        <v>98.28</v>
      </c>
    </row>
    <row r="728" spans="2:18">
      <c r="B728" s="6">
        <v>32276</v>
      </c>
      <c r="C728" s="6" t="s">
        <v>168</v>
      </c>
      <c r="D728" s="6">
        <v>0</v>
      </c>
      <c r="E728" s="6">
        <v>98.87</v>
      </c>
      <c r="F728" s="6">
        <v>98.87</v>
      </c>
      <c r="G728" s="6">
        <v>98.91</v>
      </c>
      <c r="H728" s="6">
        <v>98.92</v>
      </c>
      <c r="I728" s="6">
        <v>98.82</v>
      </c>
      <c r="J728" s="6">
        <v>98.86</v>
      </c>
      <c r="K728" s="6">
        <v>98.85</v>
      </c>
      <c r="L728" s="6">
        <v>98.75</v>
      </c>
      <c r="M728" s="6">
        <v>98.86</v>
      </c>
      <c r="N728" s="6">
        <v>98.82</v>
      </c>
      <c r="O728" s="6">
        <v>98.74</v>
      </c>
      <c r="P728" s="6">
        <v>98.83</v>
      </c>
      <c r="Q728" s="6">
        <v>98.81</v>
      </c>
      <c r="R728" s="6">
        <v>98.73</v>
      </c>
    </row>
    <row r="729" spans="2:18">
      <c r="B729" s="6">
        <v>32276</v>
      </c>
      <c r="C729" s="6" t="s">
        <v>168</v>
      </c>
      <c r="D729" s="6">
        <v>0</v>
      </c>
      <c r="E729" s="6">
        <v>95.92</v>
      </c>
      <c r="F729" s="6">
        <v>95.92</v>
      </c>
      <c r="G729" s="6">
        <v>98.03</v>
      </c>
      <c r="H729" s="6">
        <v>98.12</v>
      </c>
      <c r="I729" s="6">
        <v>98.05</v>
      </c>
      <c r="J729" s="6">
        <v>97.72</v>
      </c>
      <c r="K729" s="6">
        <v>97.84</v>
      </c>
      <c r="L729" s="6">
        <v>97.75</v>
      </c>
      <c r="M729" s="6">
        <v>97.72</v>
      </c>
      <c r="N729" s="6">
        <v>97.83</v>
      </c>
      <c r="O729" s="6">
        <v>97.74</v>
      </c>
      <c r="P729" s="6">
        <v>97.73</v>
      </c>
      <c r="Q729" s="6">
        <v>97.84</v>
      </c>
      <c r="R729" s="6">
        <v>97.75</v>
      </c>
    </row>
    <row r="730" spans="2:18">
      <c r="B730" s="6">
        <v>32276</v>
      </c>
      <c r="C730" s="6" t="s">
        <v>168</v>
      </c>
      <c r="D730" s="6">
        <v>0</v>
      </c>
      <c r="E730" s="6">
        <v>98.83</v>
      </c>
      <c r="F730" s="6">
        <v>98.83</v>
      </c>
      <c r="G730" s="6">
        <v>98.04</v>
      </c>
      <c r="H730" s="6">
        <v>97.78</v>
      </c>
      <c r="I730" s="6">
        <v>97.69</v>
      </c>
      <c r="J730" s="6">
        <v>98.01</v>
      </c>
      <c r="K730" s="6">
        <v>97.7</v>
      </c>
      <c r="L730" s="6">
        <v>97.61</v>
      </c>
      <c r="M730" s="6">
        <v>98.02</v>
      </c>
      <c r="N730" s="6">
        <v>97.7</v>
      </c>
      <c r="O730" s="6">
        <v>97.61</v>
      </c>
      <c r="P730" s="6">
        <v>98.02</v>
      </c>
      <c r="Q730" s="6">
        <v>97.7</v>
      </c>
      <c r="R730" s="6">
        <v>97.61</v>
      </c>
    </row>
    <row r="731" spans="2:18">
      <c r="B731" s="6">
        <v>32277</v>
      </c>
      <c r="C731" s="6" t="s">
        <v>1207</v>
      </c>
      <c r="D731" s="6">
        <v>0</v>
      </c>
      <c r="E731" s="6">
        <v>0</v>
      </c>
      <c r="F731" s="6">
        <v>79.88</v>
      </c>
      <c r="G731" s="6">
        <v>88.89</v>
      </c>
      <c r="H731" s="6">
        <v>92.34</v>
      </c>
      <c r="I731" s="6">
        <v>79.78</v>
      </c>
      <c r="J731" s="6">
        <v>88.89</v>
      </c>
      <c r="K731" s="6">
        <v>92.34</v>
      </c>
      <c r="L731" s="6">
        <v>80.08</v>
      </c>
      <c r="M731" s="6">
        <v>88.89</v>
      </c>
      <c r="N731" s="6">
        <v>92.34</v>
      </c>
      <c r="O731" s="6">
        <v>80.08</v>
      </c>
      <c r="P731" s="6">
        <v>88.89</v>
      </c>
      <c r="Q731" s="6">
        <v>92.34</v>
      </c>
      <c r="R731" s="6">
        <v>80.08</v>
      </c>
    </row>
    <row r="732" spans="2:18">
      <c r="B732" s="6">
        <v>32281</v>
      </c>
      <c r="C732" s="6" t="s">
        <v>169</v>
      </c>
      <c r="D732" s="6">
        <v>0</v>
      </c>
      <c r="E732" s="6">
        <v>99.17</v>
      </c>
      <c r="F732" s="6">
        <v>99.17</v>
      </c>
      <c r="G732" s="6">
        <v>98.71</v>
      </c>
      <c r="H732" s="6">
        <v>98.48</v>
      </c>
      <c r="I732" s="6">
        <v>98.36</v>
      </c>
      <c r="J732" s="6">
        <v>98.64</v>
      </c>
      <c r="K732" s="6">
        <v>98.48</v>
      </c>
      <c r="L732" s="6">
        <v>98.3</v>
      </c>
      <c r="M732" s="6">
        <v>98.62</v>
      </c>
      <c r="N732" s="6">
        <v>98.46</v>
      </c>
      <c r="O732" s="6">
        <v>98.28</v>
      </c>
      <c r="P732" s="6">
        <v>98.52</v>
      </c>
      <c r="Q732" s="6">
        <v>98.45</v>
      </c>
      <c r="R732" s="6">
        <v>98.28</v>
      </c>
    </row>
    <row r="733" spans="2:18">
      <c r="B733" s="6">
        <v>32281</v>
      </c>
      <c r="C733" s="6" t="s">
        <v>169</v>
      </c>
      <c r="D733" s="6">
        <v>0</v>
      </c>
      <c r="E733" s="6">
        <v>99.32</v>
      </c>
      <c r="F733" s="6">
        <v>99.32</v>
      </c>
      <c r="G733" s="6">
        <v>98.91</v>
      </c>
      <c r="H733" s="6">
        <v>98.92</v>
      </c>
      <c r="I733" s="6">
        <v>98.82</v>
      </c>
      <c r="J733" s="6">
        <v>98.86</v>
      </c>
      <c r="K733" s="6">
        <v>98.85</v>
      </c>
      <c r="L733" s="6">
        <v>98.75</v>
      </c>
      <c r="M733" s="6">
        <v>98.86</v>
      </c>
      <c r="N733" s="6">
        <v>98.82</v>
      </c>
      <c r="O733" s="6">
        <v>98.74</v>
      </c>
      <c r="P733" s="6">
        <v>98.83</v>
      </c>
      <c r="Q733" s="6">
        <v>98.81</v>
      </c>
      <c r="R733" s="6">
        <v>98.73</v>
      </c>
    </row>
    <row r="734" spans="2:18">
      <c r="B734" s="6">
        <v>32281</v>
      </c>
      <c r="C734" s="6" t="s">
        <v>169</v>
      </c>
      <c r="D734" s="6">
        <v>0</v>
      </c>
      <c r="E734" s="6">
        <v>97.34</v>
      </c>
      <c r="F734" s="6">
        <v>97.34</v>
      </c>
      <c r="G734" s="6">
        <v>98.03</v>
      </c>
      <c r="H734" s="6">
        <v>98.12</v>
      </c>
      <c r="I734" s="6">
        <v>98.05</v>
      </c>
      <c r="J734" s="6">
        <v>97.72</v>
      </c>
      <c r="K734" s="6">
        <v>97.84</v>
      </c>
      <c r="L734" s="6">
        <v>97.75</v>
      </c>
      <c r="M734" s="6">
        <v>97.72</v>
      </c>
      <c r="N734" s="6">
        <v>97.83</v>
      </c>
      <c r="O734" s="6">
        <v>97.74</v>
      </c>
      <c r="P734" s="6">
        <v>97.73</v>
      </c>
      <c r="Q734" s="6">
        <v>97.84</v>
      </c>
      <c r="R734" s="6">
        <v>97.75</v>
      </c>
    </row>
    <row r="735" spans="2:18">
      <c r="B735" s="6">
        <v>32281</v>
      </c>
      <c r="C735" s="6" t="s">
        <v>169</v>
      </c>
      <c r="D735" s="6">
        <v>0</v>
      </c>
      <c r="E735" s="6">
        <v>98.06</v>
      </c>
      <c r="F735" s="6">
        <v>98.06</v>
      </c>
      <c r="G735" s="6">
        <v>98.04</v>
      </c>
      <c r="H735" s="6">
        <v>97.78</v>
      </c>
      <c r="I735" s="6">
        <v>97.69</v>
      </c>
      <c r="J735" s="6">
        <v>98.01</v>
      </c>
      <c r="K735" s="6">
        <v>97.7</v>
      </c>
      <c r="L735" s="6">
        <v>97.61</v>
      </c>
      <c r="M735" s="6">
        <v>98.02</v>
      </c>
      <c r="N735" s="6">
        <v>97.7</v>
      </c>
      <c r="O735" s="6">
        <v>97.61</v>
      </c>
      <c r="P735" s="6">
        <v>98.02</v>
      </c>
      <c r="Q735" s="6">
        <v>97.7</v>
      </c>
      <c r="R735" s="6">
        <v>97.61</v>
      </c>
    </row>
    <row r="736" spans="2:18">
      <c r="B736" s="6">
        <v>32282</v>
      </c>
      <c r="C736" s="6" t="s">
        <v>170</v>
      </c>
      <c r="D736" s="6">
        <v>0</v>
      </c>
      <c r="E736" s="6">
        <v>90.51</v>
      </c>
      <c r="F736" s="6">
        <v>90.51</v>
      </c>
      <c r="G736" s="6">
        <v>98.71</v>
      </c>
      <c r="H736" s="6">
        <v>98.48</v>
      </c>
      <c r="I736" s="6">
        <v>98.36</v>
      </c>
      <c r="J736" s="6">
        <v>98.64</v>
      </c>
      <c r="K736" s="6">
        <v>98.48</v>
      </c>
      <c r="L736" s="6">
        <v>98.3</v>
      </c>
      <c r="M736" s="6">
        <v>98.62</v>
      </c>
      <c r="N736" s="6">
        <v>98.46</v>
      </c>
      <c r="O736" s="6">
        <v>98.28</v>
      </c>
      <c r="P736" s="6">
        <v>98.52</v>
      </c>
      <c r="Q736" s="6">
        <v>98.45</v>
      </c>
      <c r="R736" s="6">
        <v>98.28</v>
      </c>
    </row>
    <row r="737" spans="2:18">
      <c r="B737" s="6">
        <v>32282</v>
      </c>
      <c r="C737" s="6" t="s">
        <v>170</v>
      </c>
      <c r="D737" s="6">
        <v>0</v>
      </c>
      <c r="E737" s="6">
        <v>98.98</v>
      </c>
      <c r="F737" s="6">
        <v>98.98</v>
      </c>
      <c r="G737" s="6">
        <v>98.91</v>
      </c>
      <c r="H737" s="6">
        <v>98.92</v>
      </c>
      <c r="I737" s="6">
        <v>98.82</v>
      </c>
      <c r="J737" s="6">
        <v>98.86</v>
      </c>
      <c r="K737" s="6">
        <v>98.85</v>
      </c>
      <c r="L737" s="6">
        <v>98.75</v>
      </c>
      <c r="M737" s="6">
        <v>98.86</v>
      </c>
      <c r="N737" s="6">
        <v>98.82</v>
      </c>
      <c r="O737" s="6">
        <v>98.74</v>
      </c>
      <c r="P737" s="6">
        <v>98.83</v>
      </c>
      <c r="Q737" s="6">
        <v>98.81</v>
      </c>
      <c r="R737" s="6">
        <v>98.73</v>
      </c>
    </row>
    <row r="738" spans="2:18">
      <c r="B738" s="6">
        <v>32282</v>
      </c>
      <c r="C738" s="6" t="s">
        <v>170</v>
      </c>
      <c r="D738" s="6">
        <v>0</v>
      </c>
      <c r="E738" s="6">
        <v>0</v>
      </c>
      <c r="F738" s="6">
        <v>97.52</v>
      </c>
      <c r="G738" s="6">
        <v>98.03</v>
      </c>
      <c r="H738" s="6">
        <v>98.12</v>
      </c>
      <c r="I738" s="6">
        <v>98.05</v>
      </c>
      <c r="J738" s="6">
        <v>97.72</v>
      </c>
      <c r="K738" s="6">
        <v>97.84</v>
      </c>
      <c r="L738" s="6">
        <v>97.75</v>
      </c>
      <c r="M738" s="6">
        <v>97.72</v>
      </c>
      <c r="N738" s="6">
        <v>97.83</v>
      </c>
      <c r="O738" s="6">
        <v>97.74</v>
      </c>
      <c r="P738" s="6">
        <v>97.73</v>
      </c>
      <c r="Q738" s="6">
        <v>97.84</v>
      </c>
      <c r="R738" s="6">
        <v>97.75</v>
      </c>
    </row>
    <row r="739" spans="2:18">
      <c r="B739" s="6">
        <v>32282</v>
      </c>
      <c r="C739" s="6" t="s">
        <v>170</v>
      </c>
      <c r="D739" s="6">
        <v>0</v>
      </c>
      <c r="E739" s="6">
        <v>97.17</v>
      </c>
      <c r="F739" s="6">
        <v>97.17</v>
      </c>
      <c r="G739" s="6">
        <v>98.04</v>
      </c>
      <c r="H739" s="6">
        <v>97.78</v>
      </c>
      <c r="I739" s="6">
        <v>97.69</v>
      </c>
      <c r="J739" s="6">
        <v>98.01</v>
      </c>
      <c r="K739" s="6">
        <v>97.7</v>
      </c>
      <c r="L739" s="6">
        <v>97.61</v>
      </c>
      <c r="M739" s="6">
        <v>98.02</v>
      </c>
      <c r="N739" s="6">
        <v>97.7</v>
      </c>
      <c r="O739" s="6">
        <v>97.61</v>
      </c>
      <c r="P739" s="6">
        <v>98.02</v>
      </c>
      <c r="Q739" s="6">
        <v>97.7</v>
      </c>
      <c r="R739" s="6">
        <v>97.61</v>
      </c>
    </row>
    <row r="740" spans="2:18">
      <c r="B740" s="6">
        <v>32303</v>
      </c>
      <c r="C740" s="6" t="s">
        <v>171</v>
      </c>
      <c r="D740" s="6">
        <v>98.91</v>
      </c>
      <c r="E740" s="6">
        <v>98.78</v>
      </c>
      <c r="F740" s="6">
        <v>98.63</v>
      </c>
      <c r="G740" s="6">
        <v>98.71</v>
      </c>
      <c r="H740" s="6">
        <v>98.48</v>
      </c>
      <c r="I740" s="6">
        <v>98.36</v>
      </c>
      <c r="J740" s="6">
        <v>98.64</v>
      </c>
      <c r="K740" s="6">
        <v>98.48</v>
      </c>
      <c r="L740" s="6">
        <v>98.3</v>
      </c>
      <c r="M740" s="6">
        <v>98.62</v>
      </c>
      <c r="N740" s="6">
        <v>98.46</v>
      </c>
      <c r="O740" s="6">
        <v>98.28</v>
      </c>
      <c r="P740" s="6">
        <v>98.52</v>
      </c>
      <c r="Q740" s="6">
        <v>98.45</v>
      </c>
      <c r="R740" s="6">
        <v>98.28</v>
      </c>
    </row>
    <row r="741" spans="2:18">
      <c r="B741" s="6">
        <v>32303</v>
      </c>
      <c r="C741" s="6" t="s">
        <v>171</v>
      </c>
      <c r="D741" s="6">
        <v>98.92</v>
      </c>
      <c r="E741" s="6">
        <v>99.27</v>
      </c>
      <c r="F741" s="6">
        <v>99.11</v>
      </c>
      <c r="G741" s="6">
        <v>98.99</v>
      </c>
      <c r="H741" s="6">
        <v>99.06</v>
      </c>
      <c r="I741" s="6">
        <v>99.02</v>
      </c>
      <c r="J741" s="6">
        <v>98.77</v>
      </c>
      <c r="K741" s="6">
        <v>98.75</v>
      </c>
      <c r="L741" s="6">
        <v>98.72</v>
      </c>
      <c r="M741" s="6">
        <v>98.71</v>
      </c>
      <c r="N741" s="6">
        <v>98.7</v>
      </c>
      <c r="O741" s="6">
        <v>98.68</v>
      </c>
      <c r="P741" s="6">
        <v>98.71</v>
      </c>
      <c r="Q741" s="6">
        <v>98.7</v>
      </c>
      <c r="R741" s="6">
        <v>98.68</v>
      </c>
    </row>
    <row r="742" spans="2:18">
      <c r="B742" s="6">
        <v>32303</v>
      </c>
      <c r="C742" s="6" t="s">
        <v>171</v>
      </c>
      <c r="D742" s="6">
        <v>97.37</v>
      </c>
      <c r="E742" s="6">
        <v>97.38</v>
      </c>
      <c r="F742" s="6">
        <v>97.47</v>
      </c>
      <c r="G742" s="6">
        <v>98.03</v>
      </c>
      <c r="H742" s="6">
        <v>98.12</v>
      </c>
      <c r="I742" s="6">
        <v>98.05</v>
      </c>
      <c r="J742" s="6">
        <v>97.72</v>
      </c>
      <c r="K742" s="6">
        <v>97.84</v>
      </c>
      <c r="L742" s="6">
        <v>97.75</v>
      </c>
      <c r="M742" s="6">
        <v>97.72</v>
      </c>
      <c r="N742" s="6">
        <v>97.83</v>
      </c>
      <c r="O742" s="6">
        <v>97.74</v>
      </c>
      <c r="P742" s="6">
        <v>97.73</v>
      </c>
      <c r="Q742" s="6">
        <v>97.84</v>
      </c>
      <c r="R742" s="6">
        <v>97.75</v>
      </c>
    </row>
    <row r="743" spans="2:18">
      <c r="B743" s="6">
        <v>32303</v>
      </c>
      <c r="C743" s="6" t="s">
        <v>171</v>
      </c>
      <c r="D743" s="6">
        <v>98.9</v>
      </c>
      <c r="E743" s="6">
        <v>97.73</v>
      </c>
      <c r="F743" s="6">
        <v>97.36</v>
      </c>
      <c r="G743" s="6">
        <v>98.04</v>
      </c>
      <c r="H743" s="6">
        <v>97.78</v>
      </c>
      <c r="I743" s="6">
        <v>97.69</v>
      </c>
      <c r="J743" s="6">
        <v>98.01</v>
      </c>
      <c r="K743" s="6">
        <v>97.7</v>
      </c>
      <c r="L743" s="6">
        <v>97.61</v>
      </c>
      <c r="M743" s="6">
        <v>98.02</v>
      </c>
      <c r="N743" s="6">
        <v>97.7</v>
      </c>
      <c r="O743" s="6">
        <v>97.61</v>
      </c>
      <c r="P743" s="6">
        <v>98.02</v>
      </c>
      <c r="Q743" s="6">
        <v>97.7</v>
      </c>
      <c r="R743" s="6">
        <v>97.61</v>
      </c>
    </row>
    <row r="744" spans="2:18">
      <c r="B744" s="6">
        <v>32304</v>
      </c>
      <c r="C744" s="6" t="s">
        <v>172</v>
      </c>
      <c r="D744" s="6">
        <v>99.16</v>
      </c>
      <c r="E744" s="6">
        <v>98.68</v>
      </c>
      <c r="F744" s="6">
        <v>98.68</v>
      </c>
      <c r="G744" s="6">
        <v>98.71</v>
      </c>
      <c r="H744" s="6">
        <v>98.48</v>
      </c>
      <c r="I744" s="6">
        <v>98.36</v>
      </c>
      <c r="J744" s="6">
        <v>98.64</v>
      </c>
      <c r="K744" s="6">
        <v>98.48</v>
      </c>
      <c r="L744" s="6">
        <v>98.3</v>
      </c>
      <c r="M744" s="6">
        <v>98.62</v>
      </c>
      <c r="N744" s="6">
        <v>98.46</v>
      </c>
      <c r="O744" s="6">
        <v>98.28</v>
      </c>
      <c r="P744" s="6">
        <v>98.52</v>
      </c>
      <c r="Q744" s="6">
        <v>98.45</v>
      </c>
      <c r="R744" s="6">
        <v>98.28</v>
      </c>
    </row>
    <row r="745" spans="2:18">
      <c r="B745" s="6">
        <v>32304</v>
      </c>
      <c r="C745" s="6" t="s">
        <v>172</v>
      </c>
      <c r="D745" s="6">
        <v>99.17</v>
      </c>
      <c r="E745" s="6">
        <v>99.19</v>
      </c>
      <c r="F745" s="6">
        <v>99.19</v>
      </c>
      <c r="G745" s="6">
        <v>98.99</v>
      </c>
      <c r="H745" s="6">
        <v>99.06</v>
      </c>
      <c r="I745" s="6">
        <v>99.02</v>
      </c>
      <c r="J745" s="6">
        <v>98.77</v>
      </c>
      <c r="K745" s="6">
        <v>98.75</v>
      </c>
      <c r="L745" s="6">
        <v>98.72</v>
      </c>
      <c r="M745" s="6">
        <v>98.71</v>
      </c>
      <c r="N745" s="6">
        <v>98.7</v>
      </c>
      <c r="O745" s="6">
        <v>98.68</v>
      </c>
      <c r="P745" s="6">
        <v>98.71</v>
      </c>
      <c r="Q745" s="6">
        <v>98.7</v>
      </c>
      <c r="R745" s="6">
        <v>98.68</v>
      </c>
    </row>
    <row r="746" spans="2:18">
      <c r="B746" s="6">
        <v>32304</v>
      </c>
      <c r="C746" s="6" t="s">
        <v>172</v>
      </c>
      <c r="D746" s="6">
        <v>97.96</v>
      </c>
      <c r="E746" s="6">
        <v>97.07</v>
      </c>
      <c r="F746" s="6">
        <v>97.07</v>
      </c>
      <c r="G746" s="6">
        <v>98.03</v>
      </c>
      <c r="H746" s="6">
        <v>98.12</v>
      </c>
      <c r="I746" s="6">
        <v>98.05</v>
      </c>
      <c r="J746" s="6">
        <v>97.72</v>
      </c>
      <c r="K746" s="6">
        <v>97.84</v>
      </c>
      <c r="L746" s="6">
        <v>97.75</v>
      </c>
      <c r="M746" s="6">
        <v>97.72</v>
      </c>
      <c r="N746" s="6">
        <v>97.83</v>
      </c>
      <c r="O746" s="6">
        <v>97.74</v>
      </c>
      <c r="P746" s="6">
        <v>97.73</v>
      </c>
      <c r="Q746" s="6">
        <v>97.84</v>
      </c>
      <c r="R746" s="6">
        <v>97.75</v>
      </c>
    </row>
    <row r="747" spans="2:18">
      <c r="B747" s="6">
        <v>32304</v>
      </c>
      <c r="C747" s="6" t="s">
        <v>172</v>
      </c>
      <c r="D747" s="6">
        <v>98.2</v>
      </c>
      <c r="E747" s="6">
        <v>98.41</v>
      </c>
      <c r="F747" s="6">
        <v>98.41</v>
      </c>
      <c r="G747" s="6">
        <v>98.04</v>
      </c>
      <c r="H747" s="6">
        <v>97.78</v>
      </c>
      <c r="I747" s="6">
        <v>97.69</v>
      </c>
      <c r="J747" s="6">
        <v>98.01</v>
      </c>
      <c r="K747" s="6">
        <v>97.7</v>
      </c>
      <c r="L747" s="6">
        <v>97.61</v>
      </c>
      <c r="M747" s="6">
        <v>98.02</v>
      </c>
      <c r="N747" s="6">
        <v>97.7</v>
      </c>
      <c r="O747" s="6">
        <v>97.61</v>
      </c>
      <c r="P747" s="6">
        <v>98.02</v>
      </c>
      <c r="Q747" s="6">
        <v>97.7</v>
      </c>
      <c r="R747" s="6">
        <v>97.61</v>
      </c>
    </row>
    <row r="748" spans="2:18">
      <c r="B748" s="6">
        <v>32305</v>
      </c>
      <c r="C748" s="6" t="s">
        <v>173</v>
      </c>
      <c r="D748" s="6">
        <v>98.8</v>
      </c>
      <c r="E748" s="6">
        <v>98.6</v>
      </c>
      <c r="F748" s="6">
        <v>98.6</v>
      </c>
      <c r="G748" s="6">
        <v>98.71</v>
      </c>
      <c r="H748" s="6">
        <v>98.48</v>
      </c>
      <c r="I748" s="6">
        <v>98.36</v>
      </c>
      <c r="J748" s="6">
        <v>98.64</v>
      </c>
      <c r="K748" s="6">
        <v>98.48</v>
      </c>
      <c r="L748" s="6">
        <v>98.3</v>
      </c>
      <c r="M748" s="6">
        <v>98.62</v>
      </c>
      <c r="N748" s="6">
        <v>98.46</v>
      </c>
      <c r="O748" s="6">
        <v>98.28</v>
      </c>
      <c r="P748" s="6">
        <v>98.52</v>
      </c>
      <c r="Q748" s="6">
        <v>98.45</v>
      </c>
      <c r="R748" s="6">
        <v>98.28</v>
      </c>
    </row>
    <row r="749" spans="2:18">
      <c r="B749" s="6">
        <v>32305</v>
      </c>
      <c r="C749" s="6" t="s">
        <v>173</v>
      </c>
      <c r="D749" s="6">
        <v>99.21</v>
      </c>
      <c r="E749" s="6">
        <v>98.85</v>
      </c>
      <c r="F749" s="6">
        <v>98.85</v>
      </c>
      <c r="G749" s="6">
        <v>98.99</v>
      </c>
      <c r="H749" s="6">
        <v>99.06</v>
      </c>
      <c r="I749" s="6">
        <v>99.02</v>
      </c>
      <c r="J749" s="6">
        <v>98.77</v>
      </c>
      <c r="K749" s="6">
        <v>98.75</v>
      </c>
      <c r="L749" s="6">
        <v>98.72</v>
      </c>
      <c r="M749" s="6">
        <v>98.71</v>
      </c>
      <c r="N749" s="6">
        <v>98.7</v>
      </c>
      <c r="O749" s="6">
        <v>98.68</v>
      </c>
      <c r="P749" s="6">
        <v>98.71</v>
      </c>
      <c r="Q749" s="6">
        <v>98.7</v>
      </c>
      <c r="R749" s="6">
        <v>98.68</v>
      </c>
    </row>
    <row r="750" spans="2:18">
      <c r="B750" s="6">
        <v>32305</v>
      </c>
      <c r="C750" s="6" t="s">
        <v>173</v>
      </c>
      <c r="D750" s="6">
        <v>97.87</v>
      </c>
      <c r="E750" s="6">
        <v>97.53</v>
      </c>
      <c r="F750" s="6">
        <v>97.53</v>
      </c>
      <c r="G750" s="6">
        <v>98.03</v>
      </c>
      <c r="H750" s="6">
        <v>98.12</v>
      </c>
      <c r="I750" s="6">
        <v>98.05</v>
      </c>
      <c r="J750" s="6">
        <v>97.72</v>
      </c>
      <c r="K750" s="6">
        <v>97.84</v>
      </c>
      <c r="L750" s="6">
        <v>97.75</v>
      </c>
      <c r="M750" s="6">
        <v>97.72</v>
      </c>
      <c r="N750" s="6">
        <v>97.83</v>
      </c>
      <c r="O750" s="6">
        <v>97.74</v>
      </c>
      <c r="P750" s="6">
        <v>97.73</v>
      </c>
      <c r="Q750" s="6">
        <v>97.84</v>
      </c>
      <c r="R750" s="6">
        <v>97.75</v>
      </c>
    </row>
    <row r="751" spans="2:18">
      <c r="B751" s="6">
        <v>32305</v>
      </c>
      <c r="C751" s="6" t="s">
        <v>173</v>
      </c>
      <c r="D751" s="6">
        <v>97.78</v>
      </c>
      <c r="E751" s="6">
        <v>98</v>
      </c>
      <c r="F751" s="6">
        <v>98</v>
      </c>
      <c r="G751" s="6">
        <v>98.04</v>
      </c>
      <c r="H751" s="6">
        <v>97.78</v>
      </c>
      <c r="I751" s="6">
        <v>97.69</v>
      </c>
      <c r="J751" s="6">
        <v>98.01</v>
      </c>
      <c r="K751" s="6">
        <v>97.7</v>
      </c>
      <c r="L751" s="6">
        <v>97.61</v>
      </c>
      <c r="M751" s="6">
        <v>98.02</v>
      </c>
      <c r="N751" s="6">
        <v>97.7</v>
      </c>
      <c r="O751" s="6">
        <v>97.61</v>
      </c>
      <c r="P751" s="6">
        <v>98.02</v>
      </c>
      <c r="Q751" s="6">
        <v>97.7</v>
      </c>
      <c r="R751" s="6">
        <v>97.61</v>
      </c>
    </row>
    <row r="752" spans="2:18">
      <c r="B752" s="6">
        <v>32306</v>
      </c>
      <c r="C752" s="6" t="s">
        <v>174</v>
      </c>
      <c r="D752" s="6">
        <v>98.99</v>
      </c>
      <c r="E752" s="6">
        <v>98.44</v>
      </c>
      <c r="F752" s="6">
        <v>98.44</v>
      </c>
      <c r="G752" s="6">
        <v>98.71</v>
      </c>
      <c r="H752" s="6">
        <v>98.48</v>
      </c>
      <c r="I752" s="6">
        <v>98.36</v>
      </c>
      <c r="J752" s="6">
        <v>98.64</v>
      </c>
      <c r="K752" s="6">
        <v>98.48</v>
      </c>
      <c r="L752" s="6">
        <v>98.3</v>
      </c>
      <c r="M752" s="6">
        <v>98.62</v>
      </c>
      <c r="N752" s="6">
        <v>98.46</v>
      </c>
      <c r="O752" s="6">
        <v>98.28</v>
      </c>
      <c r="P752" s="6">
        <v>98.52</v>
      </c>
      <c r="Q752" s="6">
        <v>98.45</v>
      </c>
      <c r="R752" s="6">
        <v>98.28</v>
      </c>
    </row>
    <row r="753" spans="2:18">
      <c r="B753" s="6">
        <v>32306</v>
      </c>
      <c r="C753" s="6" t="s">
        <v>174</v>
      </c>
      <c r="D753" s="6">
        <v>99</v>
      </c>
      <c r="E753" s="6">
        <v>98.94</v>
      </c>
      <c r="F753" s="6">
        <v>98.94</v>
      </c>
      <c r="G753" s="6">
        <v>98.99</v>
      </c>
      <c r="H753" s="6">
        <v>99.06</v>
      </c>
      <c r="I753" s="6">
        <v>99.02</v>
      </c>
      <c r="J753" s="6">
        <v>98.77</v>
      </c>
      <c r="K753" s="6">
        <v>98.75</v>
      </c>
      <c r="L753" s="6">
        <v>98.72</v>
      </c>
      <c r="M753" s="6">
        <v>98.71</v>
      </c>
      <c r="N753" s="6">
        <v>98.7</v>
      </c>
      <c r="O753" s="6">
        <v>98.68</v>
      </c>
      <c r="P753" s="6">
        <v>98.71</v>
      </c>
      <c r="Q753" s="6">
        <v>98.7</v>
      </c>
      <c r="R753" s="6">
        <v>98.68</v>
      </c>
    </row>
    <row r="754" spans="2:18">
      <c r="B754" s="6">
        <v>32306</v>
      </c>
      <c r="C754" s="6" t="s">
        <v>174</v>
      </c>
      <c r="D754" s="6">
        <v>97.56</v>
      </c>
      <c r="E754" s="6">
        <v>97.49</v>
      </c>
      <c r="F754" s="6">
        <v>97.49</v>
      </c>
      <c r="G754" s="6">
        <v>98.03</v>
      </c>
      <c r="H754" s="6">
        <v>98.12</v>
      </c>
      <c r="I754" s="6">
        <v>98.05</v>
      </c>
      <c r="J754" s="6">
        <v>97.72</v>
      </c>
      <c r="K754" s="6">
        <v>97.84</v>
      </c>
      <c r="L754" s="6">
        <v>97.75</v>
      </c>
      <c r="M754" s="6">
        <v>97.72</v>
      </c>
      <c r="N754" s="6">
        <v>97.83</v>
      </c>
      <c r="O754" s="6">
        <v>97.74</v>
      </c>
      <c r="P754" s="6">
        <v>97.73</v>
      </c>
      <c r="Q754" s="6">
        <v>97.84</v>
      </c>
      <c r="R754" s="6">
        <v>97.75</v>
      </c>
    </row>
    <row r="755" spans="2:18">
      <c r="B755" s="6">
        <v>32306</v>
      </c>
      <c r="C755" s="6" t="s">
        <v>174</v>
      </c>
      <c r="D755" s="6">
        <v>98.98</v>
      </c>
      <c r="E755" s="6">
        <v>98.02</v>
      </c>
      <c r="F755" s="6">
        <v>98.02</v>
      </c>
      <c r="G755" s="6">
        <v>98.04</v>
      </c>
      <c r="H755" s="6">
        <v>97.78</v>
      </c>
      <c r="I755" s="6">
        <v>97.69</v>
      </c>
      <c r="J755" s="6">
        <v>98.01</v>
      </c>
      <c r="K755" s="6">
        <v>97.7</v>
      </c>
      <c r="L755" s="6">
        <v>97.61</v>
      </c>
      <c r="M755" s="6">
        <v>98.02</v>
      </c>
      <c r="N755" s="6">
        <v>97.7</v>
      </c>
      <c r="O755" s="6">
        <v>97.61</v>
      </c>
      <c r="P755" s="6">
        <v>98.02</v>
      </c>
      <c r="Q755" s="6">
        <v>97.7</v>
      </c>
      <c r="R755" s="6">
        <v>97.61</v>
      </c>
    </row>
    <row r="756" spans="2:18">
      <c r="B756" s="6">
        <v>32307</v>
      </c>
      <c r="C756" s="6" t="s">
        <v>747</v>
      </c>
      <c r="D756" s="6">
        <v>99.05</v>
      </c>
      <c r="E756" s="6">
        <v>98.51</v>
      </c>
      <c r="F756" s="6">
        <v>98.51</v>
      </c>
      <c r="G756" s="6">
        <v>98.71</v>
      </c>
      <c r="H756" s="6">
        <v>98.48</v>
      </c>
      <c r="I756" s="6">
        <v>98.36</v>
      </c>
      <c r="J756" s="6">
        <v>98.64</v>
      </c>
      <c r="K756" s="6">
        <v>98.48</v>
      </c>
      <c r="L756" s="6">
        <v>98.3</v>
      </c>
      <c r="M756" s="6">
        <v>98.62</v>
      </c>
      <c r="N756" s="6">
        <v>98.46</v>
      </c>
      <c r="O756" s="6">
        <v>98.28</v>
      </c>
      <c r="P756" s="6">
        <v>98.52</v>
      </c>
      <c r="Q756" s="6">
        <v>98.45</v>
      </c>
      <c r="R756" s="6">
        <v>98.28</v>
      </c>
    </row>
    <row r="757" spans="2:18">
      <c r="B757" s="6">
        <v>32307</v>
      </c>
      <c r="C757" s="6" t="s">
        <v>747</v>
      </c>
      <c r="D757" s="6">
        <v>99.06</v>
      </c>
      <c r="E757" s="6">
        <v>98.7</v>
      </c>
      <c r="F757" s="6">
        <v>98.7</v>
      </c>
      <c r="G757" s="6">
        <v>98.99</v>
      </c>
      <c r="H757" s="6">
        <v>99.06</v>
      </c>
      <c r="I757" s="6">
        <v>99.02</v>
      </c>
      <c r="J757" s="6">
        <v>98.77</v>
      </c>
      <c r="K757" s="6">
        <v>98.75</v>
      </c>
      <c r="L757" s="6">
        <v>98.72</v>
      </c>
      <c r="M757" s="6">
        <v>98.71</v>
      </c>
      <c r="N757" s="6">
        <v>98.7</v>
      </c>
      <c r="O757" s="6">
        <v>98.68</v>
      </c>
      <c r="P757" s="6">
        <v>98.71</v>
      </c>
      <c r="Q757" s="6">
        <v>98.7</v>
      </c>
      <c r="R757" s="6">
        <v>98.68</v>
      </c>
    </row>
    <row r="758" spans="2:18">
      <c r="B758" s="6">
        <v>32307</v>
      </c>
      <c r="C758" s="6" t="s">
        <v>747</v>
      </c>
      <c r="D758" s="6">
        <v>97.71</v>
      </c>
      <c r="E758" s="6">
        <v>98.08</v>
      </c>
      <c r="F758" s="6">
        <v>98.08</v>
      </c>
      <c r="G758" s="6">
        <v>98.03</v>
      </c>
      <c r="H758" s="6">
        <v>98.12</v>
      </c>
      <c r="I758" s="6">
        <v>98.05</v>
      </c>
      <c r="J758" s="6">
        <v>97.72</v>
      </c>
      <c r="K758" s="6">
        <v>97.84</v>
      </c>
      <c r="L758" s="6">
        <v>97.75</v>
      </c>
      <c r="M758" s="6">
        <v>97.72</v>
      </c>
      <c r="N758" s="6">
        <v>97.83</v>
      </c>
      <c r="O758" s="6">
        <v>97.74</v>
      </c>
      <c r="P758" s="6">
        <v>97.73</v>
      </c>
      <c r="Q758" s="6">
        <v>97.84</v>
      </c>
      <c r="R758" s="6">
        <v>97.75</v>
      </c>
    </row>
    <row r="759" spans="2:18">
      <c r="B759" s="6">
        <v>32307</v>
      </c>
      <c r="C759" s="6" t="s">
        <v>747</v>
      </c>
      <c r="D759" s="6">
        <v>98.09</v>
      </c>
      <c r="E759" s="6">
        <v>97.49</v>
      </c>
      <c r="F759" s="6">
        <v>97.49</v>
      </c>
      <c r="G759" s="6">
        <v>98.04</v>
      </c>
      <c r="H759" s="6">
        <v>97.78</v>
      </c>
      <c r="I759" s="6">
        <v>97.69</v>
      </c>
      <c r="J759" s="6">
        <v>98.01</v>
      </c>
      <c r="K759" s="6">
        <v>97.7</v>
      </c>
      <c r="L759" s="6">
        <v>97.61</v>
      </c>
      <c r="M759" s="6">
        <v>98.02</v>
      </c>
      <c r="N759" s="6">
        <v>97.7</v>
      </c>
      <c r="O759" s="6">
        <v>97.61</v>
      </c>
      <c r="P759" s="6">
        <v>98.02</v>
      </c>
      <c r="Q759" s="6">
        <v>97.7</v>
      </c>
      <c r="R759" s="6">
        <v>97.61</v>
      </c>
    </row>
    <row r="760" spans="2:18">
      <c r="B760" s="6">
        <v>32308</v>
      </c>
      <c r="C760" s="6" t="s">
        <v>175</v>
      </c>
      <c r="D760" s="6">
        <v>98.27</v>
      </c>
      <c r="E760" s="6">
        <v>98.03</v>
      </c>
      <c r="F760" s="6">
        <v>98.1</v>
      </c>
      <c r="G760" s="6">
        <v>98.71</v>
      </c>
      <c r="H760" s="6">
        <v>98.48</v>
      </c>
      <c r="I760" s="6">
        <v>98.36</v>
      </c>
      <c r="J760" s="6">
        <v>98.64</v>
      </c>
      <c r="K760" s="6">
        <v>98.48</v>
      </c>
      <c r="L760" s="6">
        <v>98.3</v>
      </c>
      <c r="M760" s="6">
        <v>98.62</v>
      </c>
      <c r="N760" s="6">
        <v>98.46</v>
      </c>
      <c r="O760" s="6">
        <v>98.28</v>
      </c>
      <c r="P760" s="6">
        <v>98.52</v>
      </c>
      <c r="Q760" s="6">
        <v>98.45</v>
      </c>
      <c r="R760" s="6">
        <v>98.28</v>
      </c>
    </row>
    <row r="761" spans="2:18">
      <c r="B761" s="6">
        <v>32308</v>
      </c>
      <c r="C761" s="6" t="s">
        <v>175</v>
      </c>
      <c r="D761" s="6">
        <v>98.3</v>
      </c>
      <c r="E761" s="6">
        <v>99.12</v>
      </c>
      <c r="F761" s="6">
        <v>99.12</v>
      </c>
      <c r="G761" s="6">
        <v>98.99</v>
      </c>
      <c r="H761" s="6">
        <v>99.06</v>
      </c>
      <c r="I761" s="6">
        <v>99.02</v>
      </c>
      <c r="J761" s="6">
        <v>98.77</v>
      </c>
      <c r="K761" s="6">
        <v>98.75</v>
      </c>
      <c r="L761" s="6">
        <v>98.72</v>
      </c>
      <c r="M761" s="6">
        <v>98.71</v>
      </c>
      <c r="N761" s="6">
        <v>98.7</v>
      </c>
      <c r="O761" s="6">
        <v>98.68</v>
      </c>
      <c r="P761" s="6">
        <v>98.71</v>
      </c>
      <c r="Q761" s="6">
        <v>98.7</v>
      </c>
      <c r="R761" s="6">
        <v>98.68</v>
      </c>
    </row>
    <row r="762" spans="2:18">
      <c r="B762" s="6">
        <v>32308</v>
      </c>
      <c r="C762" s="6" t="s">
        <v>175</v>
      </c>
      <c r="D762" s="6">
        <v>97.92</v>
      </c>
      <c r="E762" s="6">
        <v>98.53</v>
      </c>
      <c r="F762" s="6">
        <v>98.51</v>
      </c>
      <c r="G762" s="6">
        <v>98.03</v>
      </c>
      <c r="H762" s="6">
        <v>98.12</v>
      </c>
      <c r="I762" s="6">
        <v>98.05</v>
      </c>
      <c r="J762" s="6">
        <v>97.72</v>
      </c>
      <c r="K762" s="6">
        <v>97.84</v>
      </c>
      <c r="L762" s="6">
        <v>97.75</v>
      </c>
      <c r="M762" s="6">
        <v>97.72</v>
      </c>
      <c r="N762" s="6">
        <v>97.83</v>
      </c>
      <c r="O762" s="6">
        <v>97.74</v>
      </c>
      <c r="P762" s="6">
        <v>97.73</v>
      </c>
      <c r="Q762" s="6">
        <v>97.84</v>
      </c>
      <c r="R762" s="6">
        <v>97.75</v>
      </c>
    </row>
    <row r="763" spans="2:18">
      <c r="B763" s="6">
        <v>32308</v>
      </c>
      <c r="C763" s="6" t="s">
        <v>175</v>
      </c>
      <c r="D763" s="6">
        <v>97.58</v>
      </c>
      <c r="E763" s="6">
        <v>96.98</v>
      </c>
      <c r="F763" s="6">
        <v>97.06</v>
      </c>
      <c r="G763" s="6">
        <v>98.04</v>
      </c>
      <c r="H763" s="6">
        <v>97.78</v>
      </c>
      <c r="I763" s="6">
        <v>97.69</v>
      </c>
      <c r="J763" s="6">
        <v>98.01</v>
      </c>
      <c r="K763" s="6">
        <v>97.7</v>
      </c>
      <c r="L763" s="6">
        <v>97.61</v>
      </c>
      <c r="M763" s="6">
        <v>98.02</v>
      </c>
      <c r="N763" s="6">
        <v>97.7</v>
      </c>
      <c r="O763" s="6">
        <v>97.61</v>
      </c>
      <c r="P763" s="6">
        <v>98.02</v>
      </c>
      <c r="Q763" s="6">
        <v>97.7</v>
      </c>
      <c r="R763" s="6">
        <v>97.61</v>
      </c>
    </row>
    <row r="764" spans="2:18">
      <c r="B764" s="6">
        <v>32309</v>
      </c>
      <c r="C764" s="6" t="s">
        <v>176</v>
      </c>
      <c r="D764" s="6">
        <v>0</v>
      </c>
      <c r="E764" s="6">
        <v>98.91</v>
      </c>
      <c r="F764" s="6">
        <v>98.91</v>
      </c>
      <c r="G764" s="6">
        <v>98.74</v>
      </c>
      <c r="H764" s="6">
        <v>98.55</v>
      </c>
      <c r="I764" s="6">
        <v>98.22</v>
      </c>
      <c r="J764" s="6">
        <v>98.64</v>
      </c>
      <c r="K764" s="6">
        <v>98.48</v>
      </c>
      <c r="L764" s="6">
        <v>98.3</v>
      </c>
      <c r="M764" s="6">
        <v>98.62</v>
      </c>
      <c r="N764" s="6">
        <v>98.46</v>
      </c>
      <c r="O764" s="6">
        <v>98.28</v>
      </c>
      <c r="P764" s="6">
        <v>98.52</v>
      </c>
      <c r="Q764" s="6">
        <v>98.45</v>
      </c>
      <c r="R764" s="6">
        <v>98.28</v>
      </c>
    </row>
    <row r="765" spans="2:18">
      <c r="B765" s="6">
        <v>32309</v>
      </c>
      <c r="C765" s="6" t="s">
        <v>176</v>
      </c>
      <c r="D765" s="6">
        <v>99.13</v>
      </c>
      <c r="E765" s="6">
        <v>99</v>
      </c>
      <c r="F765" s="6">
        <v>99</v>
      </c>
      <c r="G765" s="6">
        <v>98.78</v>
      </c>
      <c r="H765" s="6">
        <v>98.67</v>
      </c>
      <c r="I765" s="6">
        <v>98.6</v>
      </c>
      <c r="J765" s="6">
        <v>98.77</v>
      </c>
      <c r="K765" s="6">
        <v>98.75</v>
      </c>
      <c r="L765" s="6">
        <v>98.72</v>
      </c>
      <c r="M765" s="6">
        <v>98.71</v>
      </c>
      <c r="N765" s="6">
        <v>98.7</v>
      </c>
      <c r="O765" s="6">
        <v>98.68</v>
      </c>
      <c r="P765" s="6">
        <v>98.71</v>
      </c>
      <c r="Q765" s="6">
        <v>98.7</v>
      </c>
      <c r="R765" s="6">
        <v>98.68</v>
      </c>
    </row>
    <row r="766" spans="2:18">
      <c r="B766" s="6">
        <v>32309</v>
      </c>
      <c r="C766" s="6" t="s">
        <v>176</v>
      </c>
      <c r="D766" s="6">
        <v>97.87</v>
      </c>
      <c r="E766" s="6">
        <v>97.4</v>
      </c>
      <c r="F766" s="6">
        <v>97.4</v>
      </c>
      <c r="G766" s="6">
        <v>97.49</v>
      </c>
      <c r="H766" s="6">
        <v>97.66</v>
      </c>
      <c r="I766" s="6">
        <v>97.52</v>
      </c>
      <c r="J766" s="6">
        <v>97.72</v>
      </c>
      <c r="K766" s="6">
        <v>97.84</v>
      </c>
      <c r="L766" s="6">
        <v>97.75</v>
      </c>
      <c r="M766" s="6">
        <v>97.72</v>
      </c>
      <c r="N766" s="6">
        <v>97.83</v>
      </c>
      <c r="O766" s="6">
        <v>97.74</v>
      </c>
      <c r="P766" s="6">
        <v>97.73</v>
      </c>
      <c r="Q766" s="6">
        <v>97.84</v>
      </c>
      <c r="R766" s="6">
        <v>97.75</v>
      </c>
    </row>
    <row r="767" spans="2:18">
      <c r="B767" s="6">
        <v>32309</v>
      </c>
      <c r="C767" s="6" t="s">
        <v>176</v>
      </c>
      <c r="D767" s="6">
        <v>0</v>
      </c>
      <c r="E767" s="6">
        <v>96.69</v>
      </c>
      <c r="F767" s="6">
        <v>96.69</v>
      </c>
      <c r="G767" s="6">
        <v>98.15</v>
      </c>
      <c r="H767" s="6">
        <v>97.53</v>
      </c>
      <c r="I767" s="6">
        <v>97.49</v>
      </c>
      <c r="J767" s="6">
        <v>98.01</v>
      </c>
      <c r="K767" s="6">
        <v>97.7</v>
      </c>
      <c r="L767" s="6">
        <v>97.61</v>
      </c>
      <c r="M767" s="6">
        <v>98.02</v>
      </c>
      <c r="N767" s="6">
        <v>97.7</v>
      </c>
      <c r="O767" s="6">
        <v>97.61</v>
      </c>
      <c r="P767" s="6">
        <v>98.02</v>
      </c>
      <c r="Q767" s="6">
        <v>97.7</v>
      </c>
      <c r="R767" s="6">
        <v>97.61</v>
      </c>
    </row>
    <row r="768" spans="2:18">
      <c r="B768" s="6">
        <v>32310</v>
      </c>
      <c r="C768" s="6" t="s">
        <v>568</v>
      </c>
      <c r="D768" s="6">
        <v>0</v>
      </c>
      <c r="E768" s="6">
        <v>98.12</v>
      </c>
      <c r="F768" s="6">
        <v>98.12</v>
      </c>
      <c r="G768" s="6">
        <v>98.74</v>
      </c>
      <c r="H768" s="6">
        <v>98.55</v>
      </c>
      <c r="I768" s="6">
        <v>98.22</v>
      </c>
      <c r="J768" s="6">
        <v>98.64</v>
      </c>
      <c r="K768" s="6">
        <v>98.48</v>
      </c>
      <c r="L768" s="6">
        <v>98.3</v>
      </c>
      <c r="M768" s="6">
        <v>98.62</v>
      </c>
      <c r="N768" s="6">
        <v>98.46</v>
      </c>
      <c r="O768" s="6">
        <v>98.28</v>
      </c>
      <c r="P768" s="6">
        <v>98.52</v>
      </c>
      <c r="Q768" s="6">
        <v>98.45</v>
      </c>
      <c r="R768" s="6">
        <v>98.28</v>
      </c>
    </row>
    <row r="769" spans="2:18">
      <c r="B769" s="6">
        <v>32310</v>
      </c>
      <c r="C769" s="6" t="s">
        <v>568</v>
      </c>
      <c r="D769" s="6">
        <v>0</v>
      </c>
      <c r="E769" s="6">
        <v>95.78</v>
      </c>
      <c r="F769" s="6">
        <v>95.78</v>
      </c>
      <c r="G769" s="6">
        <v>98.78</v>
      </c>
      <c r="H769" s="6">
        <v>98.67</v>
      </c>
      <c r="I769" s="6">
        <v>98.6</v>
      </c>
      <c r="J769" s="6">
        <v>98.77</v>
      </c>
      <c r="K769" s="6">
        <v>98.75</v>
      </c>
      <c r="L769" s="6">
        <v>98.72</v>
      </c>
      <c r="M769" s="6">
        <v>98.71</v>
      </c>
      <c r="N769" s="6">
        <v>98.7</v>
      </c>
      <c r="O769" s="6">
        <v>98.68</v>
      </c>
      <c r="P769" s="6">
        <v>98.71</v>
      </c>
      <c r="Q769" s="6">
        <v>98.7</v>
      </c>
      <c r="R769" s="6">
        <v>98.68</v>
      </c>
    </row>
    <row r="770" spans="2:18">
      <c r="B770" s="6">
        <v>32310</v>
      </c>
      <c r="C770" s="6" t="s">
        <v>568</v>
      </c>
      <c r="D770" s="6">
        <v>0</v>
      </c>
      <c r="E770" s="6">
        <v>97.3</v>
      </c>
      <c r="F770" s="6">
        <v>97.3</v>
      </c>
      <c r="G770" s="6">
        <v>97.49</v>
      </c>
      <c r="H770" s="6">
        <v>97.66</v>
      </c>
      <c r="I770" s="6">
        <v>97.52</v>
      </c>
      <c r="J770" s="6">
        <v>97.72</v>
      </c>
      <c r="K770" s="6">
        <v>97.84</v>
      </c>
      <c r="L770" s="6">
        <v>97.75</v>
      </c>
      <c r="M770" s="6">
        <v>97.72</v>
      </c>
      <c r="N770" s="6">
        <v>97.83</v>
      </c>
      <c r="O770" s="6">
        <v>97.74</v>
      </c>
      <c r="P770" s="6">
        <v>97.73</v>
      </c>
      <c r="Q770" s="6">
        <v>97.84</v>
      </c>
      <c r="R770" s="6">
        <v>97.75</v>
      </c>
    </row>
    <row r="771" spans="2:18">
      <c r="B771" s="6">
        <v>32310</v>
      </c>
      <c r="C771" s="6" t="s">
        <v>568</v>
      </c>
      <c r="D771" s="6">
        <v>0</v>
      </c>
      <c r="E771" s="6">
        <v>97.98</v>
      </c>
      <c r="F771" s="6">
        <v>97.98</v>
      </c>
      <c r="G771" s="6">
        <v>98.15</v>
      </c>
      <c r="H771" s="6">
        <v>97.53</v>
      </c>
      <c r="I771" s="6">
        <v>97.49</v>
      </c>
      <c r="J771" s="6">
        <v>98.01</v>
      </c>
      <c r="K771" s="6">
        <v>97.7</v>
      </c>
      <c r="L771" s="6">
        <v>97.61</v>
      </c>
      <c r="M771" s="6">
        <v>98.02</v>
      </c>
      <c r="N771" s="6">
        <v>97.7</v>
      </c>
      <c r="O771" s="6">
        <v>97.61</v>
      </c>
      <c r="P771" s="6">
        <v>98.02</v>
      </c>
      <c r="Q771" s="6">
        <v>97.7</v>
      </c>
      <c r="R771" s="6">
        <v>97.61</v>
      </c>
    </row>
    <row r="772" spans="2:18">
      <c r="B772" s="6">
        <v>32311</v>
      </c>
      <c r="C772" s="6" t="s">
        <v>768</v>
      </c>
      <c r="D772" s="6">
        <v>100</v>
      </c>
      <c r="E772" s="6">
        <v>99.09</v>
      </c>
      <c r="F772" s="6">
        <v>99.09</v>
      </c>
      <c r="G772" s="6">
        <v>98.74</v>
      </c>
      <c r="H772" s="6">
        <v>98.55</v>
      </c>
      <c r="I772" s="6">
        <v>98.22</v>
      </c>
      <c r="J772" s="6">
        <v>98.64</v>
      </c>
      <c r="K772" s="6">
        <v>98.48</v>
      </c>
      <c r="L772" s="6">
        <v>98.3</v>
      </c>
      <c r="M772" s="6">
        <v>98.62</v>
      </c>
      <c r="N772" s="6">
        <v>98.46</v>
      </c>
      <c r="O772" s="6">
        <v>98.28</v>
      </c>
      <c r="P772" s="6">
        <v>98.52</v>
      </c>
      <c r="Q772" s="6">
        <v>98.45</v>
      </c>
      <c r="R772" s="6">
        <v>98.28</v>
      </c>
    </row>
    <row r="773" spans="2:18">
      <c r="B773" s="6">
        <v>32311</v>
      </c>
      <c r="C773" s="6" t="s">
        <v>768</v>
      </c>
      <c r="D773" s="6">
        <v>100</v>
      </c>
      <c r="E773" s="6">
        <v>99.1</v>
      </c>
      <c r="F773" s="6">
        <v>99.1</v>
      </c>
      <c r="G773" s="6">
        <v>98.78</v>
      </c>
      <c r="H773" s="6">
        <v>98.67</v>
      </c>
      <c r="I773" s="6">
        <v>98.6</v>
      </c>
      <c r="J773" s="6">
        <v>98.77</v>
      </c>
      <c r="K773" s="6">
        <v>98.75</v>
      </c>
      <c r="L773" s="6">
        <v>98.72</v>
      </c>
      <c r="M773" s="6">
        <v>98.71</v>
      </c>
      <c r="N773" s="6">
        <v>98.7</v>
      </c>
      <c r="O773" s="6">
        <v>98.68</v>
      </c>
      <c r="P773" s="6">
        <v>98.71</v>
      </c>
      <c r="Q773" s="6">
        <v>98.7</v>
      </c>
      <c r="R773" s="6">
        <v>98.68</v>
      </c>
    </row>
    <row r="774" spans="2:18">
      <c r="B774" s="6">
        <v>32311</v>
      </c>
      <c r="C774" s="6" t="s">
        <v>768</v>
      </c>
      <c r="D774" s="6">
        <v>96</v>
      </c>
      <c r="E774" s="6">
        <v>97.58</v>
      </c>
      <c r="F774" s="6">
        <v>97.58</v>
      </c>
      <c r="G774" s="6">
        <v>97.49</v>
      </c>
      <c r="H774" s="6">
        <v>97.66</v>
      </c>
      <c r="I774" s="6">
        <v>97.52</v>
      </c>
      <c r="J774" s="6">
        <v>97.72</v>
      </c>
      <c r="K774" s="6">
        <v>97.84</v>
      </c>
      <c r="L774" s="6">
        <v>97.75</v>
      </c>
      <c r="M774" s="6">
        <v>97.72</v>
      </c>
      <c r="N774" s="6">
        <v>97.83</v>
      </c>
      <c r="O774" s="6">
        <v>97.74</v>
      </c>
      <c r="P774" s="6">
        <v>97.73</v>
      </c>
      <c r="Q774" s="6">
        <v>97.84</v>
      </c>
      <c r="R774" s="6">
        <v>97.75</v>
      </c>
    </row>
    <row r="775" spans="2:18">
      <c r="B775" s="6">
        <v>32311</v>
      </c>
      <c r="C775" s="6" t="s">
        <v>768</v>
      </c>
      <c r="D775" s="6">
        <v>100</v>
      </c>
      <c r="E775" s="6">
        <v>98.51</v>
      </c>
      <c r="F775" s="6">
        <v>98.51</v>
      </c>
      <c r="G775" s="6">
        <v>98.15</v>
      </c>
      <c r="H775" s="6">
        <v>97.53</v>
      </c>
      <c r="I775" s="6">
        <v>97.49</v>
      </c>
      <c r="J775" s="6">
        <v>98.01</v>
      </c>
      <c r="K775" s="6">
        <v>97.7</v>
      </c>
      <c r="L775" s="6">
        <v>97.61</v>
      </c>
      <c r="M775" s="6">
        <v>98.02</v>
      </c>
      <c r="N775" s="6">
        <v>97.7</v>
      </c>
      <c r="O775" s="6">
        <v>97.61</v>
      </c>
      <c r="P775" s="6">
        <v>98.02</v>
      </c>
      <c r="Q775" s="6">
        <v>97.7</v>
      </c>
      <c r="R775" s="6">
        <v>97.61</v>
      </c>
    </row>
    <row r="776" spans="2:18">
      <c r="B776" s="6">
        <v>32312</v>
      </c>
      <c r="C776" s="6" t="s">
        <v>621</v>
      </c>
      <c r="D776" s="6">
        <v>0</v>
      </c>
      <c r="E776" s="6">
        <v>98.83</v>
      </c>
      <c r="F776" s="6">
        <v>98.83</v>
      </c>
      <c r="G776" s="6">
        <v>98.74</v>
      </c>
      <c r="H776" s="6">
        <v>98.55</v>
      </c>
      <c r="I776" s="6">
        <v>98.22</v>
      </c>
      <c r="J776" s="6">
        <v>98.64</v>
      </c>
      <c r="K776" s="6">
        <v>98.48</v>
      </c>
      <c r="L776" s="6">
        <v>98.3</v>
      </c>
      <c r="M776" s="6">
        <v>98.62</v>
      </c>
      <c r="N776" s="6">
        <v>98.46</v>
      </c>
      <c r="O776" s="6">
        <v>98.28</v>
      </c>
      <c r="P776" s="6">
        <v>98.52</v>
      </c>
      <c r="Q776" s="6">
        <v>98.45</v>
      </c>
      <c r="R776" s="6">
        <v>98.28</v>
      </c>
    </row>
    <row r="777" spans="2:18">
      <c r="B777" s="6">
        <v>32312</v>
      </c>
      <c r="C777" s="6" t="s">
        <v>621</v>
      </c>
      <c r="D777" s="6">
        <v>0</v>
      </c>
      <c r="E777" s="6">
        <v>99.27</v>
      </c>
      <c r="F777" s="6">
        <v>99.27</v>
      </c>
      <c r="G777" s="6">
        <v>98.78</v>
      </c>
      <c r="H777" s="6">
        <v>98.67</v>
      </c>
      <c r="I777" s="6">
        <v>98.6</v>
      </c>
      <c r="J777" s="6">
        <v>98.77</v>
      </c>
      <c r="K777" s="6">
        <v>98.75</v>
      </c>
      <c r="L777" s="6">
        <v>98.72</v>
      </c>
      <c r="M777" s="6">
        <v>98.71</v>
      </c>
      <c r="N777" s="6">
        <v>98.7</v>
      </c>
      <c r="O777" s="6">
        <v>98.68</v>
      </c>
      <c r="P777" s="6">
        <v>98.71</v>
      </c>
      <c r="Q777" s="6">
        <v>98.7</v>
      </c>
      <c r="R777" s="6">
        <v>98.68</v>
      </c>
    </row>
    <row r="778" spans="2:18">
      <c r="B778" s="6">
        <v>32312</v>
      </c>
      <c r="C778" s="6" t="s">
        <v>621</v>
      </c>
      <c r="D778" s="6">
        <v>0</v>
      </c>
      <c r="E778" s="6">
        <v>97.51</v>
      </c>
      <c r="F778" s="6">
        <v>97.51</v>
      </c>
      <c r="G778" s="6">
        <v>97.49</v>
      </c>
      <c r="H778" s="6">
        <v>97.66</v>
      </c>
      <c r="I778" s="6">
        <v>97.52</v>
      </c>
      <c r="J778" s="6">
        <v>97.72</v>
      </c>
      <c r="K778" s="6">
        <v>97.84</v>
      </c>
      <c r="L778" s="6">
        <v>97.75</v>
      </c>
      <c r="M778" s="6">
        <v>97.72</v>
      </c>
      <c r="N778" s="6">
        <v>97.83</v>
      </c>
      <c r="O778" s="6">
        <v>97.74</v>
      </c>
      <c r="P778" s="6">
        <v>97.73</v>
      </c>
      <c r="Q778" s="6">
        <v>97.84</v>
      </c>
      <c r="R778" s="6">
        <v>97.75</v>
      </c>
    </row>
    <row r="779" spans="2:18">
      <c r="B779" s="6">
        <v>32312</v>
      </c>
      <c r="C779" s="6" t="s">
        <v>621</v>
      </c>
      <c r="D779" s="6">
        <v>0</v>
      </c>
      <c r="E779" s="6">
        <v>98.23</v>
      </c>
      <c r="F779" s="6">
        <v>98.23</v>
      </c>
      <c r="G779" s="6">
        <v>98.15</v>
      </c>
      <c r="H779" s="6">
        <v>97.53</v>
      </c>
      <c r="I779" s="6">
        <v>97.49</v>
      </c>
      <c r="J779" s="6">
        <v>98.01</v>
      </c>
      <c r="K779" s="6">
        <v>97.7</v>
      </c>
      <c r="L779" s="6">
        <v>97.61</v>
      </c>
      <c r="M779" s="6">
        <v>98.02</v>
      </c>
      <c r="N779" s="6">
        <v>97.7</v>
      </c>
      <c r="O779" s="6">
        <v>97.61</v>
      </c>
      <c r="P779" s="6">
        <v>98.02</v>
      </c>
      <c r="Q779" s="6">
        <v>97.7</v>
      </c>
      <c r="R779" s="6">
        <v>97.61</v>
      </c>
    </row>
    <row r="780" spans="2:18">
      <c r="B780" s="6">
        <v>32313</v>
      </c>
      <c r="C780" s="6" t="s">
        <v>780</v>
      </c>
      <c r="D780" s="6">
        <v>0</v>
      </c>
      <c r="E780" s="6">
        <v>97.98</v>
      </c>
      <c r="F780" s="6">
        <v>97.98</v>
      </c>
      <c r="G780" s="6">
        <v>98.74</v>
      </c>
      <c r="H780" s="6">
        <v>98.55</v>
      </c>
      <c r="I780" s="6">
        <v>98.22</v>
      </c>
      <c r="J780" s="6">
        <v>98.64</v>
      </c>
      <c r="K780" s="6">
        <v>98.48</v>
      </c>
      <c r="L780" s="6">
        <v>98.3</v>
      </c>
      <c r="M780" s="6">
        <v>98.62</v>
      </c>
      <c r="N780" s="6">
        <v>98.46</v>
      </c>
      <c r="O780" s="6">
        <v>98.28</v>
      </c>
      <c r="P780" s="6">
        <v>98.52</v>
      </c>
      <c r="Q780" s="6">
        <v>98.45</v>
      </c>
      <c r="R780" s="6">
        <v>98.28</v>
      </c>
    </row>
    <row r="781" spans="2:18">
      <c r="B781" s="6">
        <v>32313</v>
      </c>
      <c r="C781" s="6" t="s">
        <v>780</v>
      </c>
      <c r="D781" s="6">
        <v>99.12</v>
      </c>
      <c r="E781" s="6">
        <v>99.04</v>
      </c>
      <c r="F781" s="6">
        <v>99.04</v>
      </c>
      <c r="G781" s="6">
        <v>98.78</v>
      </c>
      <c r="H781" s="6">
        <v>98.67</v>
      </c>
      <c r="I781" s="6">
        <v>98.6</v>
      </c>
      <c r="J781" s="6">
        <v>98.77</v>
      </c>
      <c r="K781" s="6">
        <v>98.75</v>
      </c>
      <c r="L781" s="6">
        <v>98.72</v>
      </c>
      <c r="M781" s="6">
        <v>98.71</v>
      </c>
      <c r="N781" s="6">
        <v>98.7</v>
      </c>
      <c r="O781" s="6">
        <v>98.68</v>
      </c>
      <c r="P781" s="6">
        <v>98.71</v>
      </c>
      <c r="Q781" s="6">
        <v>98.7</v>
      </c>
      <c r="R781" s="6">
        <v>98.68</v>
      </c>
    </row>
    <row r="782" spans="2:18">
      <c r="B782" s="6">
        <v>32313</v>
      </c>
      <c r="C782" s="6" t="s">
        <v>780</v>
      </c>
      <c r="D782" s="6">
        <v>97.85</v>
      </c>
      <c r="E782" s="6">
        <v>98.13</v>
      </c>
      <c r="F782" s="6">
        <v>98.13</v>
      </c>
      <c r="G782" s="6">
        <v>97.49</v>
      </c>
      <c r="H782" s="6">
        <v>97.66</v>
      </c>
      <c r="I782" s="6">
        <v>97.52</v>
      </c>
      <c r="J782" s="6">
        <v>97.72</v>
      </c>
      <c r="K782" s="6">
        <v>97.84</v>
      </c>
      <c r="L782" s="6">
        <v>97.75</v>
      </c>
      <c r="M782" s="6">
        <v>97.72</v>
      </c>
      <c r="N782" s="6">
        <v>97.83</v>
      </c>
      <c r="O782" s="6">
        <v>97.74</v>
      </c>
      <c r="P782" s="6">
        <v>97.73</v>
      </c>
      <c r="Q782" s="6">
        <v>97.84</v>
      </c>
      <c r="R782" s="6">
        <v>97.75</v>
      </c>
    </row>
    <row r="783" spans="2:18">
      <c r="B783" s="6">
        <v>32313</v>
      </c>
      <c r="C783" s="6" t="s">
        <v>780</v>
      </c>
      <c r="D783" s="6">
        <v>0</v>
      </c>
      <c r="E783" s="6">
        <v>97.42</v>
      </c>
      <c r="F783" s="6">
        <v>97.42</v>
      </c>
      <c r="G783" s="6">
        <v>98.15</v>
      </c>
      <c r="H783" s="6">
        <v>97.53</v>
      </c>
      <c r="I783" s="6">
        <v>97.49</v>
      </c>
      <c r="J783" s="6">
        <v>98.01</v>
      </c>
      <c r="K783" s="6">
        <v>97.7</v>
      </c>
      <c r="L783" s="6">
        <v>97.61</v>
      </c>
      <c r="M783" s="6">
        <v>98.02</v>
      </c>
      <c r="N783" s="6">
        <v>97.7</v>
      </c>
      <c r="O783" s="6">
        <v>97.61</v>
      </c>
      <c r="P783" s="6">
        <v>98.02</v>
      </c>
      <c r="Q783" s="6">
        <v>97.7</v>
      </c>
      <c r="R783" s="6">
        <v>97.61</v>
      </c>
    </row>
    <row r="784" spans="2:18">
      <c r="B784" s="6">
        <v>32314</v>
      </c>
      <c r="C784" s="6" t="s">
        <v>177</v>
      </c>
      <c r="D784" s="6">
        <v>0</v>
      </c>
      <c r="E784" s="6">
        <v>98.7</v>
      </c>
      <c r="F784" s="6">
        <v>98.7</v>
      </c>
      <c r="G784" s="6">
        <v>98.74</v>
      </c>
      <c r="H784" s="6">
        <v>98.55</v>
      </c>
      <c r="I784" s="6">
        <v>98.22</v>
      </c>
      <c r="J784" s="6">
        <v>98.64</v>
      </c>
      <c r="K784" s="6">
        <v>98.48</v>
      </c>
      <c r="L784" s="6">
        <v>98.3</v>
      </c>
      <c r="M784" s="6">
        <v>98.62</v>
      </c>
      <c r="N784" s="6">
        <v>98.46</v>
      </c>
      <c r="O784" s="6">
        <v>98.28</v>
      </c>
      <c r="P784" s="6">
        <v>98.52</v>
      </c>
      <c r="Q784" s="6">
        <v>98.45</v>
      </c>
      <c r="R784" s="6">
        <v>98.28</v>
      </c>
    </row>
    <row r="785" spans="2:18">
      <c r="B785" s="6">
        <v>32314</v>
      </c>
      <c r="C785" s="6" t="s">
        <v>177</v>
      </c>
      <c r="D785" s="6">
        <v>0</v>
      </c>
      <c r="E785" s="6">
        <v>99.35</v>
      </c>
      <c r="F785" s="6">
        <v>99.35</v>
      </c>
      <c r="G785" s="6">
        <v>98.78</v>
      </c>
      <c r="H785" s="6">
        <v>98.67</v>
      </c>
      <c r="I785" s="6">
        <v>98.6</v>
      </c>
      <c r="J785" s="6">
        <v>98.77</v>
      </c>
      <c r="K785" s="6">
        <v>98.75</v>
      </c>
      <c r="L785" s="6">
        <v>98.72</v>
      </c>
      <c r="M785" s="6">
        <v>98.71</v>
      </c>
      <c r="N785" s="6">
        <v>98.7</v>
      </c>
      <c r="O785" s="6">
        <v>98.68</v>
      </c>
      <c r="P785" s="6">
        <v>98.71</v>
      </c>
      <c r="Q785" s="6">
        <v>98.7</v>
      </c>
      <c r="R785" s="6">
        <v>98.68</v>
      </c>
    </row>
    <row r="786" spans="2:18">
      <c r="B786" s="6">
        <v>32314</v>
      </c>
      <c r="C786" s="6" t="s">
        <v>177</v>
      </c>
      <c r="D786" s="6">
        <v>0</v>
      </c>
      <c r="E786" s="6">
        <v>98.41</v>
      </c>
      <c r="F786" s="6">
        <v>98.41</v>
      </c>
      <c r="G786" s="6">
        <v>97.49</v>
      </c>
      <c r="H786" s="6">
        <v>97.66</v>
      </c>
      <c r="I786" s="6">
        <v>97.52</v>
      </c>
      <c r="J786" s="6">
        <v>97.72</v>
      </c>
      <c r="K786" s="6">
        <v>97.84</v>
      </c>
      <c r="L786" s="6">
        <v>97.75</v>
      </c>
      <c r="M786" s="6">
        <v>97.72</v>
      </c>
      <c r="N786" s="6">
        <v>97.83</v>
      </c>
      <c r="O786" s="6">
        <v>97.74</v>
      </c>
      <c r="P786" s="6">
        <v>97.73</v>
      </c>
      <c r="Q786" s="6">
        <v>97.84</v>
      </c>
      <c r="R786" s="6">
        <v>97.75</v>
      </c>
    </row>
    <row r="787" spans="2:18">
      <c r="B787" s="6">
        <v>32314</v>
      </c>
      <c r="C787" s="6" t="s">
        <v>177</v>
      </c>
      <c r="D787" s="6">
        <v>0</v>
      </c>
      <c r="E787" s="6">
        <v>99.01</v>
      </c>
      <c r="F787" s="6">
        <v>99.01</v>
      </c>
      <c r="G787" s="6">
        <v>98.15</v>
      </c>
      <c r="H787" s="6">
        <v>97.53</v>
      </c>
      <c r="I787" s="6">
        <v>97.49</v>
      </c>
      <c r="J787" s="6">
        <v>98.01</v>
      </c>
      <c r="K787" s="6">
        <v>97.7</v>
      </c>
      <c r="L787" s="6">
        <v>97.61</v>
      </c>
      <c r="M787" s="6">
        <v>98.02</v>
      </c>
      <c r="N787" s="6">
        <v>97.7</v>
      </c>
      <c r="O787" s="6">
        <v>97.61</v>
      </c>
      <c r="P787" s="6">
        <v>98.02</v>
      </c>
      <c r="Q787" s="6">
        <v>97.7</v>
      </c>
      <c r="R787" s="6">
        <v>97.61</v>
      </c>
    </row>
    <row r="788" spans="2:18">
      <c r="B788" s="6">
        <v>32315</v>
      </c>
      <c r="C788" s="6" t="s">
        <v>178</v>
      </c>
      <c r="D788" s="6">
        <v>0</v>
      </c>
      <c r="E788" s="6">
        <v>98.78</v>
      </c>
      <c r="F788" s="6">
        <v>98.77</v>
      </c>
      <c r="G788" s="6">
        <v>98.48</v>
      </c>
      <c r="H788" s="6">
        <v>98.4</v>
      </c>
      <c r="I788" s="6">
        <v>98.25</v>
      </c>
      <c r="J788" s="6">
        <v>98.64</v>
      </c>
      <c r="K788" s="6">
        <v>98.48</v>
      </c>
      <c r="L788" s="6">
        <v>98.3</v>
      </c>
      <c r="M788" s="6">
        <v>98.62</v>
      </c>
      <c r="N788" s="6">
        <v>98.46</v>
      </c>
      <c r="O788" s="6">
        <v>98.28</v>
      </c>
      <c r="P788" s="6">
        <v>98.52</v>
      </c>
      <c r="Q788" s="6">
        <v>98.45</v>
      </c>
      <c r="R788" s="6">
        <v>98.28</v>
      </c>
    </row>
    <row r="789" spans="2:18">
      <c r="B789" s="6">
        <v>32315</v>
      </c>
      <c r="C789" s="6" t="s">
        <v>178</v>
      </c>
      <c r="D789" s="6">
        <v>0</v>
      </c>
      <c r="E789" s="6">
        <v>99.19</v>
      </c>
      <c r="F789" s="6">
        <v>99.51</v>
      </c>
      <c r="G789" s="6">
        <v>98.72</v>
      </c>
      <c r="H789" s="6">
        <v>98.71</v>
      </c>
      <c r="I789" s="6">
        <v>98.75</v>
      </c>
      <c r="J789" s="6">
        <v>98.77</v>
      </c>
      <c r="K789" s="6">
        <v>98.75</v>
      </c>
      <c r="L789" s="6">
        <v>98.72</v>
      </c>
      <c r="M789" s="6">
        <v>98.71</v>
      </c>
      <c r="N789" s="6">
        <v>98.7</v>
      </c>
      <c r="O789" s="6">
        <v>98.68</v>
      </c>
      <c r="P789" s="6">
        <v>98.71</v>
      </c>
      <c r="Q789" s="6">
        <v>98.7</v>
      </c>
      <c r="R789" s="6">
        <v>98.68</v>
      </c>
    </row>
    <row r="790" spans="2:18">
      <c r="B790" s="6">
        <v>32315</v>
      </c>
      <c r="C790" s="6" t="s">
        <v>178</v>
      </c>
      <c r="D790" s="6">
        <v>0</v>
      </c>
      <c r="E790" s="6">
        <v>96.11</v>
      </c>
      <c r="F790" s="6">
        <v>97.6</v>
      </c>
      <c r="G790" s="6">
        <v>97.43</v>
      </c>
      <c r="H790" s="6">
        <v>97.49</v>
      </c>
      <c r="I790" s="6">
        <v>97.36</v>
      </c>
      <c r="J790" s="6">
        <v>97.72</v>
      </c>
      <c r="K790" s="6">
        <v>97.84</v>
      </c>
      <c r="L790" s="6">
        <v>97.75</v>
      </c>
      <c r="M790" s="6">
        <v>97.72</v>
      </c>
      <c r="N790" s="6">
        <v>97.83</v>
      </c>
      <c r="O790" s="6">
        <v>97.74</v>
      </c>
      <c r="P790" s="6">
        <v>97.73</v>
      </c>
      <c r="Q790" s="6">
        <v>97.84</v>
      </c>
      <c r="R790" s="6">
        <v>97.75</v>
      </c>
    </row>
    <row r="791" spans="2:18">
      <c r="B791" s="6">
        <v>32315</v>
      </c>
      <c r="C791" s="6" t="s">
        <v>178</v>
      </c>
      <c r="D791" s="6">
        <v>95.04</v>
      </c>
      <c r="E791" s="6">
        <v>95.04</v>
      </c>
      <c r="F791" s="6">
        <v>96.25</v>
      </c>
      <c r="G791" s="6">
        <v>97.88</v>
      </c>
      <c r="H791" s="6">
        <v>97.7</v>
      </c>
      <c r="I791" s="6">
        <v>97.56</v>
      </c>
      <c r="J791" s="6">
        <v>98.01</v>
      </c>
      <c r="K791" s="6">
        <v>97.7</v>
      </c>
      <c r="L791" s="6">
        <v>97.61</v>
      </c>
      <c r="M791" s="6">
        <v>98.02</v>
      </c>
      <c r="N791" s="6">
        <v>97.7</v>
      </c>
      <c r="O791" s="6">
        <v>97.61</v>
      </c>
      <c r="P791" s="6">
        <v>98.02</v>
      </c>
      <c r="Q791" s="6">
        <v>97.7</v>
      </c>
      <c r="R791" s="6">
        <v>97.61</v>
      </c>
    </row>
    <row r="792" spans="2:18">
      <c r="B792" s="6">
        <v>32316</v>
      </c>
      <c r="C792" s="6" t="s">
        <v>179</v>
      </c>
      <c r="D792" s="6">
        <v>98.33</v>
      </c>
      <c r="E792" s="6">
        <v>98.33</v>
      </c>
      <c r="F792" s="6">
        <v>97.15</v>
      </c>
      <c r="G792" s="6">
        <v>98.48</v>
      </c>
      <c r="H792" s="6">
        <v>98.4</v>
      </c>
      <c r="I792" s="6">
        <v>98.25</v>
      </c>
      <c r="J792" s="6">
        <v>98.64</v>
      </c>
      <c r="K792" s="6">
        <v>98.48</v>
      </c>
      <c r="L792" s="6">
        <v>98.3</v>
      </c>
      <c r="M792" s="6">
        <v>98.62</v>
      </c>
      <c r="N792" s="6">
        <v>98.46</v>
      </c>
      <c r="O792" s="6">
        <v>98.28</v>
      </c>
      <c r="P792" s="6">
        <v>98.52</v>
      </c>
      <c r="Q792" s="6">
        <v>98.45</v>
      </c>
      <c r="R792" s="6">
        <v>98.28</v>
      </c>
    </row>
    <row r="793" spans="2:18">
      <c r="B793" s="6">
        <v>32316</v>
      </c>
      <c r="C793" s="6" t="s">
        <v>179</v>
      </c>
      <c r="D793" s="6">
        <v>98.87</v>
      </c>
      <c r="E793" s="6">
        <v>98.87</v>
      </c>
      <c r="F793" s="6">
        <v>99.05</v>
      </c>
      <c r="G793" s="6">
        <v>98.72</v>
      </c>
      <c r="H793" s="6">
        <v>98.71</v>
      </c>
      <c r="I793" s="6">
        <v>98.75</v>
      </c>
      <c r="J793" s="6">
        <v>98.77</v>
      </c>
      <c r="K793" s="6">
        <v>98.75</v>
      </c>
      <c r="L793" s="6">
        <v>98.72</v>
      </c>
      <c r="M793" s="6">
        <v>98.71</v>
      </c>
      <c r="N793" s="6">
        <v>98.7</v>
      </c>
      <c r="O793" s="6">
        <v>98.68</v>
      </c>
      <c r="P793" s="6">
        <v>98.71</v>
      </c>
      <c r="Q793" s="6">
        <v>98.7</v>
      </c>
      <c r="R793" s="6">
        <v>98.68</v>
      </c>
    </row>
    <row r="794" spans="2:18">
      <c r="B794" s="6">
        <v>32316</v>
      </c>
      <c r="C794" s="6" t="s">
        <v>179</v>
      </c>
      <c r="D794" s="6">
        <v>97.67</v>
      </c>
      <c r="E794" s="6">
        <v>97.8</v>
      </c>
      <c r="F794" s="6">
        <v>97.91</v>
      </c>
      <c r="G794" s="6">
        <v>97.43</v>
      </c>
      <c r="H794" s="6">
        <v>97.49</v>
      </c>
      <c r="I794" s="6">
        <v>97.36</v>
      </c>
      <c r="J794" s="6">
        <v>97.72</v>
      </c>
      <c r="K794" s="6">
        <v>97.84</v>
      </c>
      <c r="L794" s="6">
        <v>97.75</v>
      </c>
      <c r="M794" s="6">
        <v>97.72</v>
      </c>
      <c r="N794" s="6">
        <v>97.83</v>
      </c>
      <c r="O794" s="6">
        <v>97.74</v>
      </c>
      <c r="P794" s="6">
        <v>97.73</v>
      </c>
      <c r="Q794" s="6">
        <v>97.84</v>
      </c>
      <c r="R794" s="6">
        <v>97.75</v>
      </c>
    </row>
    <row r="795" spans="2:18">
      <c r="B795" s="6">
        <v>32316</v>
      </c>
      <c r="C795" s="6" t="s">
        <v>179</v>
      </c>
      <c r="D795" s="6">
        <v>92.58</v>
      </c>
      <c r="E795" s="6">
        <v>92.58</v>
      </c>
      <c r="F795" s="6">
        <v>95.86</v>
      </c>
      <c r="G795" s="6">
        <v>97.88</v>
      </c>
      <c r="H795" s="6">
        <v>97.7</v>
      </c>
      <c r="I795" s="6">
        <v>97.56</v>
      </c>
      <c r="J795" s="6">
        <v>98.01</v>
      </c>
      <c r="K795" s="6">
        <v>97.7</v>
      </c>
      <c r="L795" s="6">
        <v>97.61</v>
      </c>
      <c r="M795" s="6">
        <v>98.02</v>
      </c>
      <c r="N795" s="6">
        <v>97.7</v>
      </c>
      <c r="O795" s="6">
        <v>97.61</v>
      </c>
      <c r="P795" s="6">
        <v>98.02</v>
      </c>
      <c r="Q795" s="6">
        <v>97.7</v>
      </c>
      <c r="R795" s="6">
        <v>97.61</v>
      </c>
    </row>
    <row r="796" spans="2:18">
      <c r="B796" s="6">
        <v>32317</v>
      </c>
      <c r="C796" s="6" t="s">
        <v>1044</v>
      </c>
      <c r="D796" s="6">
        <v>98.94</v>
      </c>
      <c r="E796" s="6">
        <v>98.94</v>
      </c>
      <c r="F796" s="6">
        <v>95.77</v>
      </c>
      <c r="G796" s="6">
        <v>98.48</v>
      </c>
      <c r="H796" s="6">
        <v>98.4</v>
      </c>
      <c r="I796" s="6">
        <v>98.25</v>
      </c>
      <c r="J796" s="6">
        <v>98.64</v>
      </c>
      <c r="K796" s="6">
        <v>98.48</v>
      </c>
      <c r="L796" s="6">
        <v>98.3</v>
      </c>
      <c r="M796" s="6">
        <v>98.62</v>
      </c>
      <c r="N796" s="6">
        <v>98.46</v>
      </c>
      <c r="O796" s="6">
        <v>98.28</v>
      </c>
      <c r="P796" s="6">
        <v>98.52</v>
      </c>
      <c r="Q796" s="6">
        <v>98.45</v>
      </c>
      <c r="R796" s="6">
        <v>98.28</v>
      </c>
    </row>
    <row r="797" spans="2:18">
      <c r="B797" s="6">
        <v>32317</v>
      </c>
      <c r="C797" s="6" t="s">
        <v>1044</v>
      </c>
      <c r="D797" s="6">
        <v>98.95</v>
      </c>
      <c r="E797" s="6">
        <v>98.95</v>
      </c>
      <c r="F797" s="6">
        <v>98.77</v>
      </c>
      <c r="G797" s="6">
        <v>98.72</v>
      </c>
      <c r="H797" s="6">
        <v>98.71</v>
      </c>
      <c r="I797" s="6">
        <v>98.75</v>
      </c>
      <c r="J797" s="6">
        <v>98.77</v>
      </c>
      <c r="K797" s="6">
        <v>98.75</v>
      </c>
      <c r="L797" s="6">
        <v>98.72</v>
      </c>
      <c r="M797" s="6">
        <v>98.71</v>
      </c>
      <c r="N797" s="6">
        <v>98.7</v>
      </c>
      <c r="O797" s="6">
        <v>98.68</v>
      </c>
      <c r="P797" s="6">
        <v>98.71</v>
      </c>
      <c r="Q797" s="6">
        <v>98.7</v>
      </c>
      <c r="R797" s="6">
        <v>98.68</v>
      </c>
    </row>
    <row r="798" spans="2:18">
      <c r="B798" s="6">
        <v>32317</v>
      </c>
      <c r="C798" s="6" t="s">
        <v>1044</v>
      </c>
      <c r="D798" s="6">
        <v>97.44</v>
      </c>
      <c r="E798" s="6">
        <v>97.44</v>
      </c>
      <c r="F798" s="6">
        <v>98.77</v>
      </c>
      <c r="G798" s="6">
        <v>97.43</v>
      </c>
      <c r="H798" s="6">
        <v>97.49</v>
      </c>
      <c r="I798" s="6">
        <v>97.36</v>
      </c>
      <c r="J798" s="6">
        <v>97.72</v>
      </c>
      <c r="K798" s="6">
        <v>97.84</v>
      </c>
      <c r="L798" s="6">
        <v>97.75</v>
      </c>
      <c r="M798" s="6">
        <v>97.72</v>
      </c>
      <c r="N798" s="6">
        <v>97.83</v>
      </c>
      <c r="O798" s="6">
        <v>97.74</v>
      </c>
      <c r="P798" s="6">
        <v>97.73</v>
      </c>
      <c r="Q798" s="6">
        <v>97.84</v>
      </c>
      <c r="R798" s="6">
        <v>97.75</v>
      </c>
    </row>
    <row r="799" spans="2:18">
      <c r="B799" s="6">
        <v>32317</v>
      </c>
      <c r="C799" s="6" t="s">
        <v>1044</v>
      </c>
      <c r="D799" s="6">
        <v>98.92</v>
      </c>
      <c r="E799" s="6">
        <v>98.92</v>
      </c>
      <c r="F799" s="6">
        <v>99.08</v>
      </c>
      <c r="G799" s="6">
        <v>97.88</v>
      </c>
      <c r="H799" s="6">
        <v>97.7</v>
      </c>
      <c r="I799" s="6">
        <v>97.56</v>
      </c>
      <c r="J799" s="6">
        <v>98.01</v>
      </c>
      <c r="K799" s="6">
        <v>97.7</v>
      </c>
      <c r="L799" s="6">
        <v>97.61</v>
      </c>
      <c r="M799" s="6">
        <v>98.02</v>
      </c>
      <c r="N799" s="6">
        <v>97.7</v>
      </c>
      <c r="O799" s="6">
        <v>97.61</v>
      </c>
      <c r="P799" s="6">
        <v>98.02</v>
      </c>
      <c r="Q799" s="6">
        <v>97.7</v>
      </c>
      <c r="R799" s="6">
        <v>97.61</v>
      </c>
    </row>
    <row r="800" spans="2:18">
      <c r="B800" s="6">
        <v>32318</v>
      </c>
      <c r="C800" s="6" t="s">
        <v>180</v>
      </c>
      <c r="D800" s="6">
        <v>0</v>
      </c>
      <c r="E800" s="6">
        <v>98.92</v>
      </c>
      <c r="F800" s="6">
        <v>98.23</v>
      </c>
      <c r="G800" s="6">
        <v>98.48</v>
      </c>
      <c r="H800" s="6">
        <v>98.4</v>
      </c>
      <c r="I800" s="6">
        <v>98.25</v>
      </c>
      <c r="J800" s="6">
        <v>98.64</v>
      </c>
      <c r="K800" s="6">
        <v>98.48</v>
      </c>
      <c r="L800" s="6">
        <v>98.3</v>
      </c>
      <c r="M800" s="6">
        <v>98.62</v>
      </c>
      <c r="N800" s="6">
        <v>98.46</v>
      </c>
      <c r="O800" s="6">
        <v>98.28</v>
      </c>
      <c r="P800" s="6">
        <v>98.52</v>
      </c>
      <c r="Q800" s="6">
        <v>98.45</v>
      </c>
      <c r="R800" s="6">
        <v>98.28</v>
      </c>
    </row>
    <row r="801" spans="2:18">
      <c r="B801" s="6">
        <v>32318</v>
      </c>
      <c r="C801" s="6" t="s">
        <v>180</v>
      </c>
      <c r="D801" s="6">
        <v>0</v>
      </c>
      <c r="E801" s="6">
        <v>98.93</v>
      </c>
      <c r="F801" s="6">
        <v>99.19</v>
      </c>
      <c r="G801" s="6">
        <v>98.72</v>
      </c>
      <c r="H801" s="6">
        <v>98.71</v>
      </c>
      <c r="I801" s="6">
        <v>98.75</v>
      </c>
      <c r="J801" s="6">
        <v>98.77</v>
      </c>
      <c r="K801" s="6">
        <v>98.75</v>
      </c>
      <c r="L801" s="6">
        <v>98.72</v>
      </c>
      <c r="M801" s="6">
        <v>98.71</v>
      </c>
      <c r="N801" s="6">
        <v>98.7</v>
      </c>
      <c r="O801" s="6">
        <v>98.68</v>
      </c>
      <c r="P801" s="6">
        <v>98.71</v>
      </c>
      <c r="Q801" s="6">
        <v>98.7</v>
      </c>
      <c r="R801" s="6">
        <v>98.68</v>
      </c>
    </row>
    <row r="802" spans="2:18">
      <c r="B802" s="6">
        <v>32318</v>
      </c>
      <c r="C802" s="6" t="s">
        <v>180</v>
      </c>
      <c r="D802" s="6">
        <v>0</v>
      </c>
      <c r="E802" s="6">
        <v>97.5</v>
      </c>
      <c r="F802" s="6">
        <v>97.25</v>
      </c>
      <c r="G802" s="6">
        <v>97.43</v>
      </c>
      <c r="H802" s="6">
        <v>97.49</v>
      </c>
      <c r="I802" s="6">
        <v>97.36</v>
      </c>
      <c r="J802" s="6">
        <v>97.72</v>
      </c>
      <c r="K802" s="6">
        <v>97.84</v>
      </c>
      <c r="L802" s="6">
        <v>97.75</v>
      </c>
      <c r="M802" s="6">
        <v>97.72</v>
      </c>
      <c r="N802" s="6">
        <v>97.83</v>
      </c>
      <c r="O802" s="6">
        <v>97.74</v>
      </c>
      <c r="P802" s="6">
        <v>97.73</v>
      </c>
      <c r="Q802" s="6">
        <v>97.84</v>
      </c>
      <c r="R802" s="6">
        <v>97.75</v>
      </c>
    </row>
    <row r="803" spans="2:18">
      <c r="B803" s="6">
        <v>32318</v>
      </c>
      <c r="C803" s="6" t="s">
        <v>180</v>
      </c>
      <c r="D803" s="6">
        <v>0</v>
      </c>
      <c r="E803" s="6">
        <v>98.22</v>
      </c>
      <c r="F803" s="6">
        <v>97.64</v>
      </c>
      <c r="G803" s="6">
        <v>97.88</v>
      </c>
      <c r="H803" s="6">
        <v>97.7</v>
      </c>
      <c r="I803" s="6">
        <v>97.56</v>
      </c>
      <c r="J803" s="6">
        <v>98.01</v>
      </c>
      <c r="K803" s="6">
        <v>97.7</v>
      </c>
      <c r="L803" s="6">
        <v>97.61</v>
      </c>
      <c r="M803" s="6">
        <v>98.02</v>
      </c>
      <c r="N803" s="6">
        <v>97.7</v>
      </c>
      <c r="O803" s="6">
        <v>97.61</v>
      </c>
      <c r="P803" s="6">
        <v>98.02</v>
      </c>
      <c r="Q803" s="6">
        <v>97.7</v>
      </c>
      <c r="R803" s="6">
        <v>97.61</v>
      </c>
    </row>
    <row r="804" spans="2:18">
      <c r="B804" s="6">
        <v>32319</v>
      </c>
      <c r="C804" s="6" t="s">
        <v>181</v>
      </c>
      <c r="D804" s="6">
        <v>0</v>
      </c>
      <c r="E804" s="6">
        <v>92.95</v>
      </c>
      <c r="F804" s="6">
        <v>93.35</v>
      </c>
      <c r="G804" s="6">
        <v>98.48</v>
      </c>
      <c r="H804" s="6">
        <v>98.4</v>
      </c>
      <c r="I804" s="6">
        <v>98.25</v>
      </c>
      <c r="J804" s="6">
        <v>98.64</v>
      </c>
      <c r="K804" s="6">
        <v>98.48</v>
      </c>
      <c r="L804" s="6">
        <v>98.3</v>
      </c>
      <c r="M804" s="6">
        <v>98.62</v>
      </c>
      <c r="N804" s="6">
        <v>98.46</v>
      </c>
      <c r="O804" s="6">
        <v>98.28</v>
      </c>
      <c r="P804" s="6">
        <v>98.52</v>
      </c>
      <c r="Q804" s="6">
        <v>98.45</v>
      </c>
      <c r="R804" s="6">
        <v>98.28</v>
      </c>
    </row>
    <row r="805" spans="2:18">
      <c r="B805" s="6">
        <v>32319</v>
      </c>
      <c r="C805" s="6" t="s">
        <v>181</v>
      </c>
      <c r="D805" s="6">
        <v>0</v>
      </c>
      <c r="E805" s="6">
        <v>99.33</v>
      </c>
      <c r="F805" s="6">
        <v>99.02</v>
      </c>
      <c r="G805" s="6">
        <v>98.72</v>
      </c>
      <c r="H805" s="6">
        <v>98.71</v>
      </c>
      <c r="I805" s="6">
        <v>98.75</v>
      </c>
      <c r="J805" s="6">
        <v>98.77</v>
      </c>
      <c r="K805" s="6">
        <v>98.75</v>
      </c>
      <c r="L805" s="6">
        <v>98.72</v>
      </c>
      <c r="M805" s="6">
        <v>98.71</v>
      </c>
      <c r="N805" s="6">
        <v>98.7</v>
      </c>
      <c r="O805" s="6">
        <v>98.68</v>
      </c>
      <c r="P805" s="6">
        <v>98.71</v>
      </c>
      <c r="Q805" s="6">
        <v>98.7</v>
      </c>
      <c r="R805" s="6">
        <v>98.68</v>
      </c>
    </row>
    <row r="806" spans="2:18">
      <c r="B806" s="6">
        <v>32319</v>
      </c>
      <c r="C806" s="6" t="s">
        <v>181</v>
      </c>
      <c r="D806" s="6">
        <v>0</v>
      </c>
      <c r="E806" s="6">
        <v>98.36</v>
      </c>
      <c r="F806" s="6">
        <v>97.62</v>
      </c>
      <c r="G806" s="6">
        <v>97.43</v>
      </c>
      <c r="H806" s="6">
        <v>97.49</v>
      </c>
      <c r="I806" s="6">
        <v>97.36</v>
      </c>
      <c r="J806" s="6">
        <v>97.72</v>
      </c>
      <c r="K806" s="6">
        <v>97.84</v>
      </c>
      <c r="L806" s="6">
        <v>97.75</v>
      </c>
      <c r="M806" s="6">
        <v>97.72</v>
      </c>
      <c r="N806" s="6">
        <v>97.83</v>
      </c>
      <c r="O806" s="6">
        <v>97.74</v>
      </c>
      <c r="P806" s="6">
        <v>97.73</v>
      </c>
      <c r="Q806" s="6">
        <v>97.84</v>
      </c>
      <c r="R806" s="6">
        <v>97.75</v>
      </c>
    </row>
    <row r="807" spans="2:18">
      <c r="B807" s="6">
        <v>32319</v>
      </c>
      <c r="C807" s="6" t="s">
        <v>181</v>
      </c>
      <c r="D807" s="6">
        <v>0</v>
      </c>
      <c r="E807" s="6">
        <v>95.85</v>
      </c>
      <c r="F807" s="6">
        <v>96.04</v>
      </c>
      <c r="G807" s="6">
        <v>97.88</v>
      </c>
      <c r="H807" s="6">
        <v>97.7</v>
      </c>
      <c r="I807" s="6">
        <v>97.56</v>
      </c>
      <c r="J807" s="6">
        <v>98.01</v>
      </c>
      <c r="K807" s="6">
        <v>97.7</v>
      </c>
      <c r="L807" s="6">
        <v>97.61</v>
      </c>
      <c r="M807" s="6">
        <v>98.02</v>
      </c>
      <c r="N807" s="6">
        <v>97.7</v>
      </c>
      <c r="O807" s="6">
        <v>97.61</v>
      </c>
      <c r="P807" s="6">
        <v>98.02</v>
      </c>
      <c r="Q807" s="6">
        <v>97.7</v>
      </c>
      <c r="R807" s="6">
        <v>97.61</v>
      </c>
    </row>
    <row r="808" spans="2:18">
      <c r="B808" s="6">
        <v>32320</v>
      </c>
      <c r="C808" s="6" t="s">
        <v>182</v>
      </c>
      <c r="D808" s="6">
        <v>97.75</v>
      </c>
      <c r="E808" s="6">
        <v>97.33</v>
      </c>
      <c r="F808" s="6">
        <v>97.23</v>
      </c>
      <c r="G808" s="6">
        <v>98.48</v>
      </c>
      <c r="H808" s="6">
        <v>98.4</v>
      </c>
      <c r="I808" s="6">
        <v>98.25</v>
      </c>
      <c r="J808" s="6">
        <v>98.64</v>
      </c>
      <c r="K808" s="6">
        <v>98.48</v>
      </c>
      <c r="L808" s="6">
        <v>98.3</v>
      </c>
      <c r="M808" s="6">
        <v>98.62</v>
      </c>
      <c r="N808" s="6">
        <v>98.46</v>
      </c>
      <c r="O808" s="6">
        <v>98.28</v>
      </c>
      <c r="P808" s="6">
        <v>98.52</v>
      </c>
      <c r="Q808" s="6">
        <v>98.45</v>
      </c>
      <c r="R808" s="6">
        <v>98.28</v>
      </c>
    </row>
    <row r="809" spans="2:18">
      <c r="B809" s="6">
        <v>32320</v>
      </c>
      <c r="C809" s="6" t="s">
        <v>182</v>
      </c>
      <c r="D809" s="6">
        <v>98.89</v>
      </c>
      <c r="E809" s="6">
        <v>96.91</v>
      </c>
      <c r="F809" s="6">
        <v>97.44</v>
      </c>
      <c r="G809" s="6">
        <v>98.72</v>
      </c>
      <c r="H809" s="6">
        <v>98.71</v>
      </c>
      <c r="I809" s="6">
        <v>98.75</v>
      </c>
      <c r="J809" s="6">
        <v>98.77</v>
      </c>
      <c r="K809" s="6">
        <v>98.75</v>
      </c>
      <c r="L809" s="6">
        <v>98.72</v>
      </c>
      <c r="M809" s="6">
        <v>98.71</v>
      </c>
      <c r="N809" s="6">
        <v>98.7</v>
      </c>
      <c r="O809" s="6">
        <v>98.68</v>
      </c>
      <c r="P809" s="6">
        <v>98.71</v>
      </c>
      <c r="Q809" s="6">
        <v>98.7</v>
      </c>
      <c r="R809" s="6">
        <v>98.68</v>
      </c>
    </row>
    <row r="810" spans="2:18">
      <c r="B810" s="6">
        <v>32320</v>
      </c>
      <c r="C810" s="6" t="s">
        <v>182</v>
      </c>
      <c r="D810" s="6">
        <v>97.3</v>
      </c>
      <c r="E810" s="6">
        <v>97.5</v>
      </c>
      <c r="F810" s="6">
        <v>97.22</v>
      </c>
      <c r="G810" s="6">
        <v>97.43</v>
      </c>
      <c r="H810" s="6">
        <v>97.49</v>
      </c>
      <c r="I810" s="6">
        <v>97.36</v>
      </c>
      <c r="J810" s="6">
        <v>97.72</v>
      </c>
      <c r="K810" s="6">
        <v>97.84</v>
      </c>
      <c r="L810" s="6">
        <v>97.75</v>
      </c>
      <c r="M810" s="6">
        <v>97.72</v>
      </c>
      <c r="N810" s="6">
        <v>97.83</v>
      </c>
      <c r="O810" s="6">
        <v>97.74</v>
      </c>
      <c r="P810" s="6">
        <v>97.73</v>
      </c>
      <c r="Q810" s="6">
        <v>97.84</v>
      </c>
      <c r="R810" s="6">
        <v>97.75</v>
      </c>
    </row>
    <row r="811" spans="2:18">
      <c r="B811" s="6">
        <v>32320</v>
      </c>
      <c r="C811" s="6" t="s">
        <v>182</v>
      </c>
      <c r="D811" s="6">
        <v>0</v>
      </c>
      <c r="E811" s="6">
        <v>95.92</v>
      </c>
      <c r="F811" s="6">
        <v>95.56</v>
      </c>
      <c r="G811" s="6">
        <v>97.88</v>
      </c>
      <c r="H811" s="6">
        <v>97.7</v>
      </c>
      <c r="I811" s="6">
        <v>97.56</v>
      </c>
      <c r="J811" s="6">
        <v>98.01</v>
      </c>
      <c r="K811" s="6">
        <v>97.7</v>
      </c>
      <c r="L811" s="6">
        <v>97.61</v>
      </c>
      <c r="M811" s="6">
        <v>98.02</v>
      </c>
      <c r="N811" s="6">
        <v>97.7</v>
      </c>
      <c r="O811" s="6">
        <v>97.61</v>
      </c>
      <c r="P811" s="6">
        <v>98.02</v>
      </c>
      <c r="Q811" s="6">
        <v>97.7</v>
      </c>
      <c r="R811" s="6">
        <v>97.61</v>
      </c>
    </row>
    <row r="812" spans="2:18">
      <c r="B812" s="6">
        <v>32321</v>
      </c>
      <c r="C812" s="6" t="s">
        <v>1104</v>
      </c>
      <c r="D812" s="6">
        <v>0</v>
      </c>
      <c r="E812" s="6">
        <v>0</v>
      </c>
      <c r="F812" s="6">
        <v>97.59</v>
      </c>
      <c r="G812" s="6">
        <v>98.48</v>
      </c>
      <c r="H812" s="6">
        <v>98.4</v>
      </c>
      <c r="I812" s="6">
        <v>98.25</v>
      </c>
      <c r="J812" s="6">
        <v>98.64</v>
      </c>
      <c r="K812" s="6">
        <v>98.48</v>
      </c>
      <c r="L812" s="6">
        <v>98.3</v>
      </c>
      <c r="M812" s="6">
        <v>98.62</v>
      </c>
      <c r="N812" s="6">
        <v>98.46</v>
      </c>
      <c r="O812" s="6">
        <v>98.28</v>
      </c>
      <c r="P812" s="6">
        <v>98.52</v>
      </c>
      <c r="Q812" s="6">
        <v>98.45</v>
      </c>
      <c r="R812" s="6">
        <v>98.28</v>
      </c>
    </row>
    <row r="813" spans="2:18">
      <c r="B813" s="6">
        <v>32321</v>
      </c>
      <c r="C813" s="6" t="s">
        <v>1104</v>
      </c>
      <c r="D813" s="6">
        <v>0</v>
      </c>
      <c r="E813" s="6">
        <v>0</v>
      </c>
      <c r="F813" s="6">
        <v>97.65</v>
      </c>
      <c r="G813" s="6">
        <v>98.9</v>
      </c>
      <c r="H813" s="6">
        <v>98.86</v>
      </c>
      <c r="I813" s="6">
        <v>98.83</v>
      </c>
      <c r="J813" s="6">
        <v>98.78</v>
      </c>
      <c r="K813" s="6">
        <v>98.81</v>
      </c>
      <c r="L813" s="6">
        <v>98.78</v>
      </c>
      <c r="M813" s="6">
        <v>98.78</v>
      </c>
      <c r="N813" s="6">
        <v>98.81</v>
      </c>
      <c r="O813" s="6">
        <v>98.78</v>
      </c>
      <c r="P813" s="6">
        <v>98.78</v>
      </c>
      <c r="Q813" s="6">
        <v>98.81</v>
      </c>
      <c r="R813" s="6">
        <v>98.78</v>
      </c>
    </row>
    <row r="814" spans="2:18">
      <c r="B814" s="6">
        <v>32321</v>
      </c>
      <c r="C814" s="6" t="s">
        <v>1104</v>
      </c>
      <c r="D814" s="6">
        <v>0</v>
      </c>
      <c r="E814" s="6">
        <v>0</v>
      </c>
      <c r="F814" s="6">
        <v>94.44</v>
      </c>
      <c r="G814" s="6">
        <v>97.43</v>
      </c>
      <c r="H814" s="6">
        <v>97.49</v>
      </c>
      <c r="I814" s="6">
        <v>97.36</v>
      </c>
      <c r="J814" s="6">
        <v>97.72</v>
      </c>
      <c r="K814" s="6">
        <v>97.84</v>
      </c>
      <c r="L814" s="6">
        <v>97.75</v>
      </c>
      <c r="M814" s="6">
        <v>97.72</v>
      </c>
      <c r="N814" s="6">
        <v>97.83</v>
      </c>
      <c r="O814" s="6">
        <v>97.74</v>
      </c>
      <c r="P814" s="6">
        <v>97.73</v>
      </c>
      <c r="Q814" s="6">
        <v>97.84</v>
      </c>
      <c r="R814" s="6">
        <v>97.75</v>
      </c>
    </row>
    <row r="815" spans="2:18">
      <c r="B815" s="6">
        <v>32321</v>
      </c>
      <c r="C815" s="6" t="s">
        <v>1104</v>
      </c>
      <c r="D815" s="6">
        <v>0</v>
      </c>
      <c r="E815" s="6">
        <v>0</v>
      </c>
      <c r="F815" s="6">
        <v>96.6</v>
      </c>
      <c r="G815" s="6">
        <v>97.88</v>
      </c>
      <c r="H815" s="6">
        <v>97.7</v>
      </c>
      <c r="I815" s="6">
        <v>97.56</v>
      </c>
      <c r="J815" s="6">
        <v>98.01</v>
      </c>
      <c r="K815" s="6">
        <v>97.7</v>
      </c>
      <c r="L815" s="6">
        <v>97.61</v>
      </c>
      <c r="M815" s="6">
        <v>98.02</v>
      </c>
      <c r="N815" s="6">
        <v>97.7</v>
      </c>
      <c r="O815" s="6">
        <v>97.61</v>
      </c>
      <c r="P815" s="6">
        <v>98.02</v>
      </c>
      <c r="Q815" s="6">
        <v>97.7</v>
      </c>
      <c r="R815" s="6">
        <v>97.61</v>
      </c>
    </row>
    <row r="816" spans="2:18">
      <c r="B816" s="6">
        <v>32325</v>
      </c>
      <c r="C816" s="6" t="s">
        <v>1189</v>
      </c>
      <c r="D816" s="6">
        <v>0</v>
      </c>
      <c r="E816" s="6">
        <v>0</v>
      </c>
      <c r="F816" s="6">
        <v>81.819999999999993</v>
      </c>
      <c r="G816" s="6">
        <v>97.8</v>
      </c>
      <c r="H816" s="6">
        <v>95.81</v>
      </c>
      <c r="I816" s="6">
        <v>93.09</v>
      </c>
      <c r="J816" s="6">
        <v>97.8</v>
      </c>
      <c r="K816" s="6">
        <v>95.81</v>
      </c>
      <c r="L816" s="6">
        <v>92.55</v>
      </c>
      <c r="M816" s="6">
        <v>97.8</v>
      </c>
      <c r="N816" s="6">
        <v>95.81</v>
      </c>
      <c r="O816" s="6">
        <v>92.43</v>
      </c>
      <c r="P816" s="6">
        <v>97.23</v>
      </c>
      <c r="Q816" s="6">
        <v>95.67</v>
      </c>
      <c r="R816" s="6">
        <v>93.87</v>
      </c>
    </row>
    <row r="817" spans="2:18">
      <c r="B817" s="6">
        <v>32325</v>
      </c>
      <c r="C817" s="6" t="s">
        <v>1189</v>
      </c>
      <c r="D817" s="6">
        <v>0</v>
      </c>
      <c r="E817" s="6">
        <v>0</v>
      </c>
      <c r="F817" s="6">
        <v>27.78</v>
      </c>
      <c r="G817" s="6">
        <v>0</v>
      </c>
      <c r="H817" s="6">
        <v>0</v>
      </c>
      <c r="I817" s="6">
        <v>52.78</v>
      </c>
      <c r="J817" s="6">
        <v>0</v>
      </c>
      <c r="K817" s="6">
        <v>0</v>
      </c>
      <c r="L817" s="6">
        <v>52.78</v>
      </c>
      <c r="M817" s="6">
        <v>0</v>
      </c>
      <c r="N817" s="6">
        <v>0</v>
      </c>
      <c r="O817" s="6">
        <v>52.78</v>
      </c>
      <c r="P817" s="6">
        <v>0</v>
      </c>
      <c r="Q817" s="6">
        <v>0</v>
      </c>
      <c r="R817" s="6">
        <v>52.78</v>
      </c>
    </row>
    <row r="818" spans="2:18">
      <c r="B818" s="6">
        <v>32325</v>
      </c>
      <c r="C818" s="6" t="s">
        <v>1189</v>
      </c>
      <c r="D818" s="6">
        <v>0</v>
      </c>
      <c r="E818" s="6">
        <v>0</v>
      </c>
      <c r="F818" s="6">
        <v>78.569999999999993</v>
      </c>
      <c r="G818" s="6">
        <v>94.14</v>
      </c>
      <c r="H818" s="6">
        <v>95.21</v>
      </c>
      <c r="I818" s="6">
        <v>94.44</v>
      </c>
      <c r="J818" s="6">
        <v>94.14</v>
      </c>
      <c r="K818" s="6">
        <v>95.21</v>
      </c>
      <c r="L818" s="6">
        <v>95.51</v>
      </c>
      <c r="M818" s="6">
        <v>94.14</v>
      </c>
      <c r="N818" s="6">
        <v>95.21</v>
      </c>
      <c r="O818" s="6">
        <v>95.13</v>
      </c>
      <c r="P818" s="6">
        <v>92.91</v>
      </c>
      <c r="Q818" s="6">
        <v>94.84</v>
      </c>
      <c r="R818" s="6">
        <v>94.98</v>
      </c>
    </row>
    <row r="819" spans="2:18">
      <c r="B819" s="6">
        <v>32325</v>
      </c>
      <c r="C819" s="6" t="s">
        <v>1189</v>
      </c>
      <c r="D819" s="6">
        <v>0</v>
      </c>
      <c r="E819" s="6">
        <v>0</v>
      </c>
      <c r="F819" s="6">
        <v>83.69</v>
      </c>
      <c r="G819" s="6">
        <v>0</v>
      </c>
      <c r="H819" s="6">
        <v>0</v>
      </c>
      <c r="I819" s="6">
        <v>83.69</v>
      </c>
      <c r="J819" s="6">
        <v>88.89</v>
      </c>
      <c r="K819" s="6">
        <v>92.34</v>
      </c>
      <c r="L819" s="6">
        <v>80.08</v>
      </c>
      <c r="M819" s="6">
        <v>88.89</v>
      </c>
      <c r="N819" s="6">
        <v>92.34</v>
      </c>
      <c r="O819" s="6">
        <v>80.08</v>
      </c>
      <c r="P819" s="6">
        <v>88.89</v>
      </c>
      <c r="Q819" s="6">
        <v>92.34</v>
      </c>
      <c r="R819" s="6">
        <v>80.08</v>
      </c>
    </row>
    <row r="820" spans="2:18">
      <c r="B820" s="6">
        <v>32347</v>
      </c>
      <c r="C820" s="6" t="s">
        <v>1043</v>
      </c>
      <c r="D820" s="6">
        <v>95.88</v>
      </c>
      <c r="E820" s="6">
        <v>95.88</v>
      </c>
      <c r="F820" s="6">
        <v>95.88</v>
      </c>
      <c r="G820" s="6">
        <v>95.88</v>
      </c>
      <c r="H820" s="6">
        <v>95.88</v>
      </c>
      <c r="I820" s="6">
        <v>95.88</v>
      </c>
      <c r="J820" s="6">
        <v>95.88</v>
      </c>
      <c r="K820" s="6">
        <v>95.88</v>
      </c>
      <c r="L820" s="6">
        <v>95.88</v>
      </c>
      <c r="M820" s="6">
        <v>95.88</v>
      </c>
      <c r="N820" s="6">
        <v>95.88</v>
      </c>
      <c r="O820" s="6">
        <v>95.88</v>
      </c>
      <c r="P820" s="6">
        <v>98.52</v>
      </c>
      <c r="Q820" s="6">
        <v>98.45</v>
      </c>
      <c r="R820" s="6">
        <v>98.28</v>
      </c>
    </row>
    <row r="821" spans="2:18">
      <c r="B821" s="6">
        <v>32359</v>
      </c>
      <c r="C821" s="6" t="s">
        <v>1132</v>
      </c>
      <c r="D821" s="6">
        <v>0</v>
      </c>
      <c r="E821" s="6">
        <v>0</v>
      </c>
      <c r="F821" s="6">
        <v>97.5</v>
      </c>
      <c r="G821" s="6">
        <v>98.48</v>
      </c>
      <c r="H821" s="6">
        <v>98.4</v>
      </c>
      <c r="I821" s="6">
        <v>98.25</v>
      </c>
      <c r="J821" s="6">
        <v>98.64</v>
      </c>
      <c r="K821" s="6">
        <v>98.48</v>
      </c>
      <c r="L821" s="6">
        <v>98.3</v>
      </c>
      <c r="M821" s="6">
        <v>98.62</v>
      </c>
      <c r="N821" s="6">
        <v>98.46</v>
      </c>
      <c r="O821" s="6">
        <v>98.28</v>
      </c>
      <c r="P821" s="6">
        <v>98.52</v>
      </c>
      <c r="Q821" s="6">
        <v>98.45</v>
      </c>
      <c r="R821" s="6">
        <v>98.28</v>
      </c>
    </row>
    <row r="822" spans="2:18">
      <c r="B822" s="6">
        <v>32359</v>
      </c>
      <c r="C822" s="6" t="s">
        <v>1132</v>
      </c>
      <c r="D822" s="6">
        <v>0</v>
      </c>
      <c r="E822" s="6">
        <v>0</v>
      </c>
      <c r="F822" s="6">
        <v>97.56</v>
      </c>
      <c r="G822" s="6">
        <v>98.9</v>
      </c>
      <c r="H822" s="6">
        <v>98.86</v>
      </c>
      <c r="I822" s="6">
        <v>98.83</v>
      </c>
      <c r="J822" s="6">
        <v>98.78</v>
      </c>
      <c r="K822" s="6">
        <v>98.81</v>
      </c>
      <c r="L822" s="6">
        <v>98.78</v>
      </c>
      <c r="M822" s="6">
        <v>98.78</v>
      </c>
      <c r="N822" s="6">
        <v>98.81</v>
      </c>
      <c r="O822" s="6">
        <v>98.78</v>
      </c>
      <c r="P822" s="6">
        <v>98.78</v>
      </c>
      <c r="Q822" s="6">
        <v>98.81</v>
      </c>
      <c r="R822" s="6">
        <v>98.78</v>
      </c>
    </row>
    <row r="823" spans="2:18">
      <c r="B823" s="6">
        <v>32359</v>
      </c>
      <c r="C823" s="6" t="s">
        <v>1132</v>
      </c>
      <c r="D823" s="6">
        <v>0</v>
      </c>
      <c r="E823" s="6">
        <v>0</v>
      </c>
      <c r="F823" s="6">
        <v>94.25</v>
      </c>
      <c r="G823" s="6">
        <v>97.43</v>
      </c>
      <c r="H823" s="6">
        <v>97.49</v>
      </c>
      <c r="I823" s="6">
        <v>97.36</v>
      </c>
      <c r="J823" s="6">
        <v>97.72</v>
      </c>
      <c r="K823" s="6">
        <v>97.84</v>
      </c>
      <c r="L823" s="6">
        <v>97.75</v>
      </c>
      <c r="M823" s="6">
        <v>97.72</v>
      </c>
      <c r="N823" s="6">
        <v>97.83</v>
      </c>
      <c r="O823" s="6">
        <v>97.74</v>
      </c>
      <c r="P823" s="6">
        <v>97.73</v>
      </c>
      <c r="Q823" s="6">
        <v>97.84</v>
      </c>
      <c r="R823" s="6">
        <v>97.75</v>
      </c>
    </row>
    <row r="824" spans="2:18">
      <c r="B824" s="6">
        <v>32359</v>
      </c>
      <c r="C824" s="6" t="s">
        <v>1132</v>
      </c>
      <c r="D824" s="6">
        <v>0</v>
      </c>
      <c r="E824" s="6">
        <v>0</v>
      </c>
      <c r="F824" s="6">
        <v>97.44</v>
      </c>
      <c r="G824" s="6">
        <v>97.88</v>
      </c>
      <c r="H824" s="6">
        <v>97.7</v>
      </c>
      <c r="I824" s="6">
        <v>97.56</v>
      </c>
      <c r="J824" s="6">
        <v>98.01</v>
      </c>
      <c r="K824" s="6">
        <v>97.7</v>
      </c>
      <c r="L824" s="6">
        <v>97.61</v>
      </c>
      <c r="M824" s="6">
        <v>98.02</v>
      </c>
      <c r="N824" s="6">
        <v>97.7</v>
      </c>
      <c r="O824" s="6">
        <v>97.61</v>
      </c>
      <c r="P824" s="6">
        <v>98.02</v>
      </c>
      <c r="Q824" s="6">
        <v>97.7</v>
      </c>
      <c r="R824" s="6">
        <v>97.61</v>
      </c>
    </row>
    <row r="825" spans="2:18">
      <c r="B825" s="6">
        <v>32360</v>
      </c>
      <c r="C825" s="6" t="s">
        <v>183</v>
      </c>
      <c r="D825" s="6">
        <v>98.13</v>
      </c>
      <c r="E825" s="6">
        <v>98.46</v>
      </c>
      <c r="F825" s="6">
        <v>98.46</v>
      </c>
      <c r="G825" s="6">
        <v>98.74</v>
      </c>
      <c r="H825" s="6">
        <v>98.55</v>
      </c>
      <c r="I825" s="6">
        <v>98.22</v>
      </c>
      <c r="J825" s="6">
        <v>98.64</v>
      </c>
      <c r="K825" s="6">
        <v>98.48</v>
      </c>
      <c r="L825" s="6">
        <v>98.3</v>
      </c>
      <c r="M825" s="6">
        <v>98.62</v>
      </c>
      <c r="N825" s="6">
        <v>98.46</v>
      </c>
      <c r="O825" s="6">
        <v>98.28</v>
      </c>
      <c r="P825" s="6">
        <v>98.52</v>
      </c>
      <c r="Q825" s="6">
        <v>98.45</v>
      </c>
      <c r="R825" s="6">
        <v>98.28</v>
      </c>
    </row>
    <row r="826" spans="2:18">
      <c r="B826" s="6">
        <v>32360</v>
      </c>
      <c r="C826" s="6" t="s">
        <v>183</v>
      </c>
      <c r="D826" s="6">
        <v>98.17</v>
      </c>
      <c r="E826" s="6">
        <v>98.49</v>
      </c>
      <c r="F826" s="6">
        <v>98.49</v>
      </c>
      <c r="G826" s="6">
        <v>98.85</v>
      </c>
      <c r="H826" s="6">
        <v>98.85</v>
      </c>
      <c r="I826" s="6">
        <v>98.64</v>
      </c>
      <c r="J826" s="6">
        <v>98.86</v>
      </c>
      <c r="K826" s="6">
        <v>98.85</v>
      </c>
      <c r="L826" s="6">
        <v>98.75</v>
      </c>
      <c r="M826" s="6">
        <v>98.86</v>
      </c>
      <c r="N826" s="6">
        <v>98.82</v>
      </c>
      <c r="O826" s="6">
        <v>98.74</v>
      </c>
      <c r="P826" s="6">
        <v>98.83</v>
      </c>
      <c r="Q826" s="6">
        <v>98.81</v>
      </c>
      <c r="R826" s="6">
        <v>98.73</v>
      </c>
    </row>
    <row r="827" spans="2:18">
      <c r="B827" s="6">
        <v>32360</v>
      </c>
      <c r="C827" s="6" t="s">
        <v>183</v>
      </c>
      <c r="D827" s="6">
        <v>95.61</v>
      </c>
      <c r="E827" s="6">
        <v>96.22</v>
      </c>
      <c r="F827" s="6">
        <v>96.22</v>
      </c>
      <c r="G827" s="6">
        <v>97.49</v>
      </c>
      <c r="H827" s="6">
        <v>97.66</v>
      </c>
      <c r="I827" s="6">
        <v>97.52</v>
      </c>
      <c r="J827" s="6">
        <v>97.72</v>
      </c>
      <c r="K827" s="6">
        <v>97.84</v>
      </c>
      <c r="L827" s="6">
        <v>97.75</v>
      </c>
      <c r="M827" s="6">
        <v>97.72</v>
      </c>
      <c r="N827" s="6">
        <v>97.83</v>
      </c>
      <c r="O827" s="6">
        <v>97.74</v>
      </c>
      <c r="P827" s="6">
        <v>97.73</v>
      </c>
      <c r="Q827" s="6">
        <v>97.84</v>
      </c>
      <c r="R827" s="6">
        <v>97.75</v>
      </c>
    </row>
    <row r="828" spans="2:18">
      <c r="B828" s="6">
        <v>32360</v>
      </c>
      <c r="C828" s="6" t="s">
        <v>183</v>
      </c>
      <c r="D828" s="6">
        <v>98.1</v>
      </c>
      <c r="E828" s="6">
        <v>97.58</v>
      </c>
      <c r="F828" s="6">
        <v>97.58</v>
      </c>
      <c r="G828" s="6">
        <v>98.15</v>
      </c>
      <c r="H828" s="6">
        <v>97.53</v>
      </c>
      <c r="I828" s="6">
        <v>97.49</v>
      </c>
      <c r="J828" s="6">
        <v>98.01</v>
      </c>
      <c r="K828" s="6">
        <v>97.7</v>
      </c>
      <c r="L828" s="6">
        <v>97.61</v>
      </c>
      <c r="M828" s="6">
        <v>98.02</v>
      </c>
      <c r="N828" s="6">
        <v>97.7</v>
      </c>
      <c r="O828" s="6">
        <v>97.61</v>
      </c>
      <c r="P828" s="6">
        <v>98.02</v>
      </c>
      <c r="Q828" s="6">
        <v>97.7</v>
      </c>
      <c r="R828" s="6">
        <v>97.61</v>
      </c>
    </row>
    <row r="829" spans="2:18">
      <c r="B829" s="6">
        <v>32361</v>
      </c>
      <c r="C829" s="6" t="s">
        <v>184</v>
      </c>
      <c r="D829" s="6">
        <v>99.14</v>
      </c>
      <c r="E829" s="6">
        <v>97.95</v>
      </c>
      <c r="F829" s="6">
        <v>97.98</v>
      </c>
      <c r="G829" s="6">
        <v>98.74</v>
      </c>
      <c r="H829" s="6">
        <v>98.55</v>
      </c>
      <c r="I829" s="6">
        <v>98.22</v>
      </c>
      <c r="J829" s="6">
        <v>98.64</v>
      </c>
      <c r="K829" s="6">
        <v>98.48</v>
      </c>
      <c r="L829" s="6">
        <v>98.3</v>
      </c>
      <c r="M829" s="6">
        <v>98.62</v>
      </c>
      <c r="N829" s="6">
        <v>98.46</v>
      </c>
      <c r="O829" s="6">
        <v>98.28</v>
      </c>
      <c r="P829" s="6">
        <v>98.52</v>
      </c>
      <c r="Q829" s="6">
        <v>98.45</v>
      </c>
      <c r="R829" s="6">
        <v>98.28</v>
      </c>
    </row>
    <row r="830" spans="2:18">
      <c r="B830" s="6">
        <v>32361</v>
      </c>
      <c r="C830" s="6" t="s">
        <v>184</v>
      </c>
      <c r="D830" s="6">
        <v>99.15</v>
      </c>
      <c r="E830" s="6">
        <v>98.65</v>
      </c>
      <c r="F830" s="6">
        <v>98.44</v>
      </c>
      <c r="G830" s="6">
        <v>98.85</v>
      </c>
      <c r="H830" s="6">
        <v>98.85</v>
      </c>
      <c r="I830" s="6">
        <v>98.64</v>
      </c>
      <c r="J830" s="6">
        <v>98.86</v>
      </c>
      <c r="K830" s="6">
        <v>98.85</v>
      </c>
      <c r="L830" s="6">
        <v>98.75</v>
      </c>
      <c r="M830" s="6">
        <v>98.86</v>
      </c>
      <c r="N830" s="6">
        <v>98.82</v>
      </c>
      <c r="O830" s="6">
        <v>98.74</v>
      </c>
      <c r="P830" s="6">
        <v>98.83</v>
      </c>
      <c r="Q830" s="6">
        <v>98.81</v>
      </c>
      <c r="R830" s="6">
        <v>98.73</v>
      </c>
    </row>
    <row r="831" spans="2:18">
      <c r="B831" s="6">
        <v>32361</v>
      </c>
      <c r="C831" s="6" t="s">
        <v>184</v>
      </c>
      <c r="D831" s="6">
        <v>95.51</v>
      </c>
      <c r="E831" s="6">
        <v>96.75</v>
      </c>
      <c r="F831" s="6">
        <v>97.19</v>
      </c>
      <c r="G831" s="6">
        <v>97.49</v>
      </c>
      <c r="H831" s="6">
        <v>97.66</v>
      </c>
      <c r="I831" s="6">
        <v>97.52</v>
      </c>
      <c r="J831" s="6">
        <v>97.72</v>
      </c>
      <c r="K831" s="6">
        <v>97.84</v>
      </c>
      <c r="L831" s="6">
        <v>97.75</v>
      </c>
      <c r="M831" s="6">
        <v>97.72</v>
      </c>
      <c r="N831" s="6">
        <v>97.83</v>
      </c>
      <c r="O831" s="6">
        <v>97.74</v>
      </c>
      <c r="P831" s="6">
        <v>97.73</v>
      </c>
      <c r="Q831" s="6">
        <v>97.84</v>
      </c>
      <c r="R831" s="6">
        <v>97.75</v>
      </c>
    </row>
    <row r="832" spans="2:18">
      <c r="B832" s="6">
        <v>32361</v>
      </c>
      <c r="C832" s="6" t="s">
        <v>184</v>
      </c>
      <c r="D832" s="6">
        <v>98.7</v>
      </c>
      <c r="E832" s="6">
        <v>97.36</v>
      </c>
      <c r="F832" s="6">
        <v>97.51</v>
      </c>
      <c r="G832" s="6">
        <v>98.15</v>
      </c>
      <c r="H832" s="6">
        <v>97.53</v>
      </c>
      <c r="I832" s="6">
        <v>97.49</v>
      </c>
      <c r="J832" s="6">
        <v>98.01</v>
      </c>
      <c r="K832" s="6">
        <v>97.7</v>
      </c>
      <c r="L832" s="6">
        <v>97.61</v>
      </c>
      <c r="M832" s="6">
        <v>98.02</v>
      </c>
      <c r="N832" s="6">
        <v>97.7</v>
      </c>
      <c r="O832" s="6">
        <v>97.61</v>
      </c>
      <c r="P832" s="6">
        <v>98.02</v>
      </c>
      <c r="Q832" s="6">
        <v>97.7</v>
      </c>
      <c r="R832" s="6">
        <v>97.61</v>
      </c>
    </row>
    <row r="833" spans="2:18">
      <c r="B833" s="6">
        <v>32362</v>
      </c>
      <c r="C833" s="6" t="s">
        <v>1118</v>
      </c>
      <c r="D833" s="6">
        <v>98.85</v>
      </c>
      <c r="E833" s="6">
        <v>98.85</v>
      </c>
      <c r="F833" s="6">
        <v>97.89</v>
      </c>
      <c r="G833" s="6">
        <v>98.74</v>
      </c>
      <c r="H833" s="6">
        <v>98.55</v>
      </c>
      <c r="I833" s="6">
        <v>98.22</v>
      </c>
      <c r="J833" s="6">
        <v>98.64</v>
      </c>
      <c r="K833" s="6">
        <v>98.48</v>
      </c>
      <c r="L833" s="6">
        <v>98.3</v>
      </c>
      <c r="M833" s="6">
        <v>98.62</v>
      </c>
      <c r="N833" s="6">
        <v>98.46</v>
      </c>
      <c r="O833" s="6">
        <v>98.28</v>
      </c>
      <c r="P833" s="6">
        <v>98.52</v>
      </c>
      <c r="Q833" s="6">
        <v>98.45</v>
      </c>
      <c r="R833" s="6">
        <v>98.28</v>
      </c>
    </row>
    <row r="834" spans="2:18">
      <c r="B834" s="6">
        <v>32362</v>
      </c>
      <c r="C834" s="6" t="s">
        <v>1118</v>
      </c>
      <c r="D834" s="6">
        <v>98.86</v>
      </c>
      <c r="E834" s="6">
        <v>98.86</v>
      </c>
      <c r="F834" s="6">
        <v>98.34</v>
      </c>
      <c r="G834" s="6">
        <v>98.85</v>
      </c>
      <c r="H834" s="6">
        <v>98.85</v>
      </c>
      <c r="I834" s="6">
        <v>98.64</v>
      </c>
      <c r="J834" s="6">
        <v>98.86</v>
      </c>
      <c r="K834" s="6">
        <v>98.85</v>
      </c>
      <c r="L834" s="6">
        <v>98.75</v>
      </c>
      <c r="M834" s="6">
        <v>98.86</v>
      </c>
      <c r="N834" s="6">
        <v>98.82</v>
      </c>
      <c r="O834" s="6">
        <v>98.74</v>
      </c>
      <c r="P834" s="6">
        <v>98.83</v>
      </c>
      <c r="Q834" s="6">
        <v>98.81</v>
      </c>
      <c r="R834" s="6">
        <v>98.73</v>
      </c>
    </row>
    <row r="835" spans="2:18">
      <c r="B835" s="6">
        <v>32362</v>
      </c>
      <c r="C835" s="6" t="s">
        <v>1118</v>
      </c>
      <c r="D835" s="6">
        <v>92.63</v>
      </c>
      <c r="E835" s="6">
        <v>92.63</v>
      </c>
      <c r="F835" s="6">
        <v>95.06</v>
      </c>
      <c r="G835" s="6">
        <v>97.49</v>
      </c>
      <c r="H835" s="6">
        <v>97.66</v>
      </c>
      <c r="I835" s="6">
        <v>97.52</v>
      </c>
      <c r="J835" s="6">
        <v>97.72</v>
      </c>
      <c r="K835" s="6">
        <v>97.84</v>
      </c>
      <c r="L835" s="6">
        <v>97.75</v>
      </c>
      <c r="M835" s="6">
        <v>97.72</v>
      </c>
      <c r="N835" s="6">
        <v>97.83</v>
      </c>
      <c r="O835" s="6">
        <v>97.74</v>
      </c>
      <c r="P835" s="6">
        <v>97.73</v>
      </c>
      <c r="Q835" s="6">
        <v>97.84</v>
      </c>
      <c r="R835" s="6">
        <v>97.75</v>
      </c>
    </row>
    <row r="836" spans="2:18">
      <c r="B836" s="6">
        <v>32362</v>
      </c>
      <c r="C836" s="6" t="s">
        <v>1118</v>
      </c>
      <c r="D836" s="6">
        <v>98.84</v>
      </c>
      <c r="E836" s="6">
        <v>98.84</v>
      </c>
      <c r="F836" s="6">
        <v>97.84</v>
      </c>
      <c r="G836" s="6">
        <v>98.15</v>
      </c>
      <c r="H836" s="6">
        <v>97.53</v>
      </c>
      <c r="I836" s="6">
        <v>97.49</v>
      </c>
      <c r="J836" s="6">
        <v>98.01</v>
      </c>
      <c r="K836" s="6">
        <v>97.7</v>
      </c>
      <c r="L836" s="6">
        <v>97.61</v>
      </c>
      <c r="M836" s="6">
        <v>98.02</v>
      </c>
      <c r="N836" s="6">
        <v>97.7</v>
      </c>
      <c r="O836" s="6">
        <v>97.61</v>
      </c>
      <c r="P836" s="6">
        <v>98.02</v>
      </c>
      <c r="Q836" s="6">
        <v>97.7</v>
      </c>
      <c r="R836" s="6">
        <v>97.61</v>
      </c>
    </row>
    <row r="837" spans="2:18">
      <c r="B837" s="6">
        <v>32363</v>
      </c>
      <c r="C837" s="6" t="s">
        <v>185</v>
      </c>
      <c r="D837" s="6">
        <v>97.8</v>
      </c>
      <c r="E837" s="6">
        <v>98.24</v>
      </c>
      <c r="F837" s="6">
        <v>97.13</v>
      </c>
      <c r="G837" s="6">
        <v>98.74</v>
      </c>
      <c r="H837" s="6">
        <v>98.55</v>
      </c>
      <c r="I837" s="6">
        <v>98.22</v>
      </c>
      <c r="J837" s="6">
        <v>98.64</v>
      </c>
      <c r="K837" s="6">
        <v>98.48</v>
      </c>
      <c r="L837" s="6">
        <v>98.3</v>
      </c>
      <c r="M837" s="6">
        <v>98.62</v>
      </c>
      <c r="N837" s="6">
        <v>98.46</v>
      </c>
      <c r="O837" s="6">
        <v>98.28</v>
      </c>
      <c r="P837" s="6">
        <v>98.52</v>
      </c>
      <c r="Q837" s="6">
        <v>98.45</v>
      </c>
      <c r="R837" s="6">
        <v>98.28</v>
      </c>
    </row>
    <row r="838" spans="2:18">
      <c r="B838" s="6">
        <v>32363</v>
      </c>
      <c r="C838" s="6" t="s">
        <v>185</v>
      </c>
      <c r="D838" s="6">
        <v>98.62</v>
      </c>
      <c r="E838" s="6">
        <v>98.87</v>
      </c>
      <c r="F838" s="6">
        <v>97.86</v>
      </c>
      <c r="G838" s="6">
        <v>98.85</v>
      </c>
      <c r="H838" s="6">
        <v>98.85</v>
      </c>
      <c r="I838" s="6">
        <v>98.64</v>
      </c>
      <c r="J838" s="6">
        <v>98.86</v>
      </c>
      <c r="K838" s="6">
        <v>98.85</v>
      </c>
      <c r="L838" s="6">
        <v>98.75</v>
      </c>
      <c r="M838" s="6">
        <v>98.86</v>
      </c>
      <c r="N838" s="6">
        <v>98.82</v>
      </c>
      <c r="O838" s="6">
        <v>98.74</v>
      </c>
      <c r="P838" s="6">
        <v>98.83</v>
      </c>
      <c r="Q838" s="6">
        <v>98.81</v>
      </c>
      <c r="R838" s="6">
        <v>98.73</v>
      </c>
    </row>
    <row r="839" spans="2:18">
      <c r="B839" s="6">
        <v>32363</v>
      </c>
      <c r="C839" s="6" t="s">
        <v>185</v>
      </c>
      <c r="D839" s="6">
        <v>98.06</v>
      </c>
      <c r="E839" s="6">
        <v>97.78</v>
      </c>
      <c r="F839" s="6">
        <v>97.55</v>
      </c>
      <c r="G839" s="6">
        <v>97.49</v>
      </c>
      <c r="H839" s="6">
        <v>97.66</v>
      </c>
      <c r="I839" s="6">
        <v>97.52</v>
      </c>
      <c r="J839" s="6">
        <v>97.72</v>
      </c>
      <c r="K839" s="6">
        <v>97.84</v>
      </c>
      <c r="L839" s="6">
        <v>97.75</v>
      </c>
      <c r="M839" s="6">
        <v>97.72</v>
      </c>
      <c r="N839" s="6">
        <v>97.83</v>
      </c>
      <c r="O839" s="6">
        <v>97.74</v>
      </c>
      <c r="P839" s="6">
        <v>97.73</v>
      </c>
      <c r="Q839" s="6">
        <v>97.84</v>
      </c>
      <c r="R839" s="6">
        <v>97.75</v>
      </c>
    </row>
    <row r="840" spans="2:18">
      <c r="B840" s="6">
        <v>32363</v>
      </c>
      <c r="C840" s="6" t="s">
        <v>185</v>
      </c>
      <c r="D840" s="6">
        <v>98.36</v>
      </c>
      <c r="E840" s="6">
        <v>98.13</v>
      </c>
      <c r="F840" s="6">
        <v>97.88</v>
      </c>
      <c r="G840" s="6">
        <v>98.15</v>
      </c>
      <c r="H840" s="6">
        <v>97.53</v>
      </c>
      <c r="I840" s="6">
        <v>97.49</v>
      </c>
      <c r="J840" s="6">
        <v>98.01</v>
      </c>
      <c r="K840" s="6">
        <v>97.7</v>
      </c>
      <c r="L840" s="6">
        <v>97.61</v>
      </c>
      <c r="M840" s="6">
        <v>98.02</v>
      </c>
      <c r="N840" s="6">
        <v>97.7</v>
      </c>
      <c r="O840" s="6">
        <v>97.61</v>
      </c>
      <c r="P840" s="6">
        <v>98.02</v>
      </c>
      <c r="Q840" s="6">
        <v>97.7</v>
      </c>
      <c r="R840" s="6">
        <v>97.61</v>
      </c>
    </row>
    <row r="841" spans="2:18">
      <c r="B841" s="6">
        <v>32369</v>
      </c>
      <c r="C841" s="6" t="s">
        <v>1119</v>
      </c>
      <c r="D841" s="6">
        <v>98.6</v>
      </c>
      <c r="E841" s="6">
        <v>98.6</v>
      </c>
      <c r="F841" s="6">
        <v>98.6</v>
      </c>
      <c r="G841" s="6">
        <v>98.48</v>
      </c>
      <c r="H841" s="6">
        <v>98.4</v>
      </c>
      <c r="I841" s="6">
        <v>98.25</v>
      </c>
      <c r="J841" s="6">
        <v>98.64</v>
      </c>
      <c r="K841" s="6">
        <v>98.48</v>
      </c>
      <c r="L841" s="6">
        <v>98.3</v>
      </c>
      <c r="M841" s="6">
        <v>98.62</v>
      </c>
      <c r="N841" s="6">
        <v>98.46</v>
      </c>
      <c r="O841" s="6">
        <v>98.28</v>
      </c>
      <c r="P841" s="6">
        <v>98.52</v>
      </c>
      <c r="Q841" s="6">
        <v>98.45</v>
      </c>
      <c r="R841" s="6">
        <v>98.28</v>
      </c>
    </row>
    <row r="842" spans="2:18">
      <c r="B842" s="6">
        <v>32369</v>
      </c>
      <c r="C842" s="6" t="s">
        <v>1119</v>
      </c>
      <c r="D842" s="6">
        <v>98.62</v>
      </c>
      <c r="E842" s="6">
        <v>98.62</v>
      </c>
      <c r="F842" s="6">
        <v>98.62</v>
      </c>
      <c r="G842" s="6">
        <v>98.72</v>
      </c>
      <c r="H842" s="6">
        <v>98.71</v>
      </c>
      <c r="I842" s="6">
        <v>98.75</v>
      </c>
      <c r="J842" s="6">
        <v>98.77</v>
      </c>
      <c r="K842" s="6">
        <v>98.75</v>
      </c>
      <c r="L842" s="6">
        <v>98.72</v>
      </c>
      <c r="M842" s="6">
        <v>98.71</v>
      </c>
      <c r="N842" s="6">
        <v>98.7</v>
      </c>
      <c r="O842" s="6">
        <v>98.68</v>
      </c>
      <c r="P842" s="6">
        <v>98.71</v>
      </c>
      <c r="Q842" s="6">
        <v>98.7</v>
      </c>
      <c r="R842" s="6">
        <v>98.68</v>
      </c>
    </row>
    <row r="843" spans="2:18">
      <c r="B843" s="6">
        <v>32369</v>
      </c>
      <c r="C843" s="6" t="s">
        <v>1119</v>
      </c>
      <c r="D843" s="6">
        <v>96.67</v>
      </c>
      <c r="E843" s="6">
        <v>96.67</v>
      </c>
      <c r="F843" s="6">
        <v>96.67</v>
      </c>
      <c r="G843" s="6">
        <v>97.43</v>
      </c>
      <c r="H843" s="6">
        <v>97.49</v>
      </c>
      <c r="I843" s="6">
        <v>97.36</v>
      </c>
      <c r="J843" s="6">
        <v>97.72</v>
      </c>
      <c r="K843" s="6">
        <v>97.84</v>
      </c>
      <c r="L843" s="6">
        <v>97.75</v>
      </c>
      <c r="M843" s="6">
        <v>97.72</v>
      </c>
      <c r="N843" s="6">
        <v>97.83</v>
      </c>
      <c r="O843" s="6">
        <v>97.74</v>
      </c>
      <c r="P843" s="6">
        <v>97.73</v>
      </c>
      <c r="Q843" s="6">
        <v>97.84</v>
      </c>
      <c r="R843" s="6">
        <v>97.75</v>
      </c>
    </row>
    <row r="844" spans="2:18">
      <c r="B844" s="6">
        <v>32369</v>
      </c>
      <c r="C844" s="6" t="s">
        <v>1119</v>
      </c>
      <c r="D844" s="6">
        <v>98.58</v>
      </c>
      <c r="E844" s="6">
        <v>98.58</v>
      </c>
      <c r="F844" s="6">
        <v>98.58</v>
      </c>
      <c r="G844" s="6">
        <v>97.88</v>
      </c>
      <c r="H844" s="6">
        <v>97.7</v>
      </c>
      <c r="I844" s="6">
        <v>97.56</v>
      </c>
      <c r="J844" s="6">
        <v>98.01</v>
      </c>
      <c r="K844" s="6">
        <v>97.7</v>
      </c>
      <c r="L844" s="6">
        <v>97.61</v>
      </c>
      <c r="M844" s="6">
        <v>98.02</v>
      </c>
      <c r="N844" s="6">
        <v>97.7</v>
      </c>
      <c r="O844" s="6">
        <v>97.61</v>
      </c>
      <c r="P844" s="6">
        <v>98.02</v>
      </c>
      <c r="Q844" s="6">
        <v>97.7</v>
      </c>
      <c r="R844" s="6">
        <v>97.61</v>
      </c>
    </row>
    <row r="845" spans="2:18">
      <c r="B845" s="6">
        <v>32371</v>
      </c>
      <c r="C845" s="6" t="s">
        <v>1085</v>
      </c>
      <c r="D845" s="6">
        <v>99.01</v>
      </c>
      <c r="E845" s="6">
        <v>99.01</v>
      </c>
      <c r="F845" s="6">
        <v>99.01</v>
      </c>
      <c r="G845" s="6">
        <v>98.48</v>
      </c>
      <c r="H845" s="6">
        <v>98.4</v>
      </c>
      <c r="I845" s="6">
        <v>98.25</v>
      </c>
      <c r="J845" s="6">
        <v>98.64</v>
      </c>
      <c r="K845" s="6">
        <v>98.48</v>
      </c>
      <c r="L845" s="6">
        <v>98.3</v>
      </c>
      <c r="M845" s="6">
        <v>98.62</v>
      </c>
      <c r="N845" s="6">
        <v>98.46</v>
      </c>
      <c r="O845" s="6">
        <v>98.28</v>
      </c>
      <c r="P845" s="6">
        <v>98.52</v>
      </c>
      <c r="Q845" s="6">
        <v>98.45</v>
      </c>
      <c r="R845" s="6">
        <v>98.28</v>
      </c>
    </row>
    <row r="846" spans="2:18">
      <c r="B846" s="6">
        <v>32371</v>
      </c>
      <c r="C846" s="6" t="s">
        <v>1085</v>
      </c>
      <c r="D846" s="6">
        <v>99.02</v>
      </c>
      <c r="E846" s="6">
        <v>99.02</v>
      </c>
      <c r="F846" s="6">
        <v>99.02</v>
      </c>
      <c r="G846" s="6">
        <v>98.72</v>
      </c>
      <c r="H846" s="6">
        <v>98.71</v>
      </c>
      <c r="I846" s="6">
        <v>98.75</v>
      </c>
      <c r="J846" s="6">
        <v>98.77</v>
      </c>
      <c r="K846" s="6">
        <v>98.75</v>
      </c>
      <c r="L846" s="6">
        <v>98.72</v>
      </c>
      <c r="M846" s="6">
        <v>98.71</v>
      </c>
      <c r="N846" s="6">
        <v>98.7</v>
      </c>
      <c r="O846" s="6">
        <v>98.68</v>
      </c>
      <c r="P846" s="6">
        <v>98.71</v>
      </c>
      <c r="Q846" s="6">
        <v>98.7</v>
      </c>
      <c r="R846" s="6">
        <v>98.68</v>
      </c>
    </row>
    <row r="847" spans="2:18">
      <c r="B847" s="6">
        <v>32371</v>
      </c>
      <c r="C847" s="6" t="s">
        <v>1085</v>
      </c>
      <c r="D847" s="6">
        <v>97.62</v>
      </c>
      <c r="E847" s="6">
        <v>97.62</v>
      </c>
      <c r="F847" s="6">
        <v>97.62</v>
      </c>
      <c r="G847" s="6">
        <v>97.43</v>
      </c>
      <c r="H847" s="6">
        <v>97.49</v>
      </c>
      <c r="I847" s="6">
        <v>97.36</v>
      </c>
      <c r="J847" s="6">
        <v>97.72</v>
      </c>
      <c r="K847" s="6">
        <v>97.84</v>
      </c>
      <c r="L847" s="6">
        <v>97.75</v>
      </c>
      <c r="M847" s="6">
        <v>97.72</v>
      </c>
      <c r="N847" s="6">
        <v>97.83</v>
      </c>
      <c r="O847" s="6">
        <v>97.74</v>
      </c>
      <c r="P847" s="6">
        <v>97.73</v>
      </c>
      <c r="Q847" s="6">
        <v>97.84</v>
      </c>
      <c r="R847" s="6">
        <v>97.75</v>
      </c>
    </row>
    <row r="848" spans="2:18">
      <c r="B848" s="6">
        <v>32371</v>
      </c>
      <c r="C848" s="6" t="s">
        <v>1085</v>
      </c>
      <c r="D848" s="6">
        <v>98.01</v>
      </c>
      <c r="E848" s="6">
        <v>98.01</v>
      </c>
      <c r="F848" s="6">
        <v>98.01</v>
      </c>
      <c r="G848" s="6">
        <v>97.88</v>
      </c>
      <c r="H848" s="6">
        <v>97.7</v>
      </c>
      <c r="I848" s="6">
        <v>97.56</v>
      </c>
      <c r="J848" s="6">
        <v>98.01</v>
      </c>
      <c r="K848" s="6">
        <v>97.7</v>
      </c>
      <c r="L848" s="6">
        <v>97.61</v>
      </c>
      <c r="M848" s="6">
        <v>98.02</v>
      </c>
      <c r="N848" s="6">
        <v>97.7</v>
      </c>
      <c r="O848" s="6">
        <v>97.61</v>
      </c>
      <c r="P848" s="6">
        <v>98.02</v>
      </c>
      <c r="Q848" s="6">
        <v>97.7</v>
      </c>
      <c r="R848" s="6">
        <v>97.61</v>
      </c>
    </row>
    <row r="849" spans="2:18">
      <c r="B849" s="6">
        <v>32372</v>
      </c>
      <c r="C849" s="6" t="s">
        <v>1120</v>
      </c>
      <c r="D849" s="6">
        <v>0</v>
      </c>
      <c r="E849" s="6">
        <v>0</v>
      </c>
      <c r="F849" s="6">
        <v>97.65</v>
      </c>
      <c r="G849" s="6">
        <v>98.48</v>
      </c>
      <c r="H849" s="6">
        <v>98.4</v>
      </c>
      <c r="I849" s="6">
        <v>98.25</v>
      </c>
      <c r="J849" s="6">
        <v>98.64</v>
      </c>
      <c r="K849" s="6">
        <v>98.48</v>
      </c>
      <c r="L849" s="6">
        <v>98.3</v>
      </c>
      <c r="M849" s="6">
        <v>98.62</v>
      </c>
      <c r="N849" s="6">
        <v>98.46</v>
      </c>
      <c r="O849" s="6">
        <v>98.28</v>
      </c>
      <c r="P849" s="6">
        <v>98.52</v>
      </c>
      <c r="Q849" s="6">
        <v>98.45</v>
      </c>
      <c r="R849" s="6">
        <v>98.28</v>
      </c>
    </row>
    <row r="850" spans="2:18">
      <c r="B850" s="6">
        <v>32372</v>
      </c>
      <c r="C850" s="6" t="s">
        <v>1120</v>
      </c>
      <c r="D850" s="6">
        <v>0</v>
      </c>
      <c r="E850" s="6">
        <v>0</v>
      </c>
      <c r="F850" s="6">
        <v>99.07</v>
      </c>
      <c r="G850" s="6">
        <v>98.72</v>
      </c>
      <c r="H850" s="6">
        <v>98.71</v>
      </c>
      <c r="I850" s="6">
        <v>98.75</v>
      </c>
      <c r="J850" s="6">
        <v>98.77</v>
      </c>
      <c r="K850" s="6">
        <v>98.75</v>
      </c>
      <c r="L850" s="6">
        <v>98.72</v>
      </c>
      <c r="M850" s="6">
        <v>98.71</v>
      </c>
      <c r="N850" s="6">
        <v>98.7</v>
      </c>
      <c r="O850" s="6">
        <v>98.68</v>
      </c>
      <c r="P850" s="6">
        <v>98.71</v>
      </c>
      <c r="Q850" s="6">
        <v>98.7</v>
      </c>
      <c r="R850" s="6">
        <v>98.68</v>
      </c>
    </row>
    <row r="851" spans="2:18">
      <c r="B851" s="6">
        <v>32372</v>
      </c>
      <c r="C851" s="6" t="s">
        <v>1120</v>
      </c>
      <c r="D851" s="6">
        <v>0</v>
      </c>
      <c r="E851" s="6">
        <v>0</v>
      </c>
      <c r="F851" s="6">
        <v>97.73</v>
      </c>
      <c r="G851" s="6">
        <v>97.43</v>
      </c>
      <c r="H851" s="6">
        <v>97.49</v>
      </c>
      <c r="I851" s="6">
        <v>97.36</v>
      </c>
      <c r="J851" s="6">
        <v>97.72</v>
      </c>
      <c r="K851" s="6">
        <v>97.84</v>
      </c>
      <c r="L851" s="6">
        <v>97.75</v>
      </c>
      <c r="M851" s="6">
        <v>97.72</v>
      </c>
      <c r="N851" s="6">
        <v>97.83</v>
      </c>
      <c r="O851" s="6">
        <v>97.74</v>
      </c>
      <c r="P851" s="6">
        <v>97.73</v>
      </c>
      <c r="Q851" s="6">
        <v>97.84</v>
      </c>
      <c r="R851" s="6">
        <v>97.75</v>
      </c>
    </row>
    <row r="852" spans="2:18">
      <c r="B852" s="6">
        <v>32372</v>
      </c>
      <c r="C852" s="6" t="s">
        <v>1120</v>
      </c>
      <c r="D852" s="6">
        <v>0</v>
      </c>
      <c r="E852" s="6">
        <v>0</v>
      </c>
      <c r="F852" s="6">
        <v>100</v>
      </c>
      <c r="G852" s="6">
        <v>97.88</v>
      </c>
      <c r="H852" s="6">
        <v>97.7</v>
      </c>
      <c r="I852" s="6">
        <v>97.56</v>
      </c>
      <c r="J852" s="6">
        <v>98.01</v>
      </c>
      <c r="K852" s="6">
        <v>97.7</v>
      </c>
      <c r="L852" s="6">
        <v>97.61</v>
      </c>
      <c r="M852" s="6">
        <v>98.02</v>
      </c>
      <c r="N852" s="6">
        <v>97.7</v>
      </c>
      <c r="O852" s="6">
        <v>97.61</v>
      </c>
      <c r="P852" s="6">
        <v>98.02</v>
      </c>
      <c r="Q852" s="6">
        <v>97.7</v>
      </c>
      <c r="R852" s="6">
        <v>97.61</v>
      </c>
    </row>
    <row r="853" spans="2:18">
      <c r="B853" s="6">
        <v>32373</v>
      </c>
      <c r="C853" s="6" t="s">
        <v>186</v>
      </c>
      <c r="D853" s="6">
        <v>0</v>
      </c>
      <c r="E853" s="6">
        <v>99.06</v>
      </c>
      <c r="F853" s="6">
        <v>99.06</v>
      </c>
      <c r="G853" s="6">
        <v>98.48</v>
      </c>
      <c r="H853" s="6">
        <v>98.4</v>
      </c>
      <c r="I853" s="6">
        <v>98.25</v>
      </c>
      <c r="J853" s="6">
        <v>98.64</v>
      </c>
      <c r="K853" s="6">
        <v>98.48</v>
      </c>
      <c r="L853" s="6">
        <v>98.3</v>
      </c>
      <c r="M853" s="6">
        <v>98.62</v>
      </c>
      <c r="N853" s="6">
        <v>98.46</v>
      </c>
      <c r="O853" s="6">
        <v>98.28</v>
      </c>
      <c r="P853" s="6">
        <v>98.52</v>
      </c>
      <c r="Q853" s="6">
        <v>98.45</v>
      </c>
      <c r="R853" s="6">
        <v>98.28</v>
      </c>
    </row>
    <row r="854" spans="2:18">
      <c r="B854" s="6">
        <v>32373</v>
      </c>
      <c r="C854" s="6" t="s">
        <v>186</v>
      </c>
      <c r="D854" s="6">
        <v>0</v>
      </c>
      <c r="E854" s="6">
        <v>99.07</v>
      </c>
      <c r="F854" s="6">
        <v>99.07</v>
      </c>
      <c r="G854" s="6">
        <v>98.72</v>
      </c>
      <c r="H854" s="6">
        <v>98.71</v>
      </c>
      <c r="I854" s="6">
        <v>98.75</v>
      </c>
      <c r="J854" s="6">
        <v>98.77</v>
      </c>
      <c r="K854" s="6">
        <v>98.75</v>
      </c>
      <c r="L854" s="6">
        <v>98.72</v>
      </c>
      <c r="M854" s="6">
        <v>98.71</v>
      </c>
      <c r="N854" s="6">
        <v>98.7</v>
      </c>
      <c r="O854" s="6">
        <v>98.68</v>
      </c>
      <c r="P854" s="6">
        <v>98.71</v>
      </c>
      <c r="Q854" s="6">
        <v>98.7</v>
      </c>
      <c r="R854" s="6">
        <v>98.68</v>
      </c>
    </row>
    <row r="855" spans="2:18">
      <c r="B855" s="6">
        <v>32373</v>
      </c>
      <c r="C855" s="6" t="s">
        <v>186</v>
      </c>
      <c r="D855" s="6">
        <v>0</v>
      </c>
      <c r="E855" s="6">
        <v>97.73</v>
      </c>
      <c r="F855" s="6">
        <v>97.73</v>
      </c>
      <c r="G855" s="6">
        <v>97.43</v>
      </c>
      <c r="H855" s="6">
        <v>97.49</v>
      </c>
      <c r="I855" s="6">
        <v>97.36</v>
      </c>
      <c r="J855" s="6">
        <v>97.72</v>
      </c>
      <c r="K855" s="6">
        <v>97.84</v>
      </c>
      <c r="L855" s="6">
        <v>97.75</v>
      </c>
      <c r="M855" s="6">
        <v>97.72</v>
      </c>
      <c r="N855" s="6">
        <v>97.83</v>
      </c>
      <c r="O855" s="6">
        <v>97.74</v>
      </c>
      <c r="P855" s="6">
        <v>97.73</v>
      </c>
      <c r="Q855" s="6">
        <v>97.84</v>
      </c>
      <c r="R855" s="6">
        <v>97.75</v>
      </c>
    </row>
    <row r="856" spans="2:18">
      <c r="B856" s="6">
        <v>32373</v>
      </c>
      <c r="C856" s="6" t="s">
        <v>186</v>
      </c>
      <c r="D856" s="6">
        <v>0</v>
      </c>
      <c r="E856" s="6">
        <v>97.16</v>
      </c>
      <c r="F856" s="6">
        <v>97.16</v>
      </c>
      <c r="G856" s="6">
        <v>97.88</v>
      </c>
      <c r="H856" s="6">
        <v>97.7</v>
      </c>
      <c r="I856" s="6">
        <v>97.56</v>
      </c>
      <c r="J856" s="6">
        <v>98.01</v>
      </c>
      <c r="K856" s="6">
        <v>97.7</v>
      </c>
      <c r="L856" s="6">
        <v>97.61</v>
      </c>
      <c r="M856" s="6">
        <v>98.02</v>
      </c>
      <c r="N856" s="6">
        <v>97.7</v>
      </c>
      <c r="O856" s="6">
        <v>97.61</v>
      </c>
      <c r="P856" s="6">
        <v>98.02</v>
      </c>
      <c r="Q856" s="6">
        <v>97.7</v>
      </c>
      <c r="R856" s="6">
        <v>97.61</v>
      </c>
    </row>
    <row r="857" spans="2:18">
      <c r="B857" s="6">
        <v>32376</v>
      </c>
      <c r="C857" s="6" t="s">
        <v>187</v>
      </c>
      <c r="D857" s="6">
        <v>98.46</v>
      </c>
      <c r="E857" s="6">
        <v>98.33</v>
      </c>
      <c r="F857" s="6">
        <v>98.51</v>
      </c>
      <c r="G857" s="6">
        <v>98.71</v>
      </c>
      <c r="H857" s="6">
        <v>98.48</v>
      </c>
      <c r="I857" s="6">
        <v>98.36</v>
      </c>
      <c r="J857" s="6">
        <v>98.64</v>
      </c>
      <c r="K857" s="6">
        <v>98.48</v>
      </c>
      <c r="L857" s="6">
        <v>98.3</v>
      </c>
      <c r="M857" s="6">
        <v>98.62</v>
      </c>
      <c r="N857" s="6">
        <v>98.46</v>
      </c>
      <c r="O857" s="6">
        <v>98.28</v>
      </c>
      <c r="P857" s="6">
        <v>98.52</v>
      </c>
      <c r="Q857" s="6">
        <v>98.45</v>
      </c>
      <c r="R857" s="6">
        <v>98.28</v>
      </c>
    </row>
    <row r="858" spans="2:18">
      <c r="B858" s="6">
        <v>32376</v>
      </c>
      <c r="C858" s="6" t="s">
        <v>187</v>
      </c>
      <c r="D858" s="6">
        <v>98.48</v>
      </c>
      <c r="E858" s="6">
        <v>97.04</v>
      </c>
      <c r="F858" s="6">
        <v>97.63</v>
      </c>
      <c r="G858" s="6">
        <v>98.74</v>
      </c>
      <c r="H858" s="6">
        <v>98.52</v>
      </c>
      <c r="I858" s="6">
        <v>98.62</v>
      </c>
      <c r="J858" s="6">
        <v>98.74</v>
      </c>
      <c r="K858" s="6">
        <v>98.52</v>
      </c>
      <c r="L858" s="6">
        <v>98.62</v>
      </c>
      <c r="M858" s="6">
        <v>98.74</v>
      </c>
      <c r="N858" s="6">
        <v>98.52</v>
      </c>
      <c r="O858" s="6">
        <v>98.62</v>
      </c>
      <c r="P858" s="6">
        <v>98.74</v>
      </c>
      <c r="Q858" s="6">
        <v>98.52</v>
      </c>
      <c r="R858" s="6">
        <v>98.62</v>
      </c>
    </row>
    <row r="859" spans="2:18">
      <c r="B859" s="6">
        <v>32376</v>
      </c>
      <c r="C859" s="6" t="s">
        <v>187</v>
      </c>
      <c r="D859" s="6">
        <v>96.35</v>
      </c>
      <c r="E859" s="6">
        <v>96.95</v>
      </c>
      <c r="F859" s="6">
        <v>96.77</v>
      </c>
      <c r="G859" s="6">
        <v>98.03</v>
      </c>
      <c r="H859" s="6">
        <v>98.12</v>
      </c>
      <c r="I859" s="6">
        <v>98.05</v>
      </c>
      <c r="J859" s="6">
        <v>97.72</v>
      </c>
      <c r="K859" s="6">
        <v>97.84</v>
      </c>
      <c r="L859" s="6">
        <v>97.75</v>
      </c>
      <c r="M859" s="6">
        <v>97.72</v>
      </c>
      <c r="N859" s="6">
        <v>97.83</v>
      </c>
      <c r="O859" s="6">
        <v>97.74</v>
      </c>
      <c r="P859" s="6">
        <v>97.73</v>
      </c>
      <c r="Q859" s="6">
        <v>97.84</v>
      </c>
      <c r="R859" s="6">
        <v>97.75</v>
      </c>
    </row>
    <row r="860" spans="2:18">
      <c r="B860" s="6">
        <v>32376</v>
      </c>
      <c r="C860" s="6" t="s">
        <v>187</v>
      </c>
      <c r="D860" s="6">
        <v>96.97</v>
      </c>
      <c r="E860" s="6">
        <v>97.32</v>
      </c>
      <c r="F860" s="6">
        <v>97.47</v>
      </c>
      <c r="G860" s="6">
        <v>98.04</v>
      </c>
      <c r="H860" s="6">
        <v>97.78</v>
      </c>
      <c r="I860" s="6">
        <v>97.69</v>
      </c>
      <c r="J860" s="6">
        <v>98.01</v>
      </c>
      <c r="K860" s="6">
        <v>97.7</v>
      </c>
      <c r="L860" s="6">
        <v>97.61</v>
      </c>
      <c r="M860" s="6">
        <v>98.02</v>
      </c>
      <c r="N860" s="6">
        <v>97.7</v>
      </c>
      <c r="O860" s="6">
        <v>97.61</v>
      </c>
      <c r="P860" s="6">
        <v>98.02</v>
      </c>
      <c r="Q860" s="6">
        <v>97.7</v>
      </c>
      <c r="R860" s="6">
        <v>97.61</v>
      </c>
    </row>
    <row r="861" spans="2:18">
      <c r="B861" s="6">
        <v>32377</v>
      </c>
      <c r="C861" s="6" t="s">
        <v>189</v>
      </c>
      <c r="D861" s="6">
        <v>98.83</v>
      </c>
      <c r="E861" s="6">
        <v>98.31</v>
      </c>
      <c r="F861" s="6">
        <v>98.4</v>
      </c>
      <c r="G861" s="6">
        <v>98.71</v>
      </c>
      <c r="H861" s="6">
        <v>98.48</v>
      </c>
      <c r="I861" s="6">
        <v>98.36</v>
      </c>
      <c r="J861" s="6">
        <v>98.64</v>
      </c>
      <c r="K861" s="6">
        <v>98.48</v>
      </c>
      <c r="L861" s="6">
        <v>98.3</v>
      </c>
      <c r="M861" s="6">
        <v>98.62</v>
      </c>
      <c r="N861" s="6">
        <v>98.46</v>
      </c>
      <c r="O861" s="6">
        <v>98.28</v>
      </c>
      <c r="P861" s="6">
        <v>98.52</v>
      </c>
      <c r="Q861" s="6">
        <v>98.45</v>
      </c>
      <c r="R861" s="6">
        <v>98.28</v>
      </c>
    </row>
    <row r="862" spans="2:18">
      <c r="B862" s="6">
        <v>32377</v>
      </c>
      <c r="C862" s="6" t="s">
        <v>189</v>
      </c>
      <c r="D862" s="6">
        <v>98.68</v>
      </c>
      <c r="E862" s="6">
        <v>98.7</v>
      </c>
      <c r="F862" s="6">
        <v>98.83</v>
      </c>
      <c r="G862" s="6">
        <v>98.74</v>
      </c>
      <c r="H862" s="6">
        <v>98.52</v>
      </c>
      <c r="I862" s="6">
        <v>98.62</v>
      </c>
      <c r="J862" s="6">
        <v>98.74</v>
      </c>
      <c r="K862" s="6">
        <v>98.52</v>
      </c>
      <c r="L862" s="6">
        <v>98.62</v>
      </c>
      <c r="M862" s="6">
        <v>98.74</v>
      </c>
      <c r="N862" s="6">
        <v>98.52</v>
      </c>
      <c r="O862" s="6">
        <v>98.62</v>
      </c>
      <c r="P862" s="6">
        <v>98.74</v>
      </c>
      <c r="Q862" s="6">
        <v>98.52</v>
      </c>
      <c r="R862" s="6">
        <v>98.62</v>
      </c>
    </row>
    <row r="863" spans="2:18">
      <c r="B863" s="6">
        <v>32377</v>
      </c>
      <c r="C863" s="6" t="s">
        <v>189</v>
      </c>
      <c r="D863" s="6">
        <v>97.42</v>
      </c>
      <c r="E863" s="6">
        <v>97.94</v>
      </c>
      <c r="F863" s="6">
        <v>97.7</v>
      </c>
      <c r="G863" s="6">
        <v>98.03</v>
      </c>
      <c r="H863" s="6">
        <v>98.12</v>
      </c>
      <c r="I863" s="6">
        <v>98.05</v>
      </c>
      <c r="J863" s="6">
        <v>97.72</v>
      </c>
      <c r="K863" s="6">
        <v>97.84</v>
      </c>
      <c r="L863" s="6">
        <v>97.75</v>
      </c>
      <c r="M863" s="6">
        <v>97.72</v>
      </c>
      <c r="N863" s="6">
        <v>97.83</v>
      </c>
      <c r="O863" s="6">
        <v>97.74</v>
      </c>
      <c r="P863" s="6">
        <v>97.73</v>
      </c>
      <c r="Q863" s="6">
        <v>97.84</v>
      </c>
      <c r="R863" s="6">
        <v>97.75</v>
      </c>
    </row>
    <row r="864" spans="2:18">
      <c r="B864" s="6">
        <v>32377</v>
      </c>
      <c r="C864" s="6" t="s">
        <v>189</v>
      </c>
      <c r="D864" s="6">
        <v>97.97</v>
      </c>
      <c r="E864" s="6">
        <v>98.02</v>
      </c>
      <c r="F864" s="6">
        <v>98.22</v>
      </c>
      <c r="G864" s="6">
        <v>98.04</v>
      </c>
      <c r="H864" s="6">
        <v>97.78</v>
      </c>
      <c r="I864" s="6">
        <v>97.69</v>
      </c>
      <c r="J864" s="6">
        <v>98.01</v>
      </c>
      <c r="K864" s="6">
        <v>97.7</v>
      </c>
      <c r="L864" s="6">
        <v>97.61</v>
      </c>
      <c r="M864" s="6">
        <v>98.02</v>
      </c>
      <c r="N864" s="6">
        <v>97.7</v>
      </c>
      <c r="O864" s="6">
        <v>97.61</v>
      </c>
      <c r="P864" s="6">
        <v>98.02</v>
      </c>
      <c r="Q864" s="6">
        <v>97.7</v>
      </c>
      <c r="R864" s="6">
        <v>97.61</v>
      </c>
    </row>
    <row r="865" spans="2:18">
      <c r="B865" s="6">
        <v>32378</v>
      </c>
      <c r="C865" s="6" t="s">
        <v>190</v>
      </c>
      <c r="D865" s="6">
        <v>98.78</v>
      </c>
      <c r="E865" s="6">
        <v>98.73</v>
      </c>
      <c r="F865" s="6">
        <v>98.53</v>
      </c>
      <c r="G865" s="6">
        <v>98.71</v>
      </c>
      <c r="H865" s="6">
        <v>98.48</v>
      </c>
      <c r="I865" s="6">
        <v>98.36</v>
      </c>
      <c r="J865" s="6">
        <v>98.64</v>
      </c>
      <c r="K865" s="6">
        <v>98.48</v>
      </c>
      <c r="L865" s="6">
        <v>98.3</v>
      </c>
      <c r="M865" s="6">
        <v>98.62</v>
      </c>
      <c r="N865" s="6">
        <v>98.46</v>
      </c>
      <c r="O865" s="6">
        <v>98.28</v>
      </c>
      <c r="P865" s="6">
        <v>98.52</v>
      </c>
      <c r="Q865" s="6">
        <v>98.45</v>
      </c>
      <c r="R865" s="6">
        <v>98.28</v>
      </c>
    </row>
    <row r="866" spans="2:18">
      <c r="B866" s="6">
        <v>32378</v>
      </c>
      <c r="C866" s="6" t="s">
        <v>190</v>
      </c>
      <c r="D866" s="6">
        <v>98.8</v>
      </c>
      <c r="E866" s="6">
        <v>98.96</v>
      </c>
      <c r="F866" s="6">
        <v>98.82</v>
      </c>
      <c r="G866" s="6">
        <v>98.74</v>
      </c>
      <c r="H866" s="6">
        <v>98.52</v>
      </c>
      <c r="I866" s="6">
        <v>98.62</v>
      </c>
      <c r="J866" s="6">
        <v>98.74</v>
      </c>
      <c r="K866" s="6">
        <v>98.52</v>
      </c>
      <c r="L866" s="6">
        <v>98.62</v>
      </c>
      <c r="M866" s="6">
        <v>98.74</v>
      </c>
      <c r="N866" s="6">
        <v>98.52</v>
      </c>
      <c r="O866" s="6">
        <v>98.62</v>
      </c>
      <c r="P866" s="6">
        <v>98.74</v>
      </c>
      <c r="Q866" s="6">
        <v>98.52</v>
      </c>
      <c r="R866" s="6">
        <v>98.62</v>
      </c>
    </row>
    <row r="867" spans="2:18">
      <c r="B867" s="6">
        <v>32378</v>
      </c>
      <c r="C867" s="6" t="s">
        <v>190</v>
      </c>
      <c r="D867" s="6">
        <v>97.4</v>
      </c>
      <c r="E867" s="6">
        <v>97.71</v>
      </c>
      <c r="F867" s="6">
        <v>97.21</v>
      </c>
      <c r="G867" s="6">
        <v>98.03</v>
      </c>
      <c r="H867" s="6">
        <v>98.12</v>
      </c>
      <c r="I867" s="6">
        <v>98.05</v>
      </c>
      <c r="J867" s="6">
        <v>97.72</v>
      </c>
      <c r="K867" s="6">
        <v>97.84</v>
      </c>
      <c r="L867" s="6">
        <v>97.75</v>
      </c>
      <c r="M867" s="6">
        <v>97.72</v>
      </c>
      <c r="N867" s="6">
        <v>97.83</v>
      </c>
      <c r="O867" s="6">
        <v>97.74</v>
      </c>
      <c r="P867" s="6">
        <v>97.73</v>
      </c>
      <c r="Q867" s="6">
        <v>97.84</v>
      </c>
      <c r="R867" s="6">
        <v>97.75</v>
      </c>
    </row>
    <row r="868" spans="2:18">
      <c r="B868" s="6">
        <v>32378</v>
      </c>
      <c r="C868" s="6" t="s">
        <v>190</v>
      </c>
      <c r="D868" s="6">
        <v>98.62</v>
      </c>
      <c r="E868" s="6">
        <v>98.11</v>
      </c>
      <c r="F868" s="6">
        <v>97.68</v>
      </c>
      <c r="G868" s="6">
        <v>98.04</v>
      </c>
      <c r="H868" s="6">
        <v>97.78</v>
      </c>
      <c r="I868" s="6">
        <v>97.69</v>
      </c>
      <c r="J868" s="6">
        <v>98.01</v>
      </c>
      <c r="K868" s="6">
        <v>97.7</v>
      </c>
      <c r="L868" s="6">
        <v>97.61</v>
      </c>
      <c r="M868" s="6">
        <v>98.02</v>
      </c>
      <c r="N868" s="6">
        <v>97.7</v>
      </c>
      <c r="O868" s="6">
        <v>97.61</v>
      </c>
      <c r="P868" s="6">
        <v>98.02</v>
      </c>
      <c r="Q868" s="6">
        <v>97.7</v>
      </c>
      <c r="R868" s="6">
        <v>97.61</v>
      </c>
    </row>
    <row r="869" spans="2:18">
      <c r="B869" s="6">
        <v>32379</v>
      </c>
      <c r="C869" s="6" t="s">
        <v>1117</v>
      </c>
      <c r="D869" s="6">
        <v>89.64</v>
      </c>
      <c r="E869" s="6">
        <v>89.64</v>
      </c>
      <c r="F869" s="6">
        <v>89.64</v>
      </c>
      <c r="G869" s="6">
        <v>98.71</v>
      </c>
      <c r="H869" s="6">
        <v>98.48</v>
      </c>
      <c r="I869" s="6">
        <v>98.36</v>
      </c>
      <c r="J869" s="6">
        <v>98.64</v>
      </c>
      <c r="K869" s="6">
        <v>98.48</v>
      </c>
      <c r="L869" s="6">
        <v>98.3</v>
      </c>
      <c r="M869" s="6">
        <v>98.62</v>
      </c>
      <c r="N869" s="6">
        <v>98.46</v>
      </c>
      <c r="O869" s="6">
        <v>98.28</v>
      </c>
      <c r="P869" s="6">
        <v>98.52</v>
      </c>
      <c r="Q869" s="6">
        <v>98.45</v>
      </c>
      <c r="R869" s="6">
        <v>98.28</v>
      </c>
    </row>
    <row r="870" spans="2:18">
      <c r="B870" s="6">
        <v>32379</v>
      </c>
      <c r="C870" s="6" t="s">
        <v>1117</v>
      </c>
      <c r="D870" s="6">
        <v>98.97</v>
      </c>
      <c r="E870" s="6">
        <v>98.97</v>
      </c>
      <c r="F870" s="6">
        <v>98.97</v>
      </c>
      <c r="G870" s="6">
        <v>98.74</v>
      </c>
      <c r="H870" s="6">
        <v>98.52</v>
      </c>
      <c r="I870" s="6">
        <v>98.62</v>
      </c>
      <c r="J870" s="6">
        <v>98.74</v>
      </c>
      <c r="K870" s="6">
        <v>98.52</v>
      </c>
      <c r="L870" s="6">
        <v>98.62</v>
      </c>
      <c r="M870" s="6">
        <v>98.74</v>
      </c>
      <c r="N870" s="6">
        <v>98.52</v>
      </c>
      <c r="O870" s="6">
        <v>98.62</v>
      </c>
      <c r="P870" s="6">
        <v>98.74</v>
      </c>
      <c r="Q870" s="6">
        <v>98.52</v>
      </c>
      <c r="R870" s="6">
        <v>98.62</v>
      </c>
    </row>
    <row r="871" spans="2:18">
      <c r="B871" s="6">
        <v>32379</v>
      </c>
      <c r="C871" s="6" t="s">
        <v>1117</v>
      </c>
      <c r="D871" s="6">
        <v>97.5</v>
      </c>
      <c r="E871" s="6">
        <v>97.5</v>
      </c>
      <c r="F871" s="6">
        <v>97.5</v>
      </c>
      <c r="G871" s="6">
        <v>98.03</v>
      </c>
      <c r="H871" s="6">
        <v>98.12</v>
      </c>
      <c r="I871" s="6">
        <v>98.05</v>
      </c>
      <c r="J871" s="6">
        <v>97.72</v>
      </c>
      <c r="K871" s="6">
        <v>97.84</v>
      </c>
      <c r="L871" s="6">
        <v>97.75</v>
      </c>
      <c r="M871" s="6">
        <v>97.72</v>
      </c>
      <c r="N871" s="6">
        <v>97.83</v>
      </c>
      <c r="O871" s="6">
        <v>97.74</v>
      </c>
      <c r="P871" s="6">
        <v>97.73</v>
      </c>
      <c r="Q871" s="6">
        <v>97.84</v>
      </c>
      <c r="R871" s="6">
        <v>97.75</v>
      </c>
    </row>
    <row r="872" spans="2:18">
      <c r="B872" s="6">
        <v>32379</v>
      </c>
      <c r="C872" s="6" t="s">
        <v>1117</v>
      </c>
      <c r="D872" s="6">
        <v>93.64</v>
      </c>
      <c r="E872" s="6">
        <v>93.64</v>
      </c>
      <c r="F872" s="6">
        <v>93.64</v>
      </c>
      <c r="G872" s="6">
        <v>98.04</v>
      </c>
      <c r="H872" s="6">
        <v>97.78</v>
      </c>
      <c r="I872" s="6">
        <v>97.69</v>
      </c>
      <c r="J872" s="6">
        <v>98.01</v>
      </c>
      <c r="K872" s="6">
        <v>97.7</v>
      </c>
      <c r="L872" s="6">
        <v>97.61</v>
      </c>
      <c r="M872" s="6">
        <v>98.02</v>
      </c>
      <c r="N872" s="6">
        <v>97.7</v>
      </c>
      <c r="O872" s="6">
        <v>97.61</v>
      </c>
      <c r="P872" s="6">
        <v>98.02</v>
      </c>
      <c r="Q872" s="6">
        <v>97.7</v>
      </c>
      <c r="R872" s="6">
        <v>97.61</v>
      </c>
    </row>
    <row r="873" spans="2:18">
      <c r="B873" s="6">
        <v>32385</v>
      </c>
      <c r="C873" s="6" t="s">
        <v>39</v>
      </c>
      <c r="D873" s="6">
        <v>0</v>
      </c>
      <c r="E873" s="6">
        <v>0</v>
      </c>
      <c r="F873" s="6">
        <v>98.75</v>
      </c>
      <c r="G873" s="6">
        <v>0</v>
      </c>
      <c r="H873" s="6">
        <v>0</v>
      </c>
      <c r="I873" s="6">
        <v>98.71</v>
      </c>
      <c r="J873" s="6">
        <v>0</v>
      </c>
      <c r="K873" s="6">
        <v>0</v>
      </c>
      <c r="L873" s="6">
        <v>98.71</v>
      </c>
      <c r="M873" s="6">
        <v>99.07</v>
      </c>
      <c r="N873" s="6">
        <v>99.18</v>
      </c>
      <c r="O873" s="6">
        <v>99.18</v>
      </c>
      <c r="P873" s="6">
        <v>99.05</v>
      </c>
      <c r="Q873" s="6">
        <v>99.16</v>
      </c>
      <c r="R873" s="6">
        <v>99.16</v>
      </c>
    </row>
    <row r="874" spans="2:18">
      <c r="B874" s="6">
        <v>32389</v>
      </c>
      <c r="C874" s="6" t="s">
        <v>1051</v>
      </c>
      <c r="D874" s="6">
        <v>0</v>
      </c>
      <c r="E874" s="6">
        <v>0</v>
      </c>
      <c r="F874" s="6">
        <v>100</v>
      </c>
      <c r="G874" s="6">
        <v>0</v>
      </c>
      <c r="H874" s="6">
        <v>0</v>
      </c>
      <c r="I874" s="6">
        <v>100</v>
      </c>
      <c r="J874" s="6">
        <v>0</v>
      </c>
      <c r="K874" s="6">
        <v>0</v>
      </c>
      <c r="L874" s="6">
        <v>100</v>
      </c>
      <c r="M874" s="6">
        <v>99.01</v>
      </c>
      <c r="N874" s="6">
        <v>98.76</v>
      </c>
      <c r="O874" s="6">
        <v>98.71</v>
      </c>
      <c r="P874" s="6">
        <v>99.01</v>
      </c>
      <c r="Q874" s="6">
        <v>98.76</v>
      </c>
      <c r="R874" s="6">
        <v>98.71</v>
      </c>
    </row>
    <row r="875" spans="2:18">
      <c r="B875" s="6">
        <v>32389</v>
      </c>
      <c r="C875" s="6" t="s">
        <v>1051</v>
      </c>
      <c r="D875" s="6">
        <v>0</v>
      </c>
      <c r="E875" s="6">
        <v>0</v>
      </c>
      <c r="F875" s="6">
        <v>96.15</v>
      </c>
      <c r="G875" s="6">
        <v>0</v>
      </c>
      <c r="H875" s="6">
        <v>94.32</v>
      </c>
      <c r="I875" s="6">
        <v>95.69</v>
      </c>
      <c r="J875" s="6">
        <v>0</v>
      </c>
      <c r="K875" s="6">
        <v>97.22</v>
      </c>
      <c r="L875" s="6">
        <v>96.87</v>
      </c>
      <c r="M875" s="6">
        <v>97.72</v>
      </c>
      <c r="N875" s="6">
        <v>97.83</v>
      </c>
      <c r="O875" s="6">
        <v>97.74</v>
      </c>
      <c r="P875" s="6">
        <v>97.73</v>
      </c>
      <c r="Q875" s="6">
        <v>97.84</v>
      </c>
      <c r="R875" s="6">
        <v>97.75</v>
      </c>
    </row>
    <row r="876" spans="2:18">
      <c r="B876" s="6">
        <v>32389</v>
      </c>
      <c r="C876" s="6" t="s">
        <v>1051</v>
      </c>
      <c r="D876" s="6">
        <v>0</v>
      </c>
      <c r="E876" s="6">
        <v>0</v>
      </c>
      <c r="F876" s="6">
        <v>72.680000000000007</v>
      </c>
      <c r="G876" s="6">
        <v>0</v>
      </c>
      <c r="H876" s="6">
        <v>0</v>
      </c>
      <c r="I876" s="6">
        <v>72.680000000000007</v>
      </c>
      <c r="J876" s="6">
        <v>94.97</v>
      </c>
      <c r="K876" s="6">
        <v>94.84</v>
      </c>
      <c r="L876" s="6">
        <v>91.34</v>
      </c>
      <c r="M876" s="6">
        <v>98.29</v>
      </c>
      <c r="N876" s="6">
        <v>97.91</v>
      </c>
      <c r="O876" s="6">
        <v>97.88</v>
      </c>
      <c r="P876" s="6">
        <v>98.29</v>
      </c>
      <c r="Q876" s="6">
        <v>97.91</v>
      </c>
      <c r="R876" s="6">
        <v>97.88</v>
      </c>
    </row>
    <row r="877" spans="2:18">
      <c r="B877" s="6">
        <v>32405</v>
      </c>
      <c r="C877" s="6" t="s">
        <v>216</v>
      </c>
      <c r="D877" s="6">
        <v>0</v>
      </c>
      <c r="E877" s="6">
        <v>0</v>
      </c>
      <c r="F877" s="6">
        <v>92.15</v>
      </c>
      <c r="G877" s="6">
        <v>96.54</v>
      </c>
      <c r="H877" s="6">
        <v>95.53</v>
      </c>
      <c r="I877" s="6">
        <v>93.73</v>
      </c>
      <c r="J877" s="6">
        <v>96.54</v>
      </c>
      <c r="K877" s="6">
        <v>95.53</v>
      </c>
      <c r="L877" s="6">
        <v>93.73</v>
      </c>
      <c r="M877" s="6">
        <v>96.54</v>
      </c>
      <c r="N877" s="6">
        <v>95.53</v>
      </c>
      <c r="O877" s="6">
        <v>93.73</v>
      </c>
      <c r="P877" s="6">
        <v>98.04</v>
      </c>
      <c r="Q877" s="6">
        <v>98.09</v>
      </c>
      <c r="R877" s="6">
        <v>97.91</v>
      </c>
    </row>
    <row r="878" spans="2:18">
      <c r="B878" s="6">
        <v>32405</v>
      </c>
      <c r="C878" s="6" t="s">
        <v>216</v>
      </c>
      <c r="D878" s="6">
        <v>0</v>
      </c>
      <c r="E878" s="6">
        <v>0</v>
      </c>
      <c r="F878" s="6">
        <v>86.83</v>
      </c>
      <c r="G878" s="6">
        <v>95.22</v>
      </c>
      <c r="H878" s="6">
        <v>95.27</v>
      </c>
      <c r="I878" s="6">
        <v>92.98</v>
      </c>
      <c r="J878" s="6">
        <v>95.22</v>
      </c>
      <c r="K878" s="6">
        <v>95.27</v>
      </c>
      <c r="L878" s="6">
        <v>92.98</v>
      </c>
      <c r="M878" s="6">
        <v>98.62</v>
      </c>
      <c r="N878" s="6">
        <v>98.46</v>
      </c>
      <c r="O878" s="6">
        <v>98.28</v>
      </c>
      <c r="P878" s="6">
        <v>98.52</v>
      </c>
      <c r="Q878" s="6">
        <v>98.45</v>
      </c>
      <c r="R878" s="6">
        <v>98.28</v>
      </c>
    </row>
    <row r="879" spans="2:18">
      <c r="B879" s="6">
        <v>32405</v>
      </c>
      <c r="C879" s="6" t="s">
        <v>216</v>
      </c>
      <c r="D879" s="6">
        <v>0</v>
      </c>
      <c r="E879" s="6">
        <v>0</v>
      </c>
      <c r="F879" s="6">
        <v>85.31</v>
      </c>
      <c r="G879" s="6">
        <v>0</v>
      </c>
      <c r="H879" s="6">
        <v>0</v>
      </c>
      <c r="I879" s="6">
        <v>85.17</v>
      </c>
      <c r="J879" s="6">
        <v>0</v>
      </c>
      <c r="K879" s="6">
        <v>0</v>
      </c>
      <c r="L879" s="6">
        <v>85.17</v>
      </c>
      <c r="M879" s="6">
        <v>87.08</v>
      </c>
      <c r="N879" s="6">
        <v>94.95</v>
      </c>
      <c r="O879" s="6">
        <v>89.9</v>
      </c>
      <c r="P879" s="6">
        <v>96.61</v>
      </c>
      <c r="Q879" s="6">
        <v>97.38</v>
      </c>
      <c r="R879" s="6">
        <v>96.74</v>
      </c>
    </row>
    <row r="880" spans="2:18">
      <c r="B880" s="6">
        <v>32407</v>
      </c>
      <c r="C880" s="6" t="s">
        <v>1012</v>
      </c>
      <c r="D880" s="6">
        <v>0</v>
      </c>
      <c r="E880" s="6">
        <v>0</v>
      </c>
      <c r="F880" s="6">
        <v>98.08</v>
      </c>
      <c r="G880" s="6">
        <v>97.07</v>
      </c>
      <c r="H880" s="6">
        <v>94.76</v>
      </c>
      <c r="I880" s="6">
        <v>95.55</v>
      </c>
      <c r="J880" s="6">
        <v>98.23</v>
      </c>
      <c r="K880" s="6">
        <v>98.19</v>
      </c>
      <c r="L880" s="6">
        <v>98.1</v>
      </c>
      <c r="M880" s="6">
        <v>98.23</v>
      </c>
      <c r="N880" s="6">
        <v>98.19</v>
      </c>
      <c r="O880" s="6">
        <v>98.1</v>
      </c>
      <c r="P880" s="6">
        <v>98.04</v>
      </c>
      <c r="Q880" s="6">
        <v>98.09</v>
      </c>
      <c r="R880" s="6">
        <v>97.91</v>
      </c>
    </row>
    <row r="881" spans="2:18">
      <c r="B881" s="6">
        <v>32407</v>
      </c>
      <c r="C881" s="6" t="s">
        <v>1012</v>
      </c>
      <c r="D881" s="6">
        <v>0</v>
      </c>
      <c r="E881" s="6">
        <v>0</v>
      </c>
      <c r="F881" s="6">
        <v>93.48</v>
      </c>
      <c r="G881" s="6">
        <v>89.16</v>
      </c>
      <c r="H881" s="6">
        <v>90.71</v>
      </c>
      <c r="I881" s="6">
        <v>96</v>
      </c>
      <c r="J881" s="6">
        <v>89.16</v>
      </c>
      <c r="K881" s="6">
        <v>92.29</v>
      </c>
      <c r="L881" s="6">
        <v>95.48</v>
      </c>
      <c r="M881" s="6">
        <v>89.16</v>
      </c>
      <c r="N881" s="6">
        <v>92.29</v>
      </c>
      <c r="O881" s="6">
        <v>95.48</v>
      </c>
      <c r="P881" s="6">
        <v>89.16</v>
      </c>
      <c r="Q881" s="6">
        <v>92.29</v>
      </c>
      <c r="R881" s="6">
        <v>95.48</v>
      </c>
    </row>
    <row r="882" spans="2:18">
      <c r="B882" s="6">
        <v>32407</v>
      </c>
      <c r="C882" s="6" t="s">
        <v>1012</v>
      </c>
      <c r="D882" s="6">
        <v>0</v>
      </c>
      <c r="E882" s="6">
        <v>0</v>
      </c>
      <c r="F882" s="6">
        <v>96.74</v>
      </c>
      <c r="G882" s="6">
        <v>78.87</v>
      </c>
      <c r="H882" s="6">
        <v>91.66</v>
      </c>
      <c r="I882" s="6">
        <v>96.42</v>
      </c>
      <c r="J882" s="6">
        <v>99.26</v>
      </c>
      <c r="K882" s="6">
        <v>99.39</v>
      </c>
      <c r="L882" s="6">
        <v>99.39</v>
      </c>
      <c r="M882" s="6">
        <v>99.26</v>
      </c>
      <c r="N882" s="6">
        <v>99.39</v>
      </c>
      <c r="O882" s="6">
        <v>99.39</v>
      </c>
      <c r="P882" s="6">
        <v>99.26</v>
      </c>
      <c r="Q882" s="6">
        <v>99.39</v>
      </c>
      <c r="R882" s="6">
        <v>99.39</v>
      </c>
    </row>
    <row r="883" spans="2:18">
      <c r="B883" s="6">
        <v>32407</v>
      </c>
      <c r="C883" s="6" t="s">
        <v>1012</v>
      </c>
      <c r="D883" s="6">
        <v>0</v>
      </c>
      <c r="E883" s="6">
        <v>0</v>
      </c>
      <c r="F883" s="6">
        <v>98.07</v>
      </c>
      <c r="G883" s="6">
        <v>89.78</v>
      </c>
      <c r="H883" s="6">
        <v>89.78</v>
      </c>
      <c r="I883" s="6">
        <v>97.82</v>
      </c>
      <c r="J883" s="6">
        <v>89.78</v>
      </c>
      <c r="K883" s="6">
        <v>89.78</v>
      </c>
      <c r="L883" s="6">
        <v>97.82</v>
      </c>
      <c r="M883" s="6">
        <v>89.78</v>
      </c>
      <c r="N883" s="6">
        <v>89.78</v>
      </c>
      <c r="O883" s="6">
        <v>97.82</v>
      </c>
      <c r="P883" s="6">
        <v>89.78</v>
      </c>
      <c r="Q883" s="6">
        <v>89.78</v>
      </c>
      <c r="R883" s="6">
        <v>97.82</v>
      </c>
    </row>
    <row r="884" spans="2:18">
      <c r="B884" s="6">
        <v>32409</v>
      </c>
      <c r="C884" s="6" t="s">
        <v>71</v>
      </c>
      <c r="D884" s="6">
        <v>98.16</v>
      </c>
      <c r="E884" s="6">
        <v>98.73</v>
      </c>
      <c r="F884" s="6">
        <v>98.73</v>
      </c>
      <c r="G884" s="6">
        <v>97.65</v>
      </c>
      <c r="H884" s="6">
        <v>97.65</v>
      </c>
      <c r="I884" s="6">
        <v>96.92</v>
      </c>
      <c r="J884" s="6">
        <v>98.44</v>
      </c>
      <c r="K884" s="6">
        <v>98.01</v>
      </c>
      <c r="L884" s="6">
        <v>98.17</v>
      </c>
      <c r="M884" s="6">
        <v>98.29</v>
      </c>
      <c r="N884" s="6">
        <v>97.91</v>
      </c>
      <c r="O884" s="6">
        <v>97.88</v>
      </c>
      <c r="P884" s="6">
        <v>98.29</v>
      </c>
      <c r="Q884" s="6">
        <v>97.91</v>
      </c>
      <c r="R884" s="6">
        <v>97.88</v>
      </c>
    </row>
    <row r="885" spans="2:18">
      <c r="B885" s="6">
        <v>32409</v>
      </c>
      <c r="C885" s="6" t="s">
        <v>71</v>
      </c>
      <c r="D885" s="6">
        <v>99.83</v>
      </c>
      <c r="E885" s="6">
        <v>98.58</v>
      </c>
      <c r="F885" s="6">
        <v>98.58</v>
      </c>
      <c r="G885" s="6">
        <v>99.83</v>
      </c>
      <c r="H885" s="6">
        <v>98.58</v>
      </c>
      <c r="I885" s="6">
        <v>98.58</v>
      </c>
      <c r="J885" s="6">
        <v>99.83</v>
      </c>
      <c r="K885" s="6">
        <v>98.58</v>
      </c>
      <c r="L885" s="6">
        <v>98.58</v>
      </c>
      <c r="M885" s="6">
        <v>99.83</v>
      </c>
      <c r="N885" s="6">
        <v>98.58</v>
      </c>
      <c r="O885" s="6">
        <v>98.58</v>
      </c>
      <c r="P885" s="6">
        <v>99.83</v>
      </c>
      <c r="Q885" s="6">
        <v>98.58</v>
      </c>
      <c r="R885" s="6">
        <v>97.89</v>
      </c>
    </row>
    <row r="886" spans="2:18">
      <c r="B886" s="6">
        <v>32413</v>
      </c>
      <c r="C886" s="6" t="s">
        <v>247</v>
      </c>
      <c r="D886" s="6">
        <v>96.63</v>
      </c>
      <c r="E886" s="6">
        <v>97.46</v>
      </c>
      <c r="F886" s="6">
        <v>97.26</v>
      </c>
      <c r="G886" s="6">
        <v>98.77</v>
      </c>
      <c r="H886" s="6">
        <v>98.55</v>
      </c>
      <c r="I886" s="6">
        <v>98.72</v>
      </c>
      <c r="J886" s="6">
        <v>98.23</v>
      </c>
      <c r="K886" s="6">
        <v>98.19</v>
      </c>
      <c r="L886" s="6">
        <v>98.1</v>
      </c>
      <c r="M886" s="6">
        <v>98.23</v>
      </c>
      <c r="N886" s="6">
        <v>98.19</v>
      </c>
      <c r="O886" s="6">
        <v>98.1</v>
      </c>
      <c r="P886" s="6">
        <v>98.04</v>
      </c>
      <c r="Q886" s="6">
        <v>98.09</v>
      </c>
      <c r="R886" s="6">
        <v>97.91</v>
      </c>
    </row>
    <row r="887" spans="2:18">
      <c r="B887" s="6">
        <v>32413</v>
      </c>
      <c r="C887" s="6" t="s">
        <v>247</v>
      </c>
      <c r="D887" s="6">
        <v>99.45</v>
      </c>
      <c r="E887" s="6">
        <v>99.48</v>
      </c>
      <c r="F887" s="6">
        <v>99.31</v>
      </c>
      <c r="G887" s="6">
        <v>99.43</v>
      </c>
      <c r="H887" s="6">
        <v>99.52</v>
      </c>
      <c r="I887" s="6">
        <v>99.53</v>
      </c>
      <c r="J887" s="6">
        <v>99.26</v>
      </c>
      <c r="K887" s="6">
        <v>99.39</v>
      </c>
      <c r="L887" s="6">
        <v>99.39</v>
      </c>
      <c r="M887" s="6">
        <v>99.26</v>
      </c>
      <c r="N887" s="6">
        <v>99.39</v>
      </c>
      <c r="O887" s="6">
        <v>99.39</v>
      </c>
      <c r="P887" s="6">
        <v>99.26</v>
      </c>
      <c r="Q887" s="6">
        <v>99.39</v>
      </c>
      <c r="R887" s="6">
        <v>99.39</v>
      </c>
    </row>
    <row r="888" spans="2:18">
      <c r="B888" s="6">
        <v>32414</v>
      </c>
      <c r="C888" s="6" t="s">
        <v>248</v>
      </c>
      <c r="D888" s="6">
        <v>99.31</v>
      </c>
      <c r="E888" s="6">
        <v>98.84</v>
      </c>
      <c r="F888" s="6">
        <v>98.95</v>
      </c>
      <c r="G888" s="6">
        <v>98.77</v>
      </c>
      <c r="H888" s="6">
        <v>98.55</v>
      </c>
      <c r="I888" s="6">
        <v>98.72</v>
      </c>
      <c r="J888" s="6">
        <v>98.23</v>
      </c>
      <c r="K888" s="6">
        <v>98.19</v>
      </c>
      <c r="L888" s="6">
        <v>98.1</v>
      </c>
      <c r="M888" s="6">
        <v>98.23</v>
      </c>
      <c r="N888" s="6">
        <v>98.19</v>
      </c>
      <c r="O888" s="6">
        <v>98.1</v>
      </c>
      <c r="P888" s="6">
        <v>98.04</v>
      </c>
      <c r="Q888" s="6">
        <v>98.09</v>
      </c>
      <c r="R888" s="6">
        <v>97.91</v>
      </c>
    </row>
    <row r="889" spans="2:18">
      <c r="B889" s="6">
        <v>32414</v>
      </c>
      <c r="C889" s="6" t="s">
        <v>248</v>
      </c>
      <c r="D889" s="6">
        <v>99.66</v>
      </c>
      <c r="E889" s="6">
        <v>99.61</v>
      </c>
      <c r="F889" s="6">
        <v>99.59</v>
      </c>
      <c r="G889" s="6">
        <v>99.43</v>
      </c>
      <c r="H889" s="6">
        <v>99.52</v>
      </c>
      <c r="I889" s="6">
        <v>99.53</v>
      </c>
      <c r="J889" s="6">
        <v>99.26</v>
      </c>
      <c r="K889" s="6">
        <v>99.39</v>
      </c>
      <c r="L889" s="6">
        <v>99.39</v>
      </c>
      <c r="M889" s="6">
        <v>99.26</v>
      </c>
      <c r="N889" s="6">
        <v>99.39</v>
      </c>
      <c r="O889" s="6">
        <v>99.39</v>
      </c>
      <c r="P889" s="6">
        <v>99.26</v>
      </c>
      <c r="Q889" s="6">
        <v>99.39</v>
      </c>
      <c r="R889" s="6">
        <v>99.39</v>
      </c>
    </row>
    <row r="890" spans="2:18">
      <c r="B890" s="6">
        <v>32415</v>
      </c>
      <c r="C890" s="6" t="s">
        <v>249</v>
      </c>
      <c r="D890" s="6">
        <v>98.64</v>
      </c>
      <c r="E890" s="6">
        <v>98.98</v>
      </c>
      <c r="F890" s="6">
        <v>99.04</v>
      </c>
      <c r="G890" s="6">
        <v>98.77</v>
      </c>
      <c r="H890" s="6">
        <v>98.55</v>
      </c>
      <c r="I890" s="6">
        <v>98.72</v>
      </c>
      <c r="J890" s="6">
        <v>98.23</v>
      </c>
      <c r="K890" s="6">
        <v>98.19</v>
      </c>
      <c r="L890" s="6">
        <v>98.1</v>
      </c>
      <c r="M890" s="6">
        <v>98.23</v>
      </c>
      <c r="N890" s="6">
        <v>98.19</v>
      </c>
      <c r="O890" s="6">
        <v>98.1</v>
      </c>
      <c r="P890" s="6">
        <v>98.04</v>
      </c>
      <c r="Q890" s="6">
        <v>98.09</v>
      </c>
      <c r="R890" s="6">
        <v>97.91</v>
      </c>
    </row>
    <row r="891" spans="2:18">
      <c r="B891" s="6">
        <v>32415</v>
      </c>
      <c r="C891" s="6" t="s">
        <v>249</v>
      </c>
      <c r="D891" s="6">
        <v>99.57</v>
      </c>
      <c r="E891" s="6">
        <v>99.59</v>
      </c>
      <c r="F891" s="6">
        <v>99.58</v>
      </c>
      <c r="G891" s="6">
        <v>99.43</v>
      </c>
      <c r="H891" s="6">
        <v>99.52</v>
      </c>
      <c r="I891" s="6">
        <v>99.53</v>
      </c>
      <c r="J891" s="6">
        <v>99.26</v>
      </c>
      <c r="K891" s="6">
        <v>99.39</v>
      </c>
      <c r="L891" s="6">
        <v>99.39</v>
      </c>
      <c r="M891" s="6">
        <v>99.26</v>
      </c>
      <c r="N891" s="6">
        <v>99.39</v>
      </c>
      <c r="O891" s="6">
        <v>99.39</v>
      </c>
      <c r="P891" s="6">
        <v>99.26</v>
      </c>
      <c r="Q891" s="6">
        <v>99.39</v>
      </c>
      <c r="R891" s="6">
        <v>99.39</v>
      </c>
    </row>
    <row r="892" spans="2:18">
      <c r="B892" s="6">
        <v>32416</v>
      </c>
      <c r="C892" s="6" t="s">
        <v>1009</v>
      </c>
      <c r="D892" s="6">
        <v>0</v>
      </c>
      <c r="E892" s="6">
        <v>0</v>
      </c>
      <c r="F892" s="6">
        <v>92.11</v>
      </c>
      <c r="G892" s="6">
        <v>0</v>
      </c>
      <c r="H892" s="6">
        <v>95.06</v>
      </c>
      <c r="I892" s="6">
        <v>94.5</v>
      </c>
      <c r="J892" s="6">
        <v>98.23</v>
      </c>
      <c r="K892" s="6">
        <v>98.19</v>
      </c>
      <c r="L892" s="6">
        <v>98.1</v>
      </c>
      <c r="M892" s="6">
        <v>98.23</v>
      </c>
      <c r="N892" s="6">
        <v>98.19</v>
      </c>
      <c r="O892" s="6">
        <v>98.1</v>
      </c>
      <c r="P892" s="6">
        <v>98.04</v>
      </c>
      <c r="Q892" s="6">
        <v>98.09</v>
      </c>
      <c r="R892" s="6">
        <v>97.91</v>
      </c>
    </row>
    <row r="893" spans="2:18">
      <c r="B893" s="6">
        <v>32416</v>
      </c>
      <c r="C893" s="6" t="s">
        <v>1009</v>
      </c>
      <c r="D893" s="6">
        <v>0</v>
      </c>
      <c r="E893" s="6">
        <v>0</v>
      </c>
      <c r="F893" s="6">
        <v>94.44</v>
      </c>
      <c r="G893" s="6">
        <v>0</v>
      </c>
      <c r="H893" s="6">
        <v>90.72</v>
      </c>
      <c r="I893" s="6">
        <v>91.3</v>
      </c>
      <c r="J893" s="6">
        <v>89.16</v>
      </c>
      <c r="K893" s="6">
        <v>92.29</v>
      </c>
      <c r="L893" s="6">
        <v>95.48</v>
      </c>
      <c r="M893" s="6">
        <v>89.16</v>
      </c>
      <c r="N893" s="6">
        <v>92.29</v>
      </c>
      <c r="O893" s="6">
        <v>95.48</v>
      </c>
      <c r="P893" s="6">
        <v>89.16</v>
      </c>
      <c r="Q893" s="6">
        <v>92.29</v>
      </c>
      <c r="R893" s="6">
        <v>95.48</v>
      </c>
    </row>
    <row r="894" spans="2:18">
      <c r="B894" s="6">
        <v>32416</v>
      </c>
      <c r="C894" s="6" t="s">
        <v>1009</v>
      </c>
      <c r="D894" s="6">
        <v>0</v>
      </c>
      <c r="E894" s="6">
        <v>0</v>
      </c>
      <c r="F894" s="6">
        <v>94.12</v>
      </c>
      <c r="G894" s="6">
        <v>0</v>
      </c>
      <c r="H894" s="6">
        <v>93.75</v>
      </c>
      <c r="I894" s="6">
        <v>93.81</v>
      </c>
      <c r="J894" s="6">
        <v>99.26</v>
      </c>
      <c r="K894" s="6">
        <v>99.39</v>
      </c>
      <c r="L894" s="6">
        <v>99.39</v>
      </c>
      <c r="M894" s="6">
        <v>99.26</v>
      </c>
      <c r="N894" s="6">
        <v>99.39</v>
      </c>
      <c r="O894" s="6">
        <v>99.39</v>
      </c>
      <c r="P894" s="6">
        <v>99.26</v>
      </c>
      <c r="Q894" s="6">
        <v>99.39</v>
      </c>
      <c r="R894" s="6">
        <v>99.39</v>
      </c>
    </row>
    <row r="895" spans="2:18">
      <c r="B895" s="6">
        <v>32416</v>
      </c>
      <c r="C895" s="6" t="s">
        <v>1009</v>
      </c>
      <c r="D895" s="6">
        <v>0</v>
      </c>
      <c r="E895" s="6">
        <v>0</v>
      </c>
      <c r="F895" s="6">
        <v>97.14</v>
      </c>
      <c r="G895" s="6">
        <v>0</v>
      </c>
      <c r="H895" s="6">
        <v>0</v>
      </c>
      <c r="I895" s="6">
        <v>97.14</v>
      </c>
      <c r="J895" s="6">
        <v>0</v>
      </c>
      <c r="K895" s="6">
        <v>99.39</v>
      </c>
      <c r="L895" s="6">
        <v>97.81</v>
      </c>
      <c r="M895" s="6">
        <v>0</v>
      </c>
      <c r="N895" s="6">
        <v>99.39</v>
      </c>
      <c r="O895" s="6">
        <v>97.81</v>
      </c>
      <c r="P895" s="6">
        <v>64.22</v>
      </c>
      <c r="Q895" s="6">
        <v>89.74</v>
      </c>
      <c r="R895" s="6">
        <v>82.9</v>
      </c>
    </row>
    <row r="896" spans="2:18">
      <c r="B896" s="6">
        <v>32416</v>
      </c>
      <c r="C896" s="6" t="s">
        <v>1009</v>
      </c>
      <c r="D896" s="6">
        <v>0</v>
      </c>
      <c r="E896" s="6">
        <v>0</v>
      </c>
      <c r="F896" s="6">
        <v>70.59</v>
      </c>
      <c r="G896" s="6">
        <v>0</v>
      </c>
      <c r="H896" s="6">
        <v>98.78</v>
      </c>
      <c r="I896" s="6">
        <v>93.94</v>
      </c>
      <c r="J896" s="6">
        <v>98.47</v>
      </c>
      <c r="K896" s="6">
        <v>98.28</v>
      </c>
      <c r="L896" s="6">
        <v>97.11</v>
      </c>
      <c r="M896" s="6">
        <v>98.47</v>
      </c>
      <c r="N896" s="6">
        <v>98.28</v>
      </c>
      <c r="O896" s="6">
        <v>97.11</v>
      </c>
      <c r="P896" s="6">
        <v>98.47</v>
      </c>
      <c r="Q896" s="6">
        <v>98.28</v>
      </c>
      <c r="R896" s="6">
        <v>97.11</v>
      </c>
    </row>
    <row r="897" spans="2:18">
      <c r="B897" s="6">
        <v>32416</v>
      </c>
      <c r="C897" s="6" t="s">
        <v>1009</v>
      </c>
      <c r="D897" s="6">
        <v>0</v>
      </c>
      <c r="E897" s="6">
        <v>0</v>
      </c>
      <c r="F897" s="6">
        <v>85</v>
      </c>
      <c r="G897" s="6">
        <v>0</v>
      </c>
      <c r="H897" s="6">
        <v>0</v>
      </c>
      <c r="I897" s="6">
        <v>85</v>
      </c>
      <c r="J897" s="6">
        <v>0</v>
      </c>
      <c r="K897" s="6">
        <v>0</v>
      </c>
      <c r="L897" s="6">
        <v>93.9</v>
      </c>
      <c r="M897" s="6">
        <v>0</v>
      </c>
      <c r="N897" s="6">
        <v>0</v>
      </c>
      <c r="O897" s="6">
        <v>93.9</v>
      </c>
      <c r="P897" s="6">
        <v>0</v>
      </c>
      <c r="Q897" s="6">
        <v>0</v>
      </c>
      <c r="R897" s="6">
        <v>93.9</v>
      </c>
    </row>
    <row r="898" spans="2:18">
      <c r="B898" s="6">
        <v>32418</v>
      </c>
      <c r="C898" s="6" t="s">
        <v>1021</v>
      </c>
      <c r="D898" s="6">
        <v>0</v>
      </c>
      <c r="E898" s="6">
        <v>0</v>
      </c>
      <c r="F898" s="6">
        <v>92.11</v>
      </c>
      <c r="G898" s="6">
        <v>0</v>
      </c>
      <c r="H898" s="6">
        <v>99.57</v>
      </c>
      <c r="I898" s="6">
        <v>94.95</v>
      </c>
      <c r="J898" s="6">
        <v>98.23</v>
      </c>
      <c r="K898" s="6">
        <v>98.19</v>
      </c>
      <c r="L898" s="6">
        <v>98.1</v>
      </c>
      <c r="M898" s="6">
        <v>98.23</v>
      </c>
      <c r="N898" s="6">
        <v>98.19</v>
      </c>
      <c r="O898" s="6">
        <v>98.1</v>
      </c>
      <c r="P898" s="6">
        <v>98.04</v>
      </c>
      <c r="Q898" s="6">
        <v>98.09</v>
      </c>
      <c r="R898" s="6">
        <v>97.91</v>
      </c>
    </row>
    <row r="899" spans="2:18">
      <c r="B899" s="6">
        <v>32418</v>
      </c>
      <c r="C899" s="6" t="s">
        <v>1021</v>
      </c>
      <c r="D899" s="6">
        <v>0</v>
      </c>
      <c r="E899" s="6">
        <v>0</v>
      </c>
      <c r="F899" s="6">
        <v>94.44</v>
      </c>
      <c r="G899" s="6">
        <v>0</v>
      </c>
      <c r="H899" s="6">
        <v>98.63</v>
      </c>
      <c r="I899" s="6">
        <v>94.93</v>
      </c>
      <c r="J899" s="6">
        <v>89.16</v>
      </c>
      <c r="K899" s="6">
        <v>92.29</v>
      </c>
      <c r="L899" s="6">
        <v>95.48</v>
      </c>
      <c r="M899" s="6">
        <v>89.16</v>
      </c>
      <c r="N899" s="6">
        <v>92.29</v>
      </c>
      <c r="O899" s="6">
        <v>95.48</v>
      </c>
      <c r="P899" s="6">
        <v>89.16</v>
      </c>
      <c r="Q899" s="6">
        <v>92.29</v>
      </c>
      <c r="R899" s="6">
        <v>95.48</v>
      </c>
    </row>
    <row r="900" spans="2:18">
      <c r="B900" s="6">
        <v>32418</v>
      </c>
      <c r="C900" s="6" t="s">
        <v>1021</v>
      </c>
      <c r="D900" s="6">
        <v>0</v>
      </c>
      <c r="E900" s="6">
        <v>0</v>
      </c>
      <c r="F900" s="6">
        <v>94.12</v>
      </c>
      <c r="G900" s="6">
        <v>0</v>
      </c>
      <c r="H900" s="6">
        <v>0</v>
      </c>
      <c r="I900" s="6">
        <v>95.79</v>
      </c>
      <c r="J900" s="6">
        <v>99.26</v>
      </c>
      <c r="K900" s="6">
        <v>99.39</v>
      </c>
      <c r="L900" s="6">
        <v>99.39</v>
      </c>
      <c r="M900" s="6">
        <v>99.26</v>
      </c>
      <c r="N900" s="6">
        <v>99.39</v>
      </c>
      <c r="O900" s="6">
        <v>99.39</v>
      </c>
      <c r="P900" s="6">
        <v>99.26</v>
      </c>
      <c r="Q900" s="6">
        <v>99.39</v>
      </c>
      <c r="R900" s="6">
        <v>99.39</v>
      </c>
    </row>
    <row r="901" spans="2:18">
      <c r="B901" s="6">
        <v>32418</v>
      </c>
      <c r="C901" s="6" t="s">
        <v>1021</v>
      </c>
      <c r="D901" s="6">
        <v>0</v>
      </c>
      <c r="E901" s="6">
        <v>0</v>
      </c>
      <c r="F901" s="6">
        <v>91.43</v>
      </c>
      <c r="G901" s="6">
        <v>0</v>
      </c>
      <c r="H901" s="6">
        <v>0</v>
      </c>
      <c r="I901" s="6">
        <v>94.02</v>
      </c>
      <c r="J901" s="6">
        <v>0</v>
      </c>
      <c r="K901" s="6">
        <v>99.39</v>
      </c>
      <c r="L901" s="6">
        <v>97.81</v>
      </c>
      <c r="M901" s="6">
        <v>0</v>
      </c>
      <c r="N901" s="6">
        <v>99.39</v>
      </c>
      <c r="O901" s="6">
        <v>97.81</v>
      </c>
      <c r="P901" s="6">
        <v>64.22</v>
      </c>
      <c r="Q901" s="6">
        <v>89.74</v>
      </c>
      <c r="R901" s="6">
        <v>82.9</v>
      </c>
    </row>
    <row r="902" spans="2:18">
      <c r="B902" s="6">
        <v>32418</v>
      </c>
      <c r="C902" s="6" t="s">
        <v>1021</v>
      </c>
      <c r="D902" s="6">
        <v>0</v>
      </c>
      <c r="E902" s="6">
        <v>0</v>
      </c>
      <c r="F902" s="6">
        <v>84.38</v>
      </c>
      <c r="G902" s="6">
        <v>0</v>
      </c>
      <c r="H902" s="6">
        <v>97.83</v>
      </c>
      <c r="I902" s="6">
        <v>97.12</v>
      </c>
      <c r="J902" s="6">
        <v>98.47</v>
      </c>
      <c r="K902" s="6">
        <v>98.28</v>
      </c>
      <c r="L902" s="6">
        <v>97.11</v>
      </c>
      <c r="M902" s="6">
        <v>98.47</v>
      </c>
      <c r="N902" s="6">
        <v>98.28</v>
      </c>
      <c r="O902" s="6">
        <v>97.11</v>
      </c>
      <c r="P902" s="6">
        <v>98.47</v>
      </c>
      <c r="Q902" s="6">
        <v>98.28</v>
      </c>
      <c r="R902" s="6">
        <v>97.11</v>
      </c>
    </row>
    <row r="903" spans="2:18">
      <c r="B903" s="6">
        <v>32418</v>
      </c>
      <c r="C903" s="6" t="s">
        <v>1021</v>
      </c>
      <c r="D903" s="6">
        <v>0</v>
      </c>
      <c r="E903" s="6">
        <v>0</v>
      </c>
      <c r="F903" s="6">
        <v>97.78</v>
      </c>
      <c r="G903" s="6">
        <v>0</v>
      </c>
      <c r="H903" s="6">
        <v>0</v>
      </c>
      <c r="I903" s="6">
        <v>96.17</v>
      </c>
      <c r="J903" s="6">
        <v>0</v>
      </c>
      <c r="K903" s="6">
        <v>0</v>
      </c>
      <c r="L903" s="6">
        <v>93.9</v>
      </c>
      <c r="M903" s="6">
        <v>0</v>
      </c>
      <c r="N903" s="6">
        <v>0</v>
      </c>
      <c r="O903" s="6">
        <v>93.9</v>
      </c>
      <c r="P903" s="6">
        <v>0</v>
      </c>
      <c r="Q903" s="6">
        <v>0</v>
      </c>
      <c r="R903" s="6">
        <v>93.9</v>
      </c>
    </row>
    <row r="904" spans="2:18">
      <c r="B904" s="6">
        <v>32423</v>
      </c>
      <c r="C904" s="6" t="s">
        <v>723</v>
      </c>
      <c r="D904" s="6">
        <v>0</v>
      </c>
      <c r="E904" s="6">
        <v>99.16</v>
      </c>
      <c r="F904" s="6">
        <v>99.16</v>
      </c>
      <c r="G904" s="6">
        <v>98.74</v>
      </c>
      <c r="H904" s="6">
        <v>98.55</v>
      </c>
      <c r="I904" s="6">
        <v>98.22</v>
      </c>
      <c r="J904" s="6">
        <v>98.64</v>
      </c>
      <c r="K904" s="6">
        <v>98.48</v>
      </c>
      <c r="L904" s="6">
        <v>98.3</v>
      </c>
      <c r="M904" s="6">
        <v>98.62</v>
      </c>
      <c r="N904" s="6">
        <v>98.46</v>
      </c>
      <c r="O904" s="6">
        <v>98.28</v>
      </c>
      <c r="P904" s="6">
        <v>98.52</v>
      </c>
      <c r="Q904" s="6">
        <v>98.45</v>
      </c>
      <c r="R904" s="6">
        <v>98.28</v>
      </c>
    </row>
    <row r="905" spans="2:18">
      <c r="B905" s="6">
        <v>32423</v>
      </c>
      <c r="C905" s="6" t="s">
        <v>723</v>
      </c>
      <c r="D905" s="6">
        <v>0</v>
      </c>
      <c r="E905" s="6">
        <v>99.17</v>
      </c>
      <c r="F905" s="6">
        <v>99.17</v>
      </c>
      <c r="G905" s="6">
        <v>0</v>
      </c>
      <c r="H905" s="6">
        <v>99.17</v>
      </c>
      <c r="I905" s="6">
        <v>99.17</v>
      </c>
      <c r="J905" s="6">
        <v>99.01</v>
      </c>
      <c r="K905" s="6">
        <v>98.76</v>
      </c>
      <c r="L905" s="6">
        <v>98.69</v>
      </c>
      <c r="M905" s="6">
        <v>99.01</v>
      </c>
      <c r="N905" s="6">
        <v>98.76</v>
      </c>
      <c r="O905" s="6">
        <v>98.71</v>
      </c>
      <c r="P905" s="6">
        <v>99.01</v>
      </c>
      <c r="Q905" s="6">
        <v>98.76</v>
      </c>
      <c r="R905" s="6">
        <v>98.71</v>
      </c>
    </row>
    <row r="906" spans="2:18">
      <c r="B906" s="6">
        <v>32423</v>
      </c>
      <c r="C906" s="6" t="s">
        <v>723</v>
      </c>
      <c r="D906" s="6">
        <v>0</v>
      </c>
      <c r="E906" s="6">
        <v>97.96</v>
      </c>
      <c r="F906" s="6">
        <v>97.96</v>
      </c>
      <c r="G906" s="6">
        <v>97.49</v>
      </c>
      <c r="H906" s="6">
        <v>97.66</v>
      </c>
      <c r="I906" s="6">
        <v>97.52</v>
      </c>
      <c r="J906" s="6">
        <v>97.72</v>
      </c>
      <c r="K906" s="6">
        <v>97.84</v>
      </c>
      <c r="L906" s="6">
        <v>97.75</v>
      </c>
      <c r="M906" s="6">
        <v>97.72</v>
      </c>
      <c r="N906" s="6">
        <v>97.83</v>
      </c>
      <c r="O906" s="6">
        <v>97.74</v>
      </c>
      <c r="P906" s="6">
        <v>97.73</v>
      </c>
      <c r="Q906" s="6">
        <v>97.84</v>
      </c>
      <c r="R906" s="6">
        <v>97.75</v>
      </c>
    </row>
    <row r="907" spans="2:18">
      <c r="B907" s="6">
        <v>32423</v>
      </c>
      <c r="C907" s="6" t="s">
        <v>723</v>
      </c>
      <c r="D907" s="6">
        <v>0</v>
      </c>
      <c r="E907" s="6">
        <v>98.31</v>
      </c>
      <c r="F907" s="6">
        <v>98.31</v>
      </c>
      <c r="G907" s="6">
        <v>98.15</v>
      </c>
      <c r="H907" s="6">
        <v>97.53</v>
      </c>
      <c r="I907" s="6">
        <v>97.49</v>
      </c>
      <c r="J907" s="6">
        <v>98.01</v>
      </c>
      <c r="K907" s="6">
        <v>97.7</v>
      </c>
      <c r="L907" s="6">
        <v>97.61</v>
      </c>
      <c r="M907" s="6">
        <v>98.02</v>
      </c>
      <c r="N907" s="6">
        <v>97.7</v>
      </c>
      <c r="O907" s="6">
        <v>97.61</v>
      </c>
      <c r="P907" s="6">
        <v>98.02</v>
      </c>
      <c r="Q907" s="6">
        <v>97.7</v>
      </c>
      <c r="R907" s="6">
        <v>97.61</v>
      </c>
    </row>
    <row r="908" spans="2:18">
      <c r="B908" s="6">
        <v>32425</v>
      </c>
      <c r="C908" s="6" t="s">
        <v>669</v>
      </c>
      <c r="D908" s="6">
        <v>0</v>
      </c>
      <c r="E908" s="6">
        <v>98.44</v>
      </c>
      <c r="F908" s="6">
        <v>98.44</v>
      </c>
      <c r="G908" s="6">
        <v>98.48</v>
      </c>
      <c r="H908" s="6">
        <v>98.4</v>
      </c>
      <c r="I908" s="6">
        <v>98.25</v>
      </c>
      <c r="J908" s="6">
        <v>98.64</v>
      </c>
      <c r="K908" s="6">
        <v>98.48</v>
      </c>
      <c r="L908" s="6">
        <v>98.3</v>
      </c>
      <c r="M908" s="6">
        <v>98.62</v>
      </c>
      <c r="N908" s="6">
        <v>98.46</v>
      </c>
      <c r="O908" s="6">
        <v>98.28</v>
      </c>
      <c r="P908" s="6">
        <v>98.52</v>
      </c>
      <c r="Q908" s="6">
        <v>98.45</v>
      </c>
      <c r="R908" s="6">
        <v>98.28</v>
      </c>
    </row>
    <row r="909" spans="2:18">
      <c r="B909" s="6">
        <v>32425</v>
      </c>
      <c r="C909" s="6" t="s">
        <v>669</v>
      </c>
      <c r="D909" s="6">
        <v>0</v>
      </c>
      <c r="E909" s="6">
        <v>98.46</v>
      </c>
      <c r="F909" s="6">
        <v>98.46</v>
      </c>
      <c r="G909" s="6">
        <v>99.01</v>
      </c>
      <c r="H909" s="6">
        <v>98.74</v>
      </c>
      <c r="I909" s="6">
        <v>98.68</v>
      </c>
      <c r="J909" s="6">
        <v>99.01</v>
      </c>
      <c r="K909" s="6">
        <v>98.76</v>
      </c>
      <c r="L909" s="6">
        <v>98.69</v>
      </c>
      <c r="M909" s="6">
        <v>99.01</v>
      </c>
      <c r="N909" s="6">
        <v>98.76</v>
      </c>
      <c r="O909" s="6">
        <v>98.71</v>
      </c>
      <c r="P909" s="6">
        <v>99.01</v>
      </c>
      <c r="Q909" s="6">
        <v>98.76</v>
      </c>
      <c r="R909" s="6">
        <v>98.71</v>
      </c>
    </row>
    <row r="910" spans="2:18">
      <c r="B910" s="6">
        <v>32425</v>
      </c>
      <c r="C910" s="6" t="s">
        <v>669</v>
      </c>
      <c r="D910" s="6">
        <v>0</v>
      </c>
      <c r="E910" s="6">
        <v>97.74</v>
      </c>
      <c r="F910" s="6">
        <v>97.74</v>
      </c>
      <c r="G910" s="6">
        <v>97.43</v>
      </c>
      <c r="H910" s="6">
        <v>97.49</v>
      </c>
      <c r="I910" s="6">
        <v>97.36</v>
      </c>
      <c r="J910" s="6">
        <v>97.72</v>
      </c>
      <c r="K910" s="6">
        <v>97.84</v>
      </c>
      <c r="L910" s="6">
        <v>97.75</v>
      </c>
      <c r="M910" s="6">
        <v>97.72</v>
      </c>
      <c r="N910" s="6">
        <v>97.83</v>
      </c>
      <c r="O910" s="6">
        <v>97.74</v>
      </c>
      <c r="P910" s="6">
        <v>97.73</v>
      </c>
      <c r="Q910" s="6">
        <v>97.84</v>
      </c>
      <c r="R910" s="6">
        <v>97.75</v>
      </c>
    </row>
    <row r="911" spans="2:18">
      <c r="B911" s="6">
        <v>32425</v>
      </c>
      <c r="C911" s="6" t="s">
        <v>669</v>
      </c>
      <c r="D911" s="6">
        <v>0</v>
      </c>
      <c r="E911" s="6">
        <v>92.86</v>
      </c>
      <c r="F911" s="6">
        <v>92.86</v>
      </c>
      <c r="G911" s="6">
        <v>97.88</v>
      </c>
      <c r="H911" s="6">
        <v>97.7</v>
      </c>
      <c r="I911" s="6">
        <v>97.56</v>
      </c>
      <c r="J911" s="6">
        <v>98.01</v>
      </c>
      <c r="K911" s="6">
        <v>97.7</v>
      </c>
      <c r="L911" s="6">
        <v>97.61</v>
      </c>
      <c r="M911" s="6">
        <v>98.02</v>
      </c>
      <c r="N911" s="6">
        <v>97.7</v>
      </c>
      <c r="O911" s="6">
        <v>97.61</v>
      </c>
      <c r="P911" s="6">
        <v>98.02</v>
      </c>
      <c r="Q911" s="6">
        <v>97.7</v>
      </c>
      <c r="R911" s="6">
        <v>97.61</v>
      </c>
    </row>
    <row r="912" spans="2:18">
      <c r="B912" s="6">
        <v>32426</v>
      </c>
      <c r="C912" s="6" t="s">
        <v>866</v>
      </c>
      <c r="D912" s="6">
        <v>0</v>
      </c>
      <c r="E912" s="6">
        <v>98.43</v>
      </c>
      <c r="F912" s="6">
        <v>98.43</v>
      </c>
      <c r="G912" s="6">
        <v>98.48</v>
      </c>
      <c r="H912" s="6">
        <v>98.4</v>
      </c>
      <c r="I912" s="6">
        <v>98.25</v>
      </c>
      <c r="J912" s="6">
        <v>98.64</v>
      </c>
      <c r="K912" s="6">
        <v>98.48</v>
      </c>
      <c r="L912" s="6">
        <v>98.3</v>
      </c>
      <c r="M912" s="6">
        <v>98.62</v>
      </c>
      <c r="N912" s="6">
        <v>98.46</v>
      </c>
      <c r="O912" s="6">
        <v>98.28</v>
      </c>
      <c r="P912" s="6">
        <v>98.52</v>
      </c>
      <c r="Q912" s="6">
        <v>98.45</v>
      </c>
      <c r="R912" s="6">
        <v>98.28</v>
      </c>
    </row>
    <row r="913" spans="2:18">
      <c r="B913" s="6">
        <v>32426</v>
      </c>
      <c r="C913" s="6" t="s">
        <v>866</v>
      </c>
      <c r="D913" s="6">
        <v>0</v>
      </c>
      <c r="E913" s="6">
        <v>98.46</v>
      </c>
      <c r="F913" s="6">
        <v>98.46</v>
      </c>
      <c r="G913" s="6">
        <v>99.01</v>
      </c>
      <c r="H913" s="6">
        <v>98.74</v>
      </c>
      <c r="I913" s="6">
        <v>98.68</v>
      </c>
      <c r="J913" s="6">
        <v>99.01</v>
      </c>
      <c r="K913" s="6">
        <v>98.76</v>
      </c>
      <c r="L913" s="6">
        <v>98.69</v>
      </c>
      <c r="M913" s="6">
        <v>99.01</v>
      </c>
      <c r="N913" s="6">
        <v>98.76</v>
      </c>
      <c r="O913" s="6">
        <v>98.71</v>
      </c>
      <c r="P913" s="6">
        <v>99.01</v>
      </c>
      <c r="Q913" s="6">
        <v>98.76</v>
      </c>
      <c r="R913" s="6">
        <v>98.71</v>
      </c>
    </row>
    <row r="914" spans="2:18">
      <c r="B914" s="6">
        <v>32426</v>
      </c>
      <c r="C914" s="6" t="s">
        <v>866</v>
      </c>
      <c r="D914" s="6">
        <v>0</v>
      </c>
      <c r="E914" s="6">
        <v>98.85</v>
      </c>
      <c r="F914" s="6">
        <v>98.85</v>
      </c>
      <c r="G914" s="6">
        <v>97.43</v>
      </c>
      <c r="H914" s="6">
        <v>97.49</v>
      </c>
      <c r="I914" s="6">
        <v>97.36</v>
      </c>
      <c r="J914" s="6">
        <v>97.72</v>
      </c>
      <c r="K914" s="6">
        <v>97.84</v>
      </c>
      <c r="L914" s="6">
        <v>97.75</v>
      </c>
      <c r="M914" s="6">
        <v>97.72</v>
      </c>
      <c r="N914" s="6">
        <v>97.83</v>
      </c>
      <c r="O914" s="6">
        <v>97.74</v>
      </c>
      <c r="P914" s="6">
        <v>97.73</v>
      </c>
      <c r="Q914" s="6">
        <v>97.84</v>
      </c>
      <c r="R914" s="6">
        <v>97.75</v>
      </c>
    </row>
    <row r="915" spans="2:18">
      <c r="B915" s="6">
        <v>32426</v>
      </c>
      <c r="C915" s="6" t="s">
        <v>866</v>
      </c>
      <c r="D915" s="6">
        <v>0</v>
      </c>
      <c r="E915" s="6">
        <v>98.41</v>
      </c>
      <c r="F915" s="6">
        <v>98.41</v>
      </c>
      <c r="G915" s="6">
        <v>97.88</v>
      </c>
      <c r="H915" s="6">
        <v>97.7</v>
      </c>
      <c r="I915" s="6">
        <v>97.56</v>
      </c>
      <c r="J915" s="6">
        <v>98.01</v>
      </c>
      <c r="K915" s="6">
        <v>97.7</v>
      </c>
      <c r="L915" s="6">
        <v>97.61</v>
      </c>
      <c r="M915" s="6">
        <v>98.02</v>
      </c>
      <c r="N915" s="6">
        <v>97.7</v>
      </c>
      <c r="O915" s="6">
        <v>97.61</v>
      </c>
      <c r="P915" s="6">
        <v>98.02</v>
      </c>
      <c r="Q915" s="6">
        <v>97.7</v>
      </c>
      <c r="R915" s="6">
        <v>97.61</v>
      </c>
    </row>
    <row r="916" spans="2:18">
      <c r="B916" s="6">
        <v>32427</v>
      </c>
      <c r="C916" s="6" t="s">
        <v>749</v>
      </c>
      <c r="D916" s="6">
        <v>0</v>
      </c>
      <c r="E916" s="6">
        <v>99.22</v>
      </c>
      <c r="F916" s="6">
        <v>99.22</v>
      </c>
      <c r="G916" s="6">
        <v>98.48</v>
      </c>
      <c r="H916" s="6">
        <v>98.4</v>
      </c>
      <c r="I916" s="6">
        <v>98.25</v>
      </c>
      <c r="J916" s="6">
        <v>98.64</v>
      </c>
      <c r="K916" s="6">
        <v>98.48</v>
      </c>
      <c r="L916" s="6">
        <v>98.3</v>
      </c>
      <c r="M916" s="6">
        <v>98.62</v>
      </c>
      <c r="N916" s="6">
        <v>98.46</v>
      </c>
      <c r="O916" s="6">
        <v>98.28</v>
      </c>
      <c r="P916" s="6">
        <v>98.52</v>
      </c>
      <c r="Q916" s="6">
        <v>98.45</v>
      </c>
      <c r="R916" s="6">
        <v>98.28</v>
      </c>
    </row>
    <row r="917" spans="2:18">
      <c r="B917" s="6">
        <v>32427</v>
      </c>
      <c r="C917" s="6" t="s">
        <v>749</v>
      </c>
      <c r="D917" s="6">
        <v>0</v>
      </c>
      <c r="E917" s="6">
        <v>99.22</v>
      </c>
      <c r="F917" s="6">
        <v>99.22</v>
      </c>
      <c r="G917" s="6">
        <v>99.01</v>
      </c>
      <c r="H917" s="6">
        <v>98.74</v>
      </c>
      <c r="I917" s="6">
        <v>98.68</v>
      </c>
      <c r="J917" s="6">
        <v>99.01</v>
      </c>
      <c r="K917" s="6">
        <v>98.76</v>
      </c>
      <c r="L917" s="6">
        <v>98.69</v>
      </c>
      <c r="M917" s="6">
        <v>99.01</v>
      </c>
      <c r="N917" s="6">
        <v>98.76</v>
      </c>
      <c r="O917" s="6">
        <v>98.71</v>
      </c>
      <c r="P917" s="6">
        <v>99.01</v>
      </c>
      <c r="Q917" s="6">
        <v>98.76</v>
      </c>
      <c r="R917" s="6">
        <v>98.71</v>
      </c>
    </row>
    <row r="918" spans="2:18">
      <c r="B918" s="6">
        <v>32427</v>
      </c>
      <c r="C918" s="6" t="s">
        <v>749</v>
      </c>
      <c r="D918" s="6">
        <v>0</v>
      </c>
      <c r="E918" s="6">
        <v>98.1</v>
      </c>
      <c r="F918" s="6">
        <v>98.1</v>
      </c>
      <c r="G918" s="6">
        <v>97.43</v>
      </c>
      <c r="H918" s="6">
        <v>97.49</v>
      </c>
      <c r="I918" s="6">
        <v>97.36</v>
      </c>
      <c r="J918" s="6">
        <v>97.72</v>
      </c>
      <c r="K918" s="6">
        <v>97.84</v>
      </c>
      <c r="L918" s="6">
        <v>97.75</v>
      </c>
      <c r="M918" s="6">
        <v>97.72</v>
      </c>
      <c r="N918" s="6">
        <v>97.83</v>
      </c>
      <c r="O918" s="6">
        <v>97.74</v>
      </c>
      <c r="P918" s="6">
        <v>97.73</v>
      </c>
      <c r="Q918" s="6">
        <v>97.84</v>
      </c>
      <c r="R918" s="6">
        <v>97.75</v>
      </c>
    </row>
    <row r="919" spans="2:18">
      <c r="B919" s="6">
        <v>32427</v>
      </c>
      <c r="C919" s="6" t="s">
        <v>749</v>
      </c>
      <c r="D919" s="6">
        <v>0</v>
      </c>
      <c r="E919" s="6">
        <v>97.64</v>
      </c>
      <c r="F919" s="6">
        <v>97.64</v>
      </c>
      <c r="G919" s="6">
        <v>97.88</v>
      </c>
      <c r="H919" s="6">
        <v>97.7</v>
      </c>
      <c r="I919" s="6">
        <v>97.56</v>
      </c>
      <c r="J919" s="6">
        <v>98.01</v>
      </c>
      <c r="K919" s="6">
        <v>97.7</v>
      </c>
      <c r="L919" s="6">
        <v>97.61</v>
      </c>
      <c r="M919" s="6">
        <v>98.02</v>
      </c>
      <c r="N919" s="6">
        <v>97.7</v>
      </c>
      <c r="O919" s="6">
        <v>97.61</v>
      </c>
      <c r="P919" s="6">
        <v>98.02</v>
      </c>
      <c r="Q919" s="6">
        <v>97.7</v>
      </c>
      <c r="R919" s="6">
        <v>97.61</v>
      </c>
    </row>
    <row r="920" spans="2:18">
      <c r="B920" s="6">
        <v>32429</v>
      </c>
      <c r="C920" s="6" t="s">
        <v>40</v>
      </c>
      <c r="D920" s="6">
        <v>0</v>
      </c>
      <c r="E920" s="6">
        <v>97.75</v>
      </c>
      <c r="F920" s="6">
        <v>97.67</v>
      </c>
      <c r="G920" s="6">
        <v>98.25</v>
      </c>
      <c r="H920" s="6">
        <v>98.25</v>
      </c>
      <c r="I920" s="6">
        <v>98.25</v>
      </c>
      <c r="J920" s="6">
        <v>98.25</v>
      </c>
      <c r="K920" s="6">
        <v>98.25</v>
      </c>
      <c r="L920" s="6">
        <v>98.25</v>
      </c>
      <c r="M920" s="6">
        <v>98.26</v>
      </c>
      <c r="N920" s="6">
        <v>98.22</v>
      </c>
      <c r="O920" s="6">
        <v>98.39</v>
      </c>
      <c r="P920" s="6">
        <v>96.61</v>
      </c>
      <c r="Q920" s="6">
        <v>97.38</v>
      </c>
      <c r="R920" s="6">
        <v>96.74</v>
      </c>
    </row>
    <row r="921" spans="2:18">
      <c r="B921" s="6">
        <v>32430</v>
      </c>
      <c r="C921" s="6" t="s">
        <v>41</v>
      </c>
      <c r="D921" s="6">
        <v>98.25</v>
      </c>
      <c r="E921" s="6">
        <v>98.54</v>
      </c>
      <c r="F921" s="6">
        <v>98.51</v>
      </c>
      <c r="G921" s="6">
        <v>98.25</v>
      </c>
      <c r="H921" s="6">
        <v>98.25</v>
      </c>
      <c r="I921" s="6">
        <v>98.25</v>
      </c>
      <c r="J921" s="6">
        <v>98.25</v>
      </c>
      <c r="K921" s="6">
        <v>98.25</v>
      </c>
      <c r="L921" s="6">
        <v>98.25</v>
      </c>
      <c r="M921" s="6">
        <v>98.26</v>
      </c>
      <c r="N921" s="6">
        <v>98.22</v>
      </c>
      <c r="O921" s="6">
        <v>98.39</v>
      </c>
      <c r="P921" s="6">
        <v>96.61</v>
      </c>
      <c r="Q921" s="6">
        <v>97.38</v>
      </c>
      <c r="R921" s="6">
        <v>96.74</v>
      </c>
    </row>
    <row r="922" spans="2:18">
      <c r="B922" s="6">
        <v>32431</v>
      </c>
      <c r="C922" s="6" t="s">
        <v>251</v>
      </c>
      <c r="D922" s="6">
        <v>94.3</v>
      </c>
      <c r="E922" s="6">
        <v>94.3</v>
      </c>
      <c r="F922" s="6">
        <v>94.78</v>
      </c>
      <c r="G922" s="6">
        <v>98.77</v>
      </c>
      <c r="H922" s="6">
        <v>98.55</v>
      </c>
      <c r="I922" s="6">
        <v>98.72</v>
      </c>
      <c r="J922" s="6">
        <v>98.23</v>
      </c>
      <c r="K922" s="6">
        <v>98.19</v>
      </c>
      <c r="L922" s="6">
        <v>98.1</v>
      </c>
      <c r="M922" s="6">
        <v>98.23</v>
      </c>
      <c r="N922" s="6">
        <v>98.19</v>
      </c>
      <c r="O922" s="6">
        <v>98.1</v>
      </c>
      <c r="P922" s="6">
        <v>98.04</v>
      </c>
      <c r="Q922" s="6">
        <v>98.09</v>
      </c>
      <c r="R922" s="6">
        <v>97.91</v>
      </c>
    </row>
    <row r="923" spans="2:18">
      <c r="B923" s="6">
        <v>32431</v>
      </c>
      <c r="C923" s="6" t="s">
        <v>251</v>
      </c>
      <c r="D923" s="6">
        <v>99.33</v>
      </c>
      <c r="E923" s="6">
        <v>99.33</v>
      </c>
      <c r="F923" s="6">
        <v>99.5</v>
      </c>
      <c r="G923" s="6">
        <v>99.43</v>
      </c>
      <c r="H923" s="6">
        <v>99.52</v>
      </c>
      <c r="I923" s="6">
        <v>99.53</v>
      </c>
      <c r="J923" s="6">
        <v>99.26</v>
      </c>
      <c r="K923" s="6">
        <v>99.39</v>
      </c>
      <c r="L923" s="6">
        <v>99.39</v>
      </c>
      <c r="M923" s="6">
        <v>99.26</v>
      </c>
      <c r="N923" s="6">
        <v>99.39</v>
      </c>
      <c r="O923" s="6">
        <v>99.39</v>
      </c>
      <c r="P923" s="6">
        <v>99.26</v>
      </c>
      <c r="Q923" s="6">
        <v>99.39</v>
      </c>
      <c r="R923" s="6">
        <v>99.39</v>
      </c>
    </row>
    <row r="924" spans="2:18">
      <c r="B924" s="6">
        <v>32433</v>
      </c>
      <c r="C924" s="6" t="s">
        <v>1002</v>
      </c>
      <c r="D924" s="6">
        <v>0</v>
      </c>
      <c r="E924" s="6">
        <v>0</v>
      </c>
      <c r="F924" s="6">
        <v>99.31</v>
      </c>
      <c r="G924" s="6">
        <v>97.07</v>
      </c>
      <c r="H924" s="6">
        <v>94.76</v>
      </c>
      <c r="I924" s="6">
        <v>95.55</v>
      </c>
      <c r="J924" s="6">
        <v>98.23</v>
      </c>
      <c r="K924" s="6">
        <v>98.19</v>
      </c>
      <c r="L924" s="6">
        <v>98.1</v>
      </c>
      <c r="M924" s="6">
        <v>98.23</v>
      </c>
      <c r="N924" s="6">
        <v>98.19</v>
      </c>
      <c r="O924" s="6">
        <v>98.1</v>
      </c>
      <c r="P924" s="6">
        <v>98.04</v>
      </c>
      <c r="Q924" s="6">
        <v>98.09</v>
      </c>
      <c r="R924" s="6">
        <v>97.91</v>
      </c>
    </row>
    <row r="925" spans="2:18">
      <c r="B925" s="6">
        <v>32433</v>
      </c>
      <c r="C925" s="6" t="s">
        <v>1002</v>
      </c>
      <c r="D925" s="6">
        <v>0</v>
      </c>
      <c r="E925" s="6">
        <v>0</v>
      </c>
      <c r="F925" s="6">
        <v>98.04</v>
      </c>
      <c r="G925" s="6">
        <v>96.62</v>
      </c>
      <c r="H925" s="6">
        <v>98.65</v>
      </c>
      <c r="I925" s="6">
        <v>98.32</v>
      </c>
      <c r="J925" s="6">
        <v>99.33</v>
      </c>
      <c r="K925" s="6">
        <v>99.31</v>
      </c>
      <c r="L925" s="6">
        <v>98.87</v>
      </c>
      <c r="M925" s="6">
        <v>99.33</v>
      </c>
      <c r="N925" s="6">
        <v>99.31</v>
      </c>
      <c r="O925" s="6">
        <v>98.87</v>
      </c>
      <c r="P925" s="6">
        <v>97.69</v>
      </c>
      <c r="Q925" s="6">
        <v>98.01</v>
      </c>
      <c r="R925" s="6">
        <v>98.3</v>
      </c>
    </row>
    <row r="926" spans="2:18">
      <c r="B926" s="6">
        <v>32433</v>
      </c>
      <c r="C926" s="6" t="s">
        <v>1002</v>
      </c>
      <c r="D926" s="6">
        <v>0</v>
      </c>
      <c r="E926" s="6">
        <v>0</v>
      </c>
      <c r="F926" s="6">
        <v>96.67</v>
      </c>
      <c r="G926" s="6">
        <v>78.87</v>
      </c>
      <c r="H926" s="6">
        <v>91.66</v>
      </c>
      <c r="I926" s="6">
        <v>96.42</v>
      </c>
      <c r="J926" s="6">
        <v>99.26</v>
      </c>
      <c r="K926" s="6">
        <v>99.39</v>
      </c>
      <c r="L926" s="6">
        <v>99.39</v>
      </c>
      <c r="M926" s="6">
        <v>99.26</v>
      </c>
      <c r="N926" s="6">
        <v>99.39</v>
      </c>
      <c r="O926" s="6">
        <v>99.39</v>
      </c>
      <c r="P926" s="6">
        <v>99.26</v>
      </c>
      <c r="Q926" s="6">
        <v>99.39</v>
      </c>
      <c r="R926" s="6">
        <v>99.39</v>
      </c>
    </row>
    <row r="927" spans="2:18">
      <c r="B927" s="6">
        <v>32434</v>
      </c>
      <c r="C927" s="6" t="s">
        <v>1003</v>
      </c>
      <c r="D927" s="6">
        <v>0</v>
      </c>
      <c r="E927" s="6">
        <v>0</v>
      </c>
      <c r="F927" s="6">
        <v>96.61</v>
      </c>
      <c r="G927" s="6">
        <v>97.07</v>
      </c>
      <c r="H927" s="6">
        <v>94.76</v>
      </c>
      <c r="I927" s="6">
        <v>95.55</v>
      </c>
      <c r="J927" s="6">
        <v>98.23</v>
      </c>
      <c r="K927" s="6">
        <v>98.19</v>
      </c>
      <c r="L927" s="6">
        <v>98.1</v>
      </c>
      <c r="M927" s="6">
        <v>98.23</v>
      </c>
      <c r="N927" s="6">
        <v>98.19</v>
      </c>
      <c r="O927" s="6">
        <v>98.1</v>
      </c>
      <c r="P927" s="6">
        <v>98.04</v>
      </c>
      <c r="Q927" s="6">
        <v>98.09</v>
      </c>
      <c r="R927" s="6">
        <v>97.91</v>
      </c>
    </row>
    <row r="928" spans="2:18">
      <c r="B928" s="6">
        <v>32434</v>
      </c>
      <c r="C928" s="6" t="s">
        <v>1003</v>
      </c>
      <c r="D928" s="6">
        <v>0</v>
      </c>
      <c r="E928" s="6">
        <v>0</v>
      </c>
      <c r="F928" s="6">
        <v>99.01</v>
      </c>
      <c r="G928" s="6">
        <v>96.62</v>
      </c>
      <c r="H928" s="6">
        <v>98.65</v>
      </c>
      <c r="I928" s="6">
        <v>98.32</v>
      </c>
      <c r="J928" s="6">
        <v>99.33</v>
      </c>
      <c r="K928" s="6">
        <v>99.31</v>
      </c>
      <c r="L928" s="6">
        <v>98.87</v>
      </c>
      <c r="M928" s="6">
        <v>99.33</v>
      </c>
      <c r="N928" s="6">
        <v>99.31</v>
      </c>
      <c r="O928" s="6">
        <v>98.87</v>
      </c>
      <c r="P928" s="6">
        <v>97.69</v>
      </c>
      <c r="Q928" s="6">
        <v>98.01</v>
      </c>
      <c r="R928" s="6">
        <v>98.3</v>
      </c>
    </row>
    <row r="929" spans="2:18">
      <c r="B929" s="6">
        <v>32434</v>
      </c>
      <c r="C929" s="6" t="s">
        <v>1003</v>
      </c>
      <c r="D929" s="6">
        <v>0</v>
      </c>
      <c r="E929" s="6">
        <v>0</v>
      </c>
      <c r="F929" s="6">
        <v>98.33</v>
      </c>
      <c r="G929" s="6">
        <v>78.87</v>
      </c>
      <c r="H929" s="6">
        <v>91.66</v>
      </c>
      <c r="I929" s="6">
        <v>96.42</v>
      </c>
      <c r="J929" s="6">
        <v>99.26</v>
      </c>
      <c r="K929" s="6">
        <v>99.39</v>
      </c>
      <c r="L929" s="6">
        <v>99.39</v>
      </c>
      <c r="M929" s="6">
        <v>99.26</v>
      </c>
      <c r="N929" s="6">
        <v>99.39</v>
      </c>
      <c r="O929" s="6">
        <v>99.39</v>
      </c>
      <c r="P929" s="6">
        <v>99.26</v>
      </c>
      <c r="Q929" s="6">
        <v>99.39</v>
      </c>
      <c r="R929" s="6">
        <v>99.39</v>
      </c>
    </row>
    <row r="930" spans="2:18">
      <c r="B930" s="6">
        <v>32435</v>
      </c>
      <c r="C930" s="6" t="s">
        <v>1087</v>
      </c>
      <c r="D930" s="6">
        <v>89.05</v>
      </c>
      <c r="E930" s="6">
        <v>92.14</v>
      </c>
      <c r="F930" s="6">
        <v>87.8</v>
      </c>
      <c r="G930" s="6">
        <v>89.05</v>
      </c>
      <c r="H930" s="6">
        <v>92.14</v>
      </c>
      <c r="I930" s="6">
        <v>87.8</v>
      </c>
      <c r="J930" s="6">
        <v>89.05</v>
      </c>
      <c r="K930" s="6">
        <v>92.14</v>
      </c>
      <c r="L930" s="6">
        <v>87.8</v>
      </c>
      <c r="M930" s="6">
        <v>87.08</v>
      </c>
      <c r="N930" s="6">
        <v>94.95</v>
      </c>
      <c r="O930" s="6">
        <v>89.9</v>
      </c>
      <c r="P930" s="6">
        <v>96.61</v>
      </c>
      <c r="Q930" s="6">
        <v>97.38</v>
      </c>
      <c r="R930" s="6">
        <v>96.74</v>
      </c>
    </row>
    <row r="931" spans="2:18">
      <c r="B931" s="6">
        <v>32435</v>
      </c>
      <c r="C931" s="6" t="s">
        <v>1087</v>
      </c>
      <c r="D931" s="6">
        <v>93.39</v>
      </c>
      <c r="E931" s="6">
        <v>91.87</v>
      </c>
      <c r="F931" s="6">
        <v>95.11</v>
      </c>
      <c r="G931" s="6">
        <v>93.39</v>
      </c>
      <c r="H931" s="6">
        <v>91.87</v>
      </c>
      <c r="I931" s="6">
        <v>95.11</v>
      </c>
      <c r="J931" s="6">
        <v>98.44</v>
      </c>
      <c r="K931" s="6">
        <v>98.01</v>
      </c>
      <c r="L931" s="6">
        <v>98.17</v>
      </c>
      <c r="M931" s="6">
        <v>98.29</v>
      </c>
      <c r="N931" s="6">
        <v>97.91</v>
      </c>
      <c r="O931" s="6">
        <v>97.88</v>
      </c>
      <c r="P931" s="6">
        <v>98.29</v>
      </c>
      <c r="Q931" s="6">
        <v>97.91</v>
      </c>
      <c r="R931" s="6">
        <v>97.88</v>
      </c>
    </row>
    <row r="932" spans="2:18">
      <c r="B932" s="6">
        <v>32438</v>
      </c>
      <c r="C932" s="6" t="s">
        <v>1004</v>
      </c>
      <c r="D932" s="6">
        <v>0</v>
      </c>
      <c r="E932" s="6">
        <v>96.55</v>
      </c>
      <c r="F932" s="6">
        <v>96.55</v>
      </c>
      <c r="G932" s="6">
        <v>98.77</v>
      </c>
      <c r="H932" s="6">
        <v>98.55</v>
      </c>
      <c r="I932" s="6">
        <v>98.72</v>
      </c>
      <c r="J932" s="6">
        <v>98.23</v>
      </c>
      <c r="K932" s="6">
        <v>98.19</v>
      </c>
      <c r="L932" s="6">
        <v>98.1</v>
      </c>
      <c r="M932" s="6">
        <v>98.23</v>
      </c>
      <c r="N932" s="6">
        <v>98.19</v>
      </c>
      <c r="O932" s="6">
        <v>98.1</v>
      </c>
      <c r="P932" s="6">
        <v>98.04</v>
      </c>
      <c r="Q932" s="6">
        <v>98.09</v>
      </c>
      <c r="R932" s="6">
        <v>97.91</v>
      </c>
    </row>
    <row r="933" spans="2:18">
      <c r="B933" s="6">
        <v>32438</v>
      </c>
      <c r="C933" s="6" t="s">
        <v>1004</v>
      </c>
      <c r="D933" s="6">
        <v>0</v>
      </c>
      <c r="E933" s="6">
        <v>96.67</v>
      </c>
      <c r="F933" s="6">
        <v>96.67</v>
      </c>
      <c r="G933" s="6">
        <v>99.43</v>
      </c>
      <c r="H933" s="6">
        <v>99.52</v>
      </c>
      <c r="I933" s="6">
        <v>99.53</v>
      </c>
      <c r="J933" s="6">
        <v>99.26</v>
      </c>
      <c r="K933" s="6">
        <v>99.39</v>
      </c>
      <c r="L933" s="6">
        <v>99.39</v>
      </c>
      <c r="M933" s="6">
        <v>99.26</v>
      </c>
      <c r="N933" s="6">
        <v>99.39</v>
      </c>
      <c r="O933" s="6">
        <v>99.39</v>
      </c>
      <c r="P933" s="6">
        <v>99.26</v>
      </c>
      <c r="Q933" s="6">
        <v>99.39</v>
      </c>
      <c r="R933" s="6">
        <v>99.39</v>
      </c>
    </row>
    <row r="934" spans="2:18">
      <c r="B934" s="6">
        <v>32442</v>
      </c>
      <c r="C934" s="6" t="s">
        <v>1170</v>
      </c>
      <c r="D934" s="6">
        <v>0</v>
      </c>
      <c r="E934" s="6">
        <v>0</v>
      </c>
      <c r="F934" s="6">
        <v>50</v>
      </c>
      <c r="G934" s="6">
        <v>80.86</v>
      </c>
      <c r="H934" s="6">
        <v>83.63</v>
      </c>
      <c r="I934" s="6">
        <v>83.96</v>
      </c>
      <c r="J934" s="6">
        <v>80.86</v>
      </c>
      <c r="K934" s="6">
        <v>83.63</v>
      </c>
      <c r="L934" s="6">
        <v>83.87</v>
      </c>
      <c r="M934" s="6">
        <v>80.86</v>
      </c>
      <c r="N934" s="6">
        <v>83.63</v>
      </c>
      <c r="O934" s="6">
        <v>83.87</v>
      </c>
      <c r="P934" s="6">
        <v>80.86</v>
      </c>
      <c r="Q934" s="6">
        <v>83.63</v>
      </c>
      <c r="R934" s="6">
        <v>83.87</v>
      </c>
    </row>
    <row r="935" spans="2:18">
      <c r="B935" s="6">
        <v>32442</v>
      </c>
      <c r="C935" s="6" t="s">
        <v>1170</v>
      </c>
      <c r="D935" s="6">
        <v>0</v>
      </c>
      <c r="E935" s="6">
        <v>0</v>
      </c>
      <c r="F935" s="6">
        <v>84.21</v>
      </c>
      <c r="G935" s="6">
        <v>76.67</v>
      </c>
      <c r="H935" s="6">
        <v>80.45</v>
      </c>
      <c r="I935" s="6">
        <v>78.739999999999995</v>
      </c>
      <c r="J935" s="6">
        <v>76.67</v>
      </c>
      <c r="K935" s="6">
        <v>80.45</v>
      </c>
      <c r="L935" s="6">
        <v>78.739999999999995</v>
      </c>
      <c r="M935" s="6">
        <v>76.67</v>
      </c>
      <c r="N935" s="6">
        <v>80.45</v>
      </c>
      <c r="O935" s="6">
        <v>78.739999999999995</v>
      </c>
      <c r="P935" s="6">
        <v>76.67</v>
      </c>
      <c r="Q935" s="6">
        <v>80.45</v>
      </c>
      <c r="R935" s="6">
        <v>78.739999999999995</v>
      </c>
    </row>
    <row r="936" spans="2:18">
      <c r="B936" s="6">
        <v>32450</v>
      </c>
      <c r="C936" s="6" t="s">
        <v>1190</v>
      </c>
      <c r="D936" s="6">
        <v>0</v>
      </c>
      <c r="E936" s="6">
        <v>0</v>
      </c>
      <c r="F936" s="6">
        <v>75</v>
      </c>
      <c r="G936" s="6">
        <v>97.8</v>
      </c>
      <c r="H936" s="6">
        <v>95.81</v>
      </c>
      <c r="I936" s="6">
        <v>93.09</v>
      </c>
      <c r="J936" s="6">
        <v>97.8</v>
      </c>
      <c r="K936" s="6">
        <v>95.81</v>
      </c>
      <c r="L936" s="6">
        <v>92.55</v>
      </c>
      <c r="M936" s="6">
        <v>97.8</v>
      </c>
      <c r="N936" s="6">
        <v>95.81</v>
      </c>
      <c r="O936" s="6">
        <v>92.43</v>
      </c>
      <c r="P936" s="6">
        <v>97.23</v>
      </c>
      <c r="Q936" s="6">
        <v>95.67</v>
      </c>
      <c r="R936" s="6">
        <v>93.87</v>
      </c>
    </row>
    <row r="937" spans="2:18">
      <c r="B937" s="6">
        <v>32450</v>
      </c>
      <c r="C937" s="6" t="s">
        <v>1190</v>
      </c>
      <c r="D937" s="6">
        <v>0</v>
      </c>
      <c r="E937" s="6">
        <v>0</v>
      </c>
      <c r="F937" s="6">
        <v>77.78</v>
      </c>
      <c r="G937" s="6">
        <v>0</v>
      </c>
      <c r="H937" s="6">
        <v>0</v>
      </c>
      <c r="I937" s="6">
        <v>52.78</v>
      </c>
      <c r="J937" s="6">
        <v>0</v>
      </c>
      <c r="K937" s="6">
        <v>0</v>
      </c>
      <c r="L937" s="6">
        <v>52.78</v>
      </c>
      <c r="M937" s="6">
        <v>0</v>
      </c>
      <c r="N937" s="6">
        <v>0</v>
      </c>
      <c r="O937" s="6">
        <v>52.78</v>
      </c>
      <c r="P937" s="6">
        <v>0</v>
      </c>
      <c r="Q937" s="6">
        <v>0</v>
      </c>
      <c r="R937" s="6">
        <v>52.78</v>
      </c>
    </row>
    <row r="938" spans="2:18">
      <c r="B938" s="6">
        <v>32450</v>
      </c>
      <c r="C938" s="6" t="s">
        <v>1190</v>
      </c>
      <c r="D938" s="6">
        <v>0</v>
      </c>
      <c r="E938" s="6">
        <v>0</v>
      </c>
      <c r="F938" s="6">
        <v>92.31</v>
      </c>
      <c r="G938" s="6">
        <v>94.14</v>
      </c>
      <c r="H938" s="6">
        <v>95.21</v>
      </c>
      <c r="I938" s="6">
        <v>94.44</v>
      </c>
      <c r="J938" s="6">
        <v>94.14</v>
      </c>
      <c r="K938" s="6">
        <v>95.21</v>
      </c>
      <c r="L938" s="6">
        <v>95.51</v>
      </c>
      <c r="M938" s="6">
        <v>94.14</v>
      </c>
      <c r="N938" s="6">
        <v>95.21</v>
      </c>
      <c r="O938" s="6">
        <v>95.13</v>
      </c>
      <c r="P938" s="6">
        <v>92.91</v>
      </c>
      <c r="Q938" s="6">
        <v>94.84</v>
      </c>
      <c r="R938" s="6">
        <v>94.98</v>
      </c>
    </row>
    <row r="939" spans="2:18">
      <c r="B939" s="6">
        <v>32450</v>
      </c>
      <c r="C939" s="6" t="s">
        <v>1190</v>
      </c>
      <c r="D939" s="6">
        <v>0</v>
      </c>
      <c r="E939" s="6">
        <v>0</v>
      </c>
      <c r="F939" s="6">
        <v>74.290000000000006</v>
      </c>
      <c r="G939" s="6">
        <v>100</v>
      </c>
      <c r="H939" s="6">
        <v>99.19</v>
      </c>
      <c r="I939" s="6">
        <v>97.92</v>
      </c>
      <c r="J939" s="6">
        <v>100</v>
      </c>
      <c r="K939" s="6">
        <v>99.19</v>
      </c>
      <c r="L939" s="6">
        <v>97.92</v>
      </c>
      <c r="M939" s="6">
        <v>100</v>
      </c>
      <c r="N939" s="6">
        <v>99.19</v>
      </c>
      <c r="O939" s="6">
        <v>97.92</v>
      </c>
      <c r="P939" s="6">
        <v>100</v>
      </c>
      <c r="Q939" s="6">
        <v>99.19</v>
      </c>
      <c r="R939" s="6">
        <v>97.92</v>
      </c>
    </row>
    <row r="940" spans="2:18">
      <c r="B940" s="6">
        <v>32452</v>
      </c>
      <c r="C940" s="6" t="s">
        <v>253</v>
      </c>
      <c r="D940" s="6">
        <v>0</v>
      </c>
      <c r="E940" s="6">
        <v>0</v>
      </c>
      <c r="F940" s="6">
        <v>85.71</v>
      </c>
      <c r="G940" s="6">
        <v>0</v>
      </c>
      <c r="H940" s="6">
        <v>0</v>
      </c>
      <c r="I940" s="6">
        <v>85.71</v>
      </c>
      <c r="J940" s="6">
        <v>0</v>
      </c>
      <c r="K940" s="6">
        <v>0</v>
      </c>
      <c r="L940" s="6">
        <v>85.71</v>
      </c>
      <c r="M940" s="6">
        <v>0</v>
      </c>
      <c r="N940" s="6">
        <v>0</v>
      </c>
      <c r="O940" s="6">
        <v>85.71</v>
      </c>
      <c r="P940" s="6">
        <v>0</v>
      </c>
      <c r="Q940" s="6">
        <v>0</v>
      </c>
      <c r="R940" s="6">
        <v>85.71</v>
      </c>
    </row>
    <row r="941" spans="2:18">
      <c r="B941" s="6">
        <v>32453</v>
      </c>
      <c r="C941" s="6" t="s">
        <v>255</v>
      </c>
      <c r="D941" s="6">
        <v>97.44</v>
      </c>
      <c r="E941" s="6">
        <v>97.46</v>
      </c>
      <c r="F941" s="6">
        <v>96.39</v>
      </c>
      <c r="G941" s="6">
        <v>96.77</v>
      </c>
      <c r="H941" s="6">
        <v>97.74</v>
      </c>
      <c r="I941" s="6">
        <v>96.78</v>
      </c>
      <c r="J941" s="6">
        <v>98.23</v>
      </c>
      <c r="K941" s="6">
        <v>98.19</v>
      </c>
      <c r="L941" s="6">
        <v>98.1</v>
      </c>
      <c r="M941" s="6">
        <v>98.23</v>
      </c>
      <c r="N941" s="6">
        <v>98.19</v>
      </c>
      <c r="O941" s="6">
        <v>98.1</v>
      </c>
      <c r="P941" s="6">
        <v>98.04</v>
      </c>
      <c r="Q941" s="6">
        <v>98.09</v>
      </c>
      <c r="R941" s="6">
        <v>97.91</v>
      </c>
    </row>
    <row r="942" spans="2:18">
      <c r="B942" s="6">
        <v>32453</v>
      </c>
      <c r="C942" s="6" t="s">
        <v>255</v>
      </c>
      <c r="D942" s="6">
        <v>99.64</v>
      </c>
      <c r="E942" s="6">
        <v>99.64</v>
      </c>
      <c r="F942" s="6">
        <v>99.59</v>
      </c>
      <c r="G942" s="6">
        <v>99.56</v>
      </c>
      <c r="H942" s="6">
        <v>99.17</v>
      </c>
      <c r="I942" s="6">
        <v>99.23</v>
      </c>
      <c r="J942" s="6">
        <v>99.26</v>
      </c>
      <c r="K942" s="6">
        <v>99.39</v>
      </c>
      <c r="L942" s="6">
        <v>99.39</v>
      </c>
      <c r="M942" s="6">
        <v>99.26</v>
      </c>
      <c r="N942" s="6">
        <v>99.39</v>
      </c>
      <c r="O942" s="6">
        <v>99.39</v>
      </c>
      <c r="P942" s="6">
        <v>99.26</v>
      </c>
      <c r="Q942" s="6">
        <v>99.39</v>
      </c>
      <c r="R942" s="6">
        <v>99.39</v>
      </c>
    </row>
    <row r="943" spans="2:18">
      <c r="B943" s="6">
        <v>32454</v>
      </c>
      <c r="C943" s="6" t="s">
        <v>356</v>
      </c>
      <c r="D943" s="6">
        <v>0</v>
      </c>
      <c r="E943" s="6">
        <v>93.67</v>
      </c>
      <c r="F943" s="6">
        <v>93.67</v>
      </c>
      <c r="G943" s="6">
        <v>97.54</v>
      </c>
      <c r="H943" s="6">
        <v>97.44</v>
      </c>
      <c r="I943" s="6">
        <v>97.36</v>
      </c>
      <c r="J943" s="6">
        <v>97.54</v>
      </c>
      <c r="K943" s="6">
        <v>97.47</v>
      </c>
      <c r="L943" s="6">
        <v>97.49</v>
      </c>
      <c r="M943" s="6">
        <v>97.54</v>
      </c>
      <c r="N943" s="6">
        <v>97.47</v>
      </c>
      <c r="O943" s="6">
        <v>97.49</v>
      </c>
      <c r="P943" s="6">
        <v>97.54</v>
      </c>
      <c r="Q943" s="6">
        <v>97.47</v>
      </c>
      <c r="R943" s="6">
        <v>97.49</v>
      </c>
    </row>
    <row r="944" spans="2:18">
      <c r="B944" s="6">
        <v>32454</v>
      </c>
      <c r="C944" s="6" t="s">
        <v>356</v>
      </c>
      <c r="D944" s="6">
        <v>0</v>
      </c>
      <c r="E944" s="6">
        <v>98.65</v>
      </c>
      <c r="F944" s="6">
        <v>98.65</v>
      </c>
      <c r="G944" s="6">
        <v>0</v>
      </c>
      <c r="H944" s="6">
        <v>97.74</v>
      </c>
      <c r="I944" s="6">
        <v>97.38</v>
      </c>
      <c r="J944" s="6">
        <v>90.86</v>
      </c>
      <c r="K944" s="6">
        <v>96.97</v>
      </c>
      <c r="L944" s="6">
        <v>96.91</v>
      </c>
      <c r="M944" s="6">
        <v>98.71</v>
      </c>
      <c r="N944" s="6">
        <v>98.7</v>
      </c>
      <c r="O944" s="6">
        <v>98.68</v>
      </c>
      <c r="P944" s="6">
        <v>98.71</v>
      </c>
      <c r="Q944" s="6">
        <v>98.7</v>
      </c>
      <c r="R944" s="6">
        <v>98.68</v>
      </c>
    </row>
    <row r="945" spans="2:18">
      <c r="B945" s="6">
        <v>32454</v>
      </c>
      <c r="C945" s="6" t="s">
        <v>356</v>
      </c>
      <c r="D945" s="6">
        <v>0</v>
      </c>
      <c r="E945" s="6">
        <v>94.86</v>
      </c>
      <c r="F945" s="6">
        <v>94.86</v>
      </c>
      <c r="G945" s="6">
        <v>0</v>
      </c>
      <c r="H945" s="6">
        <v>94.82</v>
      </c>
      <c r="I945" s="6">
        <v>93.03</v>
      </c>
      <c r="J945" s="6">
        <v>94.97</v>
      </c>
      <c r="K945" s="6">
        <v>94.84</v>
      </c>
      <c r="L945" s="6">
        <v>91.34</v>
      </c>
      <c r="M945" s="6">
        <v>98.29</v>
      </c>
      <c r="N945" s="6">
        <v>97.91</v>
      </c>
      <c r="O945" s="6">
        <v>97.88</v>
      </c>
      <c r="P945" s="6">
        <v>98.29</v>
      </c>
      <c r="Q945" s="6">
        <v>97.91</v>
      </c>
      <c r="R945" s="6">
        <v>97.88</v>
      </c>
    </row>
    <row r="946" spans="2:18">
      <c r="B946" s="6">
        <v>32456</v>
      </c>
      <c r="C946" s="6" t="s">
        <v>1159</v>
      </c>
      <c r="D946" s="6">
        <v>100</v>
      </c>
      <c r="E946" s="6">
        <v>100</v>
      </c>
      <c r="F946" s="6">
        <v>100</v>
      </c>
      <c r="G946" s="6">
        <v>99.86</v>
      </c>
      <c r="H946" s="6">
        <v>99.78</v>
      </c>
      <c r="I946" s="6">
        <v>99.64</v>
      </c>
      <c r="J946" s="6">
        <v>99.86</v>
      </c>
      <c r="K946" s="6">
        <v>99.78</v>
      </c>
      <c r="L946" s="6">
        <v>99.64</v>
      </c>
      <c r="M946" s="6">
        <v>99.86</v>
      </c>
      <c r="N946" s="6">
        <v>99.78</v>
      </c>
      <c r="O946" s="6">
        <v>99.64</v>
      </c>
      <c r="P946" s="6">
        <v>99.86</v>
      </c>
      <c r="Q946" s="6">
        <v>99.78</v>
      </c>
      <c r="R946" s="6">
        <v>99.64</v>
      </c>
    </row>
    <row r="947" spans="2:18">
      <c r="B947" s="6">
        <v>32456</v>
      </c>
      <c r="C947" s="6" t="s">
        <v>1159</v>
      </c>
      <c r="D947" s="6">
        <v>93.85</v>
      </c>
      <c r="E947" s="6">
        <v>93.85</v>
      </c>
      <c r="F947" s="6">
        <v>93.85</v>
      </c>
      <c r="G947" s="6">
        <v>96.33</v>
      </c>
      <c r="H947" s="6">
        <v>95.55</v>
      </c>
      <c r="I947" s="6">
        <v>96.55</v>
      </c>
      <c r="J947" s="6">
        <v>96.33</v>
      </c>
      <c r="K947" s="6">
        <v>95.55</v>
      </c>
      <c r="L947" s="6">
        <v>96.55</v>
      </c>
      <c r="M947" s="6">
        <v>96.33</v>
      </c>
      <c r="N947" s="6">
        <v>95.55</v>
      </c>
      <c r="O947" s="6">
        <v>96.55</v>
      </c>
      <c r="P947" s="6">
        <v>96.33</v>
      </c>
      <c r="Q947" s="6">
        <v>95.55</v>
      </c>
      <c r="R947" s="6">
        <v>96.55</v>
      </c>
    </row>
    <row r="948" spans="2:18">
      <c r="B948" s="6">
        <v>32457</v>
      </c>
      <c r="C948" s="6" t="s">
        <v>1027</v>
      </c>
      <c r="D948" s="6">
        <v>0</v>
      </c>
      <c r="E948" s="6">
        <v>0</v>
      </c>
      <c r="F948" s="6">
        <v>93.9</v>
      </c>
      <c r="G948" s="6">
        <v>0</v>
      </c>
      <c r="H948" s="6">
        <v>99.57</v>
      </c>
      <c r="I948" s="6">
        <v>94.95</v>
      </c>
      <c r="J948" s="6">
        <v>98.23</v>
      </c>
      <c r="K948" s="6">
        <v>98.19</v>
      </c>
      <c r="L948" s="6">
        <v>98.1</v>
      </c>
      <c r="M948" s="6">
        <v>98.23</v>
      </c>
      <c r="N948" s="6">
        <v>98.19</v>
      </c>
      <c r="O948" s="6">
        <v>98.1</v>
      </c>
      <c r="P948" s="6">
        <v>98.04</v>
      </c>
      <c r="Q948" s="6">
        <v>98.09</v>
      </c>
      <c r="R948" s="6">
        <v>97.91</v>
      </c>
    </row>
    <row r="949" spans="2:18">
      <c r="B949" s="6">
        <v>32457</v>
      </c>
      <c r="C949" s="6" t="s">
        <v>1027</v>
      </c>
      <c r="D949" s="6">
        <v>0</v>
      </c>
      <c r="E949" s="6">
        <v>0</v>
      </c>
      <c r="F949" s="6">
        <v>89.02</v>
      </c>
      <c r="G949" s="6">
        <v>0</v>
      </c>
      <c r="H949" s="6">
        <v>98.63</v>
      </c>
      <c r="I949" s="6">
        <v>94.93</v>
      </c>
      <c r="J949" s="6">
        <v>89.16</v>
      </c>
      <c r="K949" s="6">
        <v>92.29</v>
      </c>
      <c r="L949" s="6">
        <v>95.48</v>
      </c>
      <c r="M949" s="6">
        <v>89.16</v>
      </c>
      <c r="N949" s="6">
        <v>92.29</v>
      </c>
      <c r="O949" s="6">
        <v>95.48</v>
      </c>
      <c r="P949" s="6">
        <v>89.16</v>
      </c>
      <c r="Q949" s="6">
        <v>92.29</v>
      </c>
      <c r="R949" s="6">
        <v>95.48</v>
      </c>
    </row>
    <row r="950" spans="2:18">
      <c r="B950" s="6">
        <v>32457</v>
      </c>
      <c r="C950" s="6" t="s">
        <v>1027</v>
      </c>
      <c r="D950" s="6">
        <v>0</v>
      </c>
      <c r="E950" s="6">
        <v>0</v>
      </c>
      <c r="F950" s="6">
        <v>93.15</v>
      </c>
      <c r="G950" s="6">
        <v>0</v>
      </c>
      <c r="H950" s="6">
        <v>0</v>
      </c>
      <c r="I950" s="6">
        <v>95.79</v>
      </c>
      <c r="J950" s="6">
        <v>99.26</v>
      </c>
      <c r="K950" s="6">
        <v>99.39</v>
      </c>
      <c r="L950" s="6">
        <v>99.39</v>
      </c>
      <c r="M950" s="6">
        <v>99.26</v>
      </c>
      <c r="N950" s="6">
        <v>99.39</v>
      </c>
      <c r="O950" s="6">
        <v>99.39</v>
      </c>
      <c r="P950" s="6">
        <v>99.26</v>
      </c>
      <c r="Q950" s="6">
        <v>99.39</v>
      </c>
      <c r="R950" s="6">
        <v>99.39</v>
      </c>
    </row>
    <row r="951" spans="2:18">
      <c r="B951" s="6">
        <v>32457</v>
      </c>
      <c r="C951" s="6" t="s">
        <v>1027</v>
      </c>
      <c r="D951" s="6">
        <v>0</v>
      </c>
      <c r="E951" s="6">
        <v>0</v>
      </c>
      <c r="F951" s="6">
        <v>94.96</v>
      </c>
      <c r="G951" s="6">
        <v>0</v>
      </c>
      <c r="H951" s="6">
        <v>0</v>
      </c>
      <c r="I951" s="6">
        <v>94.02</v>
      </c>
      <c r="J951" s="6">
        <v>0</v>
      </c>
      <c r="K951" s="6">
        <v>99.39</v>
      </c>
      <c r="L951" s="6">
        <v>97.81</v>
      </c>
      <c r="M951" s="6">
        <v>0</v>
      </c>
      <c r="N951" s="6">
        <v>99.39</v>
      </c>
      <c r="O951" s="6">
        <v>97.81</v>
      </c>
      <c r="P951" s="6">
        <v>64.22</v>
      </c>
      <c r="Q951" s="6">
        <v>89.74</v>
      </c>
      <c r="R951" s="6">
        <v>82.9</v>
      </c>
    </row>
    <row r="952" spans="2:18">
      <c r="B952" s="6">
        <v>32457</v>
      </c>
      <c r="C952" s="6" t="s">
        <v>1027</v>
      </c>
      <c r="D952" s="6">
        <v>0</v>
      </c>
      <c r="E952" s="6">
        <v>0</v>
      </c>
      <c r="F952" s="6">
        <v>96.88</v>
      </c>
      <c r="G952" s="6">
        <v>0</v>
      </c>
      <c r="H952" s="6">
        <v>97.83</v>
      </c>
      <c r="I952" s="6">
        <v>97.12</v>
      </c>
      <c r="J952" s="6">
        <v>98.47</v>
      </c>
      <c r="K952" s="6">
        <v>98.28</v>
      </c>
      <c r="L952" s="6">
        <v>97.11</v>
      </c>
      <c r="M952" s="6">
        <v>98.47</v>
      </c>
      <c r="N952" s="6">
        <v>98.28</v>
      </c>
      <c r="O952" s="6">
        <v>97.11</v>
      </c>
      <c r="P952" s="6">
        <v>98.47</v>
      </c>
      <c r="Q952" s="6">
        <v>98.28</v>
      </c>
      <c r="R952" s="6">
        <v>97.11</v>
      </c>
    </row>
    <row r="953" spans="2:18">
      <c r="B953" s="6">
        <v>32457</v>
      </c>
      <c r="C953" s="6" t="s">
        <v>1027</v>
      </c>
      <c r="D953" s="6">
        <v>0</v>
      </c>
      <c r="E953" s="6">
        <v>0</v>
      </c>
      <c r="F953" s="6">
        <v>96.08</v>
      </c>
      <c r="G953" s="6">
        <v>0</v>
      </c>
      <c r="H953" s="6">
        <v>0</v>
      </c>
      <c r="I953" s="6">
        <v>96.17</v>
      </c>
      <c r="J953" s="6">
        <v>0</v>
      </c>
      <c r="K953" s="6">
        <v>0</v>
      </c>
      <c r="L953" s="6">
        <v>93.9</v>
      </c>
      <c r="M953" s="6">
        <v>0</v>
      </c>
      <c r="N953" s="6">
        <v>0</v>
      </c>
      <c r="O953" s="6">
        <v>93.9</v>
      </c>
      <c r="P953" s="6">
        <v>0</v>
      </c>
      <c r="Q953" s="6">
        <v>0</v>
      </c>
      <c r="R953" s="6">
        <v>93.9</v>
      </c>
    </row>
    <row r="954" spans="2:18">
      <c r="B954" s="6">
        <v>32460</v>
      </c>
      <c r="C954" s="6" t="s">
        <v>191</v>
      </c>
      <c r="D954" s="6">
        <v>0</v>
      </c>
      <c r="E954" s="6">
        <v>98.83</v>
      </c>
      <c r="F954" s="6">
        <v>97.9</v>
      </c>
      <c r="G954" s="6">
        <v>98.71</v>
      </c>
      <c r="H954" s="6">
        <v>98.48</v>
      </c>
      <c r="I954" s="6">
        <v>98.36</v>
      </c>
      <c r="J954" s="6">
        <v>98.64</v>
      </c>
      <c r="K954" s="6">
        <v>98.48</v>
      </c>
      <c r="L954" s="6">
        <v>98.3</v>
      </c>
      <c r="M954" s="6">
        <v>98.62</v>
      </c>
      <c r="N954" s="6">
        <v>98.46</v>
      </c>
      <c r="O954" s="6">
        <v>98.28</v>
      </c>
      <c r="P954" s="6">
        <v>98.52</v>
      </c>
      <c r="Q954" s="6">
        <v>98.45</v>
      </c>
      <c r="R954" s="6">
        <v>98.28</v>
      </c>
    </row>
    <row r="955" spans="2:18">
      <c r="B955" s="6">
        <v>32460</v>
      </c>
      <c r="C955" s="6" t="s">
        <v>191</v>
      </c>
      <c r="D955" s="6">
        <v>0</v>
      </c>
      <c r="E955" s="6">
        <v>99.3</v>
      </c>
      <c r="F955" s="6">
        <v>99.13</v>
      </c>
      <c r="G955" s="6">
        <v>98.91</v>
      </c>
      <c r="H955" s="6">
        <v>98.92</v>
      </c>
      <c r="I955" s="6">
        <v>98.82</v>
      </c>
      <c r="J955" s="6">
        <v>98.86</v>
      </c>
      <c r="K955" s="6">
        <v>98.85</v>
      </c>
      <c r="L955" s="6">
        <v>98.75</v>
      </c>
      <c r="M955" s="6">
        <v>98.86</v>
      </c>
      <c r="N955" s="6">
        <v>98.82</v>
      </c>
      <c r="O955" s="6">
        <v>98.74</v>
      </c>
      <c r="P955" s="6">
        <v>98.83</v>
      </c>
      <c r="Q955" s="6">
        <v>98.81</v>
      </c>
      <c r="R955" s="6">
        <v>98.73</v>
      </c>
    </row>
    <row r="956" spans="2:18">
      <c r="B956" s="6">
        <v>32460</v>
      </c>
      <c r="C956" s="6" t="s">
        <v>191</v>
      </c>
      <c r="D956" s="6">
        <v>0</v>
      </c>
      <c r="E956" s="6">
        <v>98.29</v>
      </c>
      <c r="F956" s="6">
        <v>98.18</v>
      </c>
      <c r="G956" s="6">
        <v>98.03</v>
      </c>
      <c r="H956" s="6">
        <v>98.12</v>
      </c>
      <c r="I956" s="6">
        <v>98.05</v>
      </c>
      <c r="J956" s="6">
        <v>97.72</v>
      </c>
      <c r="K956" s="6">
        <v>97.84</v>
      </c>
      <c r="L956" s="6">
        <v>97.75</v>
      </c>
      <c r="M956" s="6">
        <v>97.72</v>
      </c>
      <c r="N956" s="6">
        <v>97.83</v>
      </c>
      <c r="O956" s="6">
        <v>97.74</v>
      </c>
      <c r="P956" s="6">
        <v>97.73</v>
      </c>
      <c r="Q956" s="6">
        <v>97.84</v>
      </c>
      <c r="R956" s="6">
        <v>97.75</v>
      </c>
    </row>
    <row r="957" spans="2:18">
      <c r="B957" s="6">
        <v>32460</v>
      </c>
      <c r="C957" s="6" t="s">
        <v>191</v>
      </c>
      <c r="D957" s="6">
        <v>0</v>
      </c>
      <c r="E957" s="6">
        <v>98.29</v>
      </c>
      <c r="F957" s="6">
        <v>97.72</v>
      </c>
      <c r="G957" s="6">
        <v>98.04</v>
      </c>
      <c r="H957" s="6">
        <v>97.78</v>
      </c>
      <c r="I957" s="6">
        <v>97.69</v>
      </c>
      <c r="J957" s="6">
        <v>98.01</v>
      </c>
      <c r="K957" s="6">
        <v>97.7</v>
      </c>
      <c r="L957" s="6">
        <v>97.61</v>
      </c>
      <c r="M957" s="6">
        <v>98.02</v>
      </c>
      <c r="N957" s="6">
        <v>97.7</v>
      </c>
      <c r="O957" s="6">
        <v>97.61</v>
      </c>
      <c r="P957" s="6">
        <v>98.02</v>
      </c>
      <c r="Q957" s="6">
        <v>97.7</v>
      </c>
      <c r="R957" s="6">
        <v>97.61</v>
      </c>
    </row>
    <row r="958" spans="2:18">
      <c r="B958" s="6">
        <v>32461</v>
      </c>
      <c r="C958" s="6" t="s">
        <v>192</v>
      </c>
      <c r="D958" s="6">
        <v>0</v>
      </c>
      <c r="E958" s="6">
        <v>0</v>
      </c>
      <c r="F958" s="6">
        <v>98.9</v>
      </c>
      <c r="G958" s="6">
        <v>98.71</v>
      </c>
      <c r="H958" s="6">
        <v>98.48</v>
      </c>
      <c r="I958" s="6">
        <v>98.36</v>
      </c>
      <c r="J958" s="6">
        <v>98.64</v>
      </c>
      <c r="K958" s="6">
        <v>98.48</v>
      </c>
      <c r="L958" s="6">
        <v>98.3</v>
      </c>
      <c r="M958" s="6">
        <v>98.62</v>
      </c>
      <c r="N958" s="6">
        <v>98.46</v>
      </c>
      <c r="O958" s="6">
        <v>98.28</v>
      </c>
      <c r="P958" s="6">
        <v>98.52</v>
      </c>
      <c r="Q958" s="6">
        <v>98.45</v>
      </c>
      <c r="R958" s="6">
        <v>98.28</v>
      </c>
    </row>
    <row r="959" spans="2:18">
      <c r="B959" s="6">
        <v>32461</v>
      </c>
      <c r="C959" s="6" t="s">
        <v>192</v>
      </c>
      <c r="D959" s="6">
        <v>0</v>
      </c>
      <c r="E959" s="6">
        <v>0</v>
      </c>
      <c r="F959" s="6">
        <v>98.91</v>
      </c>
      <c r="G959" s="6">
        <v>98.91</v>
      </c>
      <c r="H959" s="6">
        <v>98.92</v>
      </c>
      <c r="I959" s="6">
        <v>98.82</v>
      </c>
      <c r="J959" s="6">
        <v>98.86</v>
      </c>
      <c r="K959" s="6">
        <v>98.85</v>
      </c>
      <c r="L959" s="6">
        <v>98.75</v>
      </c>
      <c r="M959" s="6">
        <v>98.86</v>
      </c>
      <c r="N959" s="6">
        <v>98.82</v>
      </c>
      <c r="O959" s="6">
        <v>98.74</v>
      </c>
      <c r="P959" s="6">
        <v>98.83</v>
      </c>
      <c r="Q959" s="6">
        <v>98.81</v>
      </c>
      <c r="R959" s="6">
        <v>98.73</v>
      </c>
    </row>
    <row r="960" spans="2:18">
      <c r="B960" s="6">
        <v>32461</v>
      </c>
      <c r="C960" s="6" t="s">
        <v>192</v>
      </c>
      <c r="D960" s="6">
        <v>0</v>
      </c>
      <c r="E960" s="6">
        <v>0</v>
      </c>
      <c r="F960" s="6">
        <v>97.34</v>
      </c>
      <c r="G960" s="6">
        <v>98.03</v>
      </c>
      <c r="H960" s="6">
        <v>98.12</v>
      </c>
      <c r="I960" s="6">
        <v>98.05</v>
      </c>
      <c r="J960" s="6">
        <v>97.72</v>
      </c>
      <c r="K960" s="6">
        <v>97.84</v>
      </c>
      <c r="L960" s="6">
        <v>97.75</v>
      </c>
      <c r="M960" s="6">
        <v>97.72</v>
      </c>
      <c r="N960" s="6">
        <v>97.83</v>
      </c>
      <c r="O960" s="6">
        <v>97.74</v>
      </c>
      <c r="P960" s="6">
        <v>97.73</v>
      </c>
      <c r="Q960" s="6">
        <v>97.84</v>
      </c>
      <c r="R960" s="6">
        <v>97.75</v>
      </c>
    </row>
    <row r="961" spans="2:18">
      <c r="B961" s="6">
        <v>32461</v>
      </c>
      <c r="C961" s="6" t="s">
        <v>192</v>
      </c>
      <c r="D961" s="6">
        <v>0</v>
      </c>
      <c r="E961" s="6">
        <v>0</v>
      </c>
      <c r="F961" s="6">
        <v>98.88</v>
      </c>
      <c r="G961" s="6">
        <v>98.04</v>
      </c>
      <c r="H961" s="6">
        <v>97.78</v>
      </c>
      <c r="I961" s="6">
        <v>97.69</v>
      </c>
      <c r="J961" s="6">
        <v>98.01</v>
      </c>
      <c r="K961" s="6">
        <v>97.7</v>
      </c>
      <c r="L961" s="6">
        <v>97.61</v>
      </c>
      <c r="M961" s="6">
        <v>98.02</v>
      </c>
      <c r="N961" s="6">
        <v>97.7</v>
      </c>
      <c r="O961" s="6">
        <v>97.61</v>
      </c>
      <c r="P961" s="6">
        <v>98.02</v>
      </c>
      <c r="Q961" s="6">
        <v>97.7</v>
      </c>
      <c r="R961" s="6">
        <v>97.61</v>
      </c>
    </row>
    <row r="962" spans="2:18">
      <c r="B962" s="6">
        <v>32463</v>
      </c>
      <c r="C962" s="6" t="s">
        <v>1178</v>
      </c>
      <c r="D962" s="6">
        <v>0</v>
      </c>
      <c r="E962" s="6">
        <v>0</v>
      </c>
      <c r="F962" s="6">
        <v>94.46</v>
      </c>
      <c r="G962" s="6">
        <v>80.86</v>
      </c>
      <c r="H962" s="6">
        <v>83.63</v>
      </c>
      <c r="I962" s="6">
        <v>83.96</v>
      </c>
      <c r="J962" s="6">
        <v>80.86</v>
      </c>
      <c r="K962" s="6">
        <v>83.63</v>
      </c>
      <c r="L962" s="6">
        <v>83.87</v>
      </c>
      <c r="M962" s="6">
        <v>80.86</v>
      </c>
      <c r="N962" s="6">
        <v>83.63</v>
      </c>
      <c r="O962" s="6">
        <v>83.87</v>
      </c>
      <c r="P962" s="6">
        <v>80.86</v>
      </c>
      <c r="Q962" s="6">
        <v>83.63</v>
      </c>
      <c r="R962" s="6">
        <v>83.87</v>
      </c>
    </row>
    <row r="963" spans="2:18">
      <c r="B963" s="6">
        <v>32463</v>
      </c>
      <c r="C963" s="6" t="s">
        <v>1178</v>
      </c>
      <c r="D963" s="6">
        <v>0</v>
      </c>
      <c r="E963" s="6">
        <v>0</v>
      </c>
      <c r="F963" s="6">
        <v>94.46</v>
      </c>
      <c r="G963" s="6">
        <v>80.86</v>
      </c>
      <c r="H963" s="6">
        <v>83.63</v>
      </c>
      <c r="I963" s="6">
        <v>83.96</v>
      </c>
      <c r="J963" s="6">
        <v>80.86</v>
      </c>
      <c r="K963" s="6">
        <v>83.63</v>
      </c>
      <c r="L963" s="6">
        <v>83.87</v>
      </c>
      <c r="M963" s="6">
        <v>80.86</v>
      </c>
      <c r="N963" s="6">
        <v>83.63</v>
      </c>
      <c r="O963" s="6">
        <v>83.87</v>
      </c>
      <c r="P963" s="6">
        <v>80.86</v>
      </c>
      <c r="Q963" s="6">
        <v>83.63</v>
      </c>
      <c r="R963" s="6">
        <v>83.87</v>
      </c>
    </row>
    <row r="964" spans="2:18">
      <c r="B964" s="6">
        <v>32463</v>
      </c>
      <c r="C964" s="6" t="s">
        <v>1178</v>
      </c>
      <c r="D964" s="6">
        <v>0</v>
      </c>
      <c r="E964" s="6">
        <v>0</v>
      </c>
      <c r="F964" s="6">
        <v>96</v>
      </c>
      <c r="G964" s="6">
        <v>80</v>
      </c>
      <c r="H964" s="6">
        <v>87.92</v>
      </c>
      <c r="I964" s="6">
        <v>87.42</v>
      </c>
      <c r="J964" s="6">
        <v>80</v>
      </c>
      <c r="K964" s="6">
        <v>87.92</v>
      </c>
      <c r="L964" s="6">
        <v>87.42</v>
      </c>
      <c r="M964" s="6">
        <v>80</v>
      </c>
      <c r="N964" s="6">
        <v>87.92</v>
      </c>
      <c r="O964" s="6">
        <v>87.42</v>
      </c>
      <c r="P964" s="6">
        <v>80</v>
      </c>
      <c r="Q964" s="6">
        <v>87.92</v>
      </c>
      <c r="R964" s="6">
        <v>87.42</v>
      </c>
    </row>
    <row r="965" spans="2:18">
      <c r="B965" s="6">
        <v>32463</v>
      </c>
      <c r="C965" s="6" t="s">
        <v>1178</v>
      </c>
      <c r="D965" s="6">
        <v>0</v>
      </c>
      <c r="E965" s="6">
        <v>0</v>
      </c>
      <c r="F965" s="6">
        <v>89.58</v>
      </c>
      <c r="G965" s="6">
        <v>93.75</v>
      </c>
      <c r="H965" s="6">
        <v>95.71</v>
      </c>
      <c r="I965" s="6">
        <v>89.21</v>
      </c>
      <c r="J965" s="6">
        <v>93.75</v>
      </c>
      <c r="K965" s="6">
        <v>95.71</v>
      </c>
      <c r="L965" s="6">
        <v>89.21</v>
      </c>
      <c r="M965" s="6">
        <v>93.75</v>
      </c>
      <c r="N965" s="6">
        <v>95.71</v>
      </c>
      <c r="O965" s="6">
        <v>89.21</v>
      </c>
      <c r="P965" s="6">
        <v>93.75</v>
      </c>
      <c r="Q965" s="6">
        <v>95.71</v>
      </c>
      <c r="R965" s="6">
        <v>89.21</v>
      </c>
    </row>
    <row r="966" spans="2:18">
      <c r="B966" s="6">
        <v>32466</v>
      </c>
      <c r="C966" s="6" t="s">
        <v>1022</v>
      </c>
      <c r="D966" s="6">
        <v>0</v>
      </c>
      <c r="E966" s="6">
        <v>0</v>
      </c>
      <c r="F966" s="6">
        <v>99.58</v>
      </c>
      <c r="G966" s="6">
        <v>97.07</v>
      </c>
      <c r="H966" s="6">
        <v>94.76</v>
      </c>
      <c r="I966" s="6">
        <v>95.55</v>
      </c>
      <c r="J966" s="6">
        <v>98.23</v>
      </c>
      <c r="K966" s="6">
        <v>98.19</v>
      </c>
      <c r="L966" s="6">
        <v>98.1</v>
      </c>
      <c r="M966" s="6">
        <v>98.23</v>
      </c>
      <c r="N966" s="6">
        <v>98.19</v>
      </c>
      <c r="O966" s="6">
        <v>98.1</v>
      </c>
      <c r="P966" s="6">
        <v>98.04</v>
      </c>
      <c r="Q966" s="6">
        <v>98.09</v>
      </c>
      <c r="R966" s="6">
        <v>97.91</v>
      </c>
    </row>
    <row r="967" spans="2:18">
      <c r="B967" s="6">
        <v>32466</v>
      </c>
      <c r="C967" s="6" t="s">
        <v>1022</v>
      </c>
      <c r="D967" s="6">
        <v>0</v>
      </c>
      <c r="E967" s="6">
        <v>0</v>
      </c>
      <c r="F967" s="6">
        <v>99.21</v>
      </c>
      <c r="G967" s="6">
        <v>96.62</v>
      </c>
      <c r="H967" s="6">
        <v>98.65</v>
      </c>
      <c r="I967" s="6">
        <v>98.32</v>
      </c>
      <c r="J967" s="6">
        <v>99.33</v>
      </c>
      <c r="K967" s="6">
        <v>99.31</v>
      </c>
      <c r="L967" s="6">
        <v>98.87</v>
      </c>
      <c r="M967" s="6">
        <v>99.33</v>
      </c>
      <c r="N967" s="6">
        <v>99.31</v>
      </c>
      <c r="O967" s="6">
        <v>98.87</v>
      </c>
      <c r="P967" s="6">
        <v>97.69</v>
      </c>
      <c r="Q967" s="6">
        <v>98.01</v>
      </c>
      <c r="R967" s="6">
        <v>98.3</v>
      </c>
    </row>
    <row r="968" spans="2:18">
      <c r="B968" s="6">
        <v>32466</v>
      </c>
      <c r="C968" s="6" t="s">
        <v>1022</v>
      </c>
      <c r="D968" s="6">
        <v>0</v>
      </c>
      <c r="E968" s="6">
        <v>0</v>
      </c>
      <c r="F968" s="6">
        <v>98</v>
      </c>
      <c r="G968" s="6">
        <v>0</v>
      </c>
      <c r="H968" s="6">
        <v>0</v>
      </c>
      <c r="I968" s="6">
        <v>95.13</v>
      </c>
      <c r="J968" s="6">
        <v>95.91</v>
      </c>
      <c r="K968" s="6">
        <v>95.91</v>
      </c>
      <c r="L968" s="6">
        <v>97</v>
      </c>
      <c r="M968" s="6">
        <v>95.91</v>
      </c>
      <c r="N968" s="6">
        <v>95.91</v>
      </c>
      <c r="O968" s="6">
        <v>97</v>
      </c>
      <c r="P968" s="6">
        <v>95.91</v>
      </c>
      <c r="Q968" s="6">
        <v>95.91</v>
      </c>
      <c r="R968" s="6">
        <v>97</v>
      </c>
    </row>
    <row r="969" spans="2:18">
      <c r="B969" s="6">
        <v>32466</v>
      </c>
      <c r="C969" s="6" t="s">
        <v>1022</v>
      </c>
      <c r="D969" s="6">
        <v>0</v>
      </c>
      <c r="E969" s="6">
        <v>0</v>
      </c>
      <c r="F969" s="6">
        <v>97.14</v>
      </c>
      <c r="G969" s="6">
        <v>78.87</v>
      </c>
      <c r="H969" s="6">
        <v>91.66</v>
      </c>
      <c r="I969" s="6">
        <v>96.42</v>
      </c>
      <c r="J969" s="6">
        <v>99.26</v>
      </c>
      <c r="K969" s="6">
        <v>99.39</v>
      </c>
      <c r="L969" s="6">
        <v>99.39</v>
      </c>
      <c r="M969" s="6">
        <v>99.26</v>
      </c>
      <c r="N969" s="6">
        <v>99.39</v>
      </c>
      <c r="O969" s="6">
        <v>99.39</v>
      </c>
      <c r="P969" s="6">
        <v>99.26</v>
      </c>
      <c r="Q969" s="6">
        <v>99.39</v>
      </c>
      <c r="R969" s="6">
        <v>99.39</v>
      </c>
    </row>
    <row r="970" spans="2:18">
      <c r="B970" s="6">
        <v>32467</v>
      </c>
      <c r="C970" s="6" t="s">
        <v>715</v>
      </c>
      <c r="D970" s="6">
        <v>0</v>
      </c>
      <c r="E970" s="6">
        <v>0</v>
      </c>
      <c r="F970" s="6">
        <v>98.13</v>
      </c>
      <c r="G970" s="6">
        <v>97.07</v>
      </c>
      <c r="H970" s="6">
        <v>94.76</v>
      </c>
      <c r="I970" s="6">
        <v>95.55</v>
      </c>
      <c r="J970" s="6">
        <v>98.23</v>
      </c>
      <c r="K970" s="6">
        <v>98.19</v>
      </c>
      <c r="L970" s="6">
        <v>98.1</v>
      </c>
      <c r="M970" s="6">
        <v>98.23</v>
      </c>
      <c r="N970" s="6">
        <v>98.19</v>
      </c>
      <c r="O970" s="6">
        <v>98.1</v>
      </c>
      <c r="P970" s="6">
        <v>98.04</v>
      </c>
      <c r="Q970" s="6">
        <v>98.09</v>
      </c>
      <c r="R970" s="6">
        <v>97.91</v>
      </c>
    </row>
    <row r="971" spans="2:18">
      <c r="B971" s="6">
        <v>32467</v>
      </c>
      <c r="C971" s="6" t="s">
        <v>715</v>
      </c>
      <c r="D971" s="6">
        <v>0</v>
      </c>
      <c r="E971" s="6">
        <v>0</v>
      </c>
      <c r="F971" s="6">
        <v>97.93</v>
      </c>
      <c r="G971" s="6">
        <v>96.62</v>
      </c>
      <c r="H971" s="6">
        <v>98.65</v>
      </c>
      <c r="I971" s="6">
        <v>98.32</v>
      </c>
      <c r="J971" s="6">
        <v>99.33</v>
      </c>
      <c r="K971" s="6">
        <v>99.31</v>
      </c>
      <c r="L971" s="6">
        <v>98.87</v>
      </c>
      <c r="M971" s="6">
        <v>99.33</v>
      </c>
      <c r="N971" s="6">
        <v>99.31</v>
      </c>
      <c r="O971" s="6">
        <v>98.87</v>
      </c>
      <c r="P971" s="6">
        <v>97.69</v>
      </c>
      <c r="Q971" s="6">
        <v>98.01</v>
      </c>
      <c r="R971" s="6">
        <v>98.3</v>
      </c>
    </row>
    <row r="972" spans="2:18">
      <c r="B972" s="6">
        <v>32467</v>
      </c>
      <c r="C972" s="6" t="s">
        <v>715</v>
      </c>
      <c r="D972" s="6">
        <v>0</v>
      </c>
      <c r="E972" s="6">
        <v>0</v>
      </c>
      <c r="F972" s="6">
        <v>90.68</v>
      </c>
      <c r="G972" s="6">
        <v>78.87</v>
      </c>
      <c r="H972" s="6">
        <v>91.66</v>
      </c>
      <c r="I972" s="6">
        <v>96.42</v>
      </c>
      <c r="J972" s="6">
        <v>99.26</v>
      </c>
      <c r="K972" s="6">
        <v>99.39</v>
      </c>
      <c r="L972" s="6">
        <v>99.39</v>
      </c>
      <c r="M972" s="6">
        <v>99.26</v>
      </c>
      <c r="N972" s="6">
        <v>99.39</v>
      </c>
      <c r="O972" s="6">
        <v>99.39</v>
      </c>
      <c r="P972" s="6">
        <v>99.26</v>
      </c>
      <c r="Q972" s="6">
        <v>99.39</v>
      </c>
      <c r="R972" s="6">
        <v>99.39</v>
      </c>
    </row>
    <row r="973" spans="2:18">
      <c r="B973" s="6">
        <v>32469</v>
      </c>
      <c r="C973" s="6" t="s">
        <v>256</v>
      </c>
      <c r="D973" s="6">
        <v>0</v>
      </c>
      <c r="E973" s="6">
        <v>0</v>
      </c>
      <c r="F973" s="6">
        <v>48.89</v>
      </c>
      <c r="G973" s="6">
        <v>97.07</v>
      </c>
      <c r="H973" s="6">
        <v>94.76</v>
      </c>
      <c r="I973" s="6">
        <v>95.55</v>
      </c>
      <c r="J973" s="6">
        <v>98.23</v>
      </c>
      <c r="K973" s="6">
        <v>98.19</v>
      </c>
      <c r="L973" s="6">
        <v>98.1</v>
      </c>
      <c r="M973" s="6">
        <v>98.23</v>
      </c>
      <c r="N973" s="6">
        <v>98.19</v>
      </c>
      <c r="O973" s="6">
        <v>98.1</v>
      </c>
      <c r="P973" s="6">
        <v>98.04</v>
      </c>
      <c r="Q973" s="6">
        <v>98.09</v>
      </c>
      <c r="R973" s="6">
        <v>97.91</v>
      </c>
    </row>
    <row r="974" spans="2:18">
      <c r="B974" s="6">
        <v>32469</v>
      </c>
      <c r="C974" s="6" t="s">
        <v>256</v>
      </c>
      <c r="D974" s="6">
        <v>0</v>
      </c>
      <c r="E974" s="6">
        <v>0</v>
      </c>
      <c r="F974" s="6">
        <v>95.92</v>
      </c>
      <c r="G974" s="6">
        <v>96.62</v>
      </c>
      <c r="H974" s="6">
        <v>98.65</v>
      </c>
      <c r="I974" s="6">
        <v>98.32</v>
      </c>
      <c r="J974" s="6">
        <v>99.33</v>
      </c>
      <c r="K974" s="6">
        <v>99.31</v>
      </c>
      <c r="L974" s="6">
        <v>98.87</v>
      </c>
      <c r="M974" s="6">
        <v>99.33</v>
      </c>
      <c r="N974" s="6">
        <v>99.31</v>
      </c>
      <c r="O974" s="6">
        <v>98.87</v>
      </c>
      <c r="P974" s="6">
        <v>97.69</v>
      </c>
      <c r="Q974" s="6">
        <v>98.01</v>
      </c>
      <c r="R974" s="6">
        <v>98.3</v>
      </c>
    </row>
    <row r="975" spans="2:18">
      <c r="B975" s="6">
        <v>32469</v>
      </c>
      <c r="C975" s="6" t="s">
        <v>256</v>
      </c>
      <c r="D975" s="6">
        <v>0</v>
      </c>
      <c r="E975" s="6">
        <v>0</v>
      </c>
      <c r="F975" s="6">
        <v>97.87</v>
      </c>
      <c r="G975" s="6">
        <v>0</v>
      </c>
      <c r="H975" s="6">
        <v>0</v>
      </c>
      <c r="I975" s="6">
        <v>95.13</v>
      </c>
      <c r="J975" s="6">
        <v>95.91</v>
      </c>
      <c r="K975" s="6">
        <v>95.91</v>
      </c>
      <c r="L975" s="6">
        <v>97</v>
      </c>
      <c r="M975" s="6">
        <v>95.91</v>
      </c>
      <c r="N975" s="6">
        <v>95.91</v>
      </c>
      <c r="O975" s="6">
        <v>97</v>
      </c>
      <c r="P975" s="6">
        <v>95.91</v>
      </c>
      <c r="Q975" s="6">
        <v>95.91</v>
      </c>
      <c r="R975" s="6">
        <v>97</v>
      </c>
    </row>
    <row r="976" spans="2:18">
      <c r="B976" s="6">
        <v>32469</v>
      </c>
      <c r="C976" s="6" t="s">
        <v>256</v>
      </c>
      <c r="D976" s="6">
        <v>0</v>
      </c>
      <c r="E976" s="6">
        <v>0</v>
      </c>
      <c r="F976" s="6">
        <v>97.83</v>
      </c>
      <c r="G976" s="6">
        <v>78.87</v>
      </c>
      <c r="H976" s="6">
        <v>91.66</v>
      </c>
      <c r="I976" s="6">
        <v>96.42</v>
      </c>
      <c r="J976" s="6">
        <v>99.26</v>
      </c>
      <c r="K976" s="6">
        <v>99.39</v>
      </c>
      <c r="L976" s="6">
        <v>99.39</v>
      </c>
      <c r="M976" s="6">
        <v>99.26</v>
      </c>
      <c r="N976" s="6">
        <v>99.39</v>
      </c>
      <c r="O976" s="6">
        <v>99.39</v>
      </c>
      <c r="P976" s="6">
        <v>99.26</v>
      </c>
      <c r="Q976" s="6">
        <v>99.39</v>
      </c>
      <c r="R976" s="6">
        <v>99.39</v>
      </c>
    </row>
    <row r="977" spans="2:18">
      <c r="B977" s="6">
        <v>32470</v>
      </c>
      <c r="C977" s="6" t="s">
        <v>257</v>
      </c>
      <c r="D977" s="6">
        <v>99.35</v>
      </c>
      <c r="E977" s="6">
        <v>96.21</v>
      </c>
      <c r="F977" s="6">
        <v>96.33</v>
      </c>
      <c r="G977" s="6">
        <v>98.77</v>
      </c>
      <c r="H977" s="6">
        <v>98.55</v>
      </c>
      <c r="I977" s="6">
        <v>98.72</v>
      </c>
      <c r="J977" s="6">
        <v>98.23</v>
      </c>
      <c r="K977" s="6">
        <v>98.19</v>
      </c>
      <c r="L977" s="6">
        <v>98.1</v>
      </c>
      <c r="M977" s="6">
        <v>98.23</v>
      </c>
      <c r="N977" s="6">
        <v>98.19</v>
      </c>
      <c r="O977" s="6">
        <v>98.1</v>
      </c>
      <c r="P977" s="6">
        <v>98.04</v>
      </c>
      <c r="Q977" s="6">
        <v>98.09</v>
      </c>
      <c r="R977" s="6">
        <v>97.91</v>
      </c>
    </row>
    <row r="978" spans="2:18">
      <c r="B978" s="6">
        <v>32470</v>
      </c>
      <c r="C978" s="6" t="s">
        <v>257</v>
      </c>
      <c r="D978" s="6">
        <v>99.54</v>
      </c>
      <c r="E978" s="6">
        <v>99.61</v>
      </c>
      <c r="F978" s="6">
        <v>99.6</v>
      </c>
      <c r="G978" s="6">
        <v>99.43</v>
      </c>
      <c r="H978" s="6">
        <v>99.52</v>
      </c>
      <c r="I978" s="6">
        <v>99.53</v>
      </c>
      <c r="J978" s="6">
        <v>99.26</v>
      </c>
      <c r="K978" s="6">
        <v>99.39</v>
      </c>
      <c r="L978" s="6">
        <v>99.39</v>
      </c>
      <c r="M978" s="6">
        <v>99.26</v>
      </c>
      <c r="N978" s="6">
        <v>99.39</v>
      </c>
      <c r="O978" s="6">
        <v>99.39</v>
      </c>
      <c r="P978" s="6">
        <v>99.26</v>
      </c>
      <c r="Q978" s="6">
        <v>99.39</v>
      </c>
      <c r="R978" s="6">
        <v>99.39</v>
      </c>
    </row>
    <row r="979" spans="2:18">
      <c r="B979" s="6">
        <v>32471</v>
      </c>
      <c r="C979" s="6" t="s">
        <v>193</v>
      </c>
      <c r="D979" s="6">
        <v>97.97</v>
      </c>
      <c r="E979" s="6">
        <v>97.97</v>
      </c>
      <c r="F979" s="6">
        <v>97.8</v>
      </c>
      <c r="G979" s="6">
        <v>98.71</v>
      </c>
      <c r="H979" s="6">
        <v>98.48</v>
      </c>
      <c r="I979" s="6">
        <v>98.36</v>
      </c>
      <c r="J979" s="6">
        <v>98.64</v>
      </c>
      <c r="K979" s="6">
        <v>98.48</v>
      </c>
      <c r="L979" s="6">
        <v>98.3</v>
      </c>
      <c r="M979" s="6">
        <v>98.62</v>
      </c>
      <c r="N979" s="6">
        <v>98.46</v>
      </c>
      <c r="O979" s="6">
        <v>98.28</v>
      </c>
      <c r="P979" s="6">
        <v>98.52</v>
      </c>
      <c r="Q979" s="6">
        <v>98.45</v>
      </c>
      <c r="R979" s="6">
        <v>98.28</v>
      </c>
    </row>
    <row r="980" spans="2:18">
      <c r="B980" s="6">
        <v>32471</v>
      </c>
      <c r="C980" s="6" t="s">
        <v>193</v>
      </c>
      <c r="D980" s="6">
        <v>99</v>
      </c>
      <c r="E980" s="6">
        <v>99</v>
      </c>
      <c r="F980" s="6">
        <v>98.7</v>
      </c>
      <c r="G980" s="6">
        <v>98.99</v>
      </c>
      <c r="H980" s="6">
        <v>99.06</v>
      </c>
      <c r="I980" s="6">
        <v>99.02</v>
      </c>
      <c r="J980" s="6">
        <v>98.77</v>
      </c>
      <c r="K980" s="6">
        <v>98.75</v>
      </c>
      <c r="L980" s="6">
        <v>98.72</v>
      </c>
      <c r="M980" s="6">
        <v>98.71</v>
      </c>
      <c r="N980" s="6">
        <v>98.7</v>
      </c>
      <c r="O980" s="6">
        <v>98.68</v>
      </c>
      <c r="P980" s="6">
        <v>98.71</v>
      </c>
      <c r="Q980" s="6">
        <v>98.7</v>
      </c>
      <c r="R980" s="6">
        <v>98.68</v>
      </c>
    </row>
    <row r="981" spans="2:18">
      <c r="B981" s="6">
        <v>32471</v>
      </c>
      <c r="C981" s="6" t="s">
        <v>193</v>
      </c>
      <c r="D981" s="6">
        <v>97.56</v>
      </c>
      <c r="E981" s="6">
        <v>97.56</v>
      </c>
      <c r="F981" s="6">
        <v>96.65</v>
      </c>
      <c r="G981" s="6">
        <v>98.03</v>
      </c>
      <c r="H981" s="6">
        <v>98.12</v>
      </c>
      <c r="I981" s="6">
        <v>98.05</v>
      </c>
      <c r="J981" s="6">
        <v>97.72</v>
      </c>
      <c r="K981" s="6">
        <v>97.84</v>
      </c>
      <c r="L981" s="6">
        <v>97.75</v>
      </c>
      <c r="M981" s="6">
        <v>97.72</v>
      </c>
      <c r="N981" s="6">
        <v>97.83</v>
      </c>
      <c r="O981" s="6">
        <v>97.74</v>
      </c>
      <c r="P981" s="6">
        <v>97.73</v>
      </c>
      <c r="Q981" s="6">
        <v>97.84</v>
      </c>
      <c r="R981" s="6">
        <v>97.75</v>
      </c>
    </row>
    <row r="982" spans="2:18">
      <c r="B982" s="6">
        <v>32471</v>
      </c>
      <c r="C982" s="6" t="s">
        <v>193</v>
      </c>
      <c r="D982" s="6">
        <v>96.51</v>
      </c>
      <c r="E982" s="6">
        <v>96.51</v>
      </c>
      <c r="F982" s="6">
        <v>96.93</v>
      </c>
      <c r="G982" s="6">
        <v>98.04</v>
      </c>
      <c r="H982" s="6">
        <v>97.78</v>
      </c>
      <c r="I982" s="6">
        <v>97.69</v>
      </c>
      <c r="J982" s="6">
        <v>98.01</v>
      </c>
      <c r="K982" s="6">
        <v>97.7</v>
      </c>
      <c r="L982" s="6">
        <v>97.61</v>
      </c>
      <c r="M982" s="6">
        <v>98.02</v>
      </c>
      <c r="N982" s="6">
        <v>97.7</v>
      </c>
      <c r="O982" s="6">
        <v>97.61</v>
      </c>
      <c r="P982" s="6">
        <v>98.02</v>
      </c>
      <c r="Q982" s="6">
        <v>97.7</v>
      </c>
      <c r="R982" s="6">
        <v>97.61</v>
      </c>
    </row>
    <row r="983" spans="2:18">
      <c r="B983" s="6">
        <v>32472</v>
      </c>
      <c r="C983" s="6" t="s">
        <v>258</v>
      </c>
      <c r="D983" s="6">
        <v>0</v>
      </c>
      <c r="E983" s="6">
        <v>95.06</v>
      </c>
      <c r="F983" s="6">
        <v>95.06</v>
      </c>
      <c r="G983" s="6">
        <v>0</v>
      </c>
      <c r="H983" s="6">
        <v>95.06</v>
      </c>
      <c r="I983" s="6">
        <v>94.5</v>
      </c>
      <c r="J983" s="6">
        <v>98.23</v>
      </c>
      <c r="K983" s="6">
        <v>98.19</v>
      </c>
      <c r="L983" s="6">
        <v>98.1</v>
      </c>
      <c r="M983" s="6">
        <v>98.23</v>
      </c>
      <c r="N983" s="6">
        <v>98.19</v>
      </c>
      <c r="O983" s="6">
        <v>98.1</v>
      </c>
      <c r="P983" s="6">
        <v>98.04</v>
      </c>
      <c r="Q983" s="6">
        <v>98.09</v>
      </c>
      <c r="R983" s="6">
        <v>97.91</v>
      </c>
    </row>
    <row r="984" spans="2:18">
      <c r="B984" s="6">
        <v>32472</v>
      </c>
      <c r="C984" s="6" t="s">
        <v>258</v>
      </c>
      <c r="D984" s="6">
        <v>0</v>
      </c>
      <c r="E984" s="6">
        <v>90.72</v>
      </c>
      <c r="F984" s="6">
        <v>90.72</v>
      </c>
      <c r="G984" s="6">
        <v>0</v>
      </c>
      <c r="H984" s="6">
        <v>90.72</v>
      </c>
      <c r="I984" s="6">
        <v>91.3</v>
      </c>
      <c r="J984" s="6">
        <v>89.16</v>
      </c>
      <c r="K984" s="6">
        <v>92.29</v>
      </c>
      <c r="L984" s="6">
        <v>95.48</v>
      </c>
      <c r="M984" s="6">
        <v>89.16</v>
      </c>
      <c r="N984" s="6">
        <v>92.29</v>
      </c>
      <c r="O984" s="6">
        <v>95.48</v>
      </c>
      <c r="P984" s="6">
        <v>89.16</v>
      </c>
      <c r="Q984" s="6">
        <v>92.29</v>
      </c>
      <c r="R984" s="6">
        <v>95.48</v>
      </c>
    </row>
    <row r="985" spans="2:18">
      <c r="B985" s="6">
        <v>32472</v>
      </c>
      <c r="C985" s="6" t="s">
        <v>258</v>
      </c>
      <c r="D985" s="6">
        <v>0</v>
      </c>
      <c r="E985" s="6">
        <v>93.75</v>
      </c>
      <c r="F985" s="6">
        <v>93.75</v>
      </c>
      <c r="G985" s="6">
        <v>0</v>
      </c>
      <c r="H985" s="6">
        <v>93.75</v>
      </c>
      <c r="I985" s="6">
        <v>93.81</v>
      </c>
      <c r="J985" s="6">
        <v>99.26</v>
      </c>
      <c r="K985" s="6">
        <v>99.39</v>
      </c>
      <c r="L985" s="6">
        <v>99.39</v>
      </c>
      <c r="M985" s="6">
        <v>99.26</v>
      </c>
      <c r="N985" s="6">
        <v>99.39</v>
      </c>
      <c r="O985" s="6">
        <v>99.39</v>
      </c>
      <c r="P985" s="6">
        <v>99.26</v>
      </c>
      <c r="Q985" s="6">
        <v>99.39</v>
      </c>
      <c r="R985" s="6">
        <v>99.39</v>
      </c>
    </row>
    <row r="986" spans="2:18">
      <c r="B986" s="6">
        <v>32472</v>
      </c>
      <c r="C986" s="6" t="s">
        <v>258</v>
      </c>
      <c r="D986" s="6">
        <v>0</v>
      </c>
      <c r="E986" s="6">
        <v>98.78</v>
      </c>
      <c r="F986" s="6">
        <v>98.78</v>
      </c>
      <c r="G986" s="6">
        <v>0</v>
      </c>
      <c r="H986" s="6">
        <v>98.78</v>
      </c>
      <c r="I986" s="6">
        <v>93.94</v>
      </c>
      <c r="J986" s="6">
        <v>98.47</v>
      </c>
      <c r="K986" s="6">
        <v>98.28</v>
      </c>
      <c r="L986" s="6">
        <v>97.11</v>
      </c>
      <c r="M986" s="6">
        <v>98.47</v>
      </c>
      <c r="N986" s="6">
        <v>98.28</v>
      </c>
      <c r="O986" s="6">
        <v>97.11</v>
      </c>
      <c r="P986" s="6">
        <v>98.47</v>
      </c>
      <c r="Q986" s="6">
        <v>98.28</v>
      </c>
      <c r="R986" s="6">
        <v>97.11</v>
      </c>
    </row>
    <row r="987" spans="2:18">
      <c r="B987" s="6">
        <v>32474</v>
      </c>
      <c r="C987" s="6" t="s">
        <v>259</v>
      </c>
      <c r="D987" s="6">
        <v>96.27</v>
      </c>
      <c r="E987" s="6">
        <v>96.7</v>
      </c>
      <c r="F987" s="6">
        <v>97.05</v>
      </c>
      <c r="G987" s="6">
        <v>96.77</v>
      </c>
      <c r="H987" s="6">
        <v>97.74</v>
      </c>
      <c r="I987" s="6">
        <v>96.78</v>
      </c>
      <c r="J987" s="6">
        <v>98.23</v>
      </c>
      <c r="K987" s="6">
        <v>98.19</v>
      </c>
      <c r="L987" s="6">
        <v>98.1</v>
      </c>
      <c r="M987" s="6">
        <v>98.23</v>
      </c>
      <c r="N987" s="6">
        <v>98.19</v>
      </c>
      <c r="O987" s="6">
        <v>98.1</v>
      </c>
      <c r="P987" s="6">
        <v>98.04</v>
      </c>
      <c r="Q987" s="6">
        <v>98.09</v>
      </c>
      <c r="R987" s="6">
        <v>97.91</v>
      </c>
    </row>
    <row r="988" spans="2:18">
      <c r="B988" s="6">
        <v>32474</v>
      </c>
      <c r="C988" s="6" t="s">
        <v>259</v>
      </c>
      <c r="D988" s="6">
        <v>99.76</v>
      </c>
      <c r="E988" s="6">
        <v>99.54</v>
      </c>
      <c r="F988" s="6">
        <v>99.47</v>
      </c>
      <c r="G988" s="6">
        <v>99.73</v>
      </c>
      <c r="H988" s="6">
        <v>99.59</v>
      </c>
      <c r="I988" s="6">
        <v>99.48</v>
      </c>
      <c r="J988" s="6">
        <v>99.33</v>
      </c>
      <c r="K988" s="6">
        <v>99.31</v>
      </c>
      <c r="L988" s="6">
        <v>98.87</v>
      </c>
      <c r="M988" s="6">
        <v>99.33</v>
      </c>
      <c r="N988" s="6">
        <v>99.31</v>
      </c>
      <c r="O988" s="6">
        <v>98.87</v>
      </c>
      <c r="P988" s="6">
        <v>97.69</v>
      </c>
      <c r="Q988" s="6">
        <v>98.01</v>
      </c>
      <c r="R988" s="6">
        <v>98.3</v>
      </c>
    </row>
    <row r="989" spans="2:18">
      <c r="B989" s="6">
        <v>32474</v>
      </c>
      <c r="C989" s="6" t="s">
        <v>259</v>
      </c>
      <c r="D989" s="6">
        <v>99.58</v>
      </c>
      <c r="E989" s="6">
        <v>97.35</v>
      </c>
      <c r="F989" s="6">
        <v>97.72</v>
      </c>
      <c r="G989" s="6">
        <v>99.56</v>
      </c>
      <c r="H989" s="6">
        <v>99.17</v>
      </c>
      <c r="I989" s="6">
        <v>99.23</v>
      </c>
      <c r="J989" s="6">
        <v>99.26</v>
      </c>
      <c r="K989" s="6">
        <v>99.39</v>
      </c>
      <c r="L989" s="6">
        <v>99.39</v>
      </c>
      <c r="M989" s="6">
        <v>99.26</v>
      </c>
      <c r="N989" s="6">
        <v>99.39</v>
      </c>
      <c r="O989" s="6">
        <v>99.39</v>
      </c>
      <c r="P989" s="6">
        <v>99.26</v>
      </c>
      <c r="Q989" s="6">
        <v>99.39</v>
      </c>
      <c r="R989" s="6">
        <v>99.39</v>
      </c>
    </row>
    <row r="990" spans="2:18">
      <c r="B990" s="6">
        <v>32487</v>
      </c>
      <c r="C990" s="6" t="s">
        <v>1007</v>
      </c>
      <c r="D990" s="6">
        <v>0</v>
      </c>
      <c r="E990" s="6">
        <v>0</v>
      </c>
      <c r="F990" s="6">
        <v>98.78</v>
      </c>
      <c r="G990" s="6">
        <v>97.07</v>
      </c>
      <c r="H990" s="6">
        <v>94.76</v>
      </c>
      <c r="I990" s="6">
        <v>95.55</v>
      </c>
      <c r="J990" s="6">
        <v>98.23</v>
      </c>
      <c r="K990" s="6">
        <v>98.19</v>
      </c>
      <c r="L990" s="6">
        <v>98.1</v>
      </c>
      <c r="M990" s="6">
        <v>98.23</v>
      </c>
      <c r="N990" s="6">
        <v>98.19</v>
      </c>
      <c r="O990" s="6">
        <v>98.1</v>
      </c>
      <c r="P990" s="6">
        <v>98.04</v>
      </c>
      <c r="Q990" s="6">
        <v>98.09</v>
      </c>
      <c r="R990" s="6">
        <v>97.91</v>
      </c>
    </row>
    <row r="991" spans="2:18">
      <c r="B991" s="6">
        <v>32487</v>
      </c>
      <c r="C991" s="6" t="s">
        <v>1007</v>
      </c>
      <c r="D991" s="6">
        <v>0</v>
      </c>
      <c r="E991" s="6">
        <v>0</v>
      </c>
      <c r="F991" s="6">
        <v>95.97</v>
      </c>
      <c r="G991" s="6">
        <v>98.65</v>
      </c>
      <c r="H991" s="6">
        <v>98.92</v>
      </c>
      <c r="I991" s="6">
        <v>98.33</v>
      </c>
      <c r="J991" s="6">
        <v>98.77</v>
      </c>
      <c r="K991" s="6">
        <v>99.16</v>
      </c>
      <c r="L991" s="6">
        <v>98.56</v>
      </c>
      <c r="M991" s="6">
        <v>98.77</v>
      </c>
      <c r="N991" s="6">
        <v>99.16</v>
      </c>
      <c r="O991" s="6">
        <v>98.56</v>
      </c>
      <c r="P991" s="6">
        <v>98.52</v>
      </c>
      <c r="Q991" s="6">
        <v>98.45</v>
      </c>
      <c r="R991" s="6">
        <v>98.28</v>
      </c>
    </row>
    <row r="992" spans="2:18">
      <c r="B992" s="6">
        <v>32487</v>
      </c>
      <c r="C992" s="6" t="s">
        <v>1007</v>
      </c>
      <c r="D992" s="6">
        <v>0</v>
      </c>
      <c r="E992" s="6">
        <v>0</v>
      </c>
      <c r="F992" s="6">
        <v>94.38</v>
      </c>
      <c r="G992" s="6">
        <v>0</v>
      </c>
      <c r="H992" s="6">
        <v>0</v>
      </c>
      <c r="I992" s="6">
        <v>95.13</v>
      </c>
      <c r="J992" s="6">
        <v>95.91</v>
      </c>
      <c r="K992" s="6">
        <v>95.91</v>
      </c>
      <c r="L992" s="6">
        <v>97</v>
      </c>
      <c r="M992" s="6">
        <v>95.91</v>
      </c>
      <c r="N992" s="6">
        <v>95.91</v>
      </c>
      <c r="O992" s="6">
        <v>97</v>
      </c>
      <c r="P992" s="6">
        <v>95.91</v>
      </c>
      <c r="Q992" s="6">
        <v>95.91</v>
      </c>
      <c r="R992" s="6">
        <v>97</v>
      </c>
    </row>
    <row r="993" spans="2:18">
      <c r="B993" s="6">
        <v>32487</v>
      </c>
      <c r="C993" s="6" t="s">
        <v>1007</v>
      </c>
      <c r="D993" s="6">
        <v>0</v>
      </c>
      <c r="E993" s="6">
        <v>0</v>
      </c>
      <c r="F993" s="6">
        <v>98.11</v>
      </c>
      <c r="G993" s="6">
        <v>0</v>
      </c>
      <c r="H993" s="6">
        <v>0</v>
      </c>
      <c r="I993" s="6">
        <v>98.31</v>
      </c>
      <c r="J993" s="6">
        <v>0</v>
      </c>
      <c r="K993" s="6">
        <v>95.84</v>
      </c>
      <c r="L993" s="6">
        <v>98.21</v>
      </c>
      <c r="M993" s="6">
        <v>0</v>
      </c>
      <c r="N993" s="6">
        <v>95.84</v>
      </c>
      <c r="O993" s="6">
        <v>98.21</v>
      </c>
      <c r="P993" s="6">
        <v>0</v>
      </c>
      <c r="Q993" s="6">
        <v>95.84</v>
      </c>
      <c r="R993" s="6">
        <v>98.21</v>
      </c>
    </row>
    <row r="994" spans="2:18">
      <c r="B994" s="6">
        <v>32489</v>
      </c>
      <c r="C994" s="6" t="s">
        <v>194</v>
      </c>
      <c r="D994" s="6">
        <v>97.74</v>
      </c>
      <c r="E994" s="6">
        <v>98.32</v>
      </c>
      <c r="F994" s="6">
        <v>98.5</v>
      </c>
      <c r="G994" s="6">
        <v>98.71</v>
      </c>
      <c r="H994" s="6">
        <v>98.48</v>
      </c>
      <c r="I994" s="6">
        <v>98.36</v>
      </c>
      <c r="J994" s="6">
        <v>98.64</v>
      </c>
      <c r="K994" s="6">
        <v>98.48</v>
      </c>
      <c r="L994" s="6">
        <v>98.3</v>
      </c>
      <c r="M994" s="6">
        <v>98.62</v>
      </c>
      <c r="N994" s="6">
        <v>98.46</v>
      </c>
      <c r="O994" s="6">
        <v>98.28</v>
      </c>
      <c r="P994" s="6">
        <v>98.52</v>
      </c>
      <c r="Q994" s="6">
        <v>98.45</v>
      </c>
      <c r="R994" s="6">
        <v>98.28</v>
      </c>
    </row>
    <row r="995" spans="2:18">
      <c r="B995" s="6">
        <v>32489</v>
      </c>
      <c r="C995" s="6" t="s">
        <v>194</v>
      </c>
      <c r="D995" s="6">
        <v>98.88</v>
      </c>
      <c r="E995" s="6">
        <v>98.95</v>
      </c>
      <c r="F995" s="6">
        <v>99.04</v>
      </c>
      <c r="G995" s="6">
        <v>98.91</v>
      </c>
      <c r="H995" s="6">
        <v>98.92</v>
      </c>
      <c r="I995" s="6">
        <v>98.82</v>
      </c>
      <c r="J995" s="6">
        <v>98.86</v>
      </c>
      <c r="K995" s="6">
        <v>98.85</v>
      </c>
      <c r="L995" s="6">
        <v>98.75</v>
      </c>
      <c r="M995" s="6">
        <v>98.86</v>
      </c>
      <c r="N995" s="6">
        <v>98.82</v>
      </c>
      <c r="O995" s="6">
        <v>98.74</v>
      </c>
      <c r="P995" s="6">
        <v>98.83</v>
      </c>
      <c r="Q995" s="6">
        <v>98.81</v>
      </c>
      <c r="R995" s="6">
        <v>98.73</v>
      </c>
    </row>
    <row r="996" spans="2:18">
      <c r="B996" s="6">
        <v>32489</v>
      </c>
      <c r="C996" s="6" t="s">
        <v>194</v>
      </c>
      <c r="D996" s="6">
        <v>98.72</v>
      </c>
      <c r="E996" s="6">
        <v>98.62</v>
      </c>
      <c r="F996" s="6">
        <v>98.5</v>
      </c>
      <c r="G996" s="6">
        <v>98.03</v>
      </c>
      <c r="H996" s="6">
        <v>98.12</v>
      </c>
      <c r="I996" s="6">
        <v>98.05</v>
      </c>
      <c r="J996" s="6">
        <v>97.72</v>
      </c>
      <c r="K996" s="6">
        <v>97.84</v>
      </c>
      <c r="L996" s="6">
        <v>97.75</v>
      </c>
      <c r="M996" s="6">
        <v>97.72</v>
      </c>
      <c r="N996" s="6">
        <v>97.83</v>
      </c>
      <c r="O996" s="6">
        <v>97.74</v>
      </c>
      <c r="P996" s="6">
        <v>97.73</v>
      </c>
      <c r="Q996" s="6">
        <v>97.84</v>
      </c>
      <c r="R996" s="6">
        <v>97.75</v>
      </c>
    </row>
    <row r="997" spans="2:18">
      <c r="B997" s="6">
        <v>32489</v>
      </c>
      <c r="C997" s="6" t="s">
        <v>194</v>
      </c>
      <c r="D997" s="6">
        <v>98.85</v>
      </c>
      <c r="E997" s="6">
        <v>98.07</v>
      </c>
      <c r="F997" s="6">
        <v>96.96</v>
      </c>
      <c r="G997" s="6">
        <v>98.04</v>
      </c>
      <c r="H997" s="6">
        <v>97.78</v>
      </c>
      <c r="I997" s="6">
        <v>97.69</v>
      </c>
      <c r="J997" s="6">
        <v>98.01</v>
      </c>
      <c r="K997" s="6">
        <v>97.7</v>
      </c>
      <c r="L997" s="6">
        <v>97.61</v>
      </c>
      <c r="M997" s="6">
        <v>98.02</v>
      </c>
      <c r="N997" s="6">
        <v>97.7</v>
      </c>
      <c r="O997" s="6">
        <v>97.61</v>
      </c>
      <c r="P997" s="6">
        <v>98.02</v>
      </c>
      <c r="Q997" s="6">
        <v>97.7</v>
      </c>
      <c r="R997" s="6">
        <v>97.61</v>
      </c>
    </row>
    <row r="998" spans="2:18">
      <c r="B998" s="6">
        <v>32495</v>
      </c>
      <c r="C998" s="6" t="s">
        <v>195</v>
      </c>
      <c r="D998" s="6">
        <v>0</v>
      </c>
      <c r="E998" s="6">
        <v>98.21</v>
      </c>
      <c r="F998" s="6">
        <v>98.44</v>
      </c>
      <c r="G998" s="6">
        <v>98.71</v>
      </c>
      <c r="H998" s="6">
        <v>98.48</v>
      </c>
      <c r="I998" s="6">
        <v>98.36</v>
      </c>
      <c r="J998" s="6">
        <v>98.64</v>
      </c>
      <c r="K998" s="6">
        <v>98.48</v>
      </c>
      <c r="L998" s="6">
        <v>98.3</v>
      </c>
      <c r="M998" s="6">
        <v>98.62</v>
      </c>
      <c r="N998" s="6">
        <v>98.46</v>
      </c>
      <c r="O998" s="6">
        <v>98.28</v>
      </c>
      <c r="P998" s="6">
        <v>98.52</v>
      </c>
      <c r="Q998" s="6">
        <v>98.45</v>
      </c>
      <c r="R998" s="6">
        <v>98.28</v>
      </c>
    </row>
    <row r="999" spans="2:18">
      <c r="B999" s="6">
        <v>32495</v>
      </c>
      <c r="C999" s="6" t="s">
        <v>195</v>
      </c>
      <c r="D999" s="6">
        <v>0</v>
      </c>
      <c r="E999" s="6">
        <v>98.68</v>
      </c>
      <c r="F999" s="6">
        <v>98.76</v>
      </c>
      <c r="G999" s="6">
        <v>98.74</v>
      </c>
      <c r="H999" s="6">
        <v>98.52</v>
      </c>
      <c r="I999" s="6">
        <v>98.62</v>
      </c>
      <c r="J999" s="6">
        <v>98.74</v>
      </c>
      <c r="K999" s="6">
        <v>98.52</v>
      </c>
      <c r="L999" s="6">
        <v>98.62</v>
      </c>
      <c r="M999" s="6">
        <v>98.74</v>
      </c>
      <c r="N999" s="6">
        <v>98.52</v>
      </c>
      <c r="O999" s="6">
        <v>98.62</v>
      </c>
      <c r="P999" s="6">
        <v>98.74</v>
      </c>
      <c r="Q999" s="6">
        <v>98.52</v>
      </c>
      <c r="R999" s="6">
        <v>98.62</v>
      </c>
    </row>
    <row r="1000" spans="2:18">
      <c r="B1000" s="6">
        <v>32495</v>
      </c>
      <c r="C1000" s="6" t="s">
        <v>195</v>
      </c>
      <c r="D1000" s="6">
        <v>0</v>
      </c>
      <c r="E1000" s="6">
        <v>96.59</v>
      </c>
      <c r="F1000" s="6">
        <v>96.14</v>
      </c>
      <c r="G1000" s="6">
        <v>98.03</v>
      </c>
      <c r="H1000" s="6">
        <v>98.12</v>
      </c>
      <c r="I1000" s="6">
        <v>98.05</v>
      </c>
      <c r="J1000" s="6">
        <v>97.72</v>
      </c>
      <c r="K1000" s="6">
        <v>97.84</v>
      </c>
      <c r="L1000" s="6">
        <v>97.75</v>
      </c>
      <c r="M1000" s="6">
        <v>97.72</v>
      </c>
      <c r="N1000" s="6">
        <v>97.83</v>
      </c>
      <c r="O1000" s="6">
        <v>97.74</v>
      </c>
      <c r="P1000" s="6">
        <v>97.73</v>
      </c>
      <c r="Q1000" s="6">
        <v>97.84</v>
      </c>
      <c r="R1000" s="6">
        <v>97.75</v>
      </c>
    </row>
    <row r="1001" spans="2:18">
      <c r="B1001" s="6">
        <v>32495</v>
      </c>
      <c r="C1001" s="6" t="s">
        <v>195</v>
      </c>
      <c r="D1001" s="6">
        <v>0</v>
      </c>
      <c r="E1001" s="6">
        <v>99.09</v>
      </c>
      <c r="F1001" s="6">
        <v>99.05</v>
      </c>
      <c r="G1001" s="6">
        <v>98.04</v>
      </c>
      <c r="H1001" s="6">
        <v>97.78</v>
      </c>
      <c r="I1001" s="6">
        <v>97.69</v>
      </c>
      <c r="J1001" s="6">
        <v>98.01</v>
      </c>
      <c r="K1001" s="6">
        <v>97.7</v>
      </c>
      <c r="L1001" s="6">
        <v>97.61</v>
      </c>
      <c r="M1001" s="6">
        <v>98.02</v>
      </c>
      <c r="N1001" s="6">
        <v>97.7</v>
      </c>
      <c r="O1001" s="6">
        <v>97.61</v>
      </c>
      <c r="P1001" s="6">
        <v>98.02</v>
      </c>
      <c r="Q1001" s="6">
        <v>97.7</v>
      </c>
      <c r="R1001" s="6">
        <v>97.61</v>
      </c>
    </row>
    <row r="1002" spans="2:18">
      <c r="B1002" s="6">
        <v>32496</v>
      </c>
      <c r="C1002" s="6" t="s">
        <v>196</v>
      </c>
      <c r="D1002" s="6">
        <v>99.19</v>
      </c>
      <c r="E1002" s="6">
        <v>97.03</v>
      </c>
      <c r="F1002" s="6">
        <v>97.56</v>
      </c>
      <c r="G1002" s="6">
        <v>98.71</v>
      </c>
      <c r="H1002" s="6">
        <v>98.48</v>
      </c>
      <c r="I1002" s="6">
        <v>98.36</v>
      </c>
      <c r="J1002" s="6">
        <v>98.64</v>
      </c>
      <c r="K1002" s="6">
        <v>98.48</v>
      </c>
      <c r="L1002" s="6">
        <v>98.3</v>
      </c>
      <c r="M1002" s="6">
        <v>98.62</v>
      </c>
      <c r="N1002" s="6">
        <v>98.46</v>
      </c>
      <c r="O1002" s="6">
        <v>98.28</v>
      </c>
      <c r="P1002" s="6">
        <v>98.52</v>
      </c>
      <c r="Q1002" s="6">
        <v>98.45</v>
      </c>
      <c r="R1002" s="6">
        <v>98.28</v>
      </c>
    </row>
    <row r="1003" spans="2:18">
      <c r="B1003" s="6">
        <v>32496</v>
      </c>
      <c r="C1003" s="6" t="s">
        <v>196</v>
      </c>
      <c r="D1003" s="6">
        <v>99.2</v>
      </c>
      <c r="E1003" s="6">
        <v>99.01</v>
      </c>
      <c r="F1003" s="6">
        <v>98.65</v>
      </c>
      <c r="G1003" s="6">
        <v>98.74</v>
      </c>
      <c r="H1003" s="6">
        <v>98.52</v>
      </c>
      <c r="I1003" s="6">
        <v>98.62</v>
      </c>
      <c r="J1003" s="6">
        <v>98.74</v>
      </c>
      <c r="K1003" s="6">
        <v>98.52</v>
      </c>
      <c r="L1003" s="6">
        <v>98.62</v>
      </c>
      <c r="M1003" s="6">
        <v>98.74</v>
      </c>
      <c r="N1003" s="6">
        <v>98.52</v>
      </c>
      <c r="O1003" s="6">
        <v>98.62</v>
      </c>
      <c r="P1003" s="6">
        <v>98.74</v>
      </c>
      <c r="Q1003" s="6">
        <v>98.52</v>
      </c>
      <c r="R1003" s="6">
        <v>98.62</v>
      </c>
    </row>
    <row r="1004" spans="2:18">
      <c r="B1004" s="6">
        <v>32496</v>
      </c>
      <c r="C1004" s="6" t="s">
        <v>196</v>
      </c>
      <c r="D1004" s="6">
        <v>98.04</v>
      </c>
      <c r="E1004" s="6">
        <v>98.06</v>
      </c>
      <c r="F1004" s="6">
        <v>97.3</v>
      </c>
      <c r="G1004" s="6">
        <v>98.03</v>
      </c>
      <c r="H1004" s="6">
        <v>98.12</v>
      </c>
      <c r="I1004" s="6">
        <v>98.05</v>
      </c>
      <c r="J1004" s="6">
        <v>97.72</v>
      </c>
      <c r="K1004" s="6">
        <v>97.84</v>
      </c>
      <c r="L1004" s="6">
        <v>97.75</v>
      </c>
      <c r="M1004" s="6">
        <v>97.72</v>
      </c>
      <c r="N1004" s="6">
        <v>97.83</v>
      </c>
      <c r="O1004" s="6">
        <v>97.74</v>
      </c>
      <c r="P1004" s="6">
        <v>97.73</v>
      </c>
      <c r="Q1004" s="6">
        <v>97.84</v>
      </c>
      <c r="R1004" s="6">
        <v>97.75</v>
      </c>
    </row>
    <row r="1005" spans="2:18">
      <c r="B1005" s="6">
        <v>32496</v>
      </c>
      <c r="C1005" s="6" t="s">
        <v>196</v>
      </c>
      <c r="D1005" s="6">
        <v>98.36</v>
      </c>
      <c r="E1005" s="6">
        <v>98.27</v>
      </c>
      <c r="F1005" s="6">
        <v>98.21</v>
      </c>
      <c r="G1005" s="6">
        <v>98.04</v>
      </c>
      <c r="H1005" s="6">
        <v>97.78</v>
      </c>
      <c r="I1005" s="6">
        <v>97.69</v>
      </c>
      <c r="J1005" s="6">
        <v>98.01</v>
      </c>
      <c r="K1005" s="6">
        <v>97.7</v>
      </c>
      <c r="L1005" s="6">
        <v>97.61</v>
      </c>
      <c r="M1005" s="6">
        <v>98.02</v>
      </c>
      <c r="N1005" s="6">
        <v>97.7</v>
      </c>
      <c r="O1005" s="6">
        <v>97.61</v>
      </c>
      <c r="P1005" s="6">
        <v>98.02</v>
      </c>
      <c r="Q1005" s="6">
        <v>97.7</v>
      </c>
      <c r="R1005" s="6">
        <v>97.61</v>
      </c>
    </row>
    <row r="1006" spans="2:18">
      <c r="B1006" s="6">
        <v>32497</v>
      </c>
      <c r="C1006" s="6" t="s">
        <v>197</v>
      </c>
      <c r="D1006" s="6">
        <v>0</v>
      </c>
      <c r="E1006" s="6">
        <v>97.58</v>
      </c>
      <c r="F1006" s="6">
        <v>98.31</v>
      </c>
      <c r="G1006" s="6">
        <v>98.71</v>
      </c>
      <c r="H1006" s="6">
        <v>98.48</v>
      </c>
      <c r="I1006" s="6">
        <v>98.36</v>
      </c>
      <c r="J1006" s="6">
        <v>98.64</v>
      </c>
      <c r="K1006" s="6">
        <v>98.48</v>
      </c>
      <c r="L1006" s="6">
        <v>98.3</v>
      </c>
      <c r="M1006" s="6">
        <v>98.62</v>
      </c>
      <c r="N1006" s="6">
        <v>98.46</v>
      </c>
      <c r="O1006" s="6">
        <v>98.28</v>
      </c>
      <c r="P1006" s="6">
        <v>98.52</v>
      </c>
      <c r="Q1006" s="6">
        <v>98.45</v>
      </c>
      <c r="R1006" s="6">
        <v>98.28</v>
      </c>
    </row>
    <row r="1007" spans="2:18">
      <c r="B1007" s="6">
        <v>32497</v>
      </c>
      <c r="C1007" s="6" t="s">
        <v>197</v>
      </c>
      <c r="D1007" s="6">
        <v>0</v>
      </c>
      <c r="E1007" s="6">
        <v>99.2</v>
      </c>
      <c r="F1007" s="6">
        <v>99.44</v>
      </c>
      <c r="G1007" s="6">
        <v>98.74</v>
      </c>
      <c r="H1007" s="6">
        <v>98.52</v>
      </c>
      <c r="I1007" s="6">
        <v>98.62</v>
      </c>
      <c r="J1007" s="6">
        <v>98.74</v>
      </c>
      <c r="K1007" s="6">
        <v>98.52</v>
      </c>
      <c r="L1007" s="6">
        <v>98.62</v>
      </c>
      <c r="M1007" s="6">
        <v>98.74</v>
      </c>
      <c r="N1007" s="6">
        <v>98.52</v>
      </c>
      <c r="O1007" s="6">
        <v>98.62</v>
      </c>
      <c r="P1007" s="6">
        <v>98.74</v>
      </c>
      <c r="Q1007" s="6">
        <v>98.52</v>
      </c>
      <c r="R1007" s="6">
        <v>98.62</v>
      </c>
    </row>
    <row r="1008" spans="2:18">
      <c r="B1008" s="6">
        <v>32497</v>
      </c>
      <c r="C1008" s="6" t="s">
        <v>197</v>
      </c>
      <c r="D1008" s="6">
        <v>0</v>
      </c>
      <c r="E1008" s="6">
        <v>98.04</v>
      </c>
      <c r="F1008" s="6">
        <v>97.28</v>
      </c>
      <c r="G1008" s="6">
        <v>98.03</v>
      </c>
      <c r="H1008" s="6">
        <v>98.12</v>
      </c>
      <c r="I1008" s="6">
        <v>98.05</v>
      </c>
      <c r="J1008" s="6">
        <v>97.72</v>
      </c>
      <c r="K1008" s="6">
        <v>97.84</v>
      </c>
      <c r="L1008" s="6">
        <v>97.75</v>
      </c>
      <c r="M1008" s="6">
        <v>97.72</v>
      </c>
      <c r="N1008" s="6">
        <v>97.83</v>
      </c>
      <c r="O1008" s="6">
        <v>97.74</v>
      </c>
      <c r="P1008" s="6">
        <v>97.73</v>
      </c>
      <c r="Q1008" s="6">
        <v>97.84</v>
      </c>
      <c r="R1008" s="6">
        <v>97.75</v>
      </c>
    </row>
    <row r="1009" spans="2:18">
      <c r="B1009" s="6">
        <v>32497</v>
      </c>
      <c r="C1009" s="6" t="s">
        <v>197</v>
      </c>
      <c r="D1009" s="6">
        <v>0</v>
      </c>
      <c r="E1009" s="6">
        <v>94.21</v>
      </c>
      <c r="F1009" s="6">
        <v>95.99</v>
      </c>
      <c r="G1009" s="6">
        <v>98.04</v>
      </c>
      <c r="H1009" s="6">
        <v>97.78</v>
      </c>
      <c r="I1009" s="6">
        <v>97.69</v>
      </c>
      <c r="J1009" s="6">
        <v>98.01</v>
      </c>
      <c r="K1009" s="6">
        <v>97.7</v>
      </c>
      <c r="L1009" s="6">
        <v>97.61</v>
      </c>
      <c r="M1009" s="6">
        <v>98.02</v>
      </c>
      <c r="N1009" s="6">
        <v>97.7</v>
      </c>
      <c r="O1009" s="6">
        <v>97.61</v>
      </c>
      <c r="P1009" s="6">
        <v>98.02</v>
      </c>
      <c r="Q1009" s="6">
        <v>97.7</v>
      </c>
      <c r="R1009" s="6">
        <v>97.61</v>
      </c>
    </row>
    <row r="1010" spans="2:18">
      <c r="B1010" s="6">
        <v>32498</v>
      </c>
      <c r="C1010" s="6" t="s">
        <v>1010</v>
      </c>
      <c r="D1010" s="6">
        <v>0</v>
      </c>
      <c r="E1010" s="6">
        <v>0</v>
      </c>
      <c r="F1010" s="6">
        <v>98.89</v>
      </c>
      <c r="G1010" s="6">
        <v>97.07</v>
      </c>
      <c r="H1010" s="6">
        <v>94.76</v>
      </c>
      <c r="I1010" s="6">
        <v>95.55</v>
      </c>
      <c r="J1010" s="6">
        <v>98.23</v>
      </c>
      <c r="K1010" s="6">
        <v>98.19</v>
      </c>
      <c r="L1010" s="6">
        <v>98.1</v>
      </c>
      <c r="M1010" s="6">
        <v>98.23</v>
      </c>
      <c r="N1010" s="6">
        <v>98.19</v>
      </c>
      <c r="O1010" s="6">
        <v>98.1</v>
      </c>
      <c r="P1010" s="6">
        <v>98.04</v>
      </c>
      <c r="Q1010" s="6">
        <v>98.09</v>
      </c>
      <c r="R1010" s="6">
        <v>97.91</v>
      </c>
    </row>
    <row r="1011" spans="2:18">
      <c r="B1011" s="6">
        <v>32498</v>
      </c>
      <c r="C1011" s="6" t="s">
        <v>1010</v>
      </c>
      <c r="D1011" s="6">
        <v>0</v>
      </c>
      <c r="E1011" s="6">
        <v>0</v>
      </c>
      <c r="F1011" s="6">
        <v>99.08</v>
      </c>
      <c r="G1011" s="6">
        <v>98.65</v>
      </c>
      <c r="H1011" s="6">
        <v>98.92</v>
      </c>
      <c r="I1011" s="6">
        <v>98.33</v>
      </c>
      <c r="J1011" s="6">
        <v>98.77</v>
      </c>
      <c r="K1011" s="6">
        <v>99.16</v>
      </c>
      <c r="L1011" s="6">
        <v>98.56</v>
      </c>
      <c r="M1011" s="6">
        <v>98.77</v>
      </c>
      <c r="N1011" s="6">
        <v>99.16</v>
      </c>
      <c r="O1011" s="6">
        <v>98.56</v>
      </c>
      <c r="P1011" s="6">
        <v>98.52</v>
      </c>
      <c r="Q1011" s="6">
        <v>98.45</v>
      </c>
      <c r="R1011" s="6">
        <v>98.28</v>
      </c>
    </row>
    <row r="1012" spans="2:18">
      <c r="B1012" s="6">
        <v>32498</v>
      </c>
      <c r="C1012" s="6" t="s">
        <v>1010</v>
      </c>
      <c r="D1012" s="6">
        <v>0</v>
      </c>
      <c r="E1012" s="6">
        <v>0</v>
      </c>
      <c r="F1012" s="6">
        <v>99.09</v>
      </c>
      <c r="G1012" s="6">
        <v>89.16</v>
      </c>
      <c r="H1012" s="6">
        <v>90.71</v>
      </c>
      <c r="I1012" s="6">
        <v>96</v>
      </c>
      <c r="J1012" s="6">
        <v>89.16</v>
      </c>
      <c r="K1012" s="6">
        <v>92.29</v>
      </c>
      <c r="L1012" s="6">
        <v>95.48</v>
      </c>
      <c r="M1012" s="6">
        <v>89.16</v>
      </c>
      <c r="N1012" s="6">
        <v>92.29</v>
      </c>
      <c r="O1012" s="6">
        <v>95.48</v>
      </c>
      <c r="P1012" s="6">
        <v>89.16</v>
      </c>
      <c r="Q1012" s="6">
        <v>92.29</v>
      </c>
      <c r="R1012" s="6">
        <v>95.48</v>
      </c>
    </row>
    <row r="1013" spans="2:18">
      <c r="B1013" s="6">
        <v>32498</v>
      </c>
      <c r="C1013" s="6" t="s">
        <v>1010</v>
      </c>
      <c r="D1013" s="6">
        <v>0</v>
      </c>
      <c r="E1013" s="6">
        <v>0</v>
      </c>
      <c r="F1013" s="6">
        <v>96.49</v>
      </c>
      <c r="G1013" s="6">
        <v>89.78</v>
      </c>
      <c r="H1013" s="6">
        <v>89.78</v>
      </c>
      <c r="I1013" s="6">
        <v>97.82</v>
      </c>
      <c r="J1013" s="6">
        <v>89.78</v>
      </c>
      <c r="K1013" s="6">
        <v>89.78</v>
      </c>
      <c r="L1013" s="6">
        <v>97.82</v>
      </c>
      <c r="M1013" s="6">
        <v>89.78</v>
      </c>
      <c r="N1013" s="6">
        <v>89.78</v>
      </c>
      <c r="O1013" s="6">
        <v>97.82</v>
      </c>
      <c r="P1013" s="6">
        <v>89.78</v>
      </c>
      <c r="Q1013" s="6">
        <v>89.78</v>
      </c>
      <c r="R1013" s="6">
        <v>97.82</v>
      </c>
    </row>
    <row r="1014" spans="2:18">
      <c r="B1014" s="6">
        <v>32499</v>
      </c>
      <c r="C1014" s="6" t="s">
        <v>1016</v>
      </c>
      <c r="D1014" s="6">
        <v>0</v>
      </c>
      <c r="E1014" s="6">
        <v>0</v>
      </c>
      <c r="F1014" s="6">
        <v>96.36</v>
      </c>
      <c r="G1014" s="6">
        <v>97.07</v>
      </c>
      <c r="H1014" s="6">
        <v>94.76</v>
      </c>
      <c r="I1014" s="6">
        <v>95.55</v>
      </c>
      <c r="J1014" s="6">
        <v>98.23</v>
      </c>
      <c r="K1014" s="6">
        <v>98.19</v>
      </c>
      <c r="L1014" s="6">
        <v>98.1</v>
      </c>
      <c r="M1014" s="6">
        <v>98.23</v>
      </c>
      <c r="N1014" s="6">
        <v>98.19</v>
      </c>
      <c r="O1014" s="6">
        <v>98.1</v>
      </c>
      <c r="P1014" s="6">
        <v>98.04</v>
      </c>
      <c r="Q1014" s="6">
        <v>98.09</v>
      </c>
      <c r="R1014" s="6">
        <v>97.91</v>
      </c>
    </row>
    <row r="1015" spans="2:18">
      <c r="B1015" s="6">
        <v>32499</v>
      </c>
      <c r="C1015" s="6" t="s">
        <v>1016</v>
      </c>
      <c r="D1015" s="6">
        <v>0</v>
      </c>
      <c r="E1015" s="6">
        <v>0</v>
      </c>
      <c r="F1015" s="6">
        <v>95.65</v>
      </c>
      <c r="G1015" s="6">
        <v>98.65</v>
      </c>
      <c r="H1015" s="6">
        <v>98.92</v>
      </c>
      <c r="I1015" s="6">
        <v>98.33</v>
      </c>
      <c r="J1015" s="6">
        <v>98.77</v>
      </c>
      <c r="K1015" s="6">
        <v>99.16</v>
      </c>
      <c r="L1015" s="6">
        <v>98.56</v>
      </c>
      <c r="M1015" s="6">
        <v>98.77</v>
      </c>
      <c r="N1015" s="6">
        <v>99.16</v>
      </c>
      <c r="O1015" s="6">
        <v>98.56</v>
      </c>
      <c r="P1015" s="6">
        <v>98.52</v>
      </c>
      <c r="Q1015" s="6">
        <v>98.45</v>
      </c>
      <c r="R1015" s="6">
        <v>98.28</v>
      </c>
    </row>
    <row r="1016" spans="2:18">
      <c r="B1016" s="6">
        <v>32499</v>
      </c>
      <c r="C1016" s="6" t="s">
        <v>1016</v>
      </c>
      <c r="D1016" s="6">
        <v>0</v>
      </c>
      <c r="E1016" s="6">
        <v>0</v>
      </c>
      <c r="F1016" s="6">
        <v>95.83</v>
      </c>
      <c r="G1016" s="6">
        <v>89.16</v>
      </c>
      <c r="H1016" s="6">
        <v>90.71</v>
      </c>
      <c r="I1016" s="6">
        <v>96</v>
      </c>
      <c r="J1016" s="6">
        <v>89.16</v>
      </c>
      <c r="K1016" s="6">
        <v>92.29</v>
      </c>
      <c r="L1016" s="6">
        <v>95.48</v>
      </c>
      <c r="M1016" s="6">
        <v>89.16</v>
      </c>
      <c r="N1016" s="6">
        <v>92.29</v>
      </c>
      <c r="O1016" s="6">
        <v>95.48</v>
      </c>
      <c r="P1016" s="6">
        <v>89.16</v>
      </c>
      <c r="Q1016" s="6">
        <v>92.29</v>
      </c>
      <c r="R1016" s="6">
        <v>95.48</v>
      </c>
    </row>
    <row r="1017" spans="2:18">
      <c r="B1017" s="6">
        <v>32500</v>
      </c>
      <c r="C1017" s="6" t="s">
        <v>1024</v>
      </c>
      <c r="D1017" s="6">
        <v>0</v>
      </c>
      <c r="E1017" s="6">
        <v>0</v>
      </c>
      <c r="F1017" s="6">
        <v>95.29</v>
      </c>
      <c r="G1017" s="6">
        <v>97.07</v>
      </c>
      <c r="H1017" s="6">
        <v>94.76</v>
      </c>
      <c r="I1017" s="6">
        <v>95.55</v>
      </c>
      <c r="J1017" s="6">
        <v>98.23</v>
      </c>
      <c r="K1017" s="6">
        <v>98.19</v>
      </c>
      <c r="L1017" s="6">
        <v>98.1</v>
      </c>
      <c r="M1017" s="6">
        <v>98.23</v>
      </c>
      <c r="N1017" s="6">
        <v>98.19</v>
      </c>
      <c r="O1017" s="6">
        <v>98.1</v>
      </c>
      <c r="P1017" s="6">
        <v>98.04</v>
      </c>
      <c r="Q1017" s="6">
        <v>98.09</v>
      </c>
      <c r="R1017" s="6">
        <v>97.91</v>
      </c>
    </row>
    <row r="1018" spans="2:18">
      <c r="B1018" s="6">
        <v>32500</v>
      </c>
      <c r="C1018" s="6" t="s">
        <v>1024</v>
      </c>
      <c r="D1018" s="6">
        <v>0</v>
      </c>
      <c r="E1018" s="6">
        <v>0</v>
      </c>
      <c r="F1018" s="6">
        <v>97.67</v>
      </c>
      <c r="G1018" s="6">
        <v>98.65</v>
      </c>
      <c r="H1018" s="6">
        <v>98.92</v>
      </c>
      <c r="I1018" s="6">
        <v>98.33</v>
      </c>
      <c r="J1018" s="6">
        <v>98.77</v>
      </c>
      <c r="K1018" s="6">
        <v>99.16</v>
      </c>
      <c r="L1018" s="6">
        <v>98.56</v>
      </c>
      <c r="M1018" s="6">
        <v>98.77</v>
      </c>
      <c r="N1018" s="6">
        <v>99.16</v>
      </c>
      <c r="O1018" s="6">
        <v>98.56</v>
      </c>
      <c r="P1018" s="6">
        <v>98.52</v>
      </c>
      <c r="Q1018" s="6">
        <v>98.45</v>
      </c>
      <c r="R1018" s="6">
        <v>98.28</v>
      </c>
    </row>
    <row r="1019" spans="2:18">
      <c r="B1019" s="6">
        <v>32500</v>
      </c>
      <c r="C1019" s="6" t="s">
        <v>1024</v>
      </c>
      <c r="D1019" s="6">
        <v>0</v>
      </c>
      <c r="E1019" s="6">
        <v>0</v>
      </c>
      <c r="F1019" s="6">
        <v>98.18</v>
      </c>
      <c r="G1019" s="6">
        <v>89.16</v>
      </c>
      <c r="H1019" s="6">
        <v>90.71</v>
      </c>
      <c r="I1019" s="6">
        <v>96</v>
      </c>
      <c r="J1019" s="6">
        <v>89.16</v>
      </c>
      <c r="K1019" s="6">
        <v>92.29</v>
      </c>
      <c r="L1019" s="6">
        <v>95.48</v>
      </c>
      <c r="M1019" s="6">
        <v>89.16</v>
      </c>
      <c r="N1019" s="6">
        <v>92.29</v>
      </c>
      <c r="O1019" s="6">
        <v>95.48</v>
      </c>
      <c r="P1019" s="6">
        <v>89.16</v>
      </c>
      <c r="Q1019" s="6">
        <v>92.29</v>
      </c>
      <c r="R1019" s="6">
        <v>95.48</v>
      </c>
    </row>
    <row r="1020" spans="2:18">
      <c r="B1020" s="6">
        <v>32500</v>
      </c>
      <c r="C1020" s="6" t="s">
        <v>1024</v>
      </c>
      <c r="D1020" s="6">
        <v>0</v>
      </c>
      <c r="E1020" s="6">
        <v>0</v>
      </c>
      <c r="F1020" s="6">
        <v>97.06</v>
      </c>
      <c r="G1020" s="6">
        <v>89.78</v>
      </c>
      <c r="H1020" s="6">
        <v>89.78</v>
      </c>
      <c r="I1020" s="6">
        <v>97.82</v>
      </c>
      <c r="J1020" s="6">
        <v>89.78</v>
      </c>
      <c r="K1020" s="6">
        <v>89.78</v>
      </c>
      <c r="L1020" s="6">
        <v>97.82</v>
      </c>
      <c r="M1020" s="6">
        <v>89.78</v>
      </c>
      <c r="N1020" s="6">
        <v>89.78</v>
      </c>
      <c r="O1020" s="6">
        <v>97.82</v>
      </c>
      <c r="P1020" s="6">
        <v>89.78</v>
      </c>
      <c r="Q1020" s="6">
        <v>89.78</v>
      </c>
      <c r="R1020" s="6">
        <v>97.82</v>
      </c>
    </row>
    <row r="1021" spans="2:18">
      <c r="B1021" s="6">
        <v>32501</v>
      </c>
      <c r="C1021" s="6" t="s">
        <v>1011</v>
      </c>
      <c r="D1021" s="6">
        <v>0</v>
      </c>
      <c r="E1021" s="6">
        <v>0</v>
      </c>
      <c r="F1021" s="6">
        <v>98.28</v>
      </c>
      <c r="G1021" s="6">
        <v>97.07</v>
      </c>
      <c r="H1021" s="6">
        <v>94.76</v>
      </c>
      <c r="I1021" s="6">
        <v>95.55</v>
      </c>
      <c r="J1021" s="6">
        <v>98.23</v>
      </c>
      <c r="K1021" s="6">
        <v>98.19</v>
      </c>
      <c r="L1021" s="6">
        <v>98.1</v>
      </c>
      <c r="M1021" s="6">
        <v>98.23</v>
      </c>
      <c r="N1021" s="6">
        <v>98.19</v>
      </c>
      <c r="O1021" s="6">
        <v>98.1</v>
      </c>
      <c r="P1021" s="6">
        <v>98.04</v>
      </c>
      <c r="Q1021" s="6">
        <v>98.09</v>
      </c>
      <c r="R1021" s="6">
        <v>97.91</v>
      </c>
    </row>
    <row r="1022" spans="2:18">
      <c r="B1022" s="6">
        <v>32501</v>
      </c>
      <c r="C1022" s="6" t="s">
        <v>1011</v>
      </c>
      <c r="D1022" s="6">
        <v>0</v>
      </c>
      <c r="E1022" s="6">
        <v>0</v>
      </c>
      <c r="F1022" s="6">
        <v>97.58</v>
      </c>
      <c r="G1022" s="6">
        <v>98.65</v>
      </c>
      <c r="H1022" s="6">
        <v>98.92</v>
      </c>
      <c r="I1022" s="6">
        <v>98.33</v>
      </c>
      <c r="J1022" s="6">
        <v>98.77</v>
      </c>
      <c r="K1022" s="6">
        <v>99.16</v>
      </c>
      <c r="L1022" s="6">
        <v>98.56</v>
      </c>
      <c r="M1022" s="6">
        <v>98.77</v>
      </c>
      <c r="N1022" s="6">
        <v>99.16</v>
      </c>
      <c r="O1022" s="6">
        <v>98.56</v>
      </c>
      <c r="P1022" s="6">
        <v>98.52</v>
      </c>
      <c r="Q1022" s="6">
        <v>98.45</v>
      </c>
      <c r="R1022" s="6">
        <v>98.28</v>
      </c>
    </row>
    <row r="1023" spans="2:18">
      <c r="B1023" s="6">
        <v>32501</v>
      </c>
      <c r="C1023" s="6" t="s">
        <v>1011</v>
      </c>
      <c r="D1023" s="6">
        <v>0</v>
      </c>
      <c r="E1023" s="6">
        <v>0</v>
      </c>
      <c r="F1023" s="6">
        <v>98.69</v>
      </c>
      <c r="G1023" s="6">
        <v>89.16</v>
      </c>
      <c r="H1023" s="6">
        <v>90.71</v>
      </c>
      <c r="I1023" s="6">
        <v>96</v>
      </c>
      <c r="J1023" s="6">
        <v>89.16</v>
      </c>
      <c r="K1023" s="6">
        <v>92.29</v>
      </c>
      <c r="L1023" s="6">
        <v>95.48</v>
      </c>
      <c r="M1023" s="6">
        <v>89.16</v>
      </c>
      <c r="N1023" s="6">
        <v>92.29</v>
      </c>
      <c r="O1023" s="6">
        <v>95.48</v>
      </c>
      <c r="P1023" s="6">
        <v>89.16</v>
      </c>
      <c r="Q1023" s="6">
        <v>92.29</v>
      </c>
      <c r="R1023" s="6">
        <v>95.48</v>
      </c>
    </row>
    <row r="1024" spans="2:18">
      <c r="B1024" s="6">
        <v>32501</v>
      </c>
      <c r="C1024" s="6" t="s">
        <v>1011</v>
      </c>
      <c r="D1024" s="6">
        <v>0</v>
      </c>
      <c r="E1024" s="6">
        <v>0</v>
      </c>
      <c r="F1024" s="6">
        <v>98.04</v>
      </c>
      <c r="G1024" s="6">
        <v>89.78</v>
      </c>
      <c r="H1024" s="6">
        <v>89.78</v>
      </c>
      <c r="I1024" s="6">
        <v>97.82</v>
      </c>
      <c r="J1024" s="6">
        <v>89.78</v>
      </c>
      <c r="K1024" s="6">
        <v>89.78</v>
      </c>
      <c r="L1024" s="6">
        <v>97.82</v>
      </c>
      <c r="M1024" s="6">
        <v>89.78</v>
      </c>
      <c r="N1024" s="6">
        <v>89.78</v>
      </c>
      <c r="O1024" s="6">
        <v>97.82</v>
      </c>
      <c r="P1024" s="6">
        <v>89.78</v>
      </c>
      <c r="Q1024" s="6">
        <v>89.78</v>
      </c>
      <c r="R1024" s="6">
        <v>97.82</v>
      </c>
    </row>
    <row r="1025" spans="2:18">
      <c r="B1025" s="6">
        <v>32502</v>
      </c>
      <c r="C1025" s="6" t="s">
        <v>261</v>
      </c>
      <c r="D1025" s="6">
        <v>0</v>
      </c>
      <c r="E1025" s="6">
        <v>0</v>
      </c>
      <c r="F1025" s="6">
        <v>98.9</v>
      </c>
      <c r="G1025" s="6">
        <v>97.07</v>
      </c>
      <c r="H1025" s="6">
        <v>94.76</v>
      </c>
      <c r="I1025" s="6">
        <v>95.55</v>
      </c>
      <c r="J1025" s="6">
        <v>98.23</v>
      </c>
      <c r="K1025" s="6">
        <v>98.19</v>
      </c>
      <c r="L1025" s="6">
        <v>98.1</v>
      </c>
      <c r="M1025" s="6">
        <v>98.23</v>
      </c>
      <c r="N1025" s="6">
        <v>98.19</v>
      </c>
      <c r="O1025" s="6">
        <v>98.1</v>
      </c>
      <c r="P1025" s="6">
        <v>98.04</v>
      </c>
      <c r="Q1025" s="6">
        <v>98.09</v>
      </c>
      <c r="R1025" s="6">
        <v>97.91</v>
      </c>
    </row>
    <row r="1026" spans="2:18">
      <c r="B1026" s="6">
        <v>32502</v>
      </c>
      <c r="C1026" s="6" t="s">
        <v>261</v>
      </c>
      <c r="D1026" s="6">
        <v>0</v>
      </c>
      <c r="E1026" s="6">
        <v>0</v>
      </c>
      <c r="F1026" s="6">
        <v>99.01</v>
      </c>
      <c r="G1026" s="6">
        <v>98.65</v>
      </c>
      <c r="H1026" s="6">
        <v>98.92</v>
      </c>
      <c r="I1026" s="6">
        <v>98.33</v>
      </c>
      <c r="J1026" s="6">
        <v>98.77</v>
      </c>
      <c r="K1026" s="6">
        <v>99.16</v>
      </c>
      <c r="L1026" s="6">
        <v>98.56</v>
      </c>
      <c r="M1026" s="6">
        <v>98.77</v>
      </c>
      <c r="N1026" s="6">
        <v>99.16</v>
      </c>
      <c r="O1026" s="6">
        <v>98.56</v>
      </c>
      <c r="P1026" s="6">
        <v>98.52</v>
      </c>
      <c r="Q1026" s="6">
        <v>98.45</v>
      </c>
      <c r="R1026" s="6">
        <v>98.28</v>
      </c>
    </row>
    <row r="1027" spans="2:18">
      <c r="B1027" s="6">
        <v>32502</v>
      </c>
      <c r="C1027" s="6" t="s">
        <v>261</v>
      </c>
      <c r="D1027" s="6">
        <v>0</v>
      </c>
      <c r="E1027" s="6">
        <v>0</v>
      </c>
      <c r="F1027" s="6">
        <v>99.02</v>
      </c>
      <c r="G1027" s="6">
        <v>89.16</v>
      </c>
      <c r="H1027" s="6">
        <v>90.71</v>
      </c>
      <c r="I1027" s="6">
        <v>96</v>
      </c>
      <c r="J1027" s="6">
        <v>89.16</v>
      </c>
      <c r="K1027" s="6">
        <v>92.29</v>
      </c>
      <c r="L1027" s="6">
        <v>95.48</v>
      </c>
      <c r="M1027" s="6">
        <v>89.16</v>
      </c>
      <c r="N1027" s="6">
        <v>92.29</v>
      </c>
      <c r="O1027" s="6">
        <v>95.48</v>
      </c>
      <c r="P1027" s="6">
        <v>89.16</v>
      </c>
      <c r="Q1027" s="6">
        <v>92.29</v>
      </c>
      <c r="R1027" s="6">
        <v>95.48</v>
      </c>
    </row>
    <row r="1028" spans="2:18">
      <c r="B1028" s="6">
        <v>32502</v>
      </c>
      <c r="C1028" s="6" t="s">
        <v>261</v>
      </c>
      <c r="D1028" s="6">
        <v>0</v>
      </c>
      <c r="E1028" s="6">
        <v>0</v>
      </c>
      <c r="F1028" s="6">
        <v>99.03</v>
      </c>
      <c r="G1028" s="6">
        <v>89.78</v>
      </c>
      <c r="H1028" s="6">
        <v>89.78</v>
      </c>
      <c r="I1028" s="6">
        <v>97.82</v>
      </c>
      <c r="J1028" s="6">
        <v>89.78</v>
      </c>
      <c r="K1028" s="6">
        <v>89.78</v>
      </c>
      <c r="L1028" s="6">
        <v>97.82</v>
      </c>
      <c r="M1028" s="6">
        <v>89.78</v>
      </c>
      <c r="N1028" s="6">
        <v>89.78</v>
      </c>
      <c r="O1028" s="6">
        <v>97.82</v>
      </c>
      <c r="P1028" s="6">
        <v>89.78</v>
      </c>
      <c r="Q1028" s="6">
        <v>89.78</v>
      </c>
      <c r="R1028" s="6">
        <v>97.82</v>
      </c>
    </row>
    <row r="1029" spans="2:18">
      <c r="B1029" s="6">
        <v>32503</v>
      </c>
      <c r="C1029" s="6" t="s">
        <v>996</v>
      </c>
      <c r="D1029" s="6">
        <v>0</v>
      </c>
      <c r="E1029" s="6">
        <v>0</v>
      </c>
      <c r="F1029" s="6">
        <v>99.25</v>
      </c>
      <c r="G1029" s="6">
        <v>97.07</v>
      </c>
      <c r="H1029" s="6">
        <v>94.76</v>
      </c>
      <c r="I1029" s="6">
        <v>95.55</v>
      </c>
      <c r="J1029" s="6">
        <v>98.23</v>
      </c>
      <c r="K1029" s="6">
        <v>98.19</v>
      </c>
      <c r="L1029" s="6">
        <v>98.1</v>
      </c>
      <c r="M1029" s="6">
        <v>98.23</v>
      </c>
      <c r="N1029" s="6">
        <v>98.19</v>
      </c>
      <c r="O1029" s="6">
        <v>98.1</v>
      </c>
      <c r="P1029" s="6">
        <v>98.04</v>
      </c>
      <c r="Q1029" s="6">
        <v>98.09</v>
      </c>
      <c r="R1029" s="6">
        <v>97.91</v>
      </c>
    </row>
    <row r="1030" spans="2:18">
      <c r="B1030" s="6">
        <v>32503</v>
      </c>
      <c r="C1030" s="6" t="s">
        <v>996</v>
      </c>
      <c r="D1030" s="6">
        <v>0</v>
      </c>
      <c r="E1030" s="6">
        <v>0</v>
      </c>
      <c r="F1030" s="6">
        <v>99.26</v>
      </c>
      <c r="G1030" s="6">
        <v>98.65</v>
      </c>
      <c r="H1030" s="6">
        <v>98.92</v>
      </c>
      <c r="I1030" s="6">
        <v>98.33</v>
      </c>
      <c r="J1030" s="6">
        <v>98.77</v>
      </c>
      <c r="K1030" s="6">
        <v>99.16</v>
      </c>
      <c r="L1030" s="6">
        <v>98.56</v>
      </c>
      <c r="M1030" s="6">
        <v>98.77</v>
      </c>
      <c r="N1030" s="6">
        <v>99.16</v>
      </c>
      <c r="O1030" s="6">
        <v>98.56</v>
      </c>
      <c r="P1030" s="6">
        <v>98.52</v>
      </c>
      <c r="Q1030" s="6">
        <v>98.45</v>
      </c>
      <c r="R1030" s="6">
        <v>98.28</v>
      </c>
    </row>
    <row r="1031" spans="2:18">
      <c r="B1031" s="6">
        <v>32503</v>
      </c>
      <c r="C1031" s="6" t="s">
        <v>996</v>
      </c>
      <c r="D1031" s="6">
        <v>0</v>
      </c>
      <c r="E1031" s="6">
        <v>0</v>
      </c>
      <c r="F1031" s="6">
        <v>99.26</v>
      </c>
      <c r="G1031" s="6">
        <v>89.16</v>
      </c>
      <c r="H1031" s="6">
        <v>90.71</v>
      </c>
      <c r="I1031" s="6">
        <v>96</v>
      </c>
      <c r="J1031" s="6">
        <v>89.16</v>
      </c>
      <c r="K1031" s="6">
        <v>92.29</v>
      </c>
      <c r="L1031" s="6">
        <v>95.48</v>
      </c>
      <c r="M1031" s="6">
        <v>89.16</v>
      </c>
      <c r="N1031" s="6">
        <v>92.29</v>
      </c>
      <c r="O1031" s="6">
        <v>95.48</v>
      </c>
      <c r="P1031" s="6">
        <v>89.16</v>
      </c>
      <c r="Q1031" s="6">
        <v>92.29</v>
      </c>
      <c r="R1031" s="6">
        <v>95.48</v>
      </c>
    </row>
    <row r="1032" spans="2:18">
      <c r="B1032" s="6">
        <v>32503</v>
      </c>
      <c r="C1032" s="6" t="s">
        <v>996</v>
      </c>
      <c r="D1032" s="6">
        <v>0</v>
      </c>
      <c r="E1032" s="6">
        <v>0</v>
      </c>
      <c r="F1032" s="6">
        <v>98.55</v>
      </c>
      <c r="G1032" s="6">
        <v>89.78</v>
      </c>
      <c r="H1032" s="6">
        <v>89.78</v>
      </c>
      <c r="I1032" s="6">
        <v>97.82</v>
      </c>
      <c r="J1032" s="6">
        <v>89.78</v>
      </c>
      <c r="K1032" s="6">
        <v>89.78</v>
      </c>
      <c r="L1032" s="6">
        <v>97.82</v>
      </c>
      <c r="M1032" s="6">
        <v>89.78</v>
      </c>
      <c r="N1032" s="6">
        <v>89.78</v>
      </c>
      <c r="O1032" s="6">
        <v>97.82</v>
      </c>
      <c r="P1032" s="6">
        <v>89.78</v>
      </c>
      <c r="Q1032" s="6">
        <v>89.78</v>
      </c>
      <c r="R1032" s="6">
        <v>97.82</v>
      </c>
    </row>
    <row r="1033" spans="2:18">
      <c r="B1033" s="6">
        <v>32504</v>
      </c>
      <c r="C1033" s="6" t="s">
        <v>1006</v>
      </c>
      <c r="D1033" s="6">
        <v>0</v>
      </c>
      <c r="E1033" s="6">
        <v>0</v>
      </c>
      <c r="F1033" s="6">
        <v>99.81</v>
      </c>
      <c r="G1033" s="6">
        <v>97.07</v>
      </c>
      <c r="H1033" s="6">
        <v>94.76</v>
      </c>
      <c r="I1033" s="6">
        <v>95.55</v>
      </c>
      <c r="J1033" s="6">
        <v>98.23</v>
      </c>
      <c r="K1033" s="6">
        <v>98.19</v>
      </c>
      <c r="L1033" s="6">
        <v>98.1</v>
      </c>
      <c r="M1033" s="6">
        <v>98.23</v>
      </c>
      <c r="N1033" s="6">
        <v>98.19</v>
      </c>
      <c r="O1033" s="6">
        <v>98.1</v>
      </c>
      <c r="P1033" s="6">
        <v>98.04</v>
      </c>
      <c r="Q1033" s="6">
        <v>98.09</v>
      </c>
      <c r="R1033" s="6">
        <v>97.91</v>
      </c>
    </row>
    <row r="1034" spans="2:18">
      <c r="B1034" s="6">
        <v>32504</v>
      </c>
      <c r="C1034" s="6" t="s">
        <v>1006</v>
      </c>
      <c r="D1034" s="6">
        <v>0</v>
      </c>
      <c r="E1034" s="6">
        <v>0</v>
      </c>
      <c r="F1034" s="6">
        <v>99.03</v>
      </c>
      <c r="G1034" s="6">
        <v>78.87</v>
      </c>
      <c r="H1034" s="6">
        <v>91.66</v>
      </c>
      <c r="I1034" s="6">
        <v>96.42</v>
      </c>
      <c r="J1034" s="6">
        <v>99.26</v>
      </c>
      <c r="K1034" s="6">
        <v>99.39</v>
      </c>
      <c r="L1034" s="6">
        <v>99.39</v>
      </c>
      <c r="M1034" s="6">
        <v>99.26</v>
      </c>
      <c r="N1034" s="6">
        <v>99.39</v>
      </c>
      <c r="O1034" s="6">
        <v>99.39</v>
      </c>
      <c r="P1034" s="6">
        <v>99.26</v>
      </c>
      <c r="Q1034" s="6">
        <v>99.39</v>
      </c>
      <c r="R1034" s="6">
        <v>99.39</v>
      </c>
    </row>
    <row r="1035" spans="2:18">
      <c r="B1035" s="6">
        <v>32504</v>
      </c>
      <c r="C1035" s="6" t="s">
        <v>1006</v>
      </c>
      <c r="D1035" s="6">
        <v>0</v>
      </c>
      <c r="E1035" s="6">
        <v>0</v>
      </c>
      <c r="F1035" s="6">
        <v>99.62</v>
      </c>
      <c r="G1035" s="6">
        <v>89.78</v>
      </c>
      <c r="H1035" s="6">
        <v>89.78</v>
      </c>
      <c r="I1035" s="6">
        <v>97.82</v>
      </c>
      <c r="J1035" s="6">
        <v>89.78</v>
      </c>
      <c r="K1035" s="6">
        <v>89.78</v>
      </c>
      <c r="L1035" s="6">
        <v>97.82</v>
      </c>
      <c r="M1035" s="6">
        <v>89.78</v>
      </c>
      <c r="N1035" s="6">
        <v>89.78</v>
      </c>
      <c r="O1035" s="6">
        <v>97.82</v>
      </c>
      <c r="P1035" s="6">
        <v>89.78</v>
      </c>
      <c r="Q1035" s="6">
        <v>89.78</v>
      </c>
      <c r="R1035" s="6">
        <v>97.82</v>
      </c>
    </row>
    <row r="1036" spans="2:18">
      <c r="B1036" s="6">
        <v>32504</v>
      </c>
      <c r="C1036" s="6" t="s">
        <v>1006</v>
      </c>
      <c r="D1036" s="6">
        <v>0</v>
      </c>
      <c r="E1036" s="6">
        <v>0</v>
      </c>
      <c r="F1036" s="6">
        <v>99.04</v>
      </c>
      <c r="G1036" s="6">
        <v>0</v>
      </c>
      <c r="H1036" s="6">
        <v>0</v>
      </c>
      <c r="I1036" s="6">
        <v>98.31</v>
      </c>
      <c r="J1036" s="6">
        <v>0</v>
      </c>
      <c r="K1036" s="6">
        <v>95.84</v>
      </c>
      <c r="L1036" s="6">
        <v>98.21</v>
      </c>
      <c r="M1036" s="6">
        <v>0</v>
      </c>
      <c r="N1036" s="6">
        <v>95.84</v>
      </c>
      <c r="O1036" s="6">
        <v>98.21</v>
      </c>
      <c r="P1036" s="6">
        <v>0</v>
      </c>
      <c r="Q1036" s="6">
        <v>95.84</v>
      </c>
      <c r="R1036" s="6">
        <v>98.21</v>
      </c>
    </row>
    <row r="1037" spans="2:18">
      <c r="B1037" s="6">
        <v>32507</v>
      </c>
      <c r="C1037" s="6" t="s">
        <v>218</v>
      </c>
      <c r="D1037" s="6">
        <v>0</v>
      </c>
      <c r="E1037" s="6">
        <v>83.33</v>
      </c>
      <c r="F1037" s="6">
        <v>93.61</v>
      </c>
      <c r="G1037" s="6">
        <v>96.54</v>
      </c>
      <c r="H1037" s="6">
        <v>95.53</v>
      </c>
      <c r="I1037" s="6">
        <v>93.73</v>
      </c>
      <c r="J1037" s="6">
        <v>96.54</v>
      </c>
      <c r="K1037" s="6">
        <v>95.53</v>
      </c>
      <c r="L1037" s="6">
        <v>93.73</v>
      </c>
      <c r="M1037" s="6">
        <v>96.54</v>
      </c>
      <c r="N1037" s="6">
        <v>95.53</v>
      </c>
      <c r="O1037" s="6">
        <v>93.73</v>
      </c>
      <c r="P1037" s="6">
        <v>98.04</v>
      </c>
      <c r="Q1037" s="6">
        <v>98.09</v>
      </c>
      <c r="R1037" s="6">
        <v>97.91</v>
      </c>
    </row>
    <row r="1038" spans="2:18">
      <c r="B1038" s="6">
        <v>32507</v>
      </c>
      <c r="C1038" s="6" t="s">
        <v>218</v>
      </c>
      <c r="D1038" s="6">
        <v>0</v>
      </c>
      <c r="E1038" s="6">
        <v>96</v>
      </c>
      <c r="F1038" s="6">
        <v>97.85</v>
      </c>
      <c r="G1038" s="6">
        <v>95.22</v>
      </c>
      <c r="H1038" s="6">
        <v>95.27</v>
      </c>
      <c r="I1038" s="6">
        <v>92.98</v>
      </c>
      <c r="J1038" s="6">
        <v>95.22</v>
      </c>
      <c r="K1038" s="6">
        <v>95.27</v>
      </c>
      <c r="L1038" s="6">
        <v>92.98</v>
      </c>
      <c r="M1038" s="6">
        <v>98.62</v>
      </c>
      <c r="N1038" s="6">
        <v>98.46</v>
      </c>
      <c r="O1038" s="6">
        <v>98.28</v>
      </c>
      <c r="P1038" s="6">
        <v>98.52</v>
      </c>
      <c r="Q1038" s="6">
        <v>98.45</v>
      </c>
      <c r="R1038" s="6">
        <v>98.28</v>
      </c>
    </row>
    <row r="1039" spans="2:18">
      <c r="B1039" s="6">
        <v>32508</v>
      </c>
      <c r="C1039" s="6" t="s">
        <v>1140</v>
      </c>
      <c r="D1039" s="6">
        <v>0</v>
      </c>
      <c r="E1039" s="6">
        <v>0</v>
      </c>
      <c r="F1039" s="6">
        <v>98.96</v>
      </c>
      <c r="G1039" s="6">
        <v>98.48</v>
      </c>
      <c r="H1039" s="6">
        <v>98.4</v>
      </c>
      <c r="I1039" s="6">
        <v>98.25</v>
      </c>
      <c r="J1039" s="6">
        <v>98.64</v>
      </c>
      <c r="K1039" s="6">
        <v>98.48</v>
      </c>
      <c r="L1039" s="6">
        <v>98.3</v>
      </c>
      <c r="M1039" s="6">
        <v>98.62</v>
      </c>
      <c r="N1039" s="6">
        <v>98.46</v>
      </c>
      <c r="O1039" s="6">
        <v>98.28</v>
      </c>
      <c r="P1039" s="6">
        <v>98.52</v>
      </c>
      <c r="Q1039" s="6">
        <v>98.45</v>
      </c>
      <c r="R1039" s="6">
        <v>98.28</v>
      </c>
    </row>
    <row r="1040" spans="2:18">
      <c r="B1040" s="6">
        <v>32508</v>
      </c>
      <c r="C1040" s="6" t="s">
        <v>1140</v>
      </c>
      <c r="D1040" s="6">
        <v>0</v>
      </c>
      <c r="E1040" s="6">
        <v>0</v>
      </c>
      <c r="F1040" s="6">
        <v>98.97</v>
      </c>
      <c r="G1040" s="6">
        <v>98.72</v>
      </c>
      <c r="H1040" s="6">
        <v>98.71</v>
      </c>
      <c r="I1040" s="6">
        <v>98.75</v>
      </c>
      <c r="J1040" s="6">
        <v>98.77</v>
      </c>
      <c r="K1040" s="6">
        <v>98.75</v>
      </c>
      <c r="L1040" s="6">
        <v>98.72</v>
      </c>
      <c r="M1040" s="6">
        <v>98.71</v>
      </c>
      <c r="N1040" s="6">
        <v>98.7</v>
      </c>
      <c r="O1040" s="6">
        <v>98.68</v>
      </c>
      <c r="P1040" s="6">
        <v>98.71</v>
      </c>
      <c r="Q1040" s="6">
        <v>98.7</v>
      </c>
      <c r="R1040" s="6">
        <v>98.68</v>
      </c>
    </row>
    <row r="1041" spans="2:18">
      <c r="B1041" s="6">
        <v>32508</v>
      </c>
      <c r="C1041" s="6" t="s">
        <v>1140</v>
      </c>
      <c r="D1041" s="6">
        <v>0</v>
      </c>
      <c r="E1041" s="6">
        <v>0</v>
      </c>
      <c r="F1041" s="6">
        <v>97.5</v>
      </c>
      <c r="G1041" s="6">
        <v>97.43</v>
      </c>
      <c r="H1041" s="6">
        <v>97.49</v>
      </c>
      <c r="I1041" s="6">
        <v>97.36</v>
      </c>
      <c r="J1041" s="6">
        <v>97.72</v>
      </c>
      <c r="K1041" s="6">
        <v>97.84</v>
      </c>
      <c r="L1041" s="6">
        <v>97.75</v>
      </c>
      <c r="M1041" s="6">
        <v>97.72</v>
      </c>
      <c r="N1041" s="6">
        <v>97.83</v>
      </c>
      <c r="O1041" s="6">
        <v>97.74</v>
      </c>
      <c r="P1041" s="6">
        <v>97.73</v>
      </c>
      <c r="Q1041" s="6">
        <v>97.84</v>
      </c>
      <c r="R1041" s="6">
        <v>97.75</v>
      </c>
    </row>
    <row r="1042" spans="2:18">
      <c r="B1042" s="6">
        <v>32508</v>
      </c>
      <c r="C1042" s="6" t="s">
        <v>1140</v>
      </c>
      <c r="D1042" s="6">
        <v>0</v>
      </c>
      <c r="E1042" s="6">
        <v>0</v>
      </c>
      <c r="F1042" s="6">
        <v>98.95</v>
      </c>
      <c r="G1042" s="6">
        <v>97.88</v>
      </c>
      <c r="H1042" s="6">
        <v>97.7</v>
      </c>
      <c r="I1042" s="6">
        <v>97.56</v>
      </c>
      <c r="J1042" s="6">
        <v>98.01</v>
      </c>
      <c r="K1042" s="6">
        <v>97.7</v>
      </c>
      <c r="L1042" s="6">
        <v>97.61</v>
      </c>
      <c r="M1042" s="6">
        <v>98.02</v>
      </c>
      <c r="N1042" s="6">
        <v>97.7</v>
      </c>
      <c r="O1042" s="6">
        <v>97.61</v>
      </c>
      <c r="P1042" s="6">
        <v>98.02</v>
      </c>
      <c r="Q1042" s="6">
        <v>97.7</v>
      </c>
      <c r="R1042" s="6">
        <v>97.61</v>
      </c>
    </row>
    <row r="1043" spans="2:18">
      <c r="B1043" s="6">
        <v>32510</v>
      </c>
      <c r="C1043" s="6" t="s">
        <v>1046</v>
      </c>
      <c r="D1043" s="6">
        <v>0</v>
      </c>
      <c r="E1043" s="6">
        <v>0</v>
      </c>
      <c r="F1043" s="6">
        <v>98.94</v>
      </c>
      <c r="G1043" s="6">
        <v>98.74</v>
      </c>
      <c r="H1043" s="6">
        <v>98.55</v>
      </c>
      <c r="I1043" s="6">
        <v>98.22</v>
      </c>
      <c r="J1043" s="6">
        <v>98.64</v>
      </c>
      <c r="K1043" s="6">
        <v>98.48</v>
      </c>
      <c r="L1043" s="6">
        <v>98.3</v>
      </c>
      <c r="M1043" s="6">
        <v>98.62</v>
      </c>
      <c r="N1043" s="6">
        <v>98.46</v>
      </c>
      <c r="O1043" s="6">
        <v>98.28</v>
      </c>
      <c r="P1043" s="6">
        <v>98.52</v>
      </c>
      <c r="Q1043" s="6">
        <v>98.45</v>
      </c>
      <c r="R1043" s="6">
        <v>98.28</v>
      </c>
    </row>
    <row r="1044" spans="2:18">
      <c r="B1044" s="6">
        <v>32510</v>
      </c>
      <c r="C1044" s="6" t="s">
        <v>1046</v>
      </c>
      <c r="D1044" s="6">
        <v>0</v>
      </c>
      <c r="E1044" s="6">
        <v>0</v>
      </c>
      <c r="F1044" s="6">
        <v>98.95</v>
      </c>
      <c r="G1044" s="6">
        <v>98.78</v>
      </c>
      <c r="H1044" s="6">
        <v>98.67</v>
      </c>
      <c r="I1044" s="6">
        <v>98.6</v>
      </c>
      <c r="J1044" s="6">
        <v>98.77</v>
      </c>
      <c r="K1044" s="6">
        <v>98.75</v>
      </c>
      <c r="L1044" s="6">
        <v>98.72</v>
      </c>
      <c r="M1044" s="6">
        <v>98.71</v>
      </c>
      <c r="N1044" s="6">
        <v>98.7</v>
      </c>
      <c r="O1044" s="6">
        <v>98.68</v>
      </c>
      <c r="P1044" s="6">
        <v>98.71</v>
      </c>
      <c r="Q1044" s="6">
        <v>98.7</v>
      </c>
      <c r="R1044" s="6">
        <v>98.68</v>
      </c>
    </row>
    <row r="1045" spans="2:18">
      <c r="B1045" s="6">
        <v>32510</v>
      </c>
      <c r="C1045" s="6" t="s">
        <v>1046</v>
      </c>
      <c r="D1045" s="6">
        <v>0</v>
      </c>
      <c r="E1045" s="6">
        <v>0</v>
      </c>
      <c r="F1045" s="6">
        <v>97.44</v>
      </c>
      <c r="G1045" s="6">
        <v>97.49</v>
      </c>
      <c r="H1045" s="6">
        <v>97.66</v>
      </c>
      <c r="I1045" s="6">
        <v>97.52</v>
      </c>
      <c r="J1045" s="6">
        <v>97.72</v>
      </c>
      <c r="K1045" s="6">
        <v>97.84</v>
      </c>
      <c r="L1045" s="6">
        <v>97.75</v>
      </c>
      <c r="M1045" s="6">
        <v>97.72</v>
      </c>
      <c r="N1045" s="6">
        <v>97.83</v>
      </c>
      <c r="O1045" s="6">
        <v>97.74</v>
      </c>
      <c r="P1045" s="6">
        <v>97.73</v>
      </c>
      <c r="Q1045" s="6">
        <v>97.84</v>
      </c>
      <c r="R1045" s="6">
        <v>97.75</v>
      </c>
    </row>
    <row r="1046" spans="2:18">
      <c r="B1046" s="6">
        <v>32510</v>
      </c>
      <c r="C1046" s="6" t="s">
        <v>1046</v>
      </c>
      <c r="D1046" s="6">
        <v>0</v>
      </c>
      <c r="E1046" s="6">
        <v>0</v>
      </c>
      <c r="F1046" s="6">
        <v>98.92</v>
      </c>
      <c r="G1046" s="6">
        <v>98.15</v>
      </c>
      <c r="H1046" s="6">
        <v>97.53</v>
      </c>
      <c r="I1046" s="6">
        <v>97.49</v>
      </c>
      <c r="J1046" s="6">
        <v>98.01</v>
      </c>
      <c r="K1046" s="6">
        <v>97.7</v>
      </c>
      <c r="L1046" s="6">
        <v>97.61</v>
      </c>
      <c r="M1046" s="6">
        <v>98.02</v>
      </c>
      <c r="N1046" s="6">
        <v>97.7</v>
      </c>
      <c r="O1046" s="6">
        <v>97.61</v>
      </c>
      <c r="P1046" s="6">
        <v>98.02</v>
      </c>
      <c r="Q1046" s="6">
        <v>97.7</v>
      </c>
      <c r="R1046" s="6">
        <v>97.61</v>
      </c>
    </row>
    <row r="1047" spans="2:18">
      <c r="B1047" s="6">
        <v>32513</v>
      </c>
      <c r="C1047" s="6" t="s">
        <v>1080</v>
      </c>
      <c r="D1047" s="6">
        <v>0</v>
      </c>
      <c r="E1047" s="6">
        <v>0</v>
      </c>
      <c r="F1047" s="6">
        <v>97.66</v>
      </c>
      <c r="G1047" s="6">
        <v>98.74</v>
      </c>
      <c r="H1047" s="6">
        <v>98.55</v>
      </c>
      <c r="I1047" s="6">
        <v>98.22</v>
      </c>
      <c r="J1047" s="6">
        <v>98.64</v>
      </c>
      <c r="K1047" s="6">
        <v>98.48</v>
      </c>
      <c r="L1047" s="6">
        <v>98.3</v>
      </c>
      <c r="M1047" s="6">
        <v>98.62</v>
      </c>
      <c r="N1047" s="6">
        <v>98.46</v>
      </c>
      <c r="O1047" s="6">
        <v>98.28</v>
      </c>
      <c r="P1047" s="6">
        <v>98.52</v>
      </c>
      <c r="Q1047" s="6">
        <v>98.45</v>
      </c>
      <c r="R1047" s="6">
        <v>98.28</v>
      </c>
    </row>
    <row r="1048" spans="2:18">
      <c r="B1048" s="6">
        <v>32513</v>
      </c>
      <c r="C1048" s="6" t="s">
        <v>1080</v>
      </c>
      <c r="D1048" s="6">
        <v>0</v>
      </c>
      <c r="E1048" s="6">
        <v>0</v>
      </c>
      <c r="F1048" s="6">
        <v>98.84</v>
      </c>
      <c r="G1048" s="6">
        <v>98.78</v>
      </c>
      <c r="H1048" s="6">
        <v>98.67</v>
      </c>
      <c r="I1048" s="6">
        <v>98.6</v>
      </c>
      <c r="J1048" s="6">
        <v>98.77</v>
      </c>
      <c r="K1048" s="6">
        <v>98.75</v>
      </c>
      <c r="L1048" s="6">
        <v>98.72</v>
      </c>
      <c r="M1048" s="6">
        <v>98.71</v>
      </c>
      <c r="N1048" s="6">
        <v>98.7</v>
      </c>
      <c r="O1048" s="6">
        <v>98.68</v>
      </c>
      <c r="P1048" s="6">
        <v>98.71</v>
      </c>
      <c r="Q1048" s="6">
        <v>98.7</v>
      </c>
      <c r="R1048" s="6">
        <v>98.68</v>
      </c>
    </row>
    <row r="1049" spans="2:18">
      <c r="B1049" s="6">
        <v>32513</v>
      </c>
      <c r="C1049" s="6" t="s">
        <v>1080</v>
      </c>
      <c r="D1049" s="6">
        <v>0</v>
      </c>
      <c r="E1049" s="6">
        <v>0</v>
      </c>
      <c r="F1049" s="6">
        <v>97.19</v>
      </c>
      <c r="G1049" s="6">
        <v>97.49</v>
      </c>
      <c r="H1049" s="6">
        <v>97.66</v>
      </c>
      <c r="I1049" s="6">
        <v>97.52</v>
      </c>
      <c r="J1049" s="6">
        <v>97.72</v>
      </c>
      <c r="K1049" s="6">
        <v>97.84</v>
      </c>
      <c r="L1049" s="6">
        <v>97.75</v>
      </c>
      <c r="M1049" s="6">
        <v>97.72</v>
      </c>
      <c r="N1049" s="6">
        <v>97.83</v>
      </c>
      <c r="O1049" s="6">
        <v>97.74</v>
      </c>
      <c r="P1049" s="6">
        <v>97.73</v>
      </c>
      <c r="Q1049" s="6">
        <v>97.84</v>
      </c>
      <c r="R1049" s="6">
        <v>97.75</v>
      </c>
    </row>
    <row r="1050" spans="2:18">
      <c r="B1050" s="6">
        <v>32513</v>
      </c>
      <c r="C1050" s="6" t="s">
        <v>1080</v>
      </c>
      <c r="D1050" s="6">
        <v>0</v>
      </c>
      <c r="E1050" s="6">
        <v>0</v>
      </c>
      <c r="F1050" s="6">
        <v>97.6</v>
      </c>
      <c r="G1050" s="6">
        <v>98.15</v>
      </c>
      <c r="H1050" s="6">
        <v>97.53</v>
      </c>
      <c r="I1050" s="6">
        <v>97.49</v>
      </c>
      <c r="J1050" s="6">
        <v>98.01</v>
      </c>
      <c r="K1050" s="6">
        <v>97.7</v>
      </c>
      <c r="L1050" s="6">
        <v>97.61</v>
      </c>
      <c r="M1050" s="6">
        <v>98.02</v>
      </c>
      <c r="N1050" s="6">
        <v>97.7</v>
      </c>
      <c r="O1050" s="6">
        <v>97.61</v>
      </c>
      <c r="P1050" s="6">
        <v>98.02</v>
      </c>
      <c r="Q1050" s="6">
        <v>97.7</v>
      </c>
      <c r="R1050" s="6">
        <v>97.61</v>
      </c>
    </row>
    <row r="1051" spans="2:18">
      <c r="B1051" s="6">
        <v>32521</v>
      </c>
      <c r="C1051" s="6" t="s">
        <v>1114</v>
      </c>
      <c r="D1051" s="6">
        <v>98.71</v>
      </c>
      <c r="E1051" s="6">
        <v>98.89</v>
      </c>
      <c r="F1051" s="6">
        <v>98.89</v>
      </c>
      <c r="G1051" s="6">
        <v>98.74</v>
      </c>
      <c r="H1051" s="6">
        <v>98.55</v>
      </c>
      <c r="I1051" s="6">
        <v>98.22</v>
      </c>
      <c r="J1051" s="6">
        <v>98.64</v>
      </c>
      <c r="K1051" s="6">
        <v>98.48</v>
      </c>
      <c r="L1051" s="6">
        <v>98.3</v>
      </c>
      <c r="M1051" s="6">
        <v>98.62</v>
      </c>
      <c r="N1051" s="6">
        <v>98.46</v>
      </c>
      <c r="O1051" s="6">
        <v>98.28</v>
      </c>
      <c r="P1051" s="6">
        <v>98.52</v>
      </c>
      <c r="Q1051" s="6">
        <v>98.45</v>
      </c>
      <c r="R1051" s="6">
        <v>98.28</v>
      </c>
    </row>
    <row r="1052" spans="2:18">
      <c r="B1052" s="6">
        <v>32521</v>
      </c>
      <c r="C1052" s="6" t="s">
        <v>1114</v>
      </c>
      <c r="D1052" s="6">
        <v>98.73</v>
      </c>
      <c r="E1052" s="6">
        <v>98.9</v>
      </c>
      <c r="F1052" s="6">
        <v>98.9</v>
      </c>
      <c r="G1052" s="6">
        <v>98.85</v>
      </c>
      <c r="H1052" s="6">
        <v>98.85</v>
      </c>
      <c r="I1052" s="6">
        <v>98.64</v>
      </c>
      <c r="J1052" s="6">
        <v>98.86</v>
      </c>
      <c r="K1052" s="6">
        <v>98.85</v>
      </c>
      <c r="L1052" s="6">
        <v>98.75</v>
      </c>
      <c r="M1052" s="6">
        <v>98.86</v>
      </c>
      <c r="N1052" s="6">
        <v>98.82</v>
      </c>
      <c r="O1052" s="6">
        <v>98.74</v>
      </c>
      <c r="P1052" s="6">
        <v>98.83</v>
      </c>
      <c r="Q1052" s="6">
        <v>98.81</v>
      </c>
      <c r="R1052" s="6">
        <v>98.73</v>
      </c>
    </row>
    <row r="1053" spans="2:18">
      <c r="B1053" s="6">
        <v>32521</v>
      </c>
      <c r="C1053" s="6" t="s">
        <v>1114</v>
      </c>
      <c r="D1053" s="6">
        <v>98.33</v>
      </c>
      <c r="E1053" s="6">
        <v>98.06</v>
      </c>
      <c r="F1053" s="6">
        <v>98.06</v>
      </c>
      <c r="G1053" s="6">
        <v>97.49</v>
      </c>
      <c r="H1053" s="6">
        <v>97.66</v>
      </c>
      <c r="I1053" s="6">
        <v>97.52</v>
      </c>
      <c r="J1053" s="6">
        <v>97.72</v>
      </c>
      <c r="K1053" s="6">
        <v>97.84</v>
      </c>
      <c r="L1053" s="6">
        <v>97.75</v>
      </c>
      <c r="M1053" s="6">
        <v>97.72</v>
      </c>
      <c r="N1053" s="6">
        <v>97.83</v>
      </c>
      <c r="O1053" s="6">
        <v>97.74</v>
      </c>
      <c r="P1053" s="6">
        <v>97.73</v>
      </c>
      <c r="Q1053" s="6">
        <v>97.84</v>
      </c>
      <c r="R1053" s="6">
        <v>97.75</v>
      </c>
    </row>
    <row r="1054" spans="2:18">
      <c r="B1054" s="6">
        <v>32521</v>
      </c>
      <c r="C1054" s="6" t="s">
        <v>1114</v>
      </c>
      <c r="D1054" s="6">
        <v>98.26</v>
      </c>
      <c r="E1054" s="6">
        <v>98.2</v>
      </c>
      <c r="F1054" s="6">
        <v>98.2</v>
      </c>
      <c r="G1054" s="6">
        <v>98.15</v>
      </c>
      <c r="H1054" s="6">
        <v>97.53</v>
      </c>
      <c r="I1054" s="6">
        <v>97.49</v>
      </c>
      <c r="J1054" s="6">
        <v>98.01</v>
      </c>
      <c r="K1054" s="6">
        <v>97.7</v>
      </c>
      <c r="L1054" s="6">
        <v>97.61</v>
      </c>
      <c r="M1054" s="6">
        <v>98.02</v>
      </c>
      <c r="N1054" s="6">
        <v>97.7</v>
      </c>
      <c r="O1054" s="6">
        <v>97.61</v>
      </c>
      <c r="P1054" s="6">
        <v>98.02</v>
      </c>
      <c r="Q1054" s="6">
        <v>97.7</v>
      </c>
      <c r="R1054" s="6">
        <v>97.61</v>
      </c>
    </row>
    <row r="1055" spans="2:18">
      <c r="B1055" s="6">
        <v>32522</v>
      </c>
      <c r="C1055" s="6" t="s">
        <v>1138</v>
      </c>
      <c r="D1055" s="6">
        <v>98.83</v>
      </c>
      <c r="E1055" s="6">
        <v>98.19</v>
      </c>
      <c r="F1055" s="6">
        <v>98.02</v>
      </c>
      <c r="G1055" s="6">
        <v>98.74</v>
      </c>
      <c r="H1055" s="6">
        <v>98.55</v>
      </c>
      <c r="I1055" s="6">
        <v>98.22</v>
      </c>
      <c r="J1055" s="6">
        <v>98.64</v>
      </c>
      <c r="K1055" s="6">
        <v>98.48</v>
      </c>
      <c r="L1055" s="6">
        <v>98.3</v>
      </c>
      <c r="M1055" s="6">
        <v>98.62</v>
      </c>
      <c r="N1055" s="6">
        <v>98.46</v>
      </c>
      <c r="O1055" s="6">
        <v>98.28</v>
      </c>
      <c r="P1055" s="6">
        <v>98.52</v>
      </c>
      <c r="Q1055" s="6">
        <v>98.45</v>
      </c>
      <c r="R1055" s="6">
        <v>98.28</v>
      </c>
    </row>
    <row r="1056" spans="2:18">
      <c r="B1056" s="6">
        <v>32522</v>
      </c>
      <c r="C1056" s="6" t="s">
        <v>1138</v>
      </c>
      <c r="D1056" s="6">
        <v>98.85</v>
      </c>
      <c r="E1056" s="6">
        <v>98.68</v>
      </c>
      <c r="F1056" s="6">
        <v>98.46</v>
      </c>
      <c r="G1056" s="6">
        <v>98.85</v>
      </c>
      <c r="H1056" s="6">
        <v>98.85</v>
      </c>
      <c r="I1056" s="6">
        <v>98.64</v>
      </c>
      <c r="J1056" s="6">
        <v>98.86</v>
      </c>
      <c r="K1056" s="6">
        <v>98.85</v>
      </c>
      <c r="L1056" s="6">
        <v>98.75</v>
      </c>
      <c r="M1056" s="6">
        <v>98.86</v>
      </c>
      <c r="N1056" s="6">
        <v>98.82</v>
      </c>
      <c r="O1056" s="6">
        <v>98.74</v>
      </c>
      <c r="P1056" s="6">
        <v>98.83</v>
      </c>
      <c r="Q1056" s="6">
        <v>98.81</v>
      </c>
      <c r="R1056" s="6">
        <v>98.73</v>
      </c>
    </row>
    <row r="1057" spans="2:18">
      <c r="B1057" s="6">
        <v>32522</v>
      </c>
      <c r="C1057" s="6" t="s">
        <v>1138</v>
      </c>
      <c r="D1057" s="6">
        <v>97.53</v>
      </c>
      <c r="E1057" s="6">
        <v>97.51</v>
      </c>
      <c r="F1057" s="6">
        <v>97.33</v>
      </c>
      <c r="G1057" s="6">
        <v>97.49</v>
      </c>
      <c r="H1057" s="6">
        <v>97.66</v>
      </c>
      <c r="I1057" s="6">
        <v>97.52</v>
      </c>
      <c r="J1057" s="6">
        <v>97.72</v>
      </c>
      <c r="K1057" s="6">
        <v>97.84</v>
      </c>
      <c r="L1057" s="6">
        <v>97.75</v>
      </c>
      <c r="M1057" s="6">
        <v>97.72</v>
      </c>
      <c r="N1057" s="6">
        <v>97.83</v>
      </c>
      <c r="O1057" s="6">
        <v>97.74</v>
      </c>
      <c r="P1057" s="6">
        <v>97.73</v>
      </c>
      <c r="Q1057" s="6">
        <v>97.84</v>
      </c>
      <c r="R1057" s="6">
        <v>97.75</v>
      </c>
    </row>
    <row r="1058" spans="2:18">
      <c r="B1058" s="6">
        <v>32522</v>
      </c>
      <c r="C1058" s="6" t="s">
        <v>1138</v>
      </c>
      <c r="D1058" s="6">
        <v>97.72</v>
      </c>
      <c r="E1058" s="6">
        <v>97.28</v>
      </c>
      <c r="F1058" s="6">
        <v>95.75</v>
      </c>
      <c r="G1058" s="6">
        <v>98.15</v>
      </c>
      <c r="H1058" s="6">
        <v>97.53</v>
      </c>
      <c r="I1058" s="6">
        <v>97.49</v>
      </c>
      <c r="J1058" s="6">
        <v>98.01</v>
      </c>
      <c r="K1058" s="6">
        <v>97.7</v>
      </c>
      <c r="L1058" s="6">
        <v>97.61</v>
      </c>
      <c r="M1058" s="6">
        <v>98.02</v>
      </c>
      <c r="N1058" s="6">
        <v>97.7</v>
      </c>
      <c r="O1058" s="6">
        <v>97.61</v>
      </c>
      <c r="P1058" s="6">
        <v>98.02</v>
      </c>
      <c r="Q1058" s="6">
        <v>97.7</v>
      </c>
      <c r="R1058" s="6">
        <v>97.61</v>
      </c>
    </row>
    <row r="1059" spans="2:18">
      <c r="B1059" s="6">
        <v>32523</v>
      </c>
      <c r="C1059" s="6" t="s">
        <v>1126</v>
      </c>
      <c r="D1059" s="6">
        <v>0</v>
      </c>
      <c r="E1059" s="6">
        <v>98.28</v>
      </c>
      <c r="F1059" s="6">
        <v>98.28</v>
      </c>
      <c r="G1059" s="6">
        <v>98.74</v>
      </c>
      <c r="H1059" s="6">
        <v>98.55</v>
      </c>
      <c r="I1059" s="6">
        <v>98.22</v>
      </c>
      <c r="J1059" s="6">
        <v>98.64</v>
      </c>
      <c r="K1059" s="6">
        <v>98.48</v>
      </c>
      <c r="L1059" s="6">
        <v>98.3</v>
      </c>
      <c r="M1059" s="6">
        <v>98.62</v>
      </c>
      <c r="N1059" s="6">
        <v>98.46</v>
      </c>
      <c r="O1059" s="6">
        <v>98.28</v>
      </c>
      <c r="P1059" s="6">
        <v>98.52</v>
      </c>
      <c r="Q1059" s="6">
        <v>98.45</v>
      </c>
      <c r="R1059" s="6">
        <v>98.28</v>
      </c>
    </row>
    <row r="1060" spans="2:18">
      <c r="B1060" s="6">
        <v>32523</v>
      </c>
      <c r="C1060" s="6" t="s">
        <v>1126</v>
      </c>
      <c r="D1060" s="6">
        <v>0</v>
      </c>
      <c r="E1060" s="6">
        <v>99.15</v>
      </c>
      <c r="F1060" s="6">
        <v>99.15</v>
      </c>
      <c r="G1060" s="6">
        <v>98.85</v>
      </c>
      <c r="H1060" s="6">
        <v>98.85</v>
      </c>
      <c r="I1060" s="6">
        <v>98.64</v>
      </c>
      <c r="J1060" s="6">
        <v>98.86</v>
      </c>
      <c r="K1060" s="6">
        <v>98.85</v>
      </c>
      <c r="L1060" s="6">
        <v>98.75</v>
      </c>
      <c r="M1060" s="6">
        <v>98.86</v>
      </c>
      <c r="N1060" s="6">
        <v>98.82</v>
      </c>
      <c r="O1060" s="6">
        <v>98.74</v>
      </c>
      <c r="P1060" s="6">
        <v>98.83</v>
      </c>
      <c r="Q1060" s="6">
        <v>98.81</v>
      </c>
      <c r="R1060" s="6">
        <v>98.73</v>
      </c>
    </row>
    <row r="1061" spans="2:18">
      <c r="B1061" s="6">
        <v>32523</v>
      </c>
      <c r="C1061" s="6" t="s">
        <v>1126</v>
      </c>
      <c r="D1061" s="6">
        <v>0</v>
      </c>
      <c r="E1061" s="6">
        <v>97.92</v>
      </c>
      <c r="F1061" s="6">
        <v>97.92</v>
      </c>
      <c r="G1061" s="6">
        <v>97.49</v>
      </c>
      <c r="H1061" s="6">
        <v>97.66</v>
      </c>
      <c r="I1061" s="6">
        <v>97.52</v>
      </c>
      <c r="J1061" s="6">
        <v>97.72</v>
      </c>
      <c r="K1061" s="6">
        <v>97.84</v>
      </c>
      <c r="L1061" s="6">
        <v>97.75</v>
      </c>
      <c r="M1061" s="6">
        <v>97.72</v>
      </c>
      <c r="N1061" s="6">
        <v>97.83</v>
      </c>
      <c r="O1061" s="6">
        <v>97.74</v>
      </c>
      <c r="P1061" s="6">
        <v>97.73</v>
      </c>
      <c r="Q1061" s="6">
        <v>97.84</v>
      </c>
      <c r="R1061" s="6">
        <v>97.75</v>
      </c>
    </row>
    <row r="1062" spans="2:18">
      <c r="B1062" s="6">
        <v>32523</v>
      </c>
      <c r="C1062" s="6" t="s">
        <v>1126</v>
      </c>
      <c r="D1062" s="6">
        <v>0</v>
      </c>
      <c r="E1062" s="6">
        <v>98.25</v>
      </c>
      <c r="F1062" s="6">
        <v>98.25</v>
      </c>
      <c r="G1062" s="6">
        <v>98.15</v>
      </c>
      <c r="H1062" s="6">
        <v>97.53</v>
      </c>
      <c r="I1062" s="6">
        <v>97.49</v>
      </c>
      <c r="J1062" s="6">
        <v>98.01</v>
      </c>
      <c r="K1062" s="6">
        <v>97.7</v>
      </c>
      <c r="L1062" s="6">
        <v>97.61</v>
      </c>
      <c r="M1062" s="6">
        <v>98.02</v>
      </c>
      <c r="N1062" s="6">
        <v>97.7</v>
      </c>
      <c r="O1062" s="6">
        <v>97.61</v>
      </c>
      <c r="P1062" s="6">
        <v>98.02</v>
      </c>
      <c r="Q1062" s="6">
        <v>97.7</v>
      </c>
      <c r="R1062" s="6">
        <v>97.61</v>
      </c>
    </row>
    <row r="1063" spans="2:18">
      <c r="B1063" s="6">
        <v>32524</v>
      </c>
      <c r="C1063" s="6" t="s">
        <v>1059</v>
      </c>
      <c r="D1063" s="6">
        <v>98.78</v>
      </c>
      <c r="E1063" s="6">
        <v>98.42</v>
      </c>
      <c r="F1063" s="6">
        <v>97.62</v>
      </c>
      <c r="G1063" s="6">
        <v>98.74</v>
      </c>
      <c r="H1063" s="6">
        <v>98.55</v>
      </c>
      <c r="I1063" s="6">
        <v>98.22</v>
      </c>
      <c r="J1063" s="6">
        <v>98.64</v>
      </c>
      <c r="K1063" s="6">
        <v>98.48</v>
      </c>
      <c r="L1063" s="6">
        <v>98.3</v>
      </c>
      <c r="M1063" s="6">
        <v>98.62</v>
      </c>
      <c r="N1063" s="6">
        <v>98.46</v>
      </c>
      <c r="O1063" s="6">
        <v>98.28</v>
      </c>
      <c r="P1063" s="6">
        <v>98.52</v>
      </c>
      <c r="Q1063" s="6">
        <v>98.45</v>
      </c>
      <c r="R1063" s="6">
        <v>98.28</v>
      </c>
    </row>
    <row r="1064" spans="2:18">
      <c r="B1064" s="6">
        <v>32524</v>
      </c>
      <c r="C1064" s="6" t="s">
        <v>1059</v>
      </c>
      <c r="D1064" s="6">
        <v>98.79</v>
      </c>
      <c r="E1064" s="6">
        <v>98.64</v>
      </c>
      <c r="F1064" s="6">
        <v>98.61</v>
      </c>
      <c r="G1064" s="6">
        <v>98.85</v>
      </c>
      <c r="H1064" s="6">
        <v>98.85</v>
      </c>
      <c r="I1064" s="6">
        <v>98.64</v>
      </c>
      <c r="J1064" s="6">
        <v>98.86</v>
      </c>
      <c r="K1064" s="6">
        <v>98.85</v>
      </c>
      <c r="L1064" s="6">
        <v>98.75</v>
      </c>
      <c r="M1064" s="6">
        <v>98.86</v>
      </c>
      <c r="N1064" s="6">
        <v>98.82</v>
      </c>
      <c r="O1064" s="6">
        <v>98.74</v>
      </c>
      <c r="P1064" s="6">
        <v>98.83</v>
      </c>
      <c r="Q1064" s="6">
        <v>98.81</v>
      </c>
      <c r="R1064" s="6">
        <v>98.73</v>
      </c>
    </row>
    <row r="1065" spans="2:18">
      <c r="B1065" s="6">
        <v>32524</v>
      </c>
      <c r="C1065" s="6" t="s">
        <v>1059</v>
      </c>
      <c r="D1065" s="6">
        <v>98.07</v>
      </c>
      <c r="E1065" s="6">
        <v>98.18</v>
      </c>
      <c r="F1065" s="6">
        <v>97.95</v>
      </c>
      <c r="G1065" s="6">
        <v>97.49</v>
      </c>
      <c r="H1065" s="6">
        <v>97.66</v>
      </c>
      <c r="I1065" s="6">
        <v>97.52</v>
      </c>
      <c r="J1065" s="6">
        <v>97.72</v>
      </c>
      <c r="K1065" s="6">
        <v>97.84</v>
      </c>
      <c r="L1065" s="6">
        <v>97.75</v>
      </c>
      <c r="M1065" s="6">
        <v>97.72</v>
      </c>
      <c r="N1065" s="6">
        <v>97.83</v>
      </c>
      <c r="O1065" s="6">
        <v>97.74</v>
      </c>
      <c r="P1065" s="6">
        <v>97.73</v>
      </c>
      <c r="Q1065" s="6">
        <v>97.84</v>
      </c>
      <c r="R1065" s="6">
        <v>97.75</v>
      </c>
    </row>
    <row r="1066" spans="2:18">
      <c r="B1066" s="6">
        <v>32524</v>
      </c>
      <c r="C1066" s="6" t="s">
        <v>1059</v>
      </c>
      <c r="D1066" s="6">
        <v>97.83</v>
      </c>
      <c r="E1066" s="6">
        <v>97.59</v>
      </c>
      <c r="F1066" s="6">
        <v>97.53</v>
      </c>
      <c r="G1066" s="6">
        <v>98.15</v>
      </c>
      <c r="H1066" s="6">
        <v>97.53</v>
      </c>
      <c r="I1066" s="6">
        <v>97.49</v>
      </c>
      <c r="J1066" s="6">
        <v>98.01</v>
      </c>
      <c r="K1066" s="6">
        <v>97.7</v>
      </c>
      <c r="L1066" s="6">
        <v>97.61</v>
      </c>
      <c r="M1066" s="6">
        <v>98.02</v>
      </c>
      <c r="N1066" s="6">
        <v>97.7</v>
      </c>
      <c r="O1066" s="6">
        <v>97.61</v>
      </c>
      <c r="P1066" s="6">
        <v>98.02</v>
      </c>
      <c r="Q1066" s="6">
        <v>97.7</v>
      </c>
      <c r="R1066" s="6">
        <v>97.61</v>
      </c>
    </row>
    <row r="1067" spans="2:18">
      <c r="B1067" s="6">
        <v>32528</v>
      </c>
      <c r="C1067" s="6" t="s">
        <v>74</v>
      </c>
      <c r="D1067" s="6">
        <v>99.33</v>
      </c>
      <c r="E1067" s="6">
        <v>99.24</v>
      </c>
      <c r="F1067" s="6">
        <v>99.26</v>
      </c>
      <c r="G1067" s="6">
        <v>99.09</v>
      </c>
      <c r="H1067" s="6">
        <v>98.98</v>
      </c>
      <c r="I1067" s="6">
        <v>98.98</v>
      </c>
      <c r="J1067" s="6">
        <v>98.94</v>
      </c>
      <c r="K1067" s="6">
        <v>99.02</v>
      </c>
      <c r="L1067" s="6">
        <v>99.03</v>
      </c>
      <c r="M1067" s="6">
        <v>98.93</v>
      </c>
      <c r="N1067" s="6">
        <v>99.01</v>
      </c>
      <c r="O1067" s="6">
        <v>99.01</v>
      </c>
      <c r="P1067" s="6">
        <v>99.05</v>
      </c>
      <c r="Q1067" s="6">
        <v>99.16</v>
      </c>
      <c r="R1067" s="6">
        <v>99.16</v>
      </c>
    </row>
    <row r="1068" spans="2:18">
      <c r="B1068" s="6">
        <v>32528</v>
      </c>
      <c r="C1068" s="6" t="s">
        <v>74</v>
      </c>
      <c r="D1068" s="6">
        <v>97.99</v>
      </c>
      <c r="E1068" s="6">
        <v>97.89</v>
      </c>
      <c r="F1068" s="6">
        <v>98.17</v>
      </c>
      <c r="G1068" s="6">
        <v>97.65</v>
      </c>
      <c r="H1068" s="6">
        <v>97.65</v>
      </c>
      <c r="I1068" s="6">
        <v>96.92</v>
      </c>
      <c r="J1068" s="6">
        <v>98.44</v>
      </c>
      <c r="K1068" s="6">
        <v>98.01</v>
      </c>
      <c r="L1068" s="6">
        <v>98.17</v>
      </c>
      <c r="M1068" s="6">
        <v>98.29</v>
      </c>
      <c r="N1068" s="6">
        <v>97.91</v>
      </c>
      <c r="O1068" s="6">
        <v>97.88</v>
      </c>
      <c r="P1068" s="6">
        <v>98.29</v>
      </c>
      <c r="Q1068" s="6">
        <v>97.91</v>
      </c>
      <c r="R1068" s="6">
        <v>97.88</v>
      </c>
    </row>
    <row r="1069" spans="2:18">
      <c r="B1069" s="6">
        <v>32530</v>
      </c>
      <c r="C1069" s="6" t="s">
        <v>202</v>
      </c>
      <c r="D1069" s="6">
        <v>0</v>
      </c>
      <c r="E1069" s="6">
        <v>98.47</v>
      </c>
      <c r="F1069" s="6">
        <v>98.47</v>
      </c>
      <c r="G1069" s="6">
        <v>98.74</v>
      </c>
      <c r="H1069" s="6">
        <v>98.55</v>
      </c>
      <c r="I1069" s="6">
        <v>98.22</v>
      </c>
      <c r="J1069" s="6">
        <v>98.64</v>
      </c>
      <c r="K1069" s="6">
        <v>98.48</v>
      </c>
      <c r="L1069" s="6">
        <v>98.3</v>
      </c>
      <c r="M1069" s="6">
        <v>98.62</v>
      </c>
      <c r="N1069" s="6">
        <v>98.46</v>
      </c>
      <c r="O1069" s="6">
        <v>98.28</v>
      </c>
      <c r="P1069" s="6">
        <v>98.52</v>
      </c>
      <c r="Q1069" s="6">
        <v>98.45</v>
      </c>
      <c r="R1069" s="6">
        <v>98.28</v>
      </c>
    </row>
    <row r="1070" spans="2:18">
      <c r="B1070" s="6">
        <v>32530</v>
      </c>
      <c r="C1070" s="6" t="s">
        <v>202</v>
      </c>
      <c r="D1070" s="6">
        <v>0</v>
      </c>
      <c r="E1070" s="6">
        <v>98.5</v>
      </c>
      <c r="F1070" s="6">
        <v>98.5</v>
      </c>
      <c r="G1070" s="6">
        <v>98.85</v>
      </c>
      <c r="H1070" s="6">
        <v>98.85</v>
      </c>
      <c r="I1070" s="6">
        <v>98.64</v>
      </c>
      <c r="J1070" s="6">
        <v>98.86</v>
      </c>
      <c r="K1070" s="6">
        <v>98.85</v>
      </c>
      <c r="L1070" s="6">
        <v>98.75</v>
      </c>
      <c r="M1070" s="6">
        <v>98.86</v>
      </c>
      <c r="N1070" s="6">
        <v>98.82</v>
      </c>
      <c r="O1070" s="6">
        <v>98.74</v>
      </c>
      <c r="P1070" s="6">
        <v>98.83</v>
      </c>
      <c r="Q1070" s="6">
        <v>98.81</v>
      </c>
      <c r="R1070" s="6">
        <v>98.73</v>
      </c>
    </row>
    <row r="1071" spans="2:18">
      <c r="B1071" s="6">
        <v>32530</v>
      </c>
      <c r="C1071" s="6" t="s">
        <v>202</v>
      </c>
      <c r="D1071" s="6">
        <v>0</v>
      </c>
      <c r="E1071" s="6">
        <v>98.28</v>
      </c>
      <c r="F1071" s="6">
        <v>98.28</v>
      </c>
      <c r="G1071" s="6">
        <v>97.49</v>
      </c>
      <c r="H1071" s="6">
        <v>97.66</v>
      </c>
      <c r="I1071" s="6">
        <v>97.52</v>
      </c>
      <c r="J1071" s="6">
        <v>97.72</v>
      </c>
      <c r="K1071" s="6">
        <v>97.84</v>
      </c>
      <c r="L1071" s="6">
        <v>97.75</v>
      </c>
      <c r="M1071" s="6">
        <v>97.72</v>
      </c>
      <c r="N1071" s="6">
        <v>97.83</v>
      </c>
      <c r="O1071" s="6">
        <v>97.74</v>
      </c>
      <c r="P1071" s="6">
        <v>97.73</v>
      </c>
      <c r="Q1071" s="6">
        <v>97.84</v>
      </c>
      <c r="R1071" s="6">
        <v>97.75</v>
      </c>
    </row>
    <row r="1072" spans="2:18">
      <c r="B1072" s="6">
        <v>32530</v>
      </c>
      <c r="C1072" s="6" t="s">
        <v>202</v>
      </c>
      <c r="D1072" s="6">
        <v>0</v>
      </c>
      <c r="E1072" s="6">
        <v>98.71</v>
      </c>
      <c r="F1072" s="6">
        <v>98.71</v>
      </c>
      <c r="G1072" s="6">
        <v>98.15</v>
      </c>
      <c r="H1072" s="6">
        <v>97.53</v>
      </c>
      <c r="I1072" s="6">
        <v>97.49</v>
      </c>
      <c r="J1072" s="6">
        <v>98.01</v>
      </c>
      <c r="K1072" s="6">
        <v>97.7</v>
      </c>
      <c r="L1072" s="6">
        <v>97.61</v>
      </c>
      <c r="M1072" s="6">
        <v>98.02</v>
      </c>
      <c r="N1072" s="6">
        <v>97.7</v>
      </c>
      <c r="O1072" s="6">
        <v>97.61</v>
      </c>
      <c r="P1072" s="6">
        <v>98.02</v>
      </c>
      <c r="Q1072" s="6">
        <v>97.7</v>
      </c>
      <c r="R1072" s="6">
        <v>97.61</v>
      </c>
    </row>
    <row r="1073" spans="2:18">
      <c r="B1073" s="6">
        <v>32532</v>
      </c>
      <c r="C1073" s="6" t="s">
        <v>218</v>
      </c>
      <c r="D1073" s="6">
        <v>96.76</v>
      </c>
      <c r="E1073" s="6">
        <v>96.76</v>
      </c>
      <c r="F1073" s="6">
        <v>94.39</v>
      </c>
      <c r="G1073" s="6">
        <v>96.54</v>
      </c>
      <c r="H1073" s="6">
        <v>95.53</v>
      </c>
      <c r="I1073" s="6">
        <v>93.73</v>
      </c>
      <c r="J1073" s="6">
        <v>96.54</v>
      </c>
      <c r="K1073" s="6">
        <v>95.53</v>
      </c>
      <c r="L1073" s="6">
        <v>93.73</v>
      </c>
      <c r="M1073" s="6">
        <v>96.54</v>
      </c>
      <c r="N1073" s="6">
        <v>95.53</v>
      </c>
      <c r="O1073" s="6">
        <v>93.73</v>
      </c>
      <c r="P1073" s="6">
        <v>98.04</v>
      </c>
      <c r="Q1073" s="6">
        <v>98.09</v>
      </c>
      <c r="R1073" s="6">
        <v>97.91</v>
      </c>
    </row>
    <row r="1074" spans="2:18">
      <c r="B1074" s="6">
        <v>32532</v>
      </c>
      <c r="C1074" s="6" t="s">
        <v>218</v>
      </c>
      <c r="D1074" s="6">
        <v>95.7</v>
      </c>
      <c r="E1074" s="6">
        <v>95.7</v>
      </c>
      <c r="F1074" s="6">
        <v>90.14</v>
      </c>
      <c r="G1074" s="6">
        <v>95.22</v>
      </c>
      <c r="H1074" s="6">
        <v>95.27</v>
      </c>
      <c r="I1074" s="6">
        <v>92.98</v>
      </c>
      <c r="J1074" s="6">
        <v>95.22</v>
      </c>
      <c r="K1074" s="6">
        <v>95.27</v>
      </c>
      <c r="L1074" s="6">
        <v>92.98</v>
      </c>
      <c r="M1074" s="6">
        <v>98.62</v>
      </c>
      <c r="N1074" s="6">
        <v>98.46</v>
      </c>
      <c r="O1074" s="6">
        <v>98.28</v>
      </c>
      <c r="P1074" s="6">
        <v>98.52</v>
      </c>
      <c r="Q1074" s="6">
        <v>98.45</v>
      </c>
      <c r="R1074" s="6">
        <v>98.28</v>
      </c>
    </row>
    <row r="1075" spans="2:18">
      <c r="B1075" s="6">
        <v>32532</v>
      </c>
      <c r="C1075" s="6" t="s">
        <v>218</v>
      </c>
      <c r="D1075" s="6">
        <v>0</v>
      </c>
      <c r="E1075" s="6">
        <v>0</v>
      </c>
      <c r="F1075" s="6">
        <v>93.75</v>
      </c>
      <c r="G1075" s="6">
        <v>0</v>
      </c>
      <c r="H1075" s="6">
        <v>0</v>
      </c>
      <c r="I1075" s="6">
        <v>93.75</v>
      </c>
      <c r="J1075" s="6">
        <v>0</v>
      </c>
      <c r="K1075" s="6">
        <v>0</v>
      </c>
      <c r="L1075" s="6">
        <v>93.75</v>
      </c>
      <c r="M1075" s="6">
        <v>0</v>
      </c>
      <c r="N1075" s="6">
        <v>0</v>
      </c>
      <c r="O1075" s="6">
        <v>93.75</v>
      </c>
      <c r="P1075" s="6">
        <v>0</v>
      </c>
      <c r="Q1075" s="6">
        <v>0</v>
      </c>
      <c r="R1075" s="6">
        <v>93.75</v>
      </c>
    </row>
    <row r="1076" spans="2:18">
      <c r="B1076" s="6">
        <v>32534</v>
      </c>
      <c r="C1076" s="6" t="s">
        <v>262</v>
      </c>
      <c r="D1076" s="6">
        <v>0</v>
      </c>
      <c r="E1076" s="6">
        <v>0</v>
      </c>
      <c r="F1076" s="6">
        <v>99.5</v>
      </c>
      <c r="G1076" s="6">
        <v>98.77</v>
      </c>
      <c r="H1076" s="6">
        <v>98.55</v>
      </c>
      <c r="I1076" s="6">
        <v>98.72</v>
      </c>
      <c r="J1076" s="6">
        <v>98.23</v>
      </c>
      <c r="K1076" s="6">
        <v>98.19</v>
      </c>
      <c r="L1076" s="6">
        <v>98.1</v>
      </c>
      <c r="M1076" s="6">
        <v>98.23</v>
      </c>
      <c r="N1076" s="6">
        <v>98.19</v>
      </c>
      <c r="O1076" s="6">
        <v>98.1</v>
      </c>
      <c r="P1076" s="6">
        <v>98.04</v>
      </c>
      <c r="Q1076" s="6">
        <v>98.09</v>
      </c>
      <c r="R1076" s="6">
        <v>97.91</v>
      </c>
    </row>
    <row r="1077" spans="2:18">
      <c r="B1077" s="6">
        <v>32534</v>
      </c>
      <c r="C1077" s="6" t="s">
        <v>262</v>
      </c>
      <c r="D1077" s="6">
        <v>0</v>
      </c>
      <c r="E1077" s="6">
        <v>0</v>
      </c>
      <c r="F1077" s="6">
        <v>99.67</v>
      </c>
      <c r="G1077" s="6">
        <v>99.43</v>
      </c>
      <c r="H1077" s="6">
        <v>99.52</v>
      </c>
      <c r="I1077" s="6">
        <v>99.53</v>
      </c>
      <c r="J1077" s="6">
        <v>99.26</v>
      </c>
      <c r="K1077" s="6">
        <v>99.39</v>
      </c>
      <c r="L1077" s="6">
        <v>99.39</v>
      </c>
      <c r="M1077" s="6">
        <v>99.26</v>
      </c>
      <c r="N1077" s="6">
        <v>99.39</v>
      </c>
      <c r="O1077" s="6">
        <v>99.39</v>
      </c>
      <c r="P1077" s="6">
        <v>99.26</v>
      </c>
      <c r="Q1077" s="6">
        <v>99.39</v>
      </c>
      <c r="R1077" s="6">
        <v>99.39</v>
      </c>
    </row>
    <row r="1078" spans="2:18">
      <c r="B1078" s="6">
        <v>32536</v>
      </c>
      <c r="C1078" s="6" t="s">
        <v>203</v>
      </c>
      <c r="D1078" s="6">
        <v>0</v>
      </c>
      <c r="E1078" s="6">
        <v>0</v>
      </c>
      <c r="F1078" s="6">
        <v>84.76</v>
      </c>
      <c r="G1078" s="6">
        <v>98.48</v>
      </c>
      <c r="H1078" s="6">
        <v>98.4</v>
      </c>
      <c r="I1078" s="6">
        <v>98.25</v>
      </c>
      <c r="J1078" s="6">
        <v>98.64</v>
      </c>
      <c r="K1078" s="6">
        <v>98.48</v>
      </c>
      <c r="L1078" s="6">
        <v>98.3</v>
      </c>
      <c r="M1078" s="6">
        <v>98.62</v>
      </c>
      <c r="N1078" s="6">
        <v>98.46</v>
      </c>
      <c r="O1078" s="6">
        <v>98.28</v>
      </c>
      <c r="P1078" s="6">
        <v>98.52</v>
      </c>
      <c r="Q1078" s="6">
        <v>98.45</v>
      </c>
      <c r="R1078" s="6">
        <v>98.28</v>
      </c>
    </row>
    <row r="1079" spans="2:18">
      <c r="B1079" s="6">
        <v>32536</v>
      </c>
      <c r="C1079" s="6" t="s">
        <v>203</v>
      </c>
      <c r="D1079" s="6">
        <v>0</v>
      </c>
      <c r="E1079" s="6">
        <v>0</v>
      </c>
      <c r="F1079" s="6">
        <v>94.59</v>
      </c>
      <c r="G1079" s="6">
        <v>98.72</v>
      </c>
      <c r="H1079" s="6">
        <v>98.71</v>
      </c>
      <c r="I1079" s="6">
        <v>98.75</v>
      </c>
      <c r="J1079" s="6">
        <v>98.77</v>
      </c>
      <c r="K1079" s="6">
        <v>98.75</v>
      </c>
      <c r="L1079" s="6">
        <v>98.72</v>
      </c>
      <c r="M1079" s="6">
        <v>98.71</v>
      </c>
      <c r="N1079" s="6">
        <v>98.7</v>
      </c>
      <c r="O1079" s="6">
        <v>98.68</v>
      </c>
      <c r="P1079" s="6">
        <v>98.71</v>
      </c>
      <c r="Q1079" s="6">
        <v>98.7</v>
      </c>
      <c r="R1079" s="6">
        <v>98.68</v>
      </c>
    </row>
    <row r="1080" spans="2:18">
      <c r="B1080" s="6">
        <v>32536</v>
      </c>
      <c r="C1080" s="6" t="s">
        <v>203</v>
      </c>
      <c r="D1080" s="6">
        <v>0</v>
      </c>
      <c r="E1080" s="6">
        <v>0</v>
      </c>
      <c r="F1080" s="6">
        <v>96.6</v>
      </c>
      <c r="G1080" s="6">
        <v>97.43</v>
      </c>
      <c r="H1080" s="6">
        <v>97.49</v>
      </c>
      <c r="I1080" s="6">
        <v>97.36</v>
      </c>
      <c r="J1080" s="6">
        <v>97.72</v>
      </c>
      <c r="K1080" s="6">
        <v>97.84</v>
      </c>
      <c r="L1080" s="6">
        <v>97.75</v>
      </c>
      <c r="M1080" s="6">
        <v>97.72</v>
      </c>
      <c r="N1080" s="6">
        <v>97.83</v>
      </c>
      <c r="O1080" s="6">
        <v>97.74</v>
      </c>
      <c r="P1080" s="6">
        <v>97.73</v>
      </c>
      <c r="Q1080" s="6">
        <v>97.84</v>
      </c>
      <c r="R1080" s="6">
        <v>97.75</v>
      </c>
    </row>
    <row r="1081" spans="2:18">
      <c r="B1081" s="6">
        <v>32536</v>
      </c>
      <c r="C1081" s="6" t="s">
        <v>203</v>
      </c>
      <c r="D1081" s="6">
        <v>0</v>
      </c>
      <c r="E1081" s="6">
        <v>0</v>
      </c>
      <c r="F1081" s="6">
        <v>90.45</v>
      </c>
      <c r="G1081" s="6">
        <v>97.88</v>
      </c>
      <c r="H1081" s="6">
        <v>97.7</v>
      </c>
      <c r="I1081" s="6">
        <v>97.56</v>
      </c>
      <c r="J1081" s="6">
        <v>98.01</v>
      </c>
      <c r="K1081" s="6">
        <v>97.7</v>
      </c>
      <c r="L1081" s="6">
        <v>97.61</v>
      </c>
      <c r="M1081" s="6">
        <v>98.02</v>
      </c>
      <c r="N1081" s="6">
        <v>97.7</v>
      </c>
      <c r="O1081" s="6">
        <v>97.61</v>
      </c>
      <c r="P1081" s="6">
        <v>98.02</v>
      </c>
      <c r="Q1081" s="6">
        <v>97.7</v>
      </c>
      <c r="R1081" s="6">
        <v>97.61</v>
      </c>
    </row>
    <row r="1082" spans="2:18">
      <c r="B1082" s="6">
        <v>32537</v>
      </c>
      <c r="C1082" s="6" t="s">
        <v>1098</v>
      </c>
      <c r="D1082" s="6">
        <v>0</v>
      </c>
      <c r="E1082" s="6">
        <v>0</v>
      </c>
      <c r="F1082" s="6">
        <v>97.84</v>
      </c>
      <c r="G1082" s="6">
        <v>98.48</v>
      </c>
      <c r="H1082" s="6">
        <v>98.4</v>
      </c>
      <c r="I1082" s="6">
        <v>98.25</v>
      </c>
      <c r="J1082" s="6">
        <v>98.64</v>
      </c>
      <c r="K1082" s="6">
        <v>98.48</v>
      </c>
      <c r="L1082" s="6">
        <v>98.3</v>
      </c>
      <c r="M1082" s="6">
        <v>98.62</v>
      </c>
      <c r="N1082" s="6">
        <v>98.46</v>
      </c>
      <c r="O1082" s="6">
        <v>98.28</v>
      </c>
      <c r="P1082" s="6">
        <v>98.52</v>
      </c>
      <c r="Q1082" s="6">
        <v>98.45</v>
      </c>
      <c r="R1082" s="6">
        <v>98.28</v>
      </c>
    </row>
    <row r="1083" spans="2:18">
      <c r="B1083" s="6">
        <v>32537</v>
      </c>
      <c r="C1083" s="6" t="s">
        <v>1098</v>
      </c>
      <c r="D1083" s="6">
        <v>0</v>
      </c>
      <c r="E1083" s="6">
        <v>0</v>
      </c>
      <c r="F1083" s="6">
        <v>100</v>
      </c>
      <c r="G1083" s="6">
        <v>98.72</v>
      </c>
      <c r="H1083" s="6">
        <v>98.71</v>
      </c>
      <c r="I1083" s="6">
        <v>98.75</v>
      </c>
      <c r="J1083" s="6">
        <v>98.77</v>
      </c>
      <c r="K1083" s="6">
        <v>98.75</v>
      </c>
      <c r="L1083" s="6">
        <v>98.72</v>
      </c>
      <c r="M1083" s="6">
        <v>98.71</v>
      </c>
      <c r="N1083" s="6">
        <v>98.7</v>
      </c>
      <c r="O1083" s="6">
        <v>98.68</v>
      </c>
      <c r="P1083" s="6">
        <v>98.71</v>
      </c>
      <c r="Q1083" s="6">
        <v>98.7</v>
      </c>
      <c r="R1083" s="6">
        <v>98.68</v>
      </c>
    </row>
    <row r="1084" spans="2:18">
      <c r="B1084" s="6">
        <v>32537</v>
      </c>
      <c r="C1084" s="6" t="s">
        <v>1098</v>
      </c>
      <c r="D1084" s="6">
        <v>0</v>
      </c>
      <c r="E1084" s="6">
        <v>0</v>
      </c>
      <c r="F1084" s="6">
        <v>96.86</v>
      </c>
      <c r="G1084" s="6">
        <v>97.43</v>
      </c>
      <c r="H1084" s="6">
        <v>97.49</v>
      </c>
      <c r="I1084" s="6">
        <v>97.36</v>
      </c>
      <c r="J1084" s="6">
        <v>97.72</v>
      </c>
      <c r="K1084" s="6">
        <v>97.84</v>
      </c>
      <c r="L1084" s="6">
        <v>97.75</v>
      </c>
      <c r="M1084" s="6">
        <v>97.72</v>
      </c>
      <c r="N1084" s="6">
        <v>97.83</v>
      </c>
      <c r="O1084" s="6">
        <v>97.74</v>
      </c>
      <c r="P1084" s="6">
        <v>97.73</v>
      </c>
      <c r="Q1084" s="6">
        <v>97.84</v>
      </c>
      <c r="R1084" s="6">
        <v>97.75</v>
      </c>
    </row>
    <row r="1085" spans="2:18">
      <c r="B1085" s="6">
        <v>32537</v>
      </c>
      <c r="C1085" s="6" t="s">
        <v>1098</v>
      </c>
      <c r="D1085" s="6">
        <v>0</v>
      </c>
      <c r="E1085" s="6">
        <v>0</v>
      </c>
      <c r="F1085" s="6">
        <v>95.03</v>
      </c>
      <c r="G1085" s="6">
        <v>97.88</v>
      </c>
      <c r="H1085" s="6">
        <v>97.7</v>
      </c>
      <c r="I1085" s="6">
        <v>97.56</v>
      </c>
      <c r="J1085" s="6">
        <v>98.01</v>
      </c>
      <c r="K1085" s="6">
        <v>97.7</v>
      </c>
      <c r="L1085" s="6">
        <v>97.61</v>
      </c>
      <c r="M1085" s="6">
        <v>98.02</v>
      </c>
      <c r="N1085" s="6">
        <v>97.7</v>
      </c>
      <c r="O1085" s="6">
        <v>97.61</v>
      </c>
      <c r="P1085" s="6">
        <v>98.02</v>
      </c>
      <c r="Q1085" s="6">
        <v>97.7</v>
      </c>
      <c r="R1085" s="6">
        <v>97.61</v>
      </c>
    </row>
    <row r="1086" spans="2:18">
      <c r="B1086" s="6">
        <v>32539</v>
      </c>
      <c r="C1086" s="6" t="s">
        <v>204</v>
      </c>
      <c r="D1086" s="6">
        <v>0</v>
      </c>
      <c r="E1086" s="6">
        <v>0</v>
      </c>
      <c r="F1086" s="6">
        <v>98.65</v>
      </c>
      <c r="G1086" s="6">
        <v>98.48</v>
      </c>
      <c r="H1086" s="6">
        <v>98.4</v>
      </c>
      <c r="I1086" s="6">
        <v>98.25</v>
      </c>
      <c r="J1086" s="6">
        <v>98.64</v>
      </c>
      <c r="K1086" s="6">
        <v>98.48</v>
      </c>
      <c r="L1086" s="6">
        <v>98.3</v>
      </c>
      <c r="M1086" s="6">
        <v>98.62</v>
      </c>
      <c r="N1086" s="6">
        <v>98.46</v>
      </c>
      <c r="O1086" s="6">
        <v>98.28</v>
      </c>
      <c r="P1086" s="6">
        <v>98.52</v>
      </c>
      <c r="Q1086" s="6">
        <v>98.45</v>
      </c>
      <c r="R1086" s="6">
        <v>98.28</v>
      </c>
    </row>
    <row r="1087" spans="2:18">
      <c r="B1087" s="6">
        <v>32539</v>
      </c>
      <c r="C1087" s="6" t="s">
        <v>204</v>
      </c>
      <c r="D1087" s="6">
        <v>0</v>
      </c>
      <c r="E1087" s="6">
        <v>0</v>
      </c>
      <c r="F1087" s="6">
        <v>98.67</v>
      </c>
      <c r="G1087" s="6">
        <v>99.01</v>
      </c>
      <c r="H1087" s="6">
        <v>98.74</v>
      </c>
      <c r="I1087" s="6">
        <v>98.68</v>
      </c>
      <c r="J1087" s="6">
        <v>99.01</v>
      </c>
      <c r="K1087" s="6">
        <v>98.76</v>
      </c>
      <c r="L1087" s="6">
        <v>98.69</v>
      </c>
      <c r="M1087" s="6">
        <v>99.01</v>
      </c>
      <c r="N1087" s="6">
        <v>98.76</v>
      </c>
      <c r="O1087" s="6">
        <v>98.71</v>
      </c>
      <c r="P1087" s="6">
        <v>99.01</v>
      </c>
      <c r="Q1087" s="6">
        <v>98.76</v>
      </c>
      <c r="R1087" s="6">
        <v>98.71</v>
      </c>
    </row>
    <row r="1088" spans="2:18">
      <c r="B1088" s="6">
        <v>32539</v>
      </c>
      <c r="C1088" s="6" t="s">
        <v>204</v>
      </c>
      <c r="D1088" s="6">
        <v>0</v>
      </c>
      <c r="E1088" s="6">
        <v>0</v>
      </c>
      <c r="F1088" s="6">
        <v>96.77</v>
      </c>
      <c r="G1088" s="6">
        <v>97.43</v>
      </c>
      <c r="H1088" s="6">
        <v>97.49</v>
      </c>
      <c r="I1088" s="6">
        <v>97.36</v>
      </c>
      <c r="J1088" s="6">
        <v>97.72</v>
      </c>
      <c r="K1088" s="6">
        <v>97.84</v>
      </c>
      <c r="L1088" s="6">
        <v>97.75</v>
      </c>
      <c r="M1088" s="6">
        <v>97.72</v>
      </c>
      <c r="N1088" s="6">
        <v>97.83</v>
      </c>
      <c r="O1088" s="6">
        <v>97.74</v>
      </c>
      <c r="P1088" s="6">
        <v>97.73</v>
      </c>
      <c r="Q1088" s="6">
        <v>97.84</v>
      </c>
      <c r="R1088" s="6">
        <v>97.75</v>
      </c>
    </row>
    <row r="1089" spans="2:18">
      <c r="B1089" s="6">
        <v>32539</v>
      </c>
      <c r="C1089" s="6" t="s">
        <v>204</v>
      </c>
      <c r="D1089" s="6">
        <v>0</v>
      </c>
      <c r="E1089" s="6">
        <v>0</v>
      </c>
      <c r="F1089" s="6">
        <v>98.63</v>
      </c>
      <c r="G1089" s="6">
        <v>97.88</v>
      </c>
      <c r="H1089" s="6">
        <v>97.7</v>
      </c>
      <c r="I1089" s="6">
        <v>97.56</v>
      </c>
      <c r="J1089" s="6">
        <v>98.01</v>
      </c>
      <c r="K1089" s="6">
        <v>97.7</v>
      </c>
      <c r="L1089" s="6">
        <v>97.61</v>
      </c>
      <c r="M1089" s="6">
        <v>98.02</v>
      </c>
      <c r="N1089" s="6">
        <v>97.7</v>
      </c>
      <c r="O1089" s="6">
        <v>97.61</v>
      </c>
      <c r="P1089" s="6">
        <v>98.02</v>
      </c>
      <c r="Q1089" s="6">
        <v>97.7</v>
      </c>
      <c r="R1089" s="6">
        <v>97.61</v>
      </c>
    </row>
    <row r="1090" spans="2:18">
      <c r="B1090" s="6">
        <v>32540</v>
      </c>
      <c r="C1090" s="6" t="s">
        <v>205</v>
      </c>
      <c r="D1090" s="6">
        <v>0</v>
      </c>
      <c r="E1090" s="6">
        <v>93.55</v>
      </c>
      <c r="F1090" s="6">
        <v>93.55</v>
      </c>
      <c r="G1090" s="6">
        <v>98.48</v>
      </c>
      <c r="H1090" s="6">
        <v>98.4</v>
      </c>
      <c r="I1090" s="6">
        <v>98.25</v>
      </c>
      <c r="J1090" s="6">
        <v>98.64</v>
      </c>
      <c r="K1090" s="6">
        <v>98.48</v>
      </c>
      <c r="L1090" s="6">
        <v>98.3</v>
      </c>
      <c r="M1090" s="6">
        <v>98.62</v>
      </c>
      <c r="N1090" s="6">
        <v>98.46</v>
      </c>
      <c r="O1090" s="6">
        <v>98.28</v>
      </c>
      <c r="P1090" s="6">
        <v>98.52</v>
      </c>
      <c r="Q1090" s="6">
        <v>98.45</v>
      </c>
      <c r="R1090" s="6">
        <v>98.28</v>
      </c>
    </row>
    <row r="1091" spans="2:18">
      <c r="B1091" s="6">
        <v>32540</v>
      </c>
      <c r="C1091" s="6" t="s">
        <v>205</v>
      </c>
      <c r="D1091" s="6">
        <v>0</v>
      </c>
      <c r="E1091" s="6">
        <v>89.86</v>
      </c>
      <c r="F1091" s="6">
        <v>89.86</v>
      </c>
      <c r="G1091" s="6">
        <v>97.97</v>
      </c>
      <c r="H1091" s="6">
        <v>98.08</v>
      </c>
      <c r="I1091" s="6">
        <v>98.09</v>
      </c>
      <c r="J1091" s="6">
        <v>98.86</v>
      </c>
      <c r="K1091" s="6">
        <v>98.85</v>
      </c>
      <c r="L1091" s="6">
        <v>98.75</v>
      </c>
      <c r="M1091" s="6">
        <v>98.86</v>
      </c>
      <c r="N1091" s="6">
        <v>98.82</v>
      </c>
      <c r="O1091" s="6">
        <v>98.74</v>
      </c>
      <c r="P1091" s="6">
        <v>98.83</v>
      </c>
      <c r="Q1091" s="6">
        <v>98.81</v>
      </c>
      <c r="R1091" s="6">
        <v>98.73</v>
      </c>
    </row>
    <row r="1092" spans="2:18">
      <c r="B1092" s="6">
        <v>32540</v>
      </c>
      <c r="C1092" s="6" t="s">
        <v>205</v>
      </c>
      <c r="D1092" s="6">
        <v>0</v>
      </c>
      <c r="E1092" s="6">
        <v>0</v>
      </c>
      <c r="F1092" s="6">
        <v>87.34</v>
      </c>
      <c r="G1092" s="6">
        <v>97.43</v>
      </c>
      <c r="H1092" s="6">
        <v>97.49</v>
      </c>
      <c r="I1092" s="6">
        <v>97.36</v>
      </c>
      <c r="J1092" s="6">
        <v>97.72</v>
      </c>
      <c r="K1092" s="6">
        <v>97.84</v>
      </c>
      <c r="L1092" s="6">
        <v>97.75</v>
      </c>
      <c r="M1092" s="6">
        <v>97.72</v>
      </c>
      <c r="N1092" s="6">
        <v>97.83</v>
      </c>
      <c r="O1092" s="6">
        <v>97.74</v>
      </c>
      <c r="P1092" s="6">
        <v>97.73</v>
      </c>
      <c r="Q1092" s="6">
        <v>97.84</v>
      </c>
      <c r="R1092" s="6">
        <v>97.75</v>
      </c>
    </row>
    <row r="1093" spans="2:18">
      <c r="B1093" s="6">
        <v>32540</v>
      </c>
      <c r="C1093" s="6" t="s">
        <v>205</v>
      </c>
      <c r="D1093" s="6">
        <v>0</v>
      </c>
      <c r="E1093" s="6">
        <v>93.1</v>
      </c>
      <c r="F1093" s="6">
        <v>93.1</v>
      </c>
      <c r="G1093" s="6">
        <v>97.88</v>
      </c>
      <c r="H1093" s="6">
        <v>97.7</v>
      </c>
      <c r="I1093" s="6">
        <v>97.56</v>
      </c>
      <c r="J1093" s="6">
        <v>98.01</v>
      </c>
      <c r="K1093" s="6">
        <v>97.7</v>
      </c>
      <c r="L1093" s="6">
        <v>97.61</v>
      </c>
      <c r="M1093" s="6">
        <v>98.02</v>
      </c>
      <c r="N1093" s="6">
        <v>97.7</v>
      </c>
      <c r="O1093" s="6">
        <v>97.61</v>
      </c>
      <c r="P1093" s="6">
        <v>98.02</v>
      </c>
      <c r="Q1093" s="6">
        <v>97.7</v>
      </c>
      <c r="R1093" s="6">
        <v>97.61</v>
      </c>
    </row>
    <row r="1094" spans="2:18">
      <c r="B1094" s="6">
        <v>32541</v>
      </c>
      <c r="C1094" s="6" t="s">
        <v>206</v>
      </c>
      <c r="D1094" s="6">
        <v>0</v>
      </c>
      <c r="E1094" s="6">
        <v>0</v>
      </c>
      <c r="F1094" s="6">
        <v>98.65</v>
      </c>
      <c r="G1094" s="6">
        <v>98.48</v>
      </c>
      <c r="H1094" s="6">
        <v>98.4</v>
      </c>
      <c r="I1094" s="6">
        <v>98.25</v>
      </c>
      <c r="J1094" s="6">
        <v>98.64</v>
      </c>
      <c r="K1094" s="6">
        <v>98.48</v>
      </c>
      <c r="L1094" s="6">
        <v>98.3</v>
      </c>
      <c r="M1094" s="6">
        <v>98.62</v>
      </c>
      <c r="N1094" s="6">
        <v>98.46</v>
      </c>
      <c r="O1094" s="6">
        <v>98.28</v>
      </c>
      <c r="P1094" s="6">
        <v>98.52</v>
      </c>
      <c r="Q1094" s="6">
        <v>98.45</v>
      </c>
      <c r="R1094" s="6">
        <v>98.28</v>
      </c>
    </row>
    <row r="1095" spans="2:18">
      <c r="B1095" s="6">
        <v>32541</v>
      </c>
      <c r="C1095" s="6" t="s">
        <v>206</v>
      </c>
      <c r="D1095" s="6">
        <v>0</v>
      </c>
      <c r="E1095" s="6">
        <v>0</v>
      </c>
      <c r="F1095" s="6">
        <v>98.67</v>
      </c>
      <c r="G1095" s="6">
        <v>99.01</v>
      </c>
      <c r="H1095" s="6">
        <v>98.74</v>
      </c>
      <c r="I1095" s="6">
        <v>98.68</v>
      </c>
      <c r="J1095" s="6">
        <v>99.01</v>
      </c>
      <c r="K1095" s="6">
        <v>98.76</v>
      </c>
      <c r="L1095" s="6">
        <v>98.69</v>
      </c>
      <c r="M1095" s="6">
        <v>99.01</v>
      </c>
      <c r="N1095" s="6">
        <v>98.76</v>
      </c>
      <c r="O1095" s="6">
        <v>98.71</v>
      </c>
      <c r="P1095" s="6">
        <v>99.01</v>
      </c>
      <c r="Q1095" s="6">
        <v>98.76</v>
      </c>
      <c r="R1095" s="6">
        <v>98.71</v>
      </c>
    </row>
    <row r="1096" spans="2:18">
      <c r="B1096" s="6">
        <v>32541</v>
      </c>
      <c r="C1096" s="6" t="s">
        <v>206</v>
      </c>
      <c r="D1096" s="6">
        <v>0</v>
      </c>
      <c r="E1096" s="6">
        <v>0</v>
      </c>
      <c r="F1096" s="6">
        <v>96.77</v>
      </c>
      <c r="G1096" s="6">
        <v>97.43</v>
      </c>
      <c r="H1096" s="6">
        <v>97.49</v>
      </c>
      <c r="I1096" s="6">
        <v>97.36</v>
      </c>
      <c r="J1096" s="6">
        <v>97.72</v>
      </c>
      <c r="K1096" s="6">
        <v>97.84</v>
      </c>
      <c r="L1096" s="6">
        <v>97.75</v>
      </c>
      <c r="M1096" s="6">
        <v>97.72</v>
      </c>
      <c r="N1096" s="6">
        <v>97.83</v>
      </c>
      <c r="O1096" s="6">
        <v>97.74</v>
      </c>
      <c r="P1096" s="6">
        <v>97.73</v>
      </c>
      <c r="Q1096" s="6">
        <v>97.84</v>
      </c>
      <c r="R1096" s="6">
        <v>97.75</v>
      </c>
    </row>
    <row r="1097" spans="2:18">
      <c r="B1097" s="6">
        <v>32541</v>
      </c>
      <c r="C1097" s="6" t="s">
        <v>206</v>
      </c>
      <c r="D1097" s="6">
        <v>0</v>
      </c>
      <c r="E1097" s="6">
        <v>0</v>
      </c>
      <c r="F1097" s="6">
        <v>98.63</v>
      </c>
      <c r="G1097" s="6">
        <v>97.88</v>
      </c>
      <c r="H1097" s="6">
        <v>97.7</v>
      </c>
      <c r="I1097" s="6">
        <v>97.56</v>
      </c>
      <c r="J1097" s="6">
        <v>98.01</v>
      </c>
      <c r="K1097" s="6">
        <v>97.7</v>
      </c>
      <c r="L1097" s="6">
        <v>97.61</v>
      </c>
      <c r="M1097" s="6">
        <v>98.02</v>
      </c>
      <c r="N1097" s="6">
        <v>97.7</v>
      </c>
      <c r="O1097" s="6">
        <v>97.61</v>
      </c>
      <c r="P1097" s="6">
        <v>98.02</v>
      </c>
      <c r="Q1097" s="6">
        <v>97.7</v>
      </c>
      <c r="R1097" s="6">
        <v>97.61</v>
      </c>
    </row>
    <row r="1098" spans="2:18">
      <c r="B1098" s="6">
        <v>32556</v>
      </c>
      <c r="C1098" s="6" t="s">
        <v>219</v>
      </c>
      <c r="D1098" s="6">
        <v>98.69</v>
      </c>
      <c r="E1098" s="6">
        <v>98.81</v>
      </c>
      <c r="F1098" s="6">
        <v>98.81</v>
      </c>
      <c r="G1098" s="6">
        <v>98.74</v>
      </c>
      <c r="H1098" s="6">
        <v>98.8</v>
      </c>
      <c r="I1098" s="6">
        <v>98.7</v>
      </c>
      <c r="J1098" s="6">
        <v>98.74</v>
      </c>
      <c r="K1098" s="6">
        <v>98.8</v>
      </c>
      <c r="L1098" s="6">
        <v>98.7</v>
      </c>
      <c r="M1098" s="6">
        <v>98.74</v>
      </c>
      <c r="N1098" s="6">
        <v>98.8</v>
      </c>
      <c r="O1098" s="6">
        <v>98.7</v>
      </c>
      <c r="P1098" s="6">
        <v>98.74</v>
      </c>
      <c r="Q1098" s="6">
        <v>98.8</v>
      </c>
      <c r="R1098" s="6">
        <v>98.7</v>
      </c>
    </row>
    <row r="1099" spans="2:18">
      <c r="B1099" s="6">
        <v>32556</v>
      </c>
      <c r="C1099" s="6" t="s">
        <v>219</v>
      </c>
      <c r="D1099" s="6">
        <v>97.83</v>
      </c>
      <c r="E1099" s="6">
        <v>98.33</v>
      </c>
      <c r="F1099" s="6">
        <v>98.35</v>
      </c>
      <c r="G1099" s="6">
        <v>97.98</v>
      </c>
      <c r="H1099" s="6">
        <v>98.1</v>
      </c>
      <c r="I1099" s="6">
        <v>98.14</v>
      </c>
      <c r="J1099" s="6">
        <v>97.98</v>
      </c>
      <c r="K1099" s="6">
        <v>98.1</v>
      </c>
      <c r="L1099" s="6">
        <v>98.14</v>
      </c>
      <c r="M1099" s="6">
        <v>98.29</v>
      </c>
      <c r="N1099" s="6">
        <v>97.91</v>
      </c>
      <c r="O1099" s="6">
        <v>97.88</v>
      </c>
      <c r="P1099" s="6">
        <v>98.29</v>
      </c>
      <c r="Q1099" s="6">
        <v>97.91</v>
      </c>
      <c r="R1099" s="6">
        <v>97.88</v>
      </c>
    </row>
    <row r="1100" spans="2:18">
      <c r="B1100" s="6">
        <v>32557</v>
      </c>
      <c r="C1100" s="6" t="s">
        <v>1028</v>
      </c>
      <c r="D1100" s="6">
        <v>0</v>
      </c>
      <c r="E1100" s="6">
        <v>0</v>
      </c>
      <c r="F1100" s="6">
        <v>98.85</v>
      </c>
      <c r="G1100" s="6">
        <v>97.07</v>
      </c>
      <c r="H1100" s="6">
        <v>94.76</v>
      </c>
      <c r="I1100" s="6">
        <v>95.55</v>
      </c>
      <c r="J1100" s="6">
        <v>98.23</v>
      </c>
      <c r="K1100" s="6">
        <v>98.19</v>
      </c>
      <c r="L1100" s="6">
        <v>98.1</v>
      </c>
      <c r="M1100" s="6">
        <v>98.23</v>
      </c>
      <c r="N1100" s="6">
        <v>98.19</v>
      </c>
      <c r="O1100" s="6">
        <v>98.1</v>
      </c>
      <c r="P1100" s="6">
        <v>98.04</v>
      </c>
      <c r="Q1100" s="6">
        <v>98.09</v>
      </c>
      <c r="R1100" s="6">
        <v>97.91</v>
      </c>
    </row>
    <row r="1101" spans="2:18">
      <c r="B1101" s="6">
        <v>32557</v>
      </c>
      <c r="C1101" s="6" t="s">
        <v>1028</v>
      </c>
      <c r="D1101" s="6">
        <v>0</v>
      </c>
      <c r="E1101" s="6">
        <v>0</v>
      </c>
      <c r="F1101" s="6">
        <v>99.43</v>
      </c>
      <c r="G1101" s="6">
        <v>98.65</v>
      </c>
      <c r="H1101" s="6">
        <v>98.92</v>
      </c>
      <c r="I1101" s="6">
        <v>98.33</v>
      </c>
      <c r="J1101" s="6">
        <v>98.77</v>
      </c>
      <c r="K1101" s="6">
        <v>99.16</v>
      </c>
      <c r="L1101" s="6">
        <v>98.56</v>
      </c>
      <c r="M1101" s="6">
        <v>98.77</v>
      </c>
      <c r="N1101" s="6">
        <v>99.16</v>
      </c>
      <c r="O1101" s="6">
        <v>98.56</v>
      </c>
      <c r="P1101" s="6">
        <v>98.52</v>
      </c>
      <c r="Q1101" s="6">
        <v>98.45</v>
      </c>
      <c r="R1101" s="6">
        <v>98.28</v>
      </c>
    </row>
    <row r="1102" spans="2:18">
      <c r="B1102" s="6">
        <v>32557</v>
      </c>
      <c r="C1102" s="6" t="s">
        <v>1028</v>
      </c>
      <c r="D1102" s="6">
        <v>0</v>
      </c>
      <c r="E1102" s="6">
        <v>0</v>
      </c>
      <c r="F1102" s="6">
        <v>98.52</v>
      </c>
      <c r="G1102" s="6">
        <v>96.62</v>
      </c>
      <c r="H1102" s="6">
        <v>98.65</v>
      </c>
      <c r="I1102" s="6">
        <v>98.32</v>
      </c>
      <c r="J1102" s="6">
        <v>99.33</v>
      </c>
      <c r="K1102" s="6">
        <v>99.31</v>
      </c>
      <c r="L1102" s="6">
        <v>98.87</v>
      </c>
      <c r="M1102" s="6">
        <v>99.33</v>
      </c>
      <c r="N1102" s="6">
        <v>99.31</v>
      </c>
      <c r="O1102" s="6">
        <v>98.87</v>
      </c>
      <c r="P1102" s="6">
        <v>97.69</v>
      </c>
      <c r="Q1102" s="6">
        <v>98.01</v>
      </c>
      <c r="R1102" s="6">
        <v>98.3</v>
      </c>
    </row>
    <row r="1103" spans="2:18">
      <c r="B1103" s="6">
        <v>32558</v>
      </c>
      <c r="C1103" s="6" t="s">
        <v>1026</v>
      </c>
      <c r="D1103" s="6">
        <v>0</v>
      </c>
      <c r="E1103" s="6">
        <v>0</v>
      </c>
      <c r="F1103" s="6">
        <v>96.3</v>
      </c>
      <c r="G1103" s="6">
        <v>97.07</v>
      </c>
      <c r="H1103" s="6">
        <v>94.76</v>
      </c>
      <c r="I1103" s="6">
        <v>95.55</v>
      </c>
      <c r="J1103" s="6">
        <v>98.23</v>
      </c>
      <c r="K1103" s="6">
        <v>98.19</v>
      </c>
      <c r="L1103" s="6">
        <v>98.1</v>
      </c>
      <c r="M1103" s="6">
        <v>98.23</v>
      </c>
      <c r="N1103" s="6">
        <v>98.19</v>
      </c>
      <c r="O1103" s="6">
        <v>98.1</v>
      </c>
      <c r="P1103" s="6">
        <v>98.04</v>
      </c>
      <c r="Q1103" s="6">
        <v>98.09</v>
      </c>
      <c r="R1103" s="6">
        <v>97.91</v>
      </c>
    </row>
    <row r="1104" spans="2:18">
      <c r="B1104" s="6">
        <v>32558</v>
      </c>
      <c r="C1104" s="6" t="s">
        <v>1026</v>
      </c>
      <c r="D1104" s="6">
        <v>0</v>
      </c>
      <c r="E1104" s="6">
        <v>0</v>
      </c>
      <c r="F1104" s="6">
        <v>98.18</v>
      </c>
      <c r="G1104" s="6">
        <v>98.65</v>
      </c>
      <c r="H1104" s="6">
        <v>98.92</v>
      </c>
      <c r="I1104" s="6">
        <v>98.33</v>
      </c>
      <c r="J1104" s="6">
        <v>98.77</v>
      </c>
      <c r="K1104" s="6">
        <v>99.16</v>
      </c>
      <c r="L1104" s="6">
        <v>98.56</v>
      </c>
      <c r="M1104" s="6">
        <v>98.77</v>
      </c>
      <c r="N1104" s="6">
        <v>99.16</v>
      </c>
      <c r="O1104" s="6">
        <v>98.56</v>
      </c>
      <c r="P1104" s="6">
        <v>98.52</v>
      </c>
      <c r="Q1104" s="6">
        <v>98.45</v>
      </c>
      <c r="R1104" s="6">
        <v>98.28</v>
      </c>
    </row>
    <row r="1105" spans="2:18">
      <c r="B1105" s="6">
        <v>32558</v>
      </c>
      <c r="C1105" s="6" t="s">
        <v>1026</v>
      </c>
      <c r="D1105" s="6">
        <v>0</v>
      </c>
      <c r="E1105" s="6">
        <v>0</v>
      </c>
      <c r="F1105" s="6">
        <v>95.65</v>
      </c>
      <c r="G1105" s="6">
        <v>96.62</v>
      </c>
      <c r="H1105" s="6">
        <v>98.65</v>
      </c>
      <c r="I1105" s="6">
        <v>98.32</v>
      </c>
      <c r="J1105" s="6">
        <v>99.33</v>
      </c>
      <c r="K1105" s="6">
        <v>99.31</v>
      </c>
      <c r="L1105" s="6">
        <v>98.87</v>
      </c>
      <c r="M1105" s="6">
        <v>99.33</v>
      </c>
      <c r="N1105" s="6">
        <v>99.31</v>
      </c>
      <c r="O1105" s="6">
        <v>98.87</v>
      </c>
      <c r="P1105" s="6">
        <v>97.69</v>
      </c>
      <c r="Q1105" s="6">
        <v>98.01</v>
      </c>
      <c r="R1105" s="6">
        <v>98.3</v>
      </c>
    </row>
    <row r="1106" spans="2:18">
      <c r="B1106" s="6">
        <v>32565</v>
      </c>
      <c r="C1106" s="6" t="s">
        <v>1173</v>
      </c>
      <c r="D1106" s="6">
        <v>0</v>
      </c>
      <c r="E1106" s="6">
        <v>94.17</v>
      </c>
      <c r="F1106" s="6">
        <v>89.26</v>
      </c>
      <c r="G1106" s="6">
        <v>80.86</v>
      </c>
      <c r="H1106" s="6">
        <v>83.63</v>
      </c>
      <c r="I1106" s="6">
        <v>83.96</v>
      </c>
      <c r="J1106" s="6">
        <v>80.86</v>
      </c>
      <c r="K1106" s="6">
        <v>83.63</v>
      </c>
      <c r="L1106" s="6">
        <v>83.87</v>
      </c>
      <c r="M1106" s="6">
        <v>80.86</v>
      </c>
      <c r="N1106" s="6">
        <v>83.63</v>
      </c>
      <c r="O1106" s="6">
        <v>83.87</v>
      </c>
      <c r="P1106" s="6">
        <v>80.86</v>
      </c>
      <c r="Q1106" s="6">
        <v>83.63</v>
      </c>
      <c r="R1106" s="6">
        <v>83.87</v>
      </c>
    </row>
    <row r="1107" spans="2:18">
      <c r="B1107" s="6">
        <v>32565</v>
      </c>
      <c r="C1107" s="6" t="s">
        <v>1173</v>
      </c>
      <c r="D1107" s="6">
        <v>0</v>
      </c>
      <c r="E1107" s="6">
        <v>83</v>
      </c>
      <c r="F1107" s="6">
        <v>83.25</v>
      </c>
      <c r="G1107" s="6">
        <v>0</v>
      </c>
      <c r="H1107" s="6">
        <v>83</v>
      </c>
      <c r="I1107" s="6">
        <v>85.72</v>
      </c>
      <c r="J1107" s="6">
        <v>0</v>
      </c>
      <c r="K1107" s="6">
        <v>83</v>
      </c>
      <c r="L1107" s="6">
        <v>85.72</v>
      </c>
      <c r="M1107" s="6">
        <v>0</v>
      </c>
      <c r="N1107" s="6">
        <v>83</v>
      </c>
      <c r="O1107" s="6">
        <v>85.72</v>
      </c>
      <c r="P1107" s="6">
        <v>0</v>
      </c>
      <c r="Q1107" s="6">
        <v>83</v>
      </c>
      <c r="R1107" s="6">
        <v>85.72</v>
      </c>
    </row>
    <row r="1108" spans="2:18">
      <c r="B1108" s="6">
        <v>32565</v>
      </c>
      <c r="C1108" s="6" t="s">
        <v>1173</v>
      </c>
      <c r="D1108" s="6">
        <v>0</v>
      </c>
      <c r="E1108" s="6">
        <v>75.95</v>
      </c>
      <c r="F1108" s="6">
        <v>75.430000000000007</v>
      </c>
      <c r="G1108" s="6">
        <v>76.67</v>
      </c>
      <c r="H1108" s="6">
        <v>80.45</v>
      </c>
      <c r="I1108" s="6">
        <v>78.739999999999995</v>
      </c>
      <c r="J1108" s="6">
        <v>76.67</v>
      </c>
      <c r="K1108" s="6">
        <v>80.45</v>
      </c>
      <c r="L1108" s="6">
        <v>78.739999999999995</v>
      </c>
      <c r="M1108" s="6">
        <v>76.67</v>
      </c>
      <c r="N1108" s="6">
        <v>80.45</v>
      </c>
      <c r="O1108" s="6">
        <v>78.739999999999995</v>
      </c>
      <c r="P1108" s="6">
        <v>76.67</v>
      </c>
      <c r="Q1108" s="6">
        <v>80.45</v>
      </c>
      <c r="R1108" s="6">
        <v>78.739999999999995</v>
      </c>
    </row>
    <row r="1109" spans="2:18">
      <c r="B1109" s="6">
        <v>32565</v>
      </c>
      <c r="C1109" s="6" t="s">
        <v>1173</v>
      </c>
      <c r="D1109" s="6">
        <v>0</v>
      </c>
      <c r="E1109" s="6">
        <v>84.07</v>
      </c>
      <c r="F1109" s="6">
        <v>83.93</v>
      </c>
      <c r="G1109" s="6">
        <v>0</v>
      </c>
      <c r="H1109" s="6">
        <v>84.07</v>
      </c>
      <c r="I1109" s="6">
        <v>83.93</v>
      </c>
      <c r="J1109" s="6">
        <v>0</v>
      </c>
      <c r="K1109" s="6">
        <v>84.07</v>
      </c>
      <c r="L1109" s="6">
        <v>83.93</v>
      </c>
      <c r="M1109" s="6">
        <v>0</v>
      </c>
      <c r="N1109" s="6">
        <v>84.07</v>
      </c>
      <c r="O1109" s="6">
        <v>83.93</v>
      </c>
      <c r="P1109" s="6">
        <v>0</v>
      </c>
      <c r="Q1109" s="6">
        <v>84.07</v>
      </c>
      <c r="R1109" s="6">
        <v>83.93</v>
      </c>
    </row>
    <row r="1110" spans="2:18">
      <c r="B1110" s="6">
        <v>32568</v>
      </c>
      <c r="C1110" s="6" t="s">
        <v>1199</v>
      </c>
      <c r="D1110" s="6">
        <v>0</v>
      </c>
      <c r="E1110" s="6">
        <v>96.77</v>
      </c>
      <c r="F1110" s="6">
        <v>70.8</v>
      </c>
      <c r="G1110" s="6">
        <v>88.89</v>
      </c>
      <c r="H1110" s="6">
        <v>92.34</v>
      </c>
      <c r="I1110" s="6">
        <v>79.78</v>
      </c>
      <c r="J1110" s="6">
        <v>88.89</v>
      </c>
      <c r="K1110" s="6">
        <v>92.34</v>
      </c>
      <c r="L1110" s="6">
        <v>80.08</v>
      </c>
      <c r="M1110" s="6">
        <v>88.89</v>
      </c>
      <c r="N1110" s="6">
        <v>92.34</v>
      </c>
      <c r="O1110" s="6">
        <v>80.08</v>
      </c>
      <c r="P1110" s="6">
        <v>88.89</v>
      </c>
      <c r="Q1110" s="6">
        <v>92.34</v>
      </c>
      <c r="R1110" s="6">
        <v>80.08</v>
      </c>
    </row>
    <row r="1111" spans="2:18">
      <c r="B1111" s="6">
        <v>32570</v>
      </c>
      <c r="C1111" s="6" t="s">
        <v>999</v>
      </c>
      <c r="D1111" s="6">
        <v>95.17</v>
      </c>
      <c r="E1111" s="6">
        <v>95.17</v>
      </c>
      <c r="F1111" s="6">
        <v>95.21</v>
      </c>
      <c r="G1111" s="6">
        <v>96.77</v>
      </c>
      <c r="H1111" s="6">
        <v>97.74</v>
      </c>
      <c r="I1111" s="6">
        <v>96.78</v>
      </c>
      <c r="J1111" s="6">
        <v>98.23</v>
      </c>
      <c r="K1111" s="6">
        <v>98.19</v>
      </c>
      <c r="L1111" s="6">
        <v>98.1</v>
      </c>
      <c r="M1111" s="6">
        <v>98.23</v>
      </c>
      <c r="N1111" s="6">
        <v>98.19</v>
      </c>
      <c r="O1111" s="6">
        <v>98.1</v>
      </c>
      <c r="P1111" s="6">
        <v>98.04</v>
      </c>
      <c r="Q1111" s="6">
        <v>98.09</v>
      </c>
      <c r="R1111" s="6">
        <v>97.91</v>
      </c>
    </row>
    <row r="1112" spans="2:18">
      <c r="B1112" s="6">
        <v>32570</v>
      </c>
      <c r="C1112" s="6" t="s">
        <v>999</v>
      </c>
      <c r="D1112" s="6">
        <v>88.41</v>
      </c>
      <c r="E1112" s="6">
        <v>88.41</v>
      </c>
      <c r="F1112" s="6">
        <v>96.67</v>
      </c>
      <c r="G1112" s="6">
        <v>95.91</v>
      </c>
      <c r="H1112" s="6">
        <v>99.23</v>
      </c>
      <c r="I1112" s="6">
        <v>99.12</v>
      </c>
      <c r="J1112" s="6">
        <v>98.77</v>
      </c>
      <c r="K1112" s="6">
        <v>99.16</v>
      </c>
      <c r="L1112" s="6">
        <v>98.56</v>
      </c>
      <c r="M1112" s="6">
        <v>98.77</v>
      </c>
      <c r="N1112" s="6">
        <v>99.16</v>
      </c>
      <c r="O1112" s="6">
        <v>98.56</v>
      </c>
      <c r="P1112" s="6">
        <v>98.52</v>
      </c>
      <c r="Q1112" s="6">
        <v>98.45</v>
      </c>
      <c r="R1112" s="6">
        <v>98.28</v>
      </c>
    </row>
    <row r="1113" spans="2:18">
      <c r="B1113" s="6">
        <v>32570</v>
      </c>
      <c r="C1113" s="6" t="s">
        <v>999</v>
      </c>
      <c r="D1113" s="6">
        <v>95.91</v>
      </c>
      <c r="E1113" s="6">
        <v>95.91</v>
      </c>
      <c r="F1113" s="6">
        <v>99.11</v>
      </c>
      <c r="G1113" s="6">
        <v>95.91</v>
      </c>
      <c r="H1113" s="6">
        <v>95.91</v>
      </c>
      <c r="I1113" s="6">
        <v>99.11</v>
      </c>
      <c r="J1113" s="6">
        <v>95.91</v>
      </c>
      <c r="K1113" s="6">
        <v>95.91</v>
      </c>
      <c r="L1113" s="6">
        <v>97</v>
      </c>
      <c r="M1113" s="6">
        <v>95.91</v>
      </c>
      <c r="N1113" s="6">
        <v>95.91</v>
      </c>
      <c r="O1113" s="6">
        <v>97</v>
      </c>
      <c r="P1113" s="6">
        <v>95.91</v>
      </c>
      <c r="Q1113" s="6">
        <v>95.91</v>
      </c>
      <c r="R1113" s="6">
        <v>97</v>
      </c>
    </row>
    <row r="1114" spans="2:18">
      <c r="B1114" s="6">
        <v>32570</v>
      </c>
      <c r="C1114" s="6" t="s">
        <v>999</v>
      </c>
      <c r="D1114" s="6">
        <v>0</v>
      </c>
      <c r="E1114" s="6">
        <v>0</v>
      </c>
      <c r="F1114" s="6">
        <v>99.12</v>
      </c>
      <c r="G1114" s="6">
        <v>0</v>
      </c>
      <c r="H1114" s="6">
        <v>95.84</v>
      </c>
      <c r="I1114" s="6">
        <v>98.13</v>
      </c>
      <c r="J1114" s="6">
        <v>0</v>
      </c>
      <c r="K1114" s="6">
        <v>95.84</v>
      </c>
      <c r="L1114" s="6">
        <v>98.21</v>
      </c>
      <c r="M1114" s="6">
        <v>0</v>
      </c>
      <c r="N1114" s="6">
        <v>95.84</v>
      </c>
      <c r="O1114" s="6">
        <v>98.21</v>
      </c>
      <c r="P1114" s="6">
        <v>0</v>
      </c>
      <c r="Q1114" s="6">
        <v>95.84</v>
      </c>
      <c r="R1114" s="6">
        <v>98.21</v>
      </c>
    </row>
    <row r="1115" spans="2:18">
      <c r="B1115" s="6">
        <v>32571</v>
      </c>
      <c r="C1115" s="6" t="s">
        <v>263</v>
      </c>
      <c r="D1115" s="6">
        <v>94.23</v>
      </c>
      <c r="E1115" s="6">
        <v>94.23</v>
      </c>
      <c r="F1115" s="6">
        <v>94.23</v>
      </c>
      <c r="G1115" s="6">
        <v>96.77</v>
      </c>
      <c r="H1115" s="6">
        <v>97.74</v>
      </c>
      <c r="I1115" s="6">
        <v>96.78</v>
      </c>
      <c r="J1115" s="6">
        <v>98.23</v>
      </c>
      <c r="K1115" s="6">
        <v>98.19</v>
      </c>
      <c r="L1115" s="6">
        <v>98.1</v>
      </c>
      <c r="M1115" s="6">
        <v>98.23</v>
      </c>
      <c r="N1115" s="6">
        <v>98.19</v>
      </c>
      <c r="O1115" s="6">
        <v>98.1</v>
      </c>
      <c r="P1115" s="6">
        <v>98.04</v>
      </c>
      <c r="Q1115" s="6">
        <v>98.09</v>
      </c>
      <c r="R1115" s="6">
        <v>97.91</v>
      </c>
    </row>
    <row r="1116" spans="2:18">
      <c r="B1116" s="6">
        <v>32571</v>
      </c>
      <c r="C1116" s="6" t="s">
        <v>263</v>
      </c>
      <c r="D1116" s="6">
        <v>0</v>
      </c>
      <c r="E1116" s="6">
        <v>97.59</v>
      </c>
      <c r="F1116" s="6">
        <v>97.59</v>
      </c>
      <c r="G1116" s="6">
        <v>95.91</v>
      </c>
      <c r="H1116" s="6">
        <v>99.23</v>
      </c>
      <c r="I1116" s="6">
        <v>99.12</v>
      </c>
      <c r="J1116" s="6">
        <v>98.77</v>
      </c>
      <c r="K1116" s="6">
        <v>99.16</v>
      </c>
      <c r="L1116" s="6">
        <v>98.56</v>
      </c>
      <c r="M1116" s="6">
        <v>98.77</v>
      </c>
      <c r="N1116" s="6">
        <v>99.16</v>
      </c>
      <c r="O1116" s="6">
        <v>98.56</v>
      </c>
      <c r="P1116" s="6">
        <v>98.52</v>
      </c>
      <c r="Q1116" s="6">
        <v>98.45</v>
      </c>
      <c r="R1116" s="6">
        <v>98.28</v>
      </c>
    </row>
    <row r="1117" spans="2:18">
      <c r="B1117" s="6">
        <v>32571</v>
      </c>
      <c r="C1117" s="6" t="s">
        <v>263</v>
      </c>
      <c r="D1117" s="6">
        <v>0</v>
      </c>
      <c r="E1117" s="6">
        <v>99.69</v>
      </c>
      <c r="F1117" s="6">
        <v>99.69</v>
      </c>
      <c r="G1117" s="6">
        <v>0</v>
      </c>
      <c r="H1117" s="6">
        <v>99.69</v>
      </c>
      <c r="I1117" s="6">
        <v>99.66</v>
      </c>
      <c r="J1117" s="6">
        <v>0</v>
      </c>
      <c r="K1117" s="6">
        <v>99.39</v>
      </c>
      <c r="L1117" s="6">
        <v>97.81</v>
      </c>
      <c r="M1117" s="6">
        <v>0</v>
      </c>
      <c r="N1117" s="6">
        <v>99.39</v>
      </c>
      <c r="O1117" s="6">
        <v>97.81</v>
      </c>
      <c r="P1117" s="6">
        <v>64.22</v>
      </c>
      <c r="Q1117" s="6">
        <v>89.74</v>
      </c>
      <c r="R1117" s="6">
        <v>82.9</v>
      </c>
    </row>
    <row r="1118" spans="2:18">
      <c r="B1118" s="6">
        <v>32571</v>
      </c>
      <c r="C1118" s="6" t="s">
        <v>263</v>
      </c>
      <c r="D1118" s="6">
        <v>0</v>
      </c>
      <c r="E1118" s="6">
        <v>95.84</v>
      </c>
      <c r="F1118" s="6">
        <v>95.84</v>
      </c>
      <c r="G1118" s="6">
        <v>0</v>
      </c>
      <c r="H1118" s="6">
        <v>95.84</v>
      </c>
      <c r="I1118" s="6">
        <v>98.13</v>
      </c>
      <c r="J1118" s="6">
        <v>0</v>
      </c>
      <c r="K1118" s="6">
        <v>95.84</v>
      </c>
      <c r="L1118" s="6">
        <v>98.21</v>
      </c>
      <c r="M1118" s="6">
        <v>0</v>
      </c>
      <c r="N1118" s="6">
        <v>95.84</v>
      </c>
      <c r="O1118" s="6">
        <v>98.21</v>
      </c>
      <c r="P1118" s="6">
        <v>0</v>
      </c>
      <c r="Q1118" s="6">
        <v>95.84</v>
      </c>
      <c r="R1118" s="6">
        <v>98.21</v>
      </c>
    </row>
    <row r="1119" spans="2:18">
      <c r="B1119" s="6">
        <v>32572</v>
      </c>
      <c r="C1119" s="6" t="s">
        <v>1193</v>
      </c>
      <c r="D1119" s="6">
        <v>0</v>
      </c>
      <c r="E1119" s="6">
        <v>90.91</v>
      </c>
      <c r="F1119" s="6">
        <v>58.17</v>
      </c>
      <c r="G1119" s="6">
        <v>0</v>
      </c>
      <c r="H1119" s="6">
        <v>90.91</v>
      </c>
      <c r="I1119" s="6">
        <v>58.17</v>
      </c>
      <c r="J1119" s="6">
        <v>0</v>
      </c>
      <c r="K1119" s="6">
        <v>90.91</v>
      </c>
      <c r="L1119" s="6">
        <v>58.17</v>
      </c>
      <c r="M1119" s="6">
        <v>79.17</v>
      </c>
      <c r="N1119" s="6">
        <v>72.319999999999993</v>
      </c>
      <c r="O1119" s="6">
        <v>63.48</v>
      </c>
      <c r="P1119" s="6">
        <v>78.569999999999993</v>
      </c>
      <c r="Q1119" s="6">
        <v>79.319999999999993</v>
      </c>
      <c r="R1119" s="6">
        <v>88.2</v>
      </c>
    </row>
    <row r="1120" spans="2:18">
      <c r="B1120" s="6">
        <v>32572</v>
      </c>
      <c r="C1120" s="6" t="s">
        <v>1193</v>
      </c>
      <c r="D1120" s="6">
        <v>0</v>
      </c>
      <c r="E1120" s="6">
        <v>73.33</v>
      </c>
      <c r="F1120" s="6">
        <v>56.13</v>
      </c>
      <c r="G1120" s="6">
        <v>0</v>
      </c>
      <c r="H1120" s="6">
        <v>73.33</v>
      </c>
      <c r="I1120" s="6">
        <v>56.13</v>
      </c>
      <c r="J1120" s="6">
        <v>0</v>
      </c>
      <c r="K1120" s="6">
        <v>73.33</v>
      </c>
      <c r="L1120" s="6">
        <v>56.13</v>
      </c>
      <c r="M1120" s="6">
        <v>0</v>
      </c>
      <c r="N1120" s="6">
        <v>73.33</v>
      </c>
      <c r="O1120" s="6">
        <v>58.45</v>
      </c>
      <c r="P1120" s="6">
        <v>91.11</v>
      </c>
      <c r="Q1120" s="6">
        <v>86.3</v>
      </c>
      <c r="R1120" s="6">
        <v>65.569999999999993</v>
      </c>
    </row>
    <row r="1121" spans="2:18">
      <c r="B1121" s="6">
        <v>32572</v>
      </c>
      <c r="C1121" s="6" t="s">
        <v>1193</v>
      </c>
      <c r="D1121" s="6">
        <v>0</v>
      </c>
      <c r="E1121" s="6">
        <v>87.5</v>
      </c>
      <c r="F1121" s="6">
        <v>63.58</v>
      </c>
      <c r="G1121" s="6">
        <v>0</v>
      </c>
      <c r="H1121" s="6">
        <v>87.5</v>
      </c>
      <c r="I1121" s="6">
        <v>63.58</v>
      </c>
      <c r="J1121" s="6">
        <v>0</v>
      </c>
      <c r="K1121" s="6">
        <v>87.5</v>
      </c>
      <c r="L1121" s="6">
        <v>63.58</v>
      </c>
      <c r="M1121" s="6">
        <v>42.86</v>
      </c>
      <c r="N1121" s="6">
        <v>67.81</v>
      </c>
      <c r="O1121" s="6">
        <v>62.86</v>
      </c>
      <c r="P1121" s="6">
        <v>67.55</v>
      </c>
      <c r="Q1121" s="6">
        <v>74.17</v>
      </c>
      <c r="R1121" s="6">
        <v>67.33</v>
      </c>
    </row>
    <row r="1122" spans="2:18">
      <c r="B1122" s="6">
        <v>32574</v>
      </c>
      <c r="C1122" s="6" t="s">
        <v>1155</v>
      </c>
      <c r="D1122" s="6">
        <v>0</v>
      </c>
      <c r="E1122" s="6">
        <v>21.9</v>
      </c>
      <c r="F1122" s="6">
        <v>37.229999999999997</v>
      </c>
      <c r="G1122" s="6">
        <v>45.3</v>
      </c>
      <c r="H1122" s="6">
        <v>35.630000000000003</v>
      </c>
      <c r="I1122" s="6">
        <v>41.93</v>
      </c>
      <c r="J1122" s="6">
        <v>45.3</v>
      </c>
      <c r="K1122" s="6">
        <v>35.630000000000003</v>
      </c>
      <c r="L1122" s="6">
        <v>41.93</v>
      </c>
      <c r="M1122" s="6">
        <v>45.3</v>
      </c>
      <c r="N1122" s="6">
        <v>35.630000000000003</v>
      </c>
      <c r="O1122" s="6">
        <v>41.93</v>
      </c>
      <c r="P1122" s="6">
        <v>53.45</v>
      </c>
      <c r="Q1122" s="6">
        <v>47.12</v>
      </c>
      <c r="R1122" s="6">
        <v>50.07</v>
      </c>
    </row>
    <row r="1123" spans="2:18">
      <c r="B1123" s="6">
        <v>32575</v>
      </c>
      <c r="C1123" s="6" t="s">
        <v>1154</v>
      </c>
      <c r="D1123" s="6">
        <v>0</v>
      </c>
      <c r="E1123" s="6">
        <v>0</v>
      </c>
      <c r="F1123" s="6">
        <v>47.06</v>
      </c>
      <c r="G1123" s="6">
        <v>45.3</v>
      </c>
      <c r="H1123" s="6">
        <v>35.630000000000003</v>
      </c>
      <c r="I1123" s="6">
        <v>41.93</v>
      </c>
      <c r="J1123" s="6">
        <v>45.3</v>
      </c>
      <c r="K1123" s="6">
        <v>35.630000000000003</v>
      </c>
      <c r="L1123" s="6">
        <v>41.93</v>
      </c>
      <c r="M1123" s="6">
        <v>45.3</v>
      </c>
      <c r="N1123" s="6">
        <v>35.630000000000003</v>
      </c>
      <c r="O1123" s="6">
        <v>41.93</v>
      </c>
      <c r="P1123" s="6">
        <v>53.45</v>
      </c>
      <c r="Q1123" s="6">
        <v>47.12</v>
      </c>
      <c r="R1123" s="6">
        <v>50.07</v>
      </c>
    </row>
    <row r="1124" spans="2:18">
      <c r="B1124" s="6">
        <v>32576</v>
      </c>
      <c r="C1124" s="6" t="s">
        <v>1152</v>
      </c>
      <c r="D1124" s="6">
        <v>0</v>
      </c>
      <c r="E1124" s="6">
        <v>25</v>
      </c>
      <c r="F1124" s="6">
        <v>30.64</v>
      </c>
      <c r="G1124" s="6">
        <v>45.3</v>
      </c>
      <c r="H1124" s="6">
        <v>35.630000000000003</v>
      </c>
      <c r="I1124" s="6">
        <v>41.93</v>
      </c>
      <c r="J1124" s="6">
        <v>45.3</v>
      </c>
      <c r="K1124" s="6">
        <v>35.630000000000003</v>
      </c>
      <c r="L1124" s="6">
        <v>41.93</v>
      </c>
      <c r="M1124" s="6">
        <v>45.3</v>
      </c>
      <c r="N1124" s="6">
        <v>35.630000000000003</v>
      </c>
      <c r="O1124" s="6">
        <v>41.93</v>
      </c>
      <c r="P1124" s="6">
        <v>53.45</v>
      </c>
      <c r="Q1124" s="6">
        <v>47.12</v>
      </c>
      <c r="R1124" s="6">
        <v>50.07</v>
      </c>
    </row>
    <row r="1125" spans="2:18">
      <c r="B1125" s="6">
        <v>32579</v>
      </c>
      <c r="C1125" s="6" t="s">
        <v>1204</v>
      </c>
      <c r="D1125" s="6">
        <v>75</v>
      </c>
      <c r="E1125" s="6">
        <v>75</v>
      </c>
      <c r="F1125" s="6">
        <v>75</v>
      </c>
      <c r="G1125" s="6">
        <v>75</v>
      </c>
      <c r="H1125" s="6">
        <v>75</v>
      </c>
      <c r="I1125" s="6">
        <v>75</v>
      </c>
      <c r="J1125" s="6">
        <v>75</v>
      </c>
      <c r="K1125" s="6">
        <v>75</v>
      </c>
      <c r="L1125" s="6">
        <v>75</v>
      </c>
      <c r="M1125" s="6">
        <v>75</v>
      </c>
      <c r="N1125" s="6">
        <v>75</v>
      </c>
      <c r="O1125" s="6">
        <v>75</v>
      </c>
      <c r="P1125" s="6">
        <v>78.569999999999993</v>
      </c>
      <c r="Q1125" s="6">
        <v>79.319999999999993</v>
      </c>
      <c r="R1125" s="6">
        <v>88.2</v>
      </c>
    </row>
    <row r="1126" spans="2:18">
      <c r="B1126" s="6">
        <v>32579</v>
      </c>
      <c r="C1126" s="6" t="s">
        <v>1204</v>
      </c>
      <c r="D1126" s="6">
        <v>91.11</v>
      </c>
      <c r="E1126" s="6">
        <v>91.11</v>
      </c>
      <c r="F1126" s="6">
        <v>91.11</v>
      </c>
      <c r="G1126" s="6">
        <v>91.11</v>
      </c>
      <c r="H1126" s="6">
        <v>91.11</v>
      </c>
      <c r="I1126" s="6">
        <v>91.11</v>
      </c>
      <c r="J1126" s="6">
        <v>91.11</v>
      </c>
      <c r="K1126" s="6">
        <v>91.11</v>
      </c>
      <c r="L1126" s="6">
        <v>91.11</v>
      </c>
      <c r="M1126" s="6">
        <v>91.11</v>
      </c>
      <c r="N1126" s="6">
        <v>91.11</v>
      </c>
      <c r="O1126" s="6">
        <v>91.11</v>
      </c>
      <c r="P1126" s="6">
        <v>91.11</v>
      </c>
      <c r="Q1126" s="6">
        <v>86.3</v>
      </c>
      <c r="R1126" s="6">
        <v>65.569999999999993</v>
      </c>
    </row>
    <row r="1127" spans="2:18">
      <c r="B1127" s="6">
        <v>32579</v>
      </c>
      <c r="C1127" s="6" t="s">
        <v>1204</v>
      </c>
      <c r="D1127" s="6">
        <v>88.78</v>
      </c>
      <c r="E1127" s="6">
        <v>88.78</v>
      </c>
      <c r="F1127" s="6">
        <v>88.78</v>
      </c>
      <c r="G1127" s="6">
        <v>88.78</v>
      </c>
      <c r="H1127" s="6">
        <v>88.78</v>
      </c>
      <c r="I1127" s="6">
        <v>88.78</v>
      </c>
      <c r="J1127" s="6">
        <v>88.78</v>
      </c>
      <c r="K1127" s="6">
        <v>88.78</v>
      </c>
      <c r="L1127" s="6">
        <v>88.78</v>
      </c>
      <c r="M1127" s="6">
        <v>88.78</v>
      </c>
      <c r="N1127" s="6">
        <v>88.78</v>
      </c>
      <c r="O1127" s="6">
        <v>88.78</v>
      </c>
      <c r="P1127" s="6">
        <v>67.55</v>
      </c>
      <c r="Q1127" s="6">
        <v>74.17</v>
      </c>
      <c r="R1127" s="6">
        <v>67.33</v>
      </c>
    </row>
    <row r="1128" spans="2:18">
      <c r="B1128" s="6">
        <v>32579</v>
      </c>
      <c r="C1128" s="6" t="s">
        <v>1204</v>
      </c>
      <c r="D1128" s="6">
        <v>80</v>
      </c>
      <c r="E1128" s="6">
        <v>80</v>
      </c>
      <c r="F1128" s="6">
        <v>80</v>
      </c>
      <c r="G1128" s="6">
        <v>80</v>
      </c>
      <c r="H1128" s="6">
        <v>80</v>
      </c>
      <c r="I1128" s="6">
        <v>80</v>
      </c>
      <c r="J1128" s="6">
        <v>80</v>
      </c>
      <c r="K1128" s="6">
        <v>80</v>
      </c>
      <c r="L1128" s="6">
        <v>80</v>
      </c>
      <c r="M1128" s="6">
        <v>80</v>
      </c>
      <c r="N1128" s="6">
        <v>80</v>
      </c>
      <c r="O1128" s="6">
        <v>80</v>
      </c>
      <c r="P1128" s="6">
        <v>97.23</v>
      </c>
      <c r="Q1128" s="6">
        <v>95.67</v>
      </c>
      <c r="R1128" s="6">
        <v>93.87</v>
      </c>
    </row>
    <row r="1129" spans="2:18">
      <c r="B1129" s="6">
        <v>32579</v>
      </c>
      <c r="C1129" s="6" t="s">
        <v>1204</v>
      </c>
      <c r="D1129" s="6">
        <v>66.67</v>
      </c>
      <c r="E1129" s="6">
        <v>66.67</v>
      </c>
      <c r="F1129" s="6">
        <v>66.67</v>
      </c>
      <c r="G1129" s="6">
        <v>66.67</v>
      </c>
      <c r="H1129" s="6">
        <v>66.67</v>
      </c>
      <c r="I1129" s="6">
        <v>66.67</v>
      </c>
      <c r="J1129" s="6">
        <v>66.67</v>
      </c>
      <c r="K1129" s="6">
        <v>66.67</v>
      </c>
      <c r="L1129" s="6">
        <v>66.67</v>
      </c>
      <c r="M1129" s="6">
        <v>66.67</v>
      </c>
      <c r="N1129" s="6">
        <v>66.67</v>
      </c>
      <c r="O1129" s="6">
        <v>66.67</v>
      </c>
      <c r="P1129" s="6">
        <v>92.91</v>
      </c>
      <c r="Q1129" s="6">
        <v>94.84</v>
      </c>
      <c r="R1129" s="6">
        <v>94.98</v>
      </c>
    </row>
    <row r="1130" spans="2:18">
      <c r="B1130" s="6">
        <v>32581</v>
      </c>
      <c r="C1130" s="6" t="s">
        <v>1210</v>
      </c>
      <c r="D1130" s="6">
        <v>0</v>
      </c>
      <c r="E1130" s="6">
        <v>0</v>
      </c>
      <c r="F1130" s="6">
        <v>67.739999999999995</v>
      </c>
      <c r="G1130" s="6">
        <v>0</v>
      </c>
      <c r="H1130" s="6">
        <v>80.36</v>
      </c>
      <c r="I1130" s="6">
        <v>75.86</v>
      </c>
      <c r="J1130" s="6">
        <v>0</v>
      </c>
      <c r="K1130" s="6">
        <v>80.36</v>
      </c>
      <c r="L1130" s="6">
        <v>75.86</v>
      </c>
      <c r="M1130" s="6">
        <v>79.17</v>
      </c>
      <c r="N1130" s="6">
        <v>72.319999999999993</v>
      </c>
      <c r="O1130" s="6">
        <v>63.48</v>
      </c>
      <c r="P1130" s="6">
        <v>78.569999999999993</v>
      </c>
      <c r="Q1130" s="6">
        <v>79.319999999999993</v>
      </c>
      <c r="R1130" s="6">
        <v>88.2</v>
      </c>
    </row>
    <row r="1131" spans="2:18">
      <c r="B1131" s="6">
        <v>32581</v>
      </c>
      <c r="C1131" s="6" t="s">
        <v>1210</v>
      </c>
      <c r="D1131" s="6">
        <v>0</v>
      </c>
      <c r="E1131" s="6">
        <v>0</v>
      </c>
      <c r="F1131" s="6">
        <v>67.739999999999995</v>
      </c>
      <c r="G1131" s="6">
        <v>0</v>
      </c>
      <c r="H1131" s="6">
        <v>80.36</v>
      </c>
      <c r="I1131" s="6">
        <v>75.86</v>
      </c>
      <c r="J1131" s="6">
        <v>0</v>
      </c>
      <c r="K1131" s="6">
        <v>80.36</v>
      </c>
      <c r="L1131" s="6">
        <v>75.86</v>
      </c>
      <c r="M1131" s="6">
        <v>79.17</v>
      </c>
      <c r="N1131" s="6">
        <v>72.319999999999993</v>
      </c>
      <c r="O1131" s="6">
        <v>63.48</v>
      </c>
      <c r="P1131" s="6">
        <v>78.569999999999993</v>
      </c>
      <c r="Q1131" s="6">
        <v>79.319999999999993</v>
      </c>
      <c r="R1131" s="6">
        <v>88.2</v>
      </c>
    </row>
    <row r="1132" spans="2:18">
      <c r="B1132" s="6">
        <v>32581</v>
      </c>
      <c r="C1132" s="6" t="s">
        <v>1210</v>
      </c>
      <c r="D1132" s="6">
        <v>0</v>
      </c>
      <c r="E1132" s="6">
        <v>0</v>
      </c>
      <c r="F1132" s="6">
        <v>80</v>
      </c>
      <c r="G1132" s="6">
        <v>0</v>
      </c>
      <c r="H1132" s="6">
        <v>0</v>
      </c>
      <c r="I1132" s="6">
        <v>80</v>
      </c>
      <c r="J1132" s="6">
        <v>0</v>
      </c>
      <c r="K1132" s="6">
        <v>0</v>
      </c>
      <c r="L1132" s="6">
        <v>80</v>
      </c>
      <c r="M1132" s="6">
        <v>0</v>
      </c>
      <c r="N1132" s="6">
        <v>73.33</v>
      </c>
      <c r="O1132" s="6">
        <v>58.45</v>
      </c>
      <c r="P1132" s="6">
        <v>91.11</v>
      </c>
      <c r="Q1132" s="6">
        <v>86.3</v>
      </c>
      <c r="R1132" s="6">
        <v>65.569999999999993</v>
      </c>
    </row>
    <row r="1133" spans="2:18">
      <c r="B1133" s="6">
        <v>32582</v>
      </c>
      <c r="C1133" s="6" t="s">
        <v>1000</v>
      </c>
      <c r="D1133" s="6">
        <v>0</v>
      </c>
      <c r="E1133" s="6">
        <v>0</v>
      </c>
      <c r="F1133" s="6">
        <v>95.74</v>
      </c>
      <c r="G1133" s="6">
        <v>97.07</v>
      </c>
      <c r="H1133" s="6">
        <v>94.76</v>
      </c>
      <c r="I1133" s="6">
        <v>95.55</v>
      </c>
      <c r="J1133" s="6">
        <v>98.23</v>
      </c>
      <c r="K1133" s="6">
        <v>98.19</v>
      </c>
      <c r="L1133" s="6">
        <v>98.1</v>
      </c>
      <c r="M1133" s="6">
        <v>98.23</v>
      </c>
      <c r="N1133" s="6">
        <v>98.19</v>
      </c>
      <c r="O1133" s="6">
        <v>98.1</v>
      </c>
      <c r="P1133" s="6">
        <v>98.04</v>
      </c>
      <c r="Q1133" s="6">
        <v>98.09</v>
      </c>
      <c r="R1133" s="6">
        <v>97.91</v>
      </c>
    </row>
    <row r="1134" spans="2:18">
      <c r="B1134" s="6">
        <v>32582</v>
      </c>
      <c r="C1134" s="6" t="s">
        <v>1000</v>
      </c>
      <c r="D1134" s="6">
        <v>0</v>
      </c>
      <c r="E1134" s="6">
        <v>0</v>
      </c>
      <c r="F1134" s="6">
        <v>99.19</v>
      </c>
      <c r="G1134" s="6">
        <v>98.65</v>
      </c>
      <c r="H1134" s="6">
        <v>98.92</v>
      </c>
      <c r="I1134" s="6">
        <v>98.33</v>
      </c>
      <c r="J1134" s="6">
        <v>98.77</v>
      </c>
      <c r="K1134" s="6">
        <v>99.16</v>
      </c>
      <c r="L1134" s="6">
        <v>98.56</v>
      </c>
      <c r="M1134" s="6">
        <v>98.77</v>
      </c>
      <c r="N1134" s="6">
        <v>99.16</v>
      </c>
      <c r="O1134" s="6">
        <v>98.56</v>
      </c>
      <c r="P1134" s="6">
        <v>98.52</v>
      </c>
      <c r="Q1134" s="6">
        <v>98.45</v>
      </c>
      <c r="R1134" s="6">
        <v>98.28</v>
      </c>
    </row>
    <row r="1135" spans="2:18">
      <c r="B1135" s="6">
        <v>32582</v>
      </c>
      <c r="C1135" s="6" t="s">
        <v>1000</v>
      </c>
      <c r="D1135" s="6">
        <v>0</v>
      </c>
      <c r="E1135" s="6">
        <v>0</v>
      </c>
      <c r="F1135" s="6">
        <v>98.59</v>
      </c>
      <c r="G1135" s="6">
        <v>96.62</v>
      </c>
      <c r="H1135" s="6">
        <v>98.65</v>
      </c>
      <c r="I1135" s="6">
        <v>98.32</v>
      </c>
      <c r="J1135" s="6">
        <v>99.33</v>
      </c>
      <c r="K1135" s="6">
        <v>99.31</v>
      </c>
      <c r="L1135" s="6">
        <v>98.87</v>
      </c>
      <c r="M1135" s="6">
        <v>99.33</v>
      </c>
      <c r="N1135" s="6">
        <v>99.31</v>
      </c>
      <c r="O1135" s="6">
        <v>98.87</v>
      </c>
      <c r="P1135" s="6">
        <v>97.69</v>
      </c>
      <c r="Q1135" s="6">
        <v>98.01</v>
      </c>
      <c r="R1135" s="6">
        <v>98.3</v>
      </c>
    </row>
    <row r="1136" spans="2:18">
      <c r="B1136" s="6">
        <v>32584</v>
      </c>
      <c r="C1136" s="6" t="s">
        <v>1014</v>
      </c>
      <c r="D1136" s="6">
        <v>0</v>
      </c>
      <c r="E1136" s="6">
        <v>0</v>
      </c>
      <c r="F1136" s="6">
        <v>98.2</v>
      </c>
      <c r="G1136" s="6">
        <v>96.77</v>
      </c>
      <c r="H1136" s="6">
        <v>97.74</v>
      </c>
      <c r="I1136" s="6">
        <v>96.78</v>
      </c>
      <c r="J1136" s="6">
        <v>98.23</v>
      </c>
      <c r="K1136" s="6">
        <v>98.19</v>
      </c>
      <c r="L1136" s="6">
        <v>98.1</v>
      </c>
      <c r="M1136" s="6">
        <v>98.23</v>
      </c>
      <c r="N1136" s="6">
        <v>98.19</v>
      </c>
      <c r="O1136" s="6">
        <v>98.1</v>
      </c>
      <c r="P1136" s="6">
        <v>98.04</v>
      </c>
      <c r="Q1136" s="6">
        <v>98.09</v>
      </c>
      <c r="R1136" s="6">
        <v>97.91</v>
      </c>
    </row>
    <row r="1137" spans="2:18">
      <c r="B1137" s="6">
        <v>32584</v>
      </c>
      <c r="C1137" s="6" t="s">
        <v>1014</v>
      </c>
      <c r="D1137" s="6">
        <v>0</v>
      </c>
      <c r="E1137" s="6">
        <v>0</v>
      </c>
      <c r="F1137" s="6">
        <v>98.23</v>
      </c>
      <c r="G1137" s="6">
        <v>95.91</v>
      </c>
      <c r="H1137" s="6">
        <v>99.23</v>
      </c>
      <c r="I1137" s="6">
        <v>99.12</v>
      </c>
      <c r="J1137" s="6">
        <v>98.77</v>
      </c>
      <c r="K1137" s="6">
        <v>99.16</v>
      </c>
      <c r="L1137" s="6">
        <v>98.56</v>
      </c>
      <c r="M1137" s="6">
        <v>98.77</v>
      </c>
      <c r="N1137" s="6">
        <v>99.16</v>
      </c>
      <c r="O1137" s="6">
        <v>98.56</v>
      </c>
      <c r="P1137" s="6">
        <v>98.52</v>
      </c>
      <c r="Q1137" s="6">
        <v>98.45</v>
      </c>
      <c r="R1137" s="6">
        <v>98.28</v>
      </c>
    </row>
    <row r="1138" spans="2:18">
      <c r="B1138" s="6">
        <v>32584</v>
      </c>
      <c r="C1138" s="6" t="s">
        <v>1014</v>
      </c>
      <c r="D1138" s="6">
        <v>0</v>
      </c>
      <c r="E1138" s="6">
        <v>0</v>
      </c>
      <c r="F1138" s="6">
        <v>99.62</v>
      </c>
      <c r="G1138" s="6">
        <v>0</v>
      </c>
      <c r="H1138" s="6">
        <v>99.69</v>
      </c>
      <c r="I1138" s="6">
        <v>99.66</v>
      </c>
      <c r="J1138" s="6">
        <v>0</v>
      </c>
      <c r="K1138" s="6">
        <v>99.39</v>
      </c>
      <c r="L1138" s="6">
        <v>97.81</v>
      </c>
      <c r="M1138" s="6">
        <v>0</v>
      </c>
      <c r="N1138" s="6">
        <v>99.39</v>
      </c>
      <c r="O1138" s="6">
        <v>97.81</v>
      </c>
      <c r="P1138" s="6">
        <v>64.22</v>
      </c>
      <c r="Q1138" s="6">
        <v>89.74</v>
      </c>
      <c r="R1138" s="6">
        <v>82.9</v>
      </c>
    </row>
    <row r="1139" spans="2:18">
      <c r="B1139" s="6">
        <v>32584</v>
      </c>
      <c r="C1139" s="6" t="s">
        <v>1014</v>
      </c>
      <c r="D1139" s="6">
        <v>0</v>
      </c>
      <c r="E1139" s="6">
        <v>0</v>
      </c>
      <c r="F1139" s="6">
        <v>97.13</v>
      </c>
      <c r="G1139" s="6">
        <v>0</v>
      </c>
      <c r="H1139" s="6">
        <v>95.84</v>
      </c>
      <c r="I1139" s="6">
        <v>98.13</v>
      </c>
      <c r="J1139" s="6">
        <v>0</v>
      </c>
      <c r="K1139" s="6">
        <v>95.84</v>
      </c>
      <c r="L1139" s="6">
        <v>98.21</v>
      </c>
      <c r="M1139" s="6">
        <v>0</v>
      </c>
      <c r="N1139" s="6">
        <v>95.84</v>
      </c>
      <c r="O1139" s="6">
        <v>98.21</v>
      </c>
      <c r="P1139" s="6">
        <v>0</v>
      </c>
      <c r="Q1139" s="6">
        <v>95.84</v>
      </c>
      <c r="R1139" s="6">
        <v>98.21</v>
      </c>
    </row>
    <row r="1140" spans="2:18">
      <c r="B1140" s="6">
        <v>32585</v>
      </c>
      <c r="C1140" s="6" t="s">
        <v>1001</v>
      </c>
      <c r="D1140" s="6">
        <v>0</v>
      </c>
      <c r="E1140" s="6">
        <v>0</v>
      </c>
      <c r="F1140" s="6">
        <v>95.24</v>
      </c>
      <c r="G1140" s="6">
        <v>97.07</v>
      </c>
      <c r="H1140" s="6">
        <v>94.76</v>
      </c>
      <c r="I1140" s="6">
        <v>95.55</v>
      </c>
      <c r="J1140" s="6">
        <v>98.23</v>
      </c>
      <c r="K1140" s="6">
        <v>98.19</v>
      </c>
      <c r="L1140" s="6">
        <v>98.1</v>
      </c>
      <c r="M1140" s="6">
        <v>98.23</v>
      </c>
      <c r="N1140" s="6">
        <v>98.19</v>
      </c>
      <c r="O1140" s="6">
        <v>98.1</v>
      </c>
      <c r="P1140" s="6">
        <v>98.04</v>
      </c>
      <c r="Q1140" s="6">
        <v>98.09</v>
      </c>
      <c r="R1140" s="6">
        <v>97.91</v>
      </c>
    </row>
    <row r="1141" spans="2:18">
      <c r="B1141" s="6">
        <v>32585</v>
      </c>
      <c r="C1141" s="6" t="s">
        <v>1001</v>
      </c>
      <c r="D1141" s="6">
        <v>0</v>
      </c>
      <c r="E1141" s="6">
        <v>0</v>
      </c>
      <c r="F1141" s="6">
        <v>89.36</v>
      </c>
      <c r="G1141" s="6">
        <v>98.65</v>
      </c>
      <c r="H1141" s="6">
        <v>98.92</v>
      </c>
      <c r="I1141" s="6">
        <v>98.33</v>
      </c>
      <c r="J1141" s="6">
        <v>98.77</v>
      </c>
      <c r="K1141" s="6">
        <v>99.16</v>
      </c>
      <c r="L1141" s="6">
        <v>98.56</v>
      </c>
      <c r="M1141" s="6">
        <v>98.77</v>
      </c>
      <c r="N1141" s="6">
        <v>99.16</v>
      </c>
      <c r="O1141" s="6">
        <v>98.56</v>
      </c>
      <c r="P1141" s="6">
        <v>98.52</v>
      </c>
      <c r="Q1141" s="6">
        <v>98.45</v>
      </c>
      <c r="R1141" s="6">
        <v>98.28</v>
      </c>
    </row>
    <row r="1142" spans="2:18">
      <c r="B1142" s="6">
        <v>32585</v>
      </c>
      <c r="C1142" s="6" t="s">
        <v>1001</v>
      </c>
      <c r="D1142" s="6">
        <v>0</v>
      </c>
      <c r="E1142" s="6">
        <v>0</v>
      </c>
      <c r="F1142" s="6">
        <v>82.2</v>
      </c>
      <c r="G1142" s="6">
        <v>96.62</v>
      </c>
      <c r="H1142" s="6">
        <v>98.65</v>
      </c>
      <c r="I1142" s="6">
        <v>98.32</v>
      </c>
      <c r="J1142" s="6">
        <v>99.33</v>
      </c>
      <c r="K1142" s="6">
        <v>99.31</v>
      </c>
      <c r="L1142" s="6">
        <v>98.87</v>
      </c>
      <c r="M1142" s="6">
        <v>99.33</v>
      </c>
      <c r="N1142" s="6">
        <v>99.31</v>
      </c>
      <c r="O1142" s="6">
        <v>98.87</v>
      </c>
      <c r="P1142" s="6">
        <v>97.69</v>
      </c>
      <c r="Q1142" s="6">
        <v>98.01</v>
      </c>
      <c r="R1142" s="6">
        <v>98.3</v>
      </c>
    </row>
    <row r="1143" spans="2:18">
      <c r="B1143" s="6">
        <v>32585</v>
      </c>
      <c r="C1143" s="6" t="s">
        <v>1001</v>
      </c>
      <c r="D1143" s="6">
        <v>0</v>
      </c>
      <c r="E1143" s="6">
        <v>0</v>
      </c>
      <c r="F1143" s="6">
        <v>82.2</v>
      </c>
      <c r="G1143" s="6">
        <v>96.62</v>
      </c>
      <c r="H1143" s="6">
        <v>98.65</v>
      </c>
      <c r="I1143" s="6">
        <v>98.32</v>
      </c>
      <c r="J1143" s="6">
        <v>99.33</v>
      </c>
      <c r="K1143" s="6">
        <v>99.31</v>
      </c>
      <c r="L1143" s="6">
        <v>98.87</v>
      </c>
      <c r="M1143" s="6">
        <v>99.33</v>
      </c>
      <c r="N1143" s="6">
        <v>99.31</v>
      </c>
      <c r="O1143" s="6">
        <v>98.87</v>
      </c>
      <c r="P1143" s="6">
        <v>97.69</v>
      </c>
      <c r="Q1143" s="6">
        <v>98.01</v>
      </c>
      <c r="R1143" s="6">
        <v>98.3</v>
      </c>
    </row>
    <row r="1144" spans="2:18">
      <c r="B1144" s="6">
        <v>32586</v>
      </c>
      <c r="C1144" s="6" t="s">
        <v>1052</v>
      </c>
      <c r="D1144" s="6">
        <v>0</v>
      </c>
      <c r="E1144" s="6">
        <v>0</v>
      </c>
      <c r="F1144" s="6">
        <v>99.28</v>
      </c>
      <c r="G1144" s="6">
        <v>98.74</v>
      </c>
      <c r="H1144" s="6">
        <v>98.55</v>
      </c>
      <c r="I1144" s="6">
        <v>98.22</v>
      </c>
      <c r="J1144" s="6">
        <v>98.64</v>
      </c>
      <c r="K1144" s="6">
        <v>98.48</v>
      </c>
      <c r="L1144" s="6">
        <v>98.3</v>
      </c>
      <c r="M1144" s="6">
        <v>98.62</v>
      </c>
      <c r="N1144" s="6">
        <v>98.46</v>
      </c>
      <c r="O1144" s="6">
        <v>98.28</v>
      </c>
      <c r="P1144" s="6">
        <v>98.52</v>
      </c>
      <c r="Q1144" s="6">
        <v>98.45</v>
      </c>
      <c r="R1144" s="6">
        <v>98.28</v>
      </c>
    </row>
    <row r="1145" spans="2:18">
      <c r="B1145" s="6">
        <v>32586</v>
      </c>
      <c r="C1145" s="6" t="s">
        <v>1052</v>
      </c>
      <c r="D1145" s="6">
        <v>0</v>
      </c>
      <c r="E1145" s="6">
        <v>0</v>
      </c>
      <c r="F1145" s="6">
        <v>99.29</v>
      </c>
      <c r="G1145" s="6">
        <v>98.78</v>
      </c>
      <c r="H1145" s="6">
        <v>98.67</v>
      </c>
      <c r="I1145" s="6">
        <v>98.6</v>
      </c>
      <c r="J1145" s="6">
        <v>98.77</v>
      </c>
      <c r="K1145" s="6">
        <v>98.75</v>
      </c>
      <c r="L1145" s="6">
        <v>98.72</v>
      </c>
      <c r="M1145" s="6">
        <v>98.71</v>
      </c>
      <c r="N1145" s="6">
        <v>98.7</v>
      </c>
      <c r="O1145" s="6">
        <v>98.68</v>
      </c>
      <c r="P1145" s="6">
        <v>98.71</v>
      </c>
      <c r="Q1145" s="6">
        <v>98.7</v>
      </c>
      <c r="R1145" s="6">
        <v>98.68</v>
      </c>
    </row>
    <row r="1146" spans="2:18">
      <c r="B1146" s="6">
        <v>32586</v>
      </c>
      <c r="C1146" s="6" t="s">
        <v>1052</v>
      </c>
      <c r="D1146" s="6">
        <v>0</v>
      </c>
      <c r="E1146" s="6">
        <v>0</v>
      </c>
      <c r="F1146" s="6">
        <v>98.25</v>
      </c>
      <c r="G1146" s="6">
        <v>97.49</v>
      </c>
      <c r="H1146" s="6">
        <v>97.66</v>
      </c>
      <c r="I1146" s="6">
        <v>97.52</v>
      </c>
      <c r="J1146" s="6">
        <v>97.72</v>
      </c>
      <c r="K1146" s="6">
        <v>97.84</v>
      </c>
      <c r="L1146" s="6">
        <v>97.75</v>
      </c>
      <c r="M1146" s="6">
        <v>97.72</v>
      </c>
      <c r="N1146" s="6">
        <v>97.83</v>
      </c>
      <c r="O1146" s="6">
        <v>97.74</v>
      </c>
      <c r="P1146" s="6">
        <v>97.73</v>
      </c>
      <c r="Q1146" s="6">
        <v>97.84</v>
      </c>
      <c r="R1146" s="6">
        <v>97.75</v>
      </c>
    </row>
    <row r="1147" spans="2:18">
      <c r="B1147" s="6">
        <v>32586</v>
      </c>
      <c r="C1147" s="6" t="s">
        <v>1052</v>
      </c>
      <c r="D1147" s="6">
        <v>0</v>
      </c>
      <c r="E1147" s="6">
        <v>0</v>
      </c>
      <c r="F1147" s="6">
        <v>98.55</v>
      </c>
      <c r="G1147" s="6">
        <v>98.15</v>
      </c>
      <c r="H1147" s="6">
        <v>97.53</v>
      </c>
      <c r="I1147" s="6">
        <v>97.49</v>
      </c>
      <c r="J1147" s="6">
        <v>98.01</v>
      </c>
      <c r="K1147" s="6">
        <v>97.7</v>
      </c>
      <c r="L1147" s="6">
        <v>97.61</v>
      </c>
      <c r="M1147" s="6">
        <v>98.02</v>
      </c>
      <c r="N1147" s="6">
        <v>97.7</v>
      </c>
      <c r="O1147" s="6">
        <v>97.61</v>
      </c>
      <c r="P1147" s="6">
        <v>98.02</v>
      </c>
      <c r="Q1147" s="6">
        <v>97.7</v>
      </c>
      <c r="R1147" s="6">
        <v>97.61</v>
      </c>
    </row>
    <row r="1148" spans="2:18">
      <c r="B1148" s="6">
        <v>32587</v>
      </c>
      <c r="C1148" s="6" t="s">
        <v>1105</v>
      </c>
      <c r="D1148" s="6">
        <v>0</v>
      </c>
      <c r="E1148" s="6">
        <v>0</v>
      </c>
      <c r="F1148" s="6">
        <v>97.33</v>
      </c>
      <c r="G1148" s="6">
        <v>98.74</v>
      </c>
      <c r="H1148" s="6">
        <v>98.55</v>
      </c>
      <c r="I1148" s="6">
        <v>98.22</v>
      </c>
      <c r="J1148" s="6">
        <v>98.64</v>
      </c>
      <c r="K1148" s="6">
        <v>98.48</v>
      </c>
      <c r="L1148" s="6">
        <v>98.3</v>
      </c>
      <c r="M1148" s="6">
        <v>98.62</v>
      </c>
      <c r="N1148" s="6">
        <v>98.46</v>
      </c>
      <c r="O1148" s="6">
        <v>98.28</v>
      </c>
      <c r="P1148" s="6">
        <v>98.52</v>
      </c>
      <c r="Q1148" s="6">
        <v>98.45</v>
      </c>
      <c r="R1148" s="6">
        <v>98.28</v>
      </c>
    </row>
    <row r="1149" spans="2:18">
      <c r="B1149" s="6">
        <v>32587</v>
      </c>
      <c r="C1149" s="6" t="s">
        <v>1105</v>
      </c>
      <c r="D1149" s="6">
        <v>0</v>
      </c>
      <c r="E1149" s="6">
        <v>0</v>
      </c>
      <c r="F1149" s="6">
        <v>97.4</v>
      </c>
      <c r="G1149" s="6">
        <v>98.78</v>
      </c>
      <c r="H1149" s="6">
        <v>98.67</v>
      </c>
      <c r="I1149" s="6">
        <v>98.6</v>
      </c>
      <c r="J1149" s="6">
        <v>98.77</v>
      </c>
      <c r="K1149" s="6">
        <v>98.75</v>
      </c>
      <c r="L1149" s="6">
        <v>98.72</v>
      </c>
      <c r="M1149" s="6">
        <v>98.71</v>
      </c>
      <c r="N1149" s="6">
        <v>98.7</v>
      </c>
      <c r="O1149" s="6">
        <v>98.68</v>
      </c>
      <c r="P1149" s="6">
        <v>98.71</v>
      </c>
      <c r="Q1149" s="6">
        <v>98.7</v>
      </c>
      <c r="R1149" s="6">
        <v>98.68</v>
      </c>
    </row>
    <row r="1150" spans="2:18">
      <c r="B1150" s="6">
        <v>32587</v>
      </c>
      <c r="C1150" s="6" t="s">
        <v>1105</v>
      </c>
      <c r="D1150" s="6">
        <v>0</v>
      </c>
      <c r="E1150" s="6">
        <v>0</v>
      </c>
      <c r="F1150" s="6">
        <v>93.9</v>
      </c>
      <c r="G1150" s="6">
        <v>97.49</v>
      </c>
      <c r="H1150" s="6">
        <v>97.66</v>
      </c>
      <c r="I1150" s="6">
        <v>97.52</v>
      </c>
      <c r="J1150" s="6">
        <v>97.72</v>
      </c>
      <c r="K1150" s="6">
        <v>97.84</v>
      </c>
      <c r="L1150" s="6">
        <v>97.75</v>
      </c>
      <c r="M1150" s="6">
        <v>97.72</v>
      </c>
      <c r="N1150" s="6">
        <v>97.83</v>
      </c>
      <c r="O1150" s="6">
        <v>97.74</v>
      </c>
      <c r="P1150" s="6">
        <v>97.73</v>
      </c>
      <c r="Q1150" s="6">
        <v>97.84</v>
      </c>
      <c r="R1150" s="6">
        <v>97.75</v>
      </c>
    </row>
    <row r="1151" spans="2:18">
      <c r="B1151" s="6">
        <v>32587</v>
      </c>
      <c r="C1151" s="6" t="s">
        <v>1105</v>
      </c>
      <c r="D1151" s="6">
        <v>0</v>
      </c>
      <c r="E1151" s="6">
        <v>0</v>
      </c>
      <c r="F1151" s="6">
        <v>97.26</v>
      </c>
      <c r="G1151" s="6">
        <v>98.15</v>
      </c>
      <c r="H1151" s="6">
        <v>97.53</v>
      </c>
      <c r="I1151" s="6">
        <v>97.49</v>
      </c>
      <c r="J1151" s="6">
        <v>98.01</v>
      </c>
      <c r="K1151" s="6">
        <v>97.7</v>
      </c>
      <c r="L1151" s="6">
        <v>97.61</v>
      </c>
      <c r="M1151" s="6">
        <v>98.02</v>
      </c>
      <c r="N1151" s="6">
        <v>97.7</v>
      </c>
      <c r="O1151" s="6">
        <v>97.61</v>
      </c>
      <c r="P1151" s="6">
        <v>98.02</v>
      </c>
      <c r="Q1151" s="6">
        <v>97.7</v>
      </c>
      <c r="R1151" s="6">
        <v>97.61</v>
      </c>
    </row>
    <row r="1152" spans="2:18">
      <c r="B1152" s="6">
        <v>32588</v>
      </c>
      <c r="C1152" s="6" t="s">
        <v>1066</v>
      </c>
      <c r="D1152" s="6">
        <v>0</v>
      </c>
      <c r="E1152" s="6">
        <v>0</v>
      </c>
      <c r="F1152" s="6">
        <v>98.37</v>
      </c>
      <c r="G1152" s="6">
        <v>98.74</v>
      </c>
      <c r="H1152" s="6">
        <v>98.55</v>
      </c>
      <c r="I1152" s="6">
        <v>98.22</v>
      </c>
      <c r="J1152" s="6">
        <v>98.64</v>
      </c>
      <c r="K1152" s="6">
        <v>98.48</v>
      </c>
      <c r="L1152" s="6">
        <v>98.3</v>
      </c>
      <c r="M1152" s="6">
        <v>98.62</v>
      </c>
      <c r="N1152" s="6">
        <v>98.46</v>
      </c>
      <c r="O1152" s="6">
        <v>98.28</v>
      </c>
      <c r="P1152" s="6">
        <v>98.52</v>
      </c>
      <c r="Q1152" s="6">
        <v>98.45</v>
      </c>
      <c r="R1152" s="6">
        <v>98.28</v>
      </c>
    </row>
    <row r="1153" spans="2:18">
      <c r="B1153" s="6">
        <v>32588</v>
      </c>
      <c r="C1153" s="6" t="s">
        <v>1066</v>
      </c>
      <c r="D1153" s="6">
        <v>0</v>
      </c>
      <c r="E1153" s="6">
        <v>0</v>
      </c>
      <c r="F1153" s="6">
        <v>98.4</v>
      </c>
      <c r="G1153" s="6">
        <v>98.78</v>
      </c>
      <c r="H1153" s="6">
        <v>98.67</v>
      </c>
      <c r="I1153" s="6">
        <v>98.6</v>
      </c>
      <c r="J1153" s="6">
        <v>98.77</v>
      </c>
      <c r="K1153" s="6">
        <v>98.75</v>
      </c>
      <c r="L1153" s="6">
        <v>98.72</v>
      </c>
      <c r="M1153" s="6">
        <v>98.71</v>
      </c>
      <c r="N1153" s="6">
        <v>98.7</v>
      </c>
      <c r="O1153" s="6">
        <v>98.68</v>
      </c>
      <c r="P1153" s="6">
        <v>98.71</v>
      </c>
      <c r="Q1153" s="6">
        <v>98.7</v>
      </c>
      <c r="R1153" s="6">
        <v>98.68</v>
      </c>
    </row>
    <row r="1154" spans="2:18">
      <c r="B1154" s="6">
        <v>32588</v>
      </c>
      <c r="C1154" s="6" t="s">
        <v>1066</v>
      </c>
      <c r="D1154" s="6">
        <v>0</v>
      </c>
      <c r="E1154" s="6">
        <v>0</v>
      </c>
      <c r="F1154" s="6">
        <v>96.15</v>
      </c>
      <c r="G1154" s="6">
        <v>97.49</v>
      </c>
      <c r="H1154" s="6">
        <v>97.66</v>
      </c>
      <c r="I1154" s="6">
        <v>97.52</v>
      </c>
      <c r="J1154" s="6">
        <v>97.72</v>
      </c>
      <c r="K1154" s="6">
        <v>97.84</v>
      </c>
      <c r="L1154" s="6">
        <v>97.75</v>
      </c>
      <c r="M1154" s="6">
        <v>97.72</v>
      </c>
      <c r="N1154" s="6">
        <v>97.83</v>
      </c>
      <c r="O1154" s="6">
        <v>97.74</v>
      </c>
      <c r="P1154" s="6">
        <v>97.73</v>
      </c>
      <c r="Q1154" s="6">
        <v>97.84</v>
      </c>
      <c r="R1154" s="6">
        <v>97.75</v>
      </c>
    </row>
    <row r="1155" spans="2:18">
      <c r="B1155" s="6">
        <v>32588</v>
      </c>
      <c r="C1155" s="6" t="s">
        <v>1066</v>
      </c>
      <c r="D1155" s="6">
        <v>0</v>
      </c>
      <c r="E1155" s="6">
        <v>0</v>
      </c>
      <c r="F1155" s="6">
        <v>98.35</v>
      </c>
      <c r="G1155" s="6">
        <v>98.15</v>
      </c>
      <c r="H1155" s="6">
        <v>97.53</v>
      </c>
      <c r="I1155" s="6">
        <v>97.49</v>
      </c>
      <c r="J1155" s="6">
        <v>98.01</v>
      </c>
      <c r="K1155" s="6">
        <v>97.7</v>
      </c>
      <c r="L1155" s="6">
        <v>97.61</v>
      </c>
      <c r="M1155" s="6">
        <v>98.02</v>
      </c>
      <c r="N1155" s="6">
        <v>97.7</v>
      </c>
      <c r="O1155" s="6">
        <v>97.61</v>
      </c>
      <c r="P1155" s="6">
        <v>98.02</v>
      </c>
      <c r="Q1155" s="6">
        <v>97.7</v>
      </c>
      <c r="R1155" s="6">
        <v>97.61</v>
      </c>
    </row>
    <row r="1156" spans="2:18">
      <c r="B1156" s="6">
        <v>32589</v>
      </c>
      <c r="C1156" s="6" t="s">
        <v>1133</v>
      </c>
      <c r="D1156" s="6">
        <v>0</v>
      </c>
      <c r="E1156" s="6">
        <v>0</v>
      </c>
      <c r="F1156" s="6">
        <v>97.96</v>
      </c>
      <c r="G1156" s="6">
        <v>98.48</v>
      </c>
      <c r="H1156" s="6">
        <v>98.4</v>
      </c>
      <c r="I1156" s="6">
        <v>98.25</v>
      </c>
      <c r="J1156" s="6">
        <v>98.64</v>
      </c>
      <c r="K1156" s="6">
        <v>98.48</v>
      </c>
      <c r="L1156" s="6">
        <v>98.3</v>
      </c>
      <c r="M1156" s="6">
        <v>98.62</v>
      </c>
      <c r="N1156" s="6">
        <v>98.46</v>
      </c>
      <c r="O1156" s="6">
        <v>98.28</v>
      </c>
      <c r="P1156" s="6">
        <v>98.52</v>
      </c>
      <c r="Q1156" s="6">
        <v>98.45</v>
      </c>
      <c r="R1156" s="6">
        <v>98.28</v>
      </c>
    </row>
    <row r="1157" spans="2:18">
      <c r="B1157" s="6">
        <v>32589</v>
      </c>
      <c r="C1157" s="6" t="s">
        <v>1133</v>
      </c>
      <c r="D1157" s="6">
        <v>0</v>
      </c>
      <c r="E1157" s="6">
        <v>0</v>
      </c>
      <c r="F1157" s="6">
        <v>98</v>
      </c>
      <c r="G1157" s="6">
        <v>98.72</v>
      </c>
      <c r="H1157" s="6">
        <v>98.71</v>
      </c>
      <c r="I1157" s="6">
        <v>98.75</v>
      </c>
      <c r="J1157" s="6">
        <v>98.77</v>
      </c>
      <c r="K1157" s="6">
        <v>98.75</v>
      </c>
      <c r="L1157" s="6">
        <v>98.72</v>
      </c>
      <c r="M1157" s="6">
        <v>98.71</v>
      </c>
      <c r="N1157" s="6">
        <v>98.7</v>
      </c>
      <c r="O1157" s="6">
        <v>98.68</v>
      </c>
      <c r="P1157" s="6">
        <v>98.71</v>
      </c>
      <c r="Q1157" s="6">
        <v>98.7</v>
      </c>
      <c r="R1157" s="6">
        <v>98.68</v>
      </c>
    </row>
    <row r="1158" spans="2:18">
      <c r="B1158" s="6">
        <v>32589</v>
      </c>
      <c r="C1158" s="6" t="s">
        <v>1133</v>
      </c>
      <c r="D1158" s="6">
        <v>0</v>
      </c>
      <c r="E1158" s="6">
        <v>0</v>
      </c>
      <c r="F1158" s="6">
        <v>95.24</v>
      </c>
      <c r="G1158" s="6">
        <v>97.43</v>
      </c>
      <c r="H1158" s="6">
        <v>97.49</v>
      </c>
      <c r="I1158" s="6">
        <v>97.36</v>
      </c>
      <c r="J1158" s="6">
        <v>97.72</v>
      </c>
      <c r="K1158" s="6">
        <v>97.84</v>
      </c>
      <c r="L1158" s="6">
        <v>97.75</v>
      </c>
      <c r="M1158" s="6">
        <v>97.72</v>
      </c>
      <c r="N1158" s="6">
        <v>97.83</v>
      </c>
      <c r="O1158" s="6">
        <v>97.74</v>
      </c>
      <c r="P1158" s="6">
        <v>97.73</v>
      </c>
      <c r="Q1158" s="6">
        <v>97.84</v>
      </c>
      <c r="R1158" s="6">
        <v>97.75</v>
      </c>
    </row>
    <row r="1159" spans="2:18">
      <c r="B1159" s="6">
        <v>32589</v>
      </c>
      <c r="C1159" s="6" t="s">
        <v>1133</v>
      </c>
      <c r="D1159" s="6">
        <v>0</v>
      </c>
      <c r="E1159" s="6">
        <v>0</v>
      </c>
      <c r="F1159" s="6">
        <v>97.92</v>
      </c>
      <c r="G1159" s="6">
        <v>97.88</v>
      </c>
      <c r="H1159" s="6">
        <v>97.7</v>
      </c>
      <c r="I1159" s="6">
        <v>97.56</v>
      </c>
      <c r="J1159" s="6">
        <v>98.01</v>
      </c>
      <c r="K1159" s="6">
        <v>97.7</v>
      </c>
      <c r="L1159" s="6">
        <v>97.61</v>
      </c>
      <c r="M1159" s="6">
        <v>98.02</v>
      </c>
      <c r="N1159" s="6">
        <v>97.7</v>
      </c>
      <c r="O1159" s="6">
        <v>97.61</v>
      </c>
      <c r="P1159" s="6">
        <v>98.02</v>
      </c>
      <c r="Q1159" s="6">
        <v>97.7</v>
      </c>
      <c r="R1159" s="6">
        <v>97.61</v>
      </c>
    </row>
    <row r="1160" spans="2:18">
      <c r="B1160" s="6">
        <v>32590</v>
      </c>
      <c r="C1160" s="6" t="s">
        <v>1134</v>
      </c>
      <c r="D1160" s="6">
        <v>99.07</v>
      </c>
      <c r="E1160" s="6">
        <v>99.07</v>
      </c>
      <c r="F1160" s="6">
        <v>98.75</v>
      </c>
      <c r="G1160" s="6">
        <v>98.48</v>
      </c>
      <c r="H1160" s="6">
        <v>98.4</v>
      </c>
      <c r="I1160" s="6">
        <v>98.25</v>
      </c>
      <c r="J1160" s="6">
        <v>98.64</v>
      </c>
      <c r="K1160" s="6">
        <v>98.48</v>
      </c>
      <c r="L1160" s="6">
        <v>98.3</v>
      </c>
      <c r="M1160" s="6">
        <v>98.62</v>
      </c>
      <c r="N1160" s="6">
        <v>98.46</v>
      </c>
      <c r="O1160" s="6">
        <v>98.28</v>
      </c>
      <c r="P1160" s="6">
        <v>98.52</v>
      </c>
      <c r="Q1160" s="6">
        <v>98.45</v>
      </c>
      <c r="R1160" s="6">
        <v>98.28</v>
      </c>
    </row>
    <row r="1161" spans="2:18">
      <c r="B1161" s="6">
        <v>32590</v>
      </c>
      <c r="C1161" s="6" t="s">
        <v>1134</v>
      </c>
      <c r="D1161" s="6">
        <v>99.08</v>
      </c>
      <c r="E1161" s="6">
        <v>99.08</v>
      </c>
      <c r="F1161" s="6">
        <v>98.76</v>
      </c>
      <c r="G1161" s="6">
        <v>98.72</v>
      </c>
      <c r="H1161" s="6">
        <v>98.71</v>
      </c>
      <c r="I1161" s="6">
        <v>98.75</v>
      </c>
      <c r="J1161" s="6">
        <v>98.77</v>
      </c>
      <c r="K1161" s="6">
        <v>98.75</v>
      </c>
      <c r="L1161" s="6">
        <v>98.72</v>
      </c>
      <c r="M1161" s="6">
        <v>98.71</v>
      </c>
      <c r="N1161" s="6">
        <v>98.7</v>
      </c>
      <c r="O1161" s="6">
        <v>98.68</v>
      </c>
      <c r="P1161" s="6">
        <v>98.71</v>
      </c>
      <c r="Q1161" s="6">
        <v>98.7</v>
      </c>
      <c r="R1161" s="6">
        <v>98.68</v>
      </c>
    </row>
    <row r="1162" spans="2:18">
      <c r="B1162" s="6">
        <v>32590</v>
      </c>
      <c r="C1162" s="6" t="s">
        <v>1134</v>
      </c>
      <c r="D1162" s="6">
        <v>92.77</v>
      </c>
      <c r="E1162" s="6">
        <v>92.77</v>
      </c>
      <c r="F1162" s="6">
        <v>93.62</v>
      </c>
      <c r="G1162" s="6">
        <v>97.43</v>
      </c>
      <c r="H1162" s="6">
        <v>97.49</v>
      </c>
      <c r="I1162" s="6">
        <v>97.36</v>
      </c>
      <c r="J1162" s="6">
        <v>97.72</v>
      </c>
      <c r="K1162" s="6">
        <v>97.84</v>
      </c>
      <c r="L1162" s="6">
        <v>97.75</v>
      </c>
      <c r="M1162" s="6">
        <v>97.72</v>
      </c>
      <c r="N1162" s="6">
        <v>97.83</v>
      </c>
      <c r="O1162" s="6">
        <v>97.74</v>
      </c>
      <c r="P1162" s="6">
        <v>97.73</v>
      </c>
      <c r="Q1162" s="6">
        <v>97.84</v>
      </c>
      <c r="R1162" s="6">
        <v>97.75</v>
      </c>
    </row>
    <row r="1163" spans="2:18">
      <c r="B1163" s="6">
        <v>32590</v>
      </c>
      <c r="C1163" s="6" t="s">
        <v>1134</v>
      </c>
      <c r="D1163" s="6">
        <v>99.07</v>
      </c>
      <c r="E1163" s="6">
        <v>99.07</v>
      </c>
      <c r="F1163" s="6">
        <v>98.73</v>
      </c>
      <c r="G1163" s="6">
        <v>97.88</v>
      </c>
      <c r="H1163" s="6">
        <v>97.7</v>
      </c>
      <c r="I1163" s="6">
        <v>97.56</v>
      </c>
      <c r="J1163" s="6">
        <v>98.01</v>
      </c>
      <c r="K1163" s="6">
        <v>97.7</v>
      </c>
      <c r="L1163" s="6">
        <v>97.61</v>
      </c>
      <c r="M1163" s="6">
        <v>98.02</v>
      </c>
      <c r="N1163" s="6">
        <v>97.7</v>
      </c>
      <c r="O1163" s="6">
        <v>97.61</v>
      </c>
      <c r="P1163" s="6">
        <v>98.02</v>
      </c>
      <c r="Q1163" s="6">
        <v>97.7</v>
      </c>
      <c r="R1163" s="6">
        <v>97.61</v>
      </c>
    </row>
    <row r="1164" spans="2:18">
      <c r="B1164" s="6">
        <v>32591</v>
      </c>
      <c r="C1164" s="6" t="s">
        <v>1067</v>
      </c>
      <c r="D1164" s="6">
        <v>0</v>
      </c>
      <c r="E1164" s="6">
        <v>0</v>
      </c>
      <c r="F1164" s="6">
        <v>97.59</v>
      </c>
      <c r="G1164" s="6">
        <v>98.48</v>
      </c>
      <c r="H1164" s="6">
        <v>98.4</v>
      </c>
      <c r="I1164" s="6">
        <v>98.25</v>
      </c>
      <c r="J1164" s="6">
        <v>98.64</v>
      </c>
      <c r="K1164" s="6">
        <v>98.48</v>
      </c>
      <c r="L1164" s="6">
        <v>98.3</v>
      </c>
      <c r="M1164" s="6">
        <v>98.62</v>
      </c>
      <c r="N1164" s="6">
        <v>98.46</v>
      </c>
      <c r="O1164" s="6">
        <v>98.28</v>
      </c>
      <c r="P1164" s="6">
        <v>98.52</v>
      </c>
      <c r="Q1164" s="6">
        <v>98.45</v>
      </c>
      <c r="R1164" s="6">
        <v>98.28</v>
      </c>
    </row>
    <row r="1165" spans="2:18">
      <c r="B1165" s="6">
        <v>32591</v>
      </c>
      <c r="C1165" s="6" t="s">
        <v>1067</v>
      </c>
      <c r="D1165" s="6">
        <v>0</v>
      </c>
      <c r="E1165" s="6">
        <v>0</v>
      </c>
      <c r="F1165" s="6">
        <v>97.65</v>
      </c>
      <c r="G1165" s="6">
        <v>98.72</v>
      </c>
      <c r="H1165" s="6">
        <v>98.71</v>
      </c>
      <c r="I1165" s="6">
        <v>98.75</v>
      </c>
      <c r="J1165" s="6">
        <v>98.77</v>
      </c>
      <c r="K1165" s="6">
        <v>98.75</v>
      </c>
      <c r="L1165" s="6">
        <v>98.72</v>
      </c>
      <c r="M1165" s="6">
        <v>98.71</v>
      </c>
      <c r="N1165" s="6">
        <v>98.7</v>
      </c>
      <c r="O1165" s="6">
        <v>98.68</v>
      </c>
      <c r="P1165" s="6">
        <v>98.71</v>
      </c>
      <c r="Q1165" s="6">
        <v>98.7</v>
      </c>
      <c r="R1165" s="6">
        <v>98.68</v>
      </c>
    </row>
    <row r="1166" spans="2:18">
      <c r="B1166" s="6">
        <v>32591</v>
      </c>
      <c r="C1166" s="6" t="s">
        <v>1067</v>
      </c>
      <c r="D1166" s="6">
        <v>0</v>
      </c>
      <c r="E1166" s="6">
        <v>0</v>
      </c>
      <c r="F1166" s="6">
        <v>94.44</v>
      </c>
      <c r="G1166" s="6">
        <v>97.43</v>
      </c>
      <c r="H1166" s="6">
        <v>97.49</v>
      </c>
      <c r="I1166" s="6">
        <v>97.36</v>
      </c>
      <c r="J1166" s="6">
        <v>97.72</v>
      </c>
      <c r="K1166" s="6">
        <v>97.84</v>
      </c>
      <c r="L1166" s="6">
        <v>97.75</v>
      </c>
      <c r="M1166" s="6">
        <v>97.72</v>
      </c>
      <c r="N1166" s="6">
        <v>97.83</v>
      </c>
      <c r="O1166" s="6">
        <v>97.74</v>
      </c>
      <c r="P1166" s="6">
        <v>97.73</v>
      </c>
      <c r="Q1166" s="6">
        <v>97.84</v>
      </c>
      <c r="R1166" s="6">
        <v>97.75</v>
      </c>
    </row>
    <row r="1167" spans="2:18">
      <c r="B1167" s="6">
        <v>32591</v>
      </c>
      <c r="C1167" s="6" t="s">
        <v>1067</v>
      </c>
      <c r="D1167" s="6">
        <v>0</v>
      </c>
      <c r="E1167" s="6">
        <v>0</v>
      </c>
      <c r="F1167" s="6">
        <v>97.53</v>
      </c>
      <c r="G1167" s="6">
        <v>97.88</v>
      </c>
      <c r="H1167" s="6">
        <v>97.7</v>
      </c>
      <c r="I1167" s="6">
        <v>97.56</v>
      </c>
      <c r="J1167" s="6">
        <v>98.01</v>
      </c>
      <c r="K1167" s="6">
        <v>97.7</v>
      </c>
      <c r="L1167" s="6">
        <v>97.61</v>
      </c>
      <c r="M1167" s="6">
        <v>98.02</v>
      </c>
      <c r="N1167" s="6">
        <v>97.7</v>
      </c>
      <c r="O1167" s="6">
        <v>97.61</v>
      </c>
      <c r="P1167" s="6">
        <v>98.02</v>
      </c>
      <c r="Q1167" s="6">
        <v>97.7</v>
      </c>
      <c r="R1167" s="6">
        <v>97.61</v>
      </c>
    </row>
    <row r="1168" spans="2:18">
      <c r="B1168" s="6">
        <v>32592</v>
      </c>
      <c r="C1168" s="6" t="s">
        <v>1068</v>
      </c>
      <c r="D1168" s="6">
        <v>0</v>
      </c>
      <c r="E1168" s="6">
        <v>0</v>
      </c>
      <c r="F1168" s="6">
        <v>99.16</v>
      </c>
      <c r="G1168" s="6">
        <v>98.48</v>
      </c>
      <c r="H1168" s="6">
        <v>98.4</v>
      </c>
      <c r="I1168" s="6">
        <v>98.25</v>
      </c>
      <c r="J1168" s="6">
        <v>98.64</v>
      </c>
      <c r="K1168" s="6">
        <v>98.48</v>
      </c>
      <c r="L1168" s="6">
        <v>98.3</v>
      </c>
      <c r="M1168" s="6">
        <v>98.62</v>
      </c>
      <c r="N1168" s="6">
        <v>98.46</v>
      </c>
      <c r="O1168" s="6">
        <v>98.28</v>
      </c>
      <c r="P1168" s="6">
        <v>98.52</v>
      </c>
      <c r="Q1168" s="6">
        <v>98.45</v>
      </c>
      <c r="R1168" s="6">
        <v>98.28</v>
      </c>
    </row>
    <row r="1169" spans="2:18">
      <c r="B1169" s="6">
        <v>32592</v>
      </c>
      <c r="C1169" s="6" t="s">
        <v>1068</v>
      </c>
      <c r="D1169" s="6">
        <v>0</v>
      </c>
      <c r="E1169" s="6">
        <v>0</v>
      </c>
      <c r="F1169" s="6">
        <v>99.17</v>
      </c>
      <c r="G1169" s="6">
        <v>98.72</v>
      </c>
      <c r="H1169" s="6">
        <v>98.71</v>
      </c>
      <c r="I1169" s="6">
        <v>98.75</v>
      </c>
      <c r="J1169" s="6">
        <v>98.77</v>
      </c>
      <c r="K1169" s="6">
        <v>98.75</v>
      </c>
      <c r="L1169" s="6">
        <v>98.72</v>
      </c>
      <c r="M1169" s="6">
        <v>98.71</v>
      </c>
      <c r="N1169" s="6">
        <v>98.7</v>
      </c>
      <c r="O1169" s="6">
        <v>98.68</v>
      </c>
      <c r="P1169" s="6">
        <v>98.71</v>
      </c>
      <c r="Q1169" s="6">
        <v>98.7</v>
      </c>
      <c r="R1169" s="6">
        <v>98.68</v>
      </c>
    </row>
    <row r="1170" spans="2:18">
      <c r="B1170" s="6">
        <v>32592</v>
      </c>
      <c r="C1170" s="6" t="s">
        <v>1068</v>
      </c>
      <c r="D1170" s="6">
        <v>0</v>
      </c>
      <c r="E1170" s="6">
        <v>0</v>
      </c>
      <c r="F1170" s="6">
        <v>97.96</v>
      </c>
      <c r="G1170" s="6">
        <v>97.43</v>
      </c>
      <c r="H1170" s="6">
        <v>97.49</v>
      </c>
      <c r="I1170" s="6">
        <v>97.36</v>
      </c>
      <c r="J1170" s="6">
        <v>97.72</v>
      </c>
      <c r="K1170" s="6">
        <v>97.84</v>
      </c>
      <c r="L1170" s="6">
        <v>97.75</v>
      </c>
      <c r="M1170" s="6">
        <v>97.72</v>
      </c>
      <c r="N1170" s="6">
        <v>97.83</v>
      </c>
      <c r="O1170" s="6">
        <v>97.74</v>
      </c>
      <c r="P1170" s="6">
        <v>97.73</v>
      </c>
      <c r="Q1170" s="6">
        <v>97.84</v>
      </c>
      <c r="R1170" s="6">
        <v>97.75</v>
      </c>
    </row>
    <row r="1171" spans="2:18">
      <c r="B1171" s="6">
        <v>32592</v>
      </c>
      <c r="C1171" s="6" t="s">
        <v>1068</v>
      </c>
      <c r="D1171" s="6">
        <v>0</v>
      </c>
      <c r="E1171" s="6">
        <v>0</v>
      </c>
      <c r="F1171" s="6">
        <v>97.88</v>
      </c>
      <c r="G1171" s="6">
        <v>97.88</v>
      </c>
      <c r="H1171" s="6">
        <v>97.7</v>
      </c>
      <c r="I1171" s="6">
        <v>97.56</v>
      </c>
      <c r="J1171" s="6">
        <v>98.01</v>
      </c>
      <c r="K1171" s="6">
        <v>97.7</v>
      </c>
      <c r="L1171" s="6">
        <v>97.61</v>
      </c>
      <c r="M1171" s="6">
        <v>98.02</v>
      </c>
      <c r="N1171" s="6">
        <v>97.7</v>
      </c>
      <c r="O1171" s="6">
        <v>97.61</v>
      </c>
      <c r="P1171" s="6">
        <v>98.02</v>
      </c>
      <c r="Q1171" s="6">
        <v>97.7</v>
      </c>
      <c r="R1171" s="6">
        <v>97.61</v>
      </c>
    </row>
    <row r="1172" spans="2:18">
      <c r="B1172" s="6">
        <v>32593</v>
      </c>
      <c r="C1172" s="6" t="s">
        <v>1086</v>
      </c>
      <c r="D1172" s="6">
        <v>0</v>
      </c>
      <c r="E1172" s="6">
        <v>0</v>
      </c>
      <c r="F1172" s="6">
        <v>98.15</v>
      </c>
      <c r="G1172" s="6">
        <v>98.48</v>
      </c>
      <c r="H1172" s="6">
        <v>98.4</v>
      </c>
      <c r="I1172" s="6">
        <v>98.25</v>
      </c>
      <c r="J1172" s="6">
        <v>98.64</v>
      </c>
      <c r="K1172" s="6">
        <v>98.48</v>
      </c>
      <c r="L1172" s="6">
        <v>98.3</v>
      </c>
      <c r="M1172" s="6">
        <v>98.62</v>
      </c>
      <c r="N1172" s="6">
        <v>98.46</v>
      </c>
      <c r="O1172" s="6">
        <v>98.28</v>
      </c>
      <c r="P1172" s="6">
        <v>98.52</v>
      </c>
      <c r="Q1172" s="6">
        <v>98.45</v>
      </c>
      <c r="R1172" s="6">
        <v>98.28</v>
      </c>
    </row>
    <row r="1173" spans="2:18">
      <c r="B1173" s="6">
        <v>32593</v>
      </c>
      <c r="C1173" s="6" t="s">
        <v>1086</v>
      </c>
      <c r="D1173" s="6">
        <v>0</v>
      </c>
      <c r="E1173" s="6">
        <v>0</v>
      </c>
      <c r="F1173" s="6">
        <v>98.18</v>
      </c>
      <c r="G1173" s="6">
        <v>98.72</v>
      </c>
      <c r="H1173" s="6">
        <v>98.71</v>
      </c>
      <c r="I1173" s="6">
        <v>98.75</v>
      </c>
      <c r="J1173" s="6">
        <v>98.77</v>
      </c>
      <c r="K1173" s="6">
        <v>98.75</v>
      </c>
      <c r="L1173" s="6">
        <v>98.72</v>
      </c>
      <c r="M1173" s="6">
        <v>98.71</v>
      </c>
      <c r="N1173" s="6">
        <v>98.7</v>
      </c>
      <c r="O1173" s="6">
        <v>98.68</v>
      </c>
      <c r="P1173" s="6">
        <v>98.71</v>
      </c>
      <c r="Q1173" s="6">
        <v>98.7</v>
      </c>
      <c r="R1173" s="6">
        <v>98.68</v>
      </c>
    </row>
    <row r="1174" spans="2:18">
      <c r="B1174" s="6">
        <v>32593</v>
      </c>
      <c r="C1174" s="6" t="s">
        <v>1086</v>
      </c>
      <c r="D1174" s="6">
        <v>0</v>
      </c>
      <c r="E1174" s="6">
        <v>0</v>
      </c>
      <c r="F1174" s="6">
        <v>95.65</v>
      </c>
      <c r="G1174" s="6">
        <v>97.43</v>
      </c>
      <c r="H1174" s="6">
        <v>97.49</v>
      </c>
      <c r="I1174" s="6">
        <v>97.36</v>
      </c>
      <c r="J1174" s="6">
        <v>97.72</v>
      </c>
      <c r="K1174" s="6">
        <v>97.84</v>
      </c>
      <c r="L1174" s="6">
        <v>97.75</v>
      </c>
      <c r="M1174" s="6">
        <v>97.72</v>
      </c>
      <c r="N1174" s="6">
        <v>97.83</v>
      </c>
      <c r="O1174" s="6">
        <v>97.74</v>
      </c>
      <c r="P1174" s="6">
        <v>97.73</v>
      </c>
      <c r="Q1174" s="6">
        <v>97.84</v>
      </c>
      <c r="R1174" s="6">
        <v>97.75</v>
      </c>
    </row>
    <row r="1175" spans="2:18">
      <c r="B1175" s="6">
        <v>32593</v>
      </c>
      <c r="C1175" s="6" t="s">
        <v>1086</v>
      </c>
      <c r="D1175" s="6">
        <v>0</v>
      </c>
      <c r="E1175" s="6">
        <v>0</v>
      </c>
      <c r="F1175" s="6">
        <v>92.45</v>
      </c>
      <c r="G1175" s="6">
        <v>97.88</v>
      </c>
      <c r="H1175" s="6">
        <v>97.7</v>
      </c>
      <c r="I1175" s="6">
        <v>97.56</v>
      </c>
      <c r="J1175" s="6">
        <v>98.01</v>
      </c>
      <c r="K1175" s="6">
        <v>97.7</v>
      </c>
      <c r="L1175" s="6">
        <v>97.61</v>
      </c>
      <c r="M1175" s="6">
        <v>98.02</v>
      </c>
      <c r="N1175" s="6">
        <v>97.7</v>
      </c>
      <c r="O1175" s="6">
        <v>97.61</v>
      </c>
      <c r="P1175" s="6">
        <v>98.02</v>
      </c>
      <c r="Q1175" s="6">
        <v>97.7</v>
      </c>
      <c r="R1175" s="6">
        <v>97.61</v>
      </c>
    </row>
    <row r="1176" spans="2:18">
      <c r="B1176" s="6">
        <v>32594</v>
      </c>
      <c r="C1176" s="6" t="s">
        <v>1106</v>
      </c>
      <c r="D1176" s="6">
        <v>0</v>
      </c>
      <c r="E1176" s="6">
        <v>0</v>
      </c>
      <c r="F1176" s="6">
        <v>98.21</v>
      </c>
      <c r="G1176" s="6">
        <v>98.48</v>
      </c>
      <c r="H1176" s="6">
        <v>98.4</v>
      </c>
      <c r="I1176" s="6">
        <v>98.25</v>
      </c>
      <c r="J1176" s="6">
        <v>98.64</v>
      </c>
      <c r="K1176" s="6">
        <v>98.48</v>
      </c>
      <c r="L1176" s="6">
        <v>98.3</v>
      </c>
      <c r="M1176" s="6">
        <v>98.62</v>
      </c>
      <c r="N1176" s="6">
        <v>98.46</v>
      </c>
      <c r="O1176" s="6">
        <v>98.28</v>
      </c>
      <c r="P1176" s="6">
        <v>98.52</v>
      </c>
      <c r="Q1176" s="6">
        <v>98.45</v>
      </c>
      <c r="R1176" s="6">
        <v>98.28</v>
      </c>
    </row>
    <row r="1177" spans="2:18">
      <c r="B1177" s="6">
        <v>32594</v>
      </c>
      <c r="C1177" s="6" t="s">
        <v>1106</v>
      </c>
      <c r="D1177" s="6">
        <v>0</v>
      </c>
      <c r="E1177" s="6">
        <v>0</v>
      </c>
      <c r="F1177" s="6">
        <v>98.25</v>
      </c>
      <c r="G1177" s="6">
        <v>98.72</v>
      </c>
      <c r="H1177" s="6">
        <v>98.71</v>
      </c>
      <c r="I1177" s="6">
        <v>98.75</v>
      </c>
      <c r="J1177" s="6">
        <v>98.77</v>
      </c>
      <c r="K1177" s="6">
        <v>98.75</v>
      </c>
      <c r="L1177" s="6">
        <v>98.72</v>
      </c>
      <c r="M1177" s="6">
        <v>98.71</v>
      </c>
      <c r="N1177" s="6">
        <v>98.7</v>
      </c>
      <c r="O1177" s="6">
        <v>98.68</v>
      </c>
      <c r="P1177" s="6">
        <v>98.71</v>
      </c>
      <c r="Q1177" s="6">
        <v>98.7</v>
      </c>
      <c r="R1177" s="6">
        <v>98.68</v>
      </c>
    </row>
    <row r="1178" spans="2:18">
      <c r="B1178" s="6">
        <v>32594</v>
      </c>
      <c r="C1178" s="6" t="s">
        <v>1106</v>
      </c>
      <c r="D1178" s="6">
        <v>0</v>
      </c>
      <c r="E1178" s="6">
        <v>0</v>
      </c>
      <c r="F1178" s="6">
        <v>95.8</v>
      </c>
      <c r="G1178" s="6">
        <v>97.43</v>
      </c>
      <c r="H1178" s="6">
        <v>97.49</v>
      </c>
      <c r="I1178" s="6">
        <v>97.36</v>
      </c>
      <c r="J1178" s="6">
        <v>97.72</v>
      </c>
      <c r="K1178" s="6">
        <v>97.84</v>
      </c>
      <c r="L1178" s="6">
        <v>97.75</v>
      </c>
      <c r="M1178" s="6">
        <v>97.72</v>
      </c>
      <c r="N1178" s="6">
        <v>97.83</v>
      </c>
      <c r="O1178" s="6">
        <v>97.74</v>
      </c>
      <c r="P1178" s="6">
        <v>97.73</v>
      </c>
      <c r="Q1178" s="6">
        <v>97.84</v>
      </c>
      <c r="R1178" s="6">
        <v>97.75</v>
      </c>
    </row>
    <row r="1179" spans="2:18">
      <c r="B1179" s="6">
        <v>32594</v>
      </c>
      <c r="C1179" s="6" t="s">
        <v>1106</v>
      </c>
      <c r="D1179" s="6">
        <v>0</v>
      </c>
      <c r="E1179" s="6">
        <v>0</v>
      </c>
      <c r="F1179" s="6">
        <v>98.18</v>
      </c>
      <c r="G1179" s="6">
        <v>97.88</v>
      </c>
      <c r="H1179" s="6">
        <v>97.7</v>
      </c>
      <c r="I1179" s="6">
        <v>97.56</v>
      </c>
      <c r="J1179" s="6">
        <v>98.01</v>
      </c>
      <c r="K1179" s="6">
        <v>97.7</v>
      </c>
      <c r="L1179" s="6">
        <v>97.61</v>
      </c>
      <c r="M1179" s="6">
        <v>98.02</v>
      </c>
      <c r="N1179" s="6">
        <v>97.7</v>
      </c>
      <c r="O1179" s="6">
        <v>97.61</v>
      </c>
      <c r="P1179" s="6">
        <v>98.02</v>
      </c>
      <c r="Q1179" s="6">
        <v>97.7</v>
      </c>
      <c r="R1179" s="6">
        <v>97.61</v>
      </c>
    </row>
    <row r="1180" spans="2:18">
      <c r="B1180" s="6">
        <v>32602</v>
      </c>
      <c r="C1180" s="6" t="s">
        <v>1071</v>
      </c>
      <c r="D1180" s="6">
        <v>0</v>
      </c>
      <c r="E1180" s="6">
        <v>0</v>
      </c>
      <c r="F1180" s="6">
        <v>99.08</v>
      </c>
      <c r="G1180" s="6">
        <v>98.48</v>
      </c>
      <c r="H1180" s="6">
        <v>98.4</v>
      </c>
      <c r="I1180" s="6">
        <v>98.25</v>
      </c>
      <c r="J1180" s="6">
        <v>98.64</v>
      </c>
      <c r="K1180" s="6">
        <v>98.48</v>
      </c>
      <c r="L1180" s="6">
        <v>98.3</v>
      </c>
      <c r="M1180" s="6">
        <v>98.62</v>
      </c>
      <c r="N1180" s="6">
        <v>98.46</v>
      </c>
      <c r="O1180" s="6">
        <v>98.28</v>
      </c>
      <c r="P1180" s="6">
        <v>98.52</v>
      </c>
      <c r="Q1180" s="6">
        <v>98.45</v>
      </c>
      <c r="R1180" s="6">
        <v>98.28</v>
      </c>
    </row>
    <row r="1181" spans="2:18">
      <c r="B1181" s="6">
        <v>32602</v>
      </c>
      <c r="C1181" s="6" t="s">
        <v>1071</v>
      </c>
      <c r="D1181" s="6">
        <v>0</v>
      </c>
      <c r="E1181" s="6">
        <v>0</v>
      </c>
      <c r="F1181" s="6">
        <v>99.05</v>
      </c>
      <c r="G1181" s="6">
        <v>97.97</v>
      </c>
      <c r="H1181" s="6">
        <v>98.08</v>
      </c>
      <c r="I1181" s="6">
        <v>98.09</v>
      </c>
      <c r="J1181" s="6">
        <v>98.86</v>
      </c>
      <c r="K1181" s="6">
        <v>98.85</v>
      </c>
      <c r="L1181" s="6">
        <v>98.75</v>
      </c>
      <c r="M1181" s="6">
        <v>98.86</v>
      </c>
      <c r="N1181" s="6">
        <v>98.82</v>
      </c>
      <c r="O1181" s="6">
        <v>98.74</v>
      </c>
      <c r="P1181" s="6">
        <v>98.83</v>
      </c>
      <c r="Q1181" s="6">
        <v>98.81</v>
      </c>
      <c r="R1181" s="6">
        <v>98.73</v>
      </c>
    </row>
    <row r="1182" spans="2:18">
      <c r="B1182" s="6">
        <v>32602</v>
      </c>
      <c r="C1182" s="6" t="s">
        <v>1071</v>
      </c>
      <c r="D1182" s="6">
        <v>0</v>
      </c>
      <c r="E1182" s="6">
        <v>0</v>
      </c>
      <c r="F1182" s="6">
        <v>96.49</v>
      </c>
      <c r="G1182" s="6">
        <v>97.43</v>
      </c>
      <c r="H1182" s="6">
        <v>97.49</v>
      </c>
      <c r="I1182" s="6">
        <v>97.36</v>
      </c>
      <c r="J1182" s="6">
        <v>97.72</v>
      </c>
      <c r="K1182" s="6">
        <v>97.84</v>
      </c>
      <c r="L1182" s="6">
        <v>97.75</v>
      </c>
      <c r="M1182" s="6">
        <v>97.72</v>
      </c>
      <c r="N1182" s="6">
        <v>97.83</v>
      </c>
      <c r="O1182" s="6">
        <v>97.74</v>
      </c>
      <c r="P1182" s="6">
        <v>97.73</v>
      </c>
      <c r="Q1182" s="6">
        <v>97.84</v>
      </c>
      <c r="R1182" s="6">
        <v>97.75</v>
      </c>
    </row>
    <row r="1183" spans="2:18">
      <c r="B1183" s="6">
        <v>32602</v>
      </c>
      <c r="C1183" s="6" t="s">
        <v>1071</v>
      </c>
      <c r="D1183" s="6">
        <v>0</v>
      </c>
      <c r="E1183" s="6">
        <v>0</v>
      </c>
      <c r="F1183" s="6">
        <v>94.73</v>
      </c>
      <c r="G1183" s="6">
        <v>97.88</v>
      </c>
      <c r="H1183" s="6">
        <v>97.7</v>
      </c>
      <c r="I1183" s="6">
        <v>97.56</v>
      </c>
      <c r="J1183" s="6">
        <v>98.01</v>
      </c>
      <c r="K1183" s="6">
        <v>97.7</v>
      </c>
      <c r="L1183" s="6">
        <v>97.61</v>
      </c>
      <c r="M1183" s="6">
        <v>98.02</v>
      </c>
      <c r="N1183" s="6">
        <v>97.7</v>
      </c>
      <c r="O1183" s="6">
        <v>97.61</v>
      </c>
      <c r="P1183" s="6">
        <v>98.02</v>
      </c>
      <c r="Q1183" s="6">
        <v>97.7</v>
      </c>
      <c r="R1183" s="6">
        <v>97.61</v>
      </c>
    </row>
    <row r="1184" spans="2:18">
      <c r="B1184" s="6">
        <v>32603</v>
      </c>
      <c r="C1184" s="6" t="s">
        <v>1109</v>
      </c>
      <c r="D1184" s="6">
        <v>0</v>
      </c>
      <c r="E1184" s="6">
        <v>0</v>
      </c>
      <c r="F1184" s="6">
        <v>98.64</v>
      </c>
      <c r="G1184" s="6">
        <v>98.48</v>
      </c>
      <c r="H1184" s="6">
        <v>98.4</v>
      </c>
      <c r="I1184" s="6">
        <v>98.25</v>
      </c>
      <c r="J1184" s="6">
        <v>98.64</v>
      </c>
      <c r="K1184" s="6">
        <v>98.48</v>
      </c>
      <c r="L1184" s="6">
        <v>98.3</v>
      </c>
      <c r="M1184" s="6">
        <v>98.62</v>
      </c>
      <c r="N1184" s="6">
        <v>98.46</v>
      </c>
      <c r="O1184" s="6">
        <v>98.28</v>
      </c>
      <c r="P1184" s="6">
        <v>98.52</v>
      </c>
      <c r="Q1184" s="6">
        <v>98.45</v>
      </c>
      <c r="R1184" s="6">
        <v>98.28</v>
      </c>
    </row>
    <row r="1185" spans="2:18">
      <c r="B1185" s="6">
        <v>32603</v>
      </c>
      <c r="C1185" s="6" t="s">
        <v>1109</v>
      </c>
      <c r="D1185" s="6">
        <v>0</v>
      </c>
      <c r="E1185" s="6">
        <v>0</v>
      </c>
      <c r="F1185" s="6">
        <v>99.17</v>
      </c>
      <c r="G1185" s="6">
        <v>97.97</v>
      </c>
      <c r="H1185" s="6">
        <v>98.08</v>
      </c>
      <c r="I1185" s="6">
        <v>98.09</v>
      </c>
      <c r="J1185" s="6">
        <v>98.86</v>
      </c>
      <c r="K1185" s="6">
        <v>98.85</v>
      </c>
      <c r="L1185" s="6">
        <v>98.75</v>
      </c>
      <c r="M1185" s="6">
        <v>98.86</v>
      </c>
      <c r="N1185" s="6">
        <v>98.82</v>
      </c>
      <c r="O1185" s="6">
        <v>98.74</v>
      </c>
      <c r="P1185" s="6">
        <v>98.83</v>
      </c>
      <c r="Q1185" s="6">
        <v>98.81</v>
      </c>
      <c r="R1185" s="6">
        <v>98.73</v>
      </c>
    </row>
    <row r="1186" spans="2:18">
      <c r="B1186" s="6">
        <v>32603</v>
      </c>
      <c r="C1186" s="6" t="s">
        <v>1109</v>
      </c>
      <c r="D1186" s="6">
        <v>0</v>
      </c>
      <c r="E1186" s="6">
        <v>0</v>
      </c>
      <c r="F1186" s="6">
        <v>97.22</v>
      </c>
      <c r="G1186" s="6">
        <v>97.43</v>
      </c>
      <c r="H1186" s="6">
        <v>97.49</v>
      </c>
      <c r="I1186" s="6">
        <v>97.36</v>
      </c>
      <c r="J1186" s="6">
        <v>97.72</v>
      </c>
      <c r="K1186" s="6">
        <v>97.84</v>
      </c>
      <c r="L1186" s="6">
        <v>97.75</v>
      </c>
      <c r="M1186" s="6">
        <v>97.72</v>
      </c>
      <c r="N1186" s="6">
        <v>97.83</v>
      </c>
      <c r="O1186" s="6">
        <v>97.74</v>
      </c>
      <c r="P1186" s="6">
        <v>97.73</v>
      </c>
      <c r="Q1186" s="6">
        <v>97.84</v>
      </c>
      <c r="R1186" s="6">
        <v>97.75</v>
      </c>
    </row>
    <row r="1187" spans="2:18">
      <c r="B1187" s="6">
        <v>32603</v>
      </c>
      <c r="C1187" s="6" t="s">
        <v>1109</v>
      </c>
      <c r="D1187" s="6">
        <v>0</v>
      </c>
      <c r="E1187" s="6">
        <v>0</v>
      </c>
      <c r="F1187" s="6">
        <v>97.41</v>
      </c>
      <c r="G1187" s="6">
        <v>97.88</v>
      </c>
      <c r="H1187" s="6">
        <v>97.7</v>
      </c>
      <c r="I1187" s="6">
        <v>97.56</v>
      </c>
      <c r="J1187" s="6">
        <v>98.01</v>
      </c>
      <c r="K1187" s="6">
        <v>97.7</v>
      </c>
      <c r="L1187" s="6">
        <v>97.61</v>
      </c>
      <c r="M1187" s="6">
        <v>98.02</v>
      </c>
      <c r="N1187" s="6">
        <v>97.7</v>
      </c>
      <c r="O1187" s="6">
        <v>97.61</v>
      </c>
      <c r="P1187" s="6">
        <v>98.02</v>
      </c>
      <c r="Q1187" s="6">
        <v>97.7</v>
      </c>
      <c r="R1187" s="6">
        <v>97.61</v>
      </c>
    </row>
    <row r="1188" spans="2:18">
      <c r="B1188" s="6">
        <v>32604</v>
      </c>
      <c r="C1188" s="6" t="s">
        <v>1110</v>
      </c>
      <c r="D1188" s="6">
        <v>0</v>
      </c>
      <c r="E1188" s="6">
        <v>0</v>
      </c>
      <c r="F1188" s="6">
        <v>98.05</v>
      </c>
      <c r="G1188" s="6">
        <v>98.48</v>
      </c>
      <c r="H1188" s="6">
        <v>98.4</v>
      </c>
      <c r="I1188" s="6">
        <v>98.25</v>
      </c>
      <c r="J1188" s="6">
        <v>98.64</v>
      </c>
      <c r="K1188" s="6">
        <v>98.48</v>
      </c>
      <c r="L1188" s="6">
        <v>98.3</v>
      </c>
      <c r="M1188" s="6">
        <v>98.62</v>
      </c>
      <c r="N1188" s="6">
        <v>98.46</v>
      </c>
      <c r="O1188" s="6">
        <v>98.28</v>
      </c>
      <c r="P1188" s="6">
        <v>98.52</v>
      </c>
      <c r="Q1188" s="6">
        <v>98.45</v>
      </c>
      <c r="R1188" s="6">
        <v>98.28</v>
      </c>
    </row>
    <row r="1189" spans="2:18">
      <c r="B1189" s="6">
        <v>32604</v>
      </c>
      <c r="C1189" s="6" t="s">
        <v>1110</v>
      </c>
      <c r="D1189" s="6">
        <v>0</v>
      </c>
      <c r="E1189" s="6">
        <v>0</v>
      </c>
      <c r="F1189" s="6">
        <v>97.21</v>
      </c>
      <c r="G1189" s="6">
        <v>97.43</v>
      </c>
      <c r="H1189" s="6">
        <v>97.49</v>
      </c>
      <c r="I1189" s="6">
        <v>97.36</v>
      </c>
      <c r="J1189" s="6">
        <v>97.72</v>
      </c>
      <c r="K1189" s="6">
        <v>97.84</v>
      </c>
      <c r="L1189" s="6">
        <v>97.75</v>
      </c>
      <c r="M1189" s="6">
        <v>97.72</v>
      </c>
      <c r="N1189" s="6">
        <v>97.83</v>
      </c>
      <c r="O1189" s="6">
        <v>97.74</v>
      </c>
      <c r="P1189" s="6">
        <v>97.73</v>
      </c>
      <c r="Q1189" s="6">
        <v>97.84</v>
      </c>
      <c r="R1189" s="6">
        <v>97.75</v>
      </c>
    </row>
    <row r="1190" spans="2:18">
      <c r="B1190" s="6">
        <v>32604</v>
      </c>
      <c r="C1190" s="6" t="s">
        <v>1110</v>
      </c>
      <c r="D1190" s="6">
        <v>0</v>
      </c>
      <c r="E1190" s="6">
        <v>0</v>
      </c>
      <c r="F1190" s="6">
        <v>98.01</v>
      </c>
      <c r="G1190" s="6">
        <v>97.88</v>
      </c>
      <c r="H1190" s="6">
        <v>97.7</v>
      </c>
      <c r="I1190" s="6">
        <v>97.56</v>
      </c>
      <c r="J1190" s="6">
        <v>98.01</v>
      </c>
      <c r="K1190" s="6">
        <v>97.7</v>
      </c>
      <c r="L1190" s="6">
        <v>97.61</v>
      </c>
      <c r="M1190" s="6">
        <v>98.02</v>
      </c>
      <c r="N1190" s="6">
        <v>97.7</v>
      </c>
      <c r="O1190" s="6">
        <v>97.61</v>
      </c>
      <c r="P1190" s="6">
        <v>98.02</v>
      </c>
      <c r="Q1190" s="6">
        <v>97.7</v>
      </c>
      <c r="R1190" s="6">
        <v>97.61</v>
      </c>
    </row>
    <row r="1191" spans="2:18">
      <c r="B1191" s="6">
        <v>32605</v>
      </c>
      <c r="C1191" s="6" t="s">
        <v>1065</v>
      </c>
      <c r="D1191" s="6">
        <v>0</v>
      </c>
      <c r="E1191" s="6">
        <v>0</v>
      </c>
      <c r="F1191" s="6">
        <v>96.28</v>
      </c>
      <c r="G1191" s="6">
        <v>98.48</v>
      </c>
      <c r="H1191" s="6">
        <v>98.4</v>
      </c>
      <c r="I1191" s="6">
        <v>98.25</v>
      </c>
      <c r="J1191" s="6">
        <v>98.64</v>
      </c>
      <c r="K1191" s="6">
        <v>98.48</v>
      </c>
      <c r="L1191" s="6">
        <v>98.3</v>
      </c>
      <c r="M1191" s="6">
        <v>98.62</v>
      </c>
      <c r="N1191" s="6">
        <v>98.46</v>
      </c>
      <c r="O1191" s="6">
        <v>98.28</v>
      </c>
      <c r="P1191" s="6">
        <v>98.52</v>
      </c>
      <c r="Q1191" s="6">
        <v>98.45</v>
      </c>
      <c r="R1191" s="6">
        <v>98.28</v>
      </c>
    </row>
    <row r="1192" spans="2:18">
      <c r="B1192" s="6">
        <v>32605</v>
      </c>
      <c r="C1192" s="6" t="s">
        <v>1065</v>
      </c>
      <c r="D1192" s="6">
        <v>0</v>
      </c>
      <c r="E1192" s="6">
        <v>0</v>
      </c>
      <c r="F1192" s="6">
        <v>97.66</v>
      </c>
      <c r="G1192" s="6">
        <v>97.97</v>
      </c>
      <c r="H1192" s="6">
        <v>98.08</v>
      </c>
      <c r="I1192" s="6">
        <v>98.09</v>
      </c>
      <c r="J1192" s="6">
        <v>98.86</v>
      </c>
      <c r="K1192" s="6">
        <v>98.85</v>
      </c>
      <c r="L1192" s="6">
        <v>98.75</v>
      </c>
      <c r="M1192" s="6">
        <v>98.86</v>
      </c>
      <c r="N1192" s="6">
        <v>98.82</v>
      </c>
      <c r="O1192" s="6">
        <v>98.74</v>
      </c>
      <c r="P1192" s="6">
        <v>98.83</v>
      </c>
      <c r="Q1192" s="6">
        <v>98.81</v>
      </c>
      <c r="R1192" s="6">
        <v>98.73</v>
      </c>
    </row>
    <row r="1193" spans="2:18">
      <c r="B1193" s="6">
        <v>32605</v>
      </c>
      <c r="C1193" s="6" t="s">
        <v>1065</v>
      </c>
      <c r="D1193" s="6">
        <v>0</v>
      </c>
      <c r="E1193" s="6">
        <v>0</v>
      </c>
      <c r="F1193" s="6">
        <v>97.96</v>
      </c>
      <c r="G1193" s="6">
        <v>97.43</v>
      </c>
      <c r="H1193" s="6">
        <v>97.49</v>
      </c>
      <c r="I1193" s="6">
        <v>97.36</v>
      </c>
      <c r="J1193" s="6">
        <v>97.72</v>
      </c>
      <c r="K1193" s="6">
        <v>97.84</v>
      </c>
      <c r="L1193" s="6">
        <v>97.75</v>
      </c>
      <c r="M1193" s="6">
        <v>97.72</v>
      </c>
      <c r="N1193" s="6">
        <v>97.83</v>
      </c>
      <c r="O1193" s="6">
        <v>97.74</v>
      </c>
      <c r="P1193" s="6">
        <v>97.73</v>
      </c>
      <c r="Q1193" s="6">
        <v>97.84</v>
      </c>
      <c r="R1193" s="6">
        <v>97.75</v>
      </c>
    </row>
    <row r="1194" spans="2:18">
      <c r="B1194" s="6">
        <v>32605</v>
      </c>
      <c r="C1194" s="6" t="s">
        <v>1065</v>
      </c>
      <c r="D1194" s="6">
        <v>0</v>
      </c>
      <c r="E1194" s="6">
        <v>0</v>
      </c>
      <c r="F1194" s="6">
        <v>93.16</v>
      </c>
      <c r="G1194" s="6">
        <v>97.88</v>
      </c>
      <c r="H1194" s="6">
        <v>97.7</v>
      </c>
      <c r="I1194" s="6">
        <v>97.56</v>
      </c>
      <c r="J1194" s="6">
        <v>98.01</v>
      </c>
      <c r="K1194" s="6">
        <v>97.7</v>
      </c>
      <c r="L1194" s="6">
        <v>97.61</v>
      </c>
      <c r="M1194" s="6">
        <v>98.02</v>
      </c>
      <c r="N1194" s="6">
        <v>97.7</v>
      </c>
      <c r="O1194" s="6">
        <v>97.61</v>
      </c>
      <c r="P1194" s="6">
        <v>98.02</v>
      </c>
      <c r="Q1194" s="6">
        <v>97.7</v>
      </c>
      <c r="R1194" s="6">
        <v>97.61</v>
      </c>
    </row>
    <row r="1195" spans="2:18">
      <c r="B1195" s="6">
        <v>32606</v>
      </c>
      <c r="C1195" s="6" t="s">
        <v>1054</v>
      </c>
      <c r="D1195" s="6">
        <v>0</v>
      </c>
      <c r="E1195" s="6">
        <v>0</v>
      </c>
      <c r="F1195" s="6">
        <v>97.12</v>
      </c>
      <c r="G1195" s="6">
        <v>98.48</v>
      </c>
      <c r="H1195" s="6">
        <v>98.4</v>
      </c>
      <c r="I1195" s="6">
        <v>98.25</v>
      </c>
      <c r="J1195" s="6">
        <v>98.64</v>
      </c>
      <c r="K1195" s="6">
        <v>98.48</v>
      </c>
      <c r="L1195" s="6">
        <v>98.3</v>
      </c>
      <c r="M1195" s="6">
        <v>98.62</v>
      </c>
      <c r="N1195" s="6">
        <v>98.46</v>
      </c>
      <c r="O1195" s="6">
        <v>98.28</v>
      </c>
      <c r="P1195" s="6">
        <v>98.52</v>
      </c>
      <c r="Q1195" s="6">
        <v>98.45</v>
      </c>
      <c r="R1195" s="6">
        <v>98.28</v>
      </c>
    </row>
    <row r="1196" spans="2:18">
      <c r="B1196" s="6">
        <v>32606</v>
      </c>
      <c r="C1196" s="6" t="s">
        <v>1054</v>
      </c>
      <c r="D1196" s="6">
        <v>0</v>
      </c>
      <c r="E1196" s="6">
        <v>0</v>
      </c>
      <c r="F1196" s="6">
        <v>99.05</v>
      </c>
      <c r="G1196" s="6">
        <v>97.97</v>
      </c>
      <c r="H1196" s="6">
        <v>98.08</v>
      </c>
      <c r="I1196" s="6">
        <v>98.09</v>
      </c>
      <c r="J1196" s="6">
        <v>98.86</v>
      </c>
      <c r="K1196" s="6">
        <v>98.85</v>
      </c>
      <c r="L1196" s="6">
        <v>98.75</v>
      </c>
      <c r="M1196" s="6">
        <v>98.86</v>
      </c>
      <c r="N1196" s="6">
        <v>98.82</v>
      </c>
      <c r="O1196" s="6">
        <v>98.74</v>
      </c>
      <c r="P1196" s="6">
        <v>98.83</v>
      </c>
      <c r="Q1196" s="6">
        <v>98.81</v>
      </c>
      <c r="R1196" s="6">
        <v>98.73</v>
      </c>
    </row>
    <row r="1197" spans="2:18">
      <c r="B1197" s="6">
        <v>32606</v>
      </c>
      <c r="C1197" s="6" t="s">
        <v>1054</v>
      </c>
      <c r="D1197" s="6">
        <v>0</v>
      </c>
      <c r="E1197" s="6">
        <v>0</v>
      </c>
      <c r="F1197" s="6">
        <v>97.22</v>
      </c>
      <c r="G1197" s="6">
        <v>97.43</v>
      </c>
      <c r="H1197" s="6">
        <v>97.49</v>
      </c>
      <c r="I1197" s="6">
        <v>97.36</v>
      </c>
      <c r="J1197" s="6">
        <v>97.72</v>
      </c>
      <c r="K1197" s="6">
        <v>97.84</v>
      </c>
      <c r="L1197" s="6">
        <v>97.75</v>
      </c>
      <c r="M1197" s="6">
        <v>97.72</v>
      </c>
      <c r="N1197" s="6">
        <v>97.83</v>
      </c>
      <c r="O1197" s="6">
        <v>97.74</v>
      </c>
      <c r="P1197" s="6">
        <v>97.73</v>
      </c>
      <c r="Q1197" s="6">
        <v>97.84</v>
      </c>
      <c r="R1197" s="6">
        <v>97.75</v>
      </c>
    </row>
    <row r="1198" spans="2:18">
      <c r="B1198" s="6">
        <v>32606</v>
      </c>
      <c r="C1198" s="6" t="s">
        <v>1054</v>
      </c>
      <c r="D1198" s="6">
        <v>0</v>
      </c>
      <c r="E1198" s="6">
        <v>0</v>
      </c>
      <c r="F1198" s="6">
        <v>94.06</v>
      </c>
      <c r="G1198" s="6">
        <v>97.88</v>
      </c>
      <c r="H1198" s="6">
        <v>97.7</v>
      </c>
      <c r="I1198" s="6">
        <v>97.56</v>
      </c>
      <c r="J1198" s="6">
        <v>98.01</v>
      </c>
      <c r="K1198" s="6">
        <v>97.7</v>
      </c>
      <c r="L1198" s="6">
        <v>97.61</v>
      </c>
      <c r="M1198" s="6">
        <v>98.02</v>
      </c>
      <c r="N1198" s="6">
        <v>97.7</v>
      </c>
      <c r="O1198" s="6">
        <v>97.61</v>
      </c>
      <c r="P1198" s="6">
        <v>98.02</v>
      </c>
      <c r="Q1198" s="6">
        <v>97.7</v>
      </c>
      <c r="R1198" s="6">
        <v>97.61</v>
      </c>
    </row>
    <row r="1199" spans="2:18">
      <c r="B1199" s="6">
        <v>32607</v>
      </c>
      <c r="C1199" s="6" t="s">
        <v>1192</v>
      </c>
      <c r="D1199" s="6">
        <v>0</v>
      </c>
      <c r="E1199" s="6">
        <v>0</v>
      </c>
      <c r="F1199" s="6">
        <v>96.55</v>
      </c>
      <c r="G1199" s="6">
        <v>0</v>
      </c>
      <c r="H1199" s="6">
        <v>0</v>
      </c>
      <c r="I1199" s="6">
        <v>96.55</v>
      </c>
      <c r="J1199" s="6">
        <v>0</v>
      </c>
      <c r="K1199" s="6">
        <v>0</v>
      </c>
      <c r="L1199" s="6">
        <v>96.55</v>
      </c>
      <c r="M1199" s="6">
        <v>93.33</v>
      </c>
      <c r="N1199" s="6">
        <v>97.98</v>
      </c>
      <c r="O1199" s="6">
        <v>96.04</v>
      </c>
      <c r="P1199" s="6">
        <v>93.33</v>
      </c>
      <c r="Q1199" s="6">
        <v>85.58</v>
      </c>
      <c r="R1199" s="6">
        <v>87.65</v>
      </c>
    </row>
    <row r="1200" spans="2:18">
      <c r="B1200" s="6">
        <v>32607</v>
      </c>
      <c r="C1200" s="6" t="s">
        <v>1192</v>
      </c>
      <c r="D1200" s="6">
        <v>0</v>
      </c>
      <c r="E1200" s="6">
        <v>0</v>
      </c>
      <c r="F1200" s="6">
        <v>87.88</v>
      </c>
      <c r="G1200" s="6">
        <v>0</v>
      </c>
      <c r="H1200" s="6">
        <v>0</v>
      </c>
      <c r="I1200" s="6">
        <v>87.88</v>
      </c>
      <c r="J1200" s="6">
        <v>0</v>
      </c>
      <c r="K1200" s="6">
        <v>0</v>
      </c>
      <c r="L1200" s="6">
        <v>87.88</v>
      </c>
      <c r="M1200" s="6">
        <v>97.8</v>
      </c>
      <c r="N1200" s="6">
        <v>95.81</v>
      </c>
      <c r="O1200" s="6">
        <v>92.43</v>
      </c>
      <c r="P1200" s="6">
        <v>97.23</v>
      </c>
      <c r="Q1200" s="6">
        <v>95.67</v>
      </c>
      <c r="R1200" s="6">
        <v>93.87</v>
      </c>
    </row>
    <row r="1201" spans="2:18">
      <c r="B1201" s="6">
        <v>32607</v>
      </c>
      <c r="C1201" s="6" t="s">
        <v>1192</v>
      </c>
      <c r="D1201" s="6">
        <v>0</v>
      </c>
      <c r="E1201" s="6">
        <v>0</v>
      </c>
      <c r="F1201" s="6">
        <v>88.57</v>
      </c>
      <c r="G1201" s="6">
        <v>0</v>
      </c>
      <c r="H1201" s="6">
        <v>0</v>
      </c>
      <c r="I1201" s="6">
        <v>88.57</v>
      </c>
      <c r="J1201" s="6">
        <v>0</v>
      </c>
      <c r="K1201" s="6">
        <v>0</v>
      </c>
      <c r="L1201" s="6">
        <v>88.57</v>
      </c>
      <c r="M1201" s="6">
        <v>94.14</v>
      </c>
      <c r="N1201" s="6">
        <v>95.21</v>
      </c>
      <c r="O1201" s="6">
        <v>95.13</v>
      </c>
      <c r="P1201" s="6">
        <v>92.91</v>
      </c>
      <c r="Q1201" s="6">
        <v>94.84</v>
      </c>
      <c r="R1201" s="6">
        <v>94.98</v>
      </c>
    </row>
    <row r="1202" spans="2:18">
      <c r="B1202" s="6">
        <v>32608</v>
      </c>
      <c r="C1202" s="6" t="s">
        <v>1017</v>
      </c>
      <c r="D1202" s="6">
        <v>0</v>
      </c>
      <c r="E1202" s="6">
        <v>0</v>
      </c>
      <c r="F1202" s="6">
        <v>98.05</v>
      </c>
      <c r="G1202" s="6">
        <v>97.07</v>
      </c>
      <c r="H1202" s="6">
        <v>94.76</v>
      </c>
      <c r="I1202" s="6">
        <v>95.55</v>
      </c>
      <c r="J1202" s="6">
        <v>98.23</v>
      </c>
      <c r="K1202" s="6">
        <v>98.19</v>
      </c>
      <c r="L1202" s="6">
        <v>98.1</v>
      </c>
      <c r="M1202" s="6">
        <v>98.23</v>
      </c>
      <c r="N1202" s="6">
        <v>98.19</v>
      </c>
      <c r="O1202" s="6">
        <v>98.1</v>
      </c>
      <c r="P1202" s="6">
        <v>98.04</v>
      </c>
      <c r="Q1202" s="6">
        <v>98.09</v>
      </c>
      <c r="R1202" s="6">
        <v>97.91</v>
      </c>
    </row>
    <row r="1203" spans="2:18">
      <c r="B1203" s="6">
        <v>32608</v>
      </c>
      <c r="C1203" s="6" t="s">
        <v>1017</v>
      </c>
      <c r="D1203" s="6">
        <v>0</v>
      </c>
      <c r="E1203" s="6">
        <v>0</v>
      </c>
      <c r="F1203" s="6">
        <v>97.98</v>
      </c>
      <c r="G1203" s="6">
        <v>98.65</v>
      </c>
      <c r="H1203" s="6">
        <v>98.92</v>
      </c>
      <c r="I1203" s="6">
        <v>98.33</v>
      </c>
      <c r="J1203" s="6">
        <v>98.77</v>
      </c>
      <c r="K1203" s="6">
        <v>99.16</v>
      </c>
      <c r="L1203" s="6">
        <v>98.56</v>
      </c>
      <c r="M1203" s="6">
        <v>98.77</v>
      </c>
      <c r="N1203" s="6">
        <v>99.16</v>
      </c>
      <c r="O1203" s="6">
        <v>98.56</v>
      </c>
      <c r="P1203" s="6">
        <v>98.52</v>
      </c>
      <c r="Q1203" s="6">
        <v>98.45</v>
      </c>
      <c r="R1203" s="6">
        <v>98.28</v>
      </c>
    </row>
    <row r="1204" spans="2:18">
      <c r="B1204" s="6">
        <v>32608</v>
      </c>
      <c r="C1204" s="6" t="s">
        <v>1017</v>
      </c>
      <c r="D1204" s="6">
        <v>0</v>
      </c>
      <c r="E1204" s="6">
        <v>0</v>
      </c>
      <c r="F1204" s="6">
        <v>97.8</v>
      </c>
      <c r="G1204" s="6">
        <v>96.62</v>
      </c>
      <c r="H1204" s="6">
        <v>98.65</v>
      </c>
      <c r="I1204" s="6">
        <v>98.32</v>
      </c>
      <c r="J1204" s="6">
        <v>99.33</v>
      </c>
      <c r="K1204" s="6">
        <v>99.31</v>
      </c>
      <c r="L1204" s="6">
        <v>98.87</v>
      </c>
      <c r="M1204" s="6">
        <v>99.33</v>
      </c>
      <c r="N1204" s="6">
        <v>99.31</v>
      </c>
      <c r="O1204" s="6">
        <v>98.87</v>
      </c>
      <c r="P1204" s="6">
        <v>97.69</v>
      </c>
      <c r="Q1204" s="6">
        <v>98.01</v>
      </c>
      <c r="R1204" s="6">
        <v>98.3</v>
      </c>
    </row>
    <row r="1205" spans="2:18">
      <c r="B1205" s="6">
        <v>32608</v>
      </c>
      <c r="C1205" s="6" t="s">
        <v>1017</v>
      </c>
      <c r="D1205" s="6">
        <v>0</v>
      </c>
      <c r="E1205" s="6">
        <v>0</v>
      </c>
      <c r="F1205" s="6">
        <v>97.53</v>
      </c>
      <c r="G1205" s="6">
        <v>89.78</v>
      </c>
      <c r="H1205" s="6">
        <v>89.78</v>
      </c>
      <c r="I1205" s="6">
        <v>97.82</v>
      </c>
      <c r="J1205" s="6">
        <v>89.78</v>
      </c>
      <c r="K1205" s="6">
        <v>89.78</v>
      </c>
      <c r="L1205" s="6">
        <v>97.82</v>
      </c>
      <c r="M1205" s="6">
        <v>89.78</v>
      </c>
      <c r="N1205" s="6">
        <v>89.78</v>
      </c>
      <c r="O1205" s="6">
        <v>97.82</v>
      </c>
      <c r="P1205" s="6">
        <v>89.78</v>
      </c>
      <c r="Q1205" s="6">
        <v>89.78</v>
      </c>
      <c r="R1205" s="6">
        <v>97.82</v>
      </c>
    </row>
    <row r="1206" spans="2:18">
      <c r="B1206" s="6">
        <v>32609</v>
      </c>
      <c r="C1206" s="6" t="s">
        <v>264</v>
      </c>
      <c r="D1206" s="6">
        <v>0</v>
      </c>
      <c r="E1206" s="6">
        <v>99.57</v>
      </c>
      <c r="F1206" s="6">
        <v>98.59</v>
      </c>
      <c r="G1206" s="6">
        <v>0</v>
      </c>
      <c r="H1206" s="6">
        <v>99.57</v>
      </c>
      <c r="I1206" s="6">
        <v>94.95</v>
      </c>
      <c r="J1206" s="6">
        <v>98.23</v>
      </c>
      <c r="K1206" s="6">
        <v>98.19</v>
      </c>
      <c r="L1206" s="6">
        <v>98.1</v>
      </c>
      <c r="M1206" s="6">
        <v>98.23</v>
      </c>
      <c r="N1206" s="6">
        <v>98.19</v>
      </c>
      <c r="O1206" s="6">
        <v>98.1</v>
      </c>
      <c r="P1206" s="6">
        <v>98.04</v>
      </c>
      <c r="Q1206" s="6">
        <v>98.09</v>
      </c>
      <c r="R1206" s="6">
        <v>97.91</v>
      </c>
    </row>
    <row r="1207" spans="2:18">
      <c r="B1207" s="6">
        <v>32609</v>
      </c>
      <c r="C1207" s="6" t="s">
        <v>264</v>
      </c>
      <c r="D1207" s="6">
        <v>0</v>
      </c>
      <c r="E1207" s="6">
        <v>97.78</v>
      </c>
      <c r="F1207" s="6">
        <v>96.21</v>
      </c>
      <c r="G1207" s="6">
        <v>0</v>
      </c>
      <c r="H1207" s="6">
        <v>97.78</v>
      </c>
      <c r="I1207" s="6">
        <v>96.21</v>
      </c>
      <c r="J1207" s="6">
        <v>98.77</v>
      </c>
      <c r="K1207" s="6">
        <v>99.16</v>
      </c>
      <c r="L1207" s="6">
        <v>98.56</v>
      </c>
      <c r="M1207" s="6">
        <v>98.77</v>
      </c>
      <c r="N1207" s="6">
        <v>99.16</v>
      </c>
      <c r="O1207" s="6">
        <v>98.56</v>
      </c>
      <c r="P1207" s="6">
        <v>98.52</v>
      </c>
      <c r="Q1207" s="6">
        <v>98.45</v>
      </c>
      <c r="R1207" s="6">
        <v>98.28</v>
      </c>
    </row>
    <row r="1208" spans="2:18">
      <c r="B1208" s="6">
        <v>32609</v>
      </c>
      <c r="C1208" s="6" t="s">
        <v>264</v>
      </c>
      <c r="D1208" s="6">
        <v>0</v>
      </c>
      <c r="E1208" s="6">
        <v>98.63</v>
      </c>
      <c r="F1208" s="6">
        <v>94.9</v>
      </c>
      <c r="G1208" s="6">
        <v>0</v>
      </c>
      <c r="H1208" s="6">
        <v>98.63</v>
      </c>
      <c r="I1208" s="6">
        <v>94.93</v>
      </c>
      <c r="J1208" s="6">
        <v>89.16</v>
      </c>
      <c r="K1208" s="6">
        <v>92.29</v>
      </c>
      <c r="L1208" s="6">
        <v>95.48</v>
      </c>
      <c r="M1208" s="6">
        <v>89.16</v>
      </c>
      <c r="N1208" s="6">
        <v>92.29</v>
      </c>
      <c r="O1208" s="6">
        <v>95.48</v>
      </c>
      <c r="P1208" s="6">
        <v>89.16</v>
      </c>
      <c r="Q1208" s="6">
        <v>92.29</v>
      </c>
      <c r="R1208" s="6">
        <v>95.48</v>
      </c>
    </row>
    <row r="1209" spans="2:18">
      <c r="B1209" s="6">
        <v>32609</v>
      </c>
      <c r="C1209" s="6" t="s">
        <v>264</v>
      </c>
      <c r="D1209" s="6">
        <v>0</v>
      </c>
      <c r="E1209" s="6">
        <v>92.54</v>
      </c>
      <c r="F1209" s="6">
        <v>95.61</v>
      </c>
      <c r="G1209" s="6">
        <v>0</v>
      </c>
      <c r="H1209" s="6">
        <v>92.54</v>
      </c>
      <c r="I1209" s="6">
        <v>95.61</v>
      </c>
      <c r="J1209" s="6">
        <v>0</v>
      </c>
      <c r="K1209" s="6">
        <v>92.54</v>
      </c>
      <c r="L1209" s="6">
        <v>95.61</v>
      </c>
      <c r="M1209" s="6">
        <v>0</v>
      </c>
      <c r="N1209" s="6">
        <v>92.54</v>
      </c>
      <c r="O1209" s="6">
        <v>95.61</v>
      </c>
      <c r="P1209" s="6">
        <v>0</v>
      </c>
      <c r="Q1209" s="6">
        <v>92.54</v>
      </c>
      <c r="R1209" s="6">
        <v>95.61</v>
      </c>
    </row>
    <row r="1210" spans="2:18">
      <c r="B1210" s="6">
        <v>32609</v>
      </c>
      <c r="C1210" s="6" t="s">
        <v>264</v>
      </c>
      <c r="D1210" s="6">
        <v>0</v>
      </c>
      <c r="E1210" s="6">
        <v>97.83</v>
      </c>
      <c r="F1210" s="6">
        <v>97.95</v>
      </c>
      <c r="G1210" s="6">
        <v>0</v>
      </c>
      <c r="H1210" s="6">
        <v>97.83</v>
      </c>
      <c r="I1210" s="6">
        <v>97.12</v>
      </c>
      <c r="J1210" s="6">
        <v>98.47</v>
      </c>
      <c r="K1210" s="6">
        <v>98.28</v>
      </c>
      <c r="L1210" s="6">
        <v>97.11</v>
      </c>
      <c r="M1210" s="6">
        <v>98.47</v>
      </c>
      <c r="N1210" s="6">
        <v>98.28</v>
      </c>
      <c r="O1210" s="6">
        <v>97.11</v>
      </c>
      <c r="P1210" s="6">
        <v>98.47</v>
      </c>
      <c r="Q1210" s="6">
        <v>98.28</v>
      </c>
      <c r="R1210" s="6">
        <v>97.11</v>
      </c>
    </row>
    <row r="1211" spans="2:18">
      <c r="B1211" s="6">
        <v>32610</v>
      </c>
      <c r="C1211" s="6" t="s">
        <v>897</v>
      </c>
      <c r="D1211" s="6">
        <v>97.35</v>
      </c>
      <c r="E1211" s="6">
        <v>97.76</v>
      </c>
      <c r="F1211" s="6">
        <v>98.39</v>
      </c>
      <c r="G1211" s="6">
        <v>98.77</v>
      </c>
      <c r="H1211" s="6">
        <v>98.55</v>
      </c>
      <c r="I1211" s="6">
        <v>98.72</v>
      </c>
      <c r="J1211" s="6">
        <v>98.23</v>
      </c>
      <c r="K1211" s="6">
        <v>98.19</v>
      </c>
      <c r="L1211" s="6">
        <v>98.1</v>
      </c>
      <c r="M1211" s="6">
        <v>98.23</v>
      </c>
      <c r="N1211" s="6">
        <v>98.19</v>
      </c>
      <c r="O1211" s="6">
        <v>98.1</v>
      </c>
      <c r="P1211" s="6">
        <v>98.04</v>
      </c>
      <c r="Q1211" s="6">
        <v>98.09</v>
      </c>
      <c r="R1211" s="6">
        <v>97.91</v>
      </c>
    </row>
    <row r="1212" spans="2:18">
      <c r="B1212" s="6">
        <v>32610</v>
      </c>
      <c r="C1212" s="6" t="s">
        <v>897</v>
      </c>
      <c r="D1212" s="6">
        <v>96.02</v>
      </c>
      <c r="E1212" s="6">
        <v>98.14</v>
      </c>
      <c r="F1212" s="6">
        <v>98.85</v>
      </c>
      <c r="G1212" s="6">
        <v>99.43</v>
      </c>
      <c r="H1212" s="6">
        <v>99.52</v>
      </c>
      <c r="I1212" s="6">
        <v>99.53</v>
      </c>
      <c r="J1212" s="6">
        <v>99.26</v>
      </c>
      <c r="K1212" s="6">
        <v>99.39</v>
      </c>
      <c r="L1212" s="6">
        <v>99.39</v>
      </c>
      <c r="M1212" s="6">
        <v>99.26</v>
      </c>
      <c r="N1212" s="6">
        <v>99.39</v>
      </c>
      <c r="O1212" s="6">
        <v>99.39</v>
      </c>
      <c r="P1212" s="6">
        <v>99.26</v>
      </c>
      <c r="Q1212" s="6">
        <v>99.39</v>
      </c>
      <c r="R1212" s="6">
        <v>99.39</v>
      </c>
    </row>
    <row r="1213" spans="2:18">
      <c r="B1213" s="6">
        <v>32611</v>
      </c>
      <c r="C1213" s="6" t="s">
        <v>1025</v>
      </c>
      <c r="D1213" s="6">
        <v>0</v>
      </c>
      <c r="E1213" s="6">
        <v>0</v>
      </c>
      <c r="F1213" s="6">
        <v>98.52</v>
      </c>
      <c r="G1213" s="6">
        <v>97.07</v>
      </c>
      <c r="H1213" s="6">
        <v>94.76</v>
      </c>
      <c r="I1213" s="6">
        <v>95.55</v>
      </c>
      <c r="J1213" s="6">
        <v>98.23</v>
      </c>
      <c r="K1213" s="6">
        <v>98.19</v>
      </c>
      <c r="L1213" s="6">
        <v>98.1</v>
      </c>
      <c r="M1213" s="6">
        <v>98.23</v>
      </c>
      <c r="N1213" s="6">
        <v>98.19</v>
      </c>
      <c r="O1213" s="6">
        <v>98.1</v>
      </c>
      <c r="P1213" s="6">
        <v>98.04</v>
      </c>
      <c r="Q1213" s="6">
        <v>98.09</v>
      </c>
      <c r="R1213" s="6">
        <v>97.91</v>
      </c>
    </row>
    <row r="1214" spans="2:18">
      <c r="B1214" s="6">
        <v>32611</v>
      </c>
      <c r="C1214" s="6" t="s">
        <v>1025</v>
      </c>
      <c r="D1214" s="6">
        <v>0</v>
      </c>
      <c r="E1214" s="6">
        <v>0</v>
      </c>
      <c r="F1214" s="6">
        <v>96.6</v>
      </c>
      <c r="G1214" s="6">
        <v>98.65</v>
      </c>
      <c r="H1214" s="6">
        <v>98.92</v>
      </c>
      <c r="I1214" s="6">
        <v>98.33</v>
      </c>
      <c r="J1214" s="6">
        <v>98.77</v>
      </c>
      <c r="K1214" s="6">
        <v>99.16</v>
      </c>
      <c r="L1214" s="6">
        <v>98.56</v>
      </c>
      <c r="M1214" s="6">
        <v>98.77</v>
      </c>
      <c r="N1214" s="6">
        <v>99.16</v>
      </c>
      <c r="O1214" s="6">
        <v>98.56</v>
      </c>
      <c r="P1214" s="6">
        <v>98.52</v>
      </c>
      <c r="Q1214" s="6">
        <v>98.45</v>
      </c>
      <c r="R1214" s="6">
        <v>98.28</v>
      </c>
    </row>
    <row r="1215" spans="2:18">
      <c r="B1215" s="6">
        <v>32611</v>
      </c>
      <c r="C1215" s="6" t="s">
        <v>1025</v>
      </c>
      <c r="D1215" s="6">
        <v>0</v>
      </c>
      <c r="E1215" s="6">
        <v>0</v>
      </c>
      <c r="F1215" s="6">
        <v>98.99</v>
      </c>
      <c r="G1215" s="6">
        <v>96.62</v>
      </c>
      <c r="H1215" s="6">
        <v>98.65</v>
      </c>
      <c r="I1215" s="6">
        <v>98.32</v>
      </c>
      <c r="J1215" s="6">
        <v>99.33</v>
      </c>
      <c r="K1215" s="6">
        <v>99.31</v>
      </c>
      <c r="L1215" s="6">
        <v>98.87</v>
      </c>
      <c r="M1215" s="6">
        <v>99.33</v>
      </c>
      <c r="N1215" s="6">
        <v>99.31</v>
      </c>
      <c r="O1215" s="6">
        <v>98.87</v>
      </c>
      <c r="P1215" s="6">
        <v>97.69</v>
      </c>
      <c r="Q1215" s="6">
        <v>98.01</v>
      </c>
      <c r="R1215" s="6">
        <v>98.3</v>
      </c>
    </row>
    <row r="1216" spans="2:18">
      <c r="B1216" s="6">
        <v>32611</v>
      </c>
      <c r="C1216" s="6" t="s">
        <v>1025</v>
      </c>
      <c r="D1216" s="6">
        <v>0</v>
      </c>
      <c r="E1216" s="6">
        <v>0</v>
      </c>
      <c r="F1216" s="6">
        <v>99</v>
      </c>
      <c r="G1216" s="6">
        <v>89.78</v>
      </c>
      <c r="H1216" s="6">
        <v>89.78</v>
      </c>
      <c r="I1216" s="6">
        <v>97.82</v>
      </c>
      <c r="J1216" s="6">
        <v>89.78</v>
      </c>
      <c r="K1216" s="6">
        <v>89.78</v>
      </c>
      <c r="L1216" s="6">
        <v>97.82</v>
      </c>
      <c r="M1216" s="6">
        <v>89.78</v>
      </c>
      <c r="N1216" s="6">
        <v>89.78</v>
      </c>
      <c r="O1216" s="6">
        <v>97.82</v>
      </c>
      <c r="P1216" s="6">
        <v>89.78</v>
      </c>
      <c r="Q1216" s="6">
        <v>89.78</v>
      </c>
      <c r="R1216" s="6">
        <v>97.82</v>
      </c>
    </row>
    <row r="1217" spans="2:18">
      <c r="B1217" s="6">
        <v>32614</v>
      </c>
      <c r="C1217" s="6" t="s">
        <v>1161</v>
      </c>
      <c r="D1217" s="6">
        <v>0</v>
      </c>
      <c r="E1217" s="6">
        <v>0</v>
      </c>
      <c r="F1217" s="6">
        <v>31.43</v>
      </c>
      <c r="G1217" s="6">
        <v>0</v>
      </c>
      <c r="H1217" s="6">
        <v>0</v>
      </c>
      <c r="I1217" s="6">
        <v>24.69</v>
      </c>
      <c r="J1217" s="6">
        <v>0</v>
      </c>
      <c r="K1217" s="6">
        <v>0</v>
      </c>
      <c r="L1217" s="6">
        <v>24.69</v>
      </c>
      <c r="M1217" s="6">
        <v>0</v>
      </c>
      <c r="N1217" s="6">
        <v>0</v>
      </c>
      <c r="O1217" s="6">
        <v>24.69</v>
      </c>
      <c r="P1217" s="6">
        <v>0</v>
      </c>
      <c r="Q1217" s="6">
        <v>0</v>
      </c>
      <c r="R1217" s="6">
        <v>24.69</v>
      </c>
    </row>
    <row r="1218" spans="2:18">
      <c r="B1218" s="6">
        <v>32615</v>
      </c>
      <c r="C1218" s="6" t="s">
        <v>1164</v>
      </c>
      <c r="D1218" s="6">
        <v>0</v>
      </c>
      <c r="E1218" s="6">
        <v>0</v>
      </c>
      <c r="F1218" s="6">
        <v>16.829999999999998</v>
      </c>
      <c r="G1218" s="6">
        <v>0</v>
      </c>
      <c r="H1218" s="6">
        <v>0</v>
      </c>
      <c r="I1218" s="6">
        <v>24.69</v>
      </c>
      <c r="J1218" s="6">
        <v>0</v>
      </c>
      <c r="K1218" s="6">
        <v>0</v>
      </c>
      <c r="L1218" s="6">
        <v>24.69</v>
      </c>
      <c r="M1218" s="6">
        <v>0</v>
      </c>
      <c r="N1218" s="6">
        <v>0</v>
      </c>
      <c r="O1218" s="6">
        <v>24.69</v>
      </c>
      <c r="P1218" s="6">
        <v>0</v>
      </c>
      <c r="Q1218" s="6">
        <v>0</v>
      </c>
      <c r="R1218" s="6">
        <v>24.69</v>
      </c>
    </row>
    <row r="1219" spans="2:18">
      <c r="B1219" s="6">
        <v>32616</v>
      </c>
      <c r="C1219" s="6" t="s">
        <v>1013</v>
      </c>
      <c r="D1219" s="6">
        <v>94.54</v>
      </c>
      <c r="E1219" s="6">
        <v>94.54</v>
      </c>
      <c r="F1219" s="6">
        <v>93.86</v>
      </c>
      <c r="G1219" s="6">
        <v>96.77</v>
      </c>
      <c r="H1219" s="6">
        <v>97.74</v>
      </c>
      <c r="I1219" s="6">
        <v>96.78</v>
      </c>
      <c r="J1219" s="6">
        <v>98.23</v>
      </c>
      <c r="K1219" s="6">
        <v>98.19</v>
      </c>
      <c r="L1219" s="6">
        <v>98.1</v>
      </c>
      <c r="M1219" s="6">
        <v>98.23</v>
      </c>
      <c r="N1219" s="6">
        <v>98.19</v>
      </c>
      <c r="O1219" s="6">
        <v>98.1</v>
      </c>
      <c r="P1219" s="6">
        <v>98.04</v>
      </c>
      <c r="Q1219" s="6">
        <v>98.09</v>
      </c>
      <c r="R1219" s="6">
        <v>97.91</v>
      </c>
    </row>
    <row r="1220" spans="2:18">
      <c r="B1220" s="6">
        <v>32616</v>
      </c>
      <c r="C1220" s="6" t="s">
        <v>1013</v>
      </c>
      <c r="D1220" s="6">
        <v>98.28</v>
      </c>
      <c r="E1220" s="6">
        <v>98.28</v>
      </c>
      <c r="F1220" s="6">
        <v>98.45</v>
      </c>
      <c r="G1220" s="6">
        <v>95.91</v>
      </c>
      <c r="H1220" s="6">
        <v>99.23</v>
      </c>
      <c r="I1220" s="6">
        <v>99.12</v>
      </c>
      <c r="J1220" s="6">
        <v>98.77</v>
      </c>
      <c r="K1220" s="6">
        <v>99.16</v>
      </c>
      <c r="L1220" s="6">
        <v>98.56</v>
      </c>
      <c r="M1220" s="6">
        <v>98.77</v>
      </c>
      <c r="N1220" s="6">
        <v>99.16</v>
      </c>
      <c r="O1220" s="6">
        <v>98.56</v>
      </c>
      <c r="P1220" s="6">
        <v>98.52</v>
      </c>
      <c r="Q1220" s="6">
        <v>98.45</v>
      </c>
      <c r="R1220" s="6">
        <v>98.28</v>
      </c>
    </row>
    <row r="1221" spans="2:18">
      <c r="B1221" s="6">
        <v>32616</v>
      </c>
      <c r="C1221" s="6" t="s">
        <v>1013</v>
      </c>
      <c r="D1221" s="6">
        <v>99.62</v>
      </c>
      <c r="E1221" s="6">
        <v>99.62</v>
      </c>
      <c r="F1221" s="6">
        <v>99.54</v>
      </c>
      <c r="G1221" s="6">
        <v>99.73</v>
      </c>
      <c r="H1221" s="6">
        <v>99.59</v>
      </c>
      <c r="I1221" s="6">
        <v>99.48</v>
      </c>
      <c r="J1221" s="6">
        <v>99.33</v>
      </c>
      <c r="K1221" s="6">
        <v>99.31</v>
      </c>
      <c r="L1221" s="6">
        <v>98.87</v>
      </c>
      <c r="M1221" s="6">
        <v>99.33</v>
      </c>
      <c r="N1221" s="6">
        <v>99.31</v>
      </c>
      <c r="O1221" s="6">
        <v>98.87</v>
      </c>
      <c r="P1221" s="6">
        <v>97.69</v>
      </c>
      <c r="Q1221" s="6">
        <v>98.01</v>
      </c>
      <c r="R1221" s="6">
        <v>98.3</v>
      </c>
    </row>
    <row r="1222" spans="2:18">
      <c r="B1222" s="6">
        <v>32617</v>
      </c>
      <c r="C1222" s="6" t="s">
        <v>1018</v>
      </c>
      <c r="D1222" s="6">
        <v>0</v>
      </c>
      <c r="E1222" s="6">
        <v>0</v>
      </c>
      <c r="F1222" s="6">
        <v>99.05</v>
      </c>
      <c r="G1222" s="6">
        <v>96.77</v>
      </c>
      <c r="H1222" s="6">
        <v>97.74</v>
      </c>
      <c r="I1222" s="6">
        <v>96.78</v>
      </c>
      <c r="J1222" s="6">
        <v>98.23</v>
      </c>
      <c r="K1222" s="6">
        <v>98.19</v>
      </c>
      <c r="L1222" s="6">
        <v>98.1</v>
      </c>
      <c r="M1222" s="6">
        <v>98.23</v>
      </c>
      <c r="N1222" s="6">
        <v>98.19</v>
      </c>
      <c r="O1222" s="6">
        <v>98.1</v>
      </c>
      <c r="P1222" s="6">
        <v>98.04</v>
      </c>
      <c r="Q1222" s="6">
        <v>98.09</v>
      </c>
      <c r="R1222" s="6">
        <v>97.91</v>
      </c>
    </row>
    <row r="1223" spans="2:18">
      <c r="B1223" s="6">
        <v>32617</v>
      </c>
      <c r="C1223" s="6" t="s">
        <v>1018</v>
      </c>
      <c r="D1223" s="6">
        <v>0</v>
      </c>
      <c r="E1223" s="6">
        <v>0</v>
      </c>
      <c r="F1223" s="6">
        <v>99.07</v>
      </c>
      <c r="G1223" s="6">
        <v>0</v>
      </c>
      <c r="H1223" s="6">
        <v>0</v>
      </c>
      <c r="I1223" s="6">
        <v>99.07</v>
      </c>
      <c r="J1223" s="6">
        <v>89.16</v>
      </c>
      <c r="K1223" s="6">
        <v>92.29</v>
      </c>
      <c r="L1223" s="6">
        <v>95.48</v>
      </c>
      <c r="M1223" s="6">
        <v>89.16</v>
      </c>
      <c r="N1223" s="6">
        <v>92.29</v>
      </c>
      <c r="O1223" s="6">
        <v>95.48</v>
      </c>
      <c r="P1223" s="6">
        <v>89.16</v>
      </c>
      <c r="Q1223" s="6">
        <v>92.29</v>
      </c>
      <c r="R1223" s="6">
        <v>95.48</v>
      </c>
    </row>
    <row r="1224" spans="2:18">
      <c r="B1224" s="6">
        <v>32617</v>
      </c>
      <c r="C1224" s="6" t="s">
        <v>1018</v>
      </c>
      <c r="D1224" s="6">
        <v>0</v>
      </c>
      <c r="E1224" s="6">
        <v>0</v>
      </c>
      <c r="F1224" s="6">
        <v>99.06</v>
      </c>
      <c r="G1224" s="6">
        <v>99.56</v>
      </c>
      <c r="H1224" s="6">
        <v>99.17</v>
      </c>
      <c r="I1224" s="6">
        <v>99.23</v>
      </c>
      <c r="J1224" s="6">
        <v>99.26</v>
      </c>
      <c r="K1224" s="6">
        <v>99.39</v>
      </c>
      <c r="L1224" s="6">
        <v>99.39</v>
      </c>
      <c r="M1224" s="6">
        <v>99.26</v>
      </c>
      <c r="N1224" s="6">
        <v>99.39</v>
      </c>
      <c r="O1224" s="6">
        <v>99.39</v>
      </c>
      <c r="P1224" s="6">
        <v>99.26</v>
      </c>
      <c r="Q1224" s="6">
        <v>99.39</v>
      </c>
      <c r="R1224" s="6">
        <v>99.39</v>
      </c>
    </row>
    <row r="1225" spans="2:18">
      <c r="B1225" s="6">
        <v>32617</v>
      </c>
      <c r="C1225" s="6" t="s">
        <v>1018</v>
      </c>
      <c r="D1225" s="6">
        <v>0</v>
      </c>
      <c r="E1225" s="6">
        <v>0</v>
      </c>
      <c r="F1225" s="6">
        <v>98.17</v>
      </c>
      <c r="G1225" s="6">
        <v>0</v>
      </c>
      <c r="H1225" s="6">
        <v>0</v>
      </c>
      <c r="I1225" s="6">
        <v>97.94</v>
      </c>
      <c r="J1225" s="6">
        <v>89.78</v>
      </c>
      <c r="K1225" s="6">
        <v>89.78</v>
      </c>
      <c r="L1225" s="6">
        <v>97.82</v>
      </c>
      <c r="M1225" s="6">
        <v>89.78</v>
      </c>
      <c r="N1225" s="6">
        <v>89.78</v>
      </c>
      <c r="O1225" s="6">
        <v>97.82</v>
      </c>
      <c r="P1225" s="6">
        <v>89.78</v>
      </c>
      <c r="Q1225" s="6">
        <v>89.78</v>
      </c>
      <c r="R1225" s="6">
        <v>97.82</v>
      </c>
    </row>
    <row r="1226" spans="2:18">
      <c r="B1226" s="6">
        <v>32618</v>
      </c>
      <c r="C1226" s="6" t="s">
        <v>1060</v>
      </c>
      <c r="D1226" s="6">
        <v>0</v>
      </c>
      <c r="E1226" s="6">
        <v>0</v>
      </c>
      <c r="F1226" s="6">
        <v>98.66</v>
      </c>
      <c r="G1226" s="6">
        <v>0</v>
      </c>
      <c r="H1226" s="6">
        <v>0</v>
      </c>
      <c r="I1226" s="6">
        <v>98.71</v>
      </c>
      <c r="J1226" s="6">
        <v>0</v>
      </c>
      <c r="K1226" s="6">
        <v>0</v>
      </c>
      <c r="L1226" s="6">
        <v>98.71</v>
      </c>
      <c r="M1226" s="6">
        <v>99.07</v>
      </c>
      <c r="N1226" s="6">
        <v>99.18</v>
      </c>
      <c r="O1226" s="6">
        <v>99.18</v>
      </c>
      <c r="P1226" s="6">
        <v>99.05</v>
      </c>
      <c r="Q1226" s="6">
        <v>99.16</v>
      </c>
      <c r="R1226" s="6">
        <v>99.16</v>
      </c>
    </row>
    <row r="1227" spans="2:18">
      <c r="B1227" s="6">
        <v>32620</v>
      </c>
      <c r="C1227" s="6" t="s">
        <v>1169</v>
      </c>
      <c r="D1227" s="6">
        <v>0</v>
      </c>
      <c r="E1227" s="6">
        <v>0</v>
      </c>
      <c r="F1227" s="6">
        <v>91.97</v>
      </c>
      <c r="G1227" s="6">
        <v>80.86</v>
      </c>
      <c r="H1227" s="6">
        <v>83.63</v>
      </c>
      <c r="I1227" s="6">
        <v>83.96</v>
      </c>
      <c r="J1227" s="6">
        <v>80.86</v>
      </c>
      <c r="K1227" s="6">
        <v>83.63</v>
      </c>
      <c r="L1227" s="6">
        <v>83.87</v>
      </c>
      <c r="M1227" s="6">
        <v>80.86</v>
      </c>
      <c r="N1227" s="6">
        <v>83.63</v>
      </c>
      <c r="O1227" s="6">
        <v>83.87</v>
      </c>
      <c r="P1227" s="6">
        <v>80.86</v>
      </c>
      <c r="Q1227" s="6">
        <v>83.63</v>
      </c>
      <c r="R1227" s="6">
        <v>83.87</v>
      </c>
    </row>
    <row r="1228" spans="2:18">
      <c r="B1228" s="6">
        <v>32620</v>
      </c>
      <c r="C1228" s="6" t="s">
        <v>1169</v>
      </c>
      <c r="D1228" s="6">
        <v>0</v>
      </c>
      <c r="E1228" s="6">
        <v>0</v>
      </c>
      <c r="F1228" s="6">
        <v>91.97</v>
      </c>
      <c r="G1228" s="6">
        <v>80.86</v>
      </c>
      <c r="H1228" s="6">
        <v>83.63</v>
      </c>
      <c r="I1228" s="6">
        <v>83.96</v>
      </c>
      <c r="J1228" s="6">
        <v>80.86</v>
      </c>
      <c r="K1228" s="6">
        <v>83.63</v>
      </c>
      <c r="L1228" s="6">
        <v>83.87</v>
      </c>
      <c r="M1228" s="6">
        <v>80.86</v>
      </c>
      <c r="N1228" s="6">
        <v>83.63</v>
      </c>
      <c r="O1228" s="6">
        <v>83.87</v>
      </c>
      <c r="P1228" s="6">
        <v>80.86</v>
      </c>
      <c r="Q1228" s="6">
        <v>83.63</v>
      </c>
      <c r="R1228" s="6">
        <v>83.87</v>
      </c>
    </row>
    <row r="1229" spans="2:18">
      <c r="B1229" s="6">
        <v>32620</v>
      </c>
      <c r="C1229" s="6" t="s">
        <v>1169</v>
      </c>
      <c r="D1229" s="6">
        <v>0</v>
      </c>
      <c r="E1229" s="6">
        <v>0</v>
      </c>
      <c r="F1229" s="6">
        <v>92.86</v>
      </c>
      <c r="G1229" s="6">
        <v>0</v>
      </c>
      <c r="H1229" s="6">
        <v>83</v>
      </c>
      <c r="I1229" s="6">
        <v>85.72</v>
      </c>
      <c r="J1229" s="6">
        <v>0</v>
      </c>
      <c r="K1229" s="6">
        <v>83</v>
      </c>
      <c r="L1229" s="6">
        <v>85.72</v>
      </c>
      <c r="M1229" s="6">
        <v>0</v>
      </c>
      <c r="N1229" s="6">
        <v>83</v>
      </c>
      <c r="O1229" s="6">
        <v>85.72</v>
      </c>
      <c r="P1229" s="6">
        <v>0</v>
      </c>
      <c r="Q1229" s="6">
        <v>83</v>
      </c>
      <c r="R1229" s="6">
        <v>85.72</v>
      </c>
    </row>
    <row r="1230" spans="2:18">
      <c r="B1230" s="6">
        <v>32621</v>
      </c>
      <c r="C1230" s="6" t="s">
        <v>42</v>
      </c>
      <c r="D1230" s="6">
        <v>98.87</v>
      </c>
      <c r="E1230" s="6">
        <v>98.92</v>
      </c>
      <c r="F1230" s="6">
        <v>98.77</v>
      </c>
      <c r="G1230" s="6">
        <v>98.98</v>
      </c>
      <c r="H1230" s="6">
        <v>98.78</v>
      </c>
      <c r="I1230" s="6">
        <v>98.73</v>
      </c>
      <c r="J1230" s="6">
        <v>98.98</v>
      </c>
      <c r="K1230" s="6">
        <v>98.78</v>
      </c>
      <c r="L1230" s="6">
        <v>98.73</v>
      </c>
      <c r="M1230" s="6">
        <v>97.55</v>
      </c>
      <c r="N1230" s="6">
        <v>98.2</v>
      </c>
      <c r="O1230" s="6">
        <v>98.27</v>
      </c>
      <c r="P1230" s="6">
        <v>98.52</v>
      </c>
      <c r="Q1230" s="6">
        <v>98.45</v>
      </c>
      <c r="R1230" s="6">
        <v>98.28</v>
      </c>
    </row>
    <row r="1231" spans="2:18">
      <c r="B1231" s="6">
        <v>32622</v>
      </c>
      <c r="C1231" s="6" t="s">
        <v>1049</v>
      </c>
      <c r="D1231" s="6">
        <v>0</v>
      </c>
      <c r="E1231" s="6">
        <v>0</v>
      </c>
      <c r="F1231" s="6">
        <v>97.73</v>
      </c>
      <c r="G1231" s="6">
        <v>98.71</v>
      </c>
      <c r="H1231" s="6">
        <v>98.48</v>
      </c>
      <c r="I1231" s="6">
        <v>98.36</v>
      </c>
      <c r="J1231" s="6">
        <v>98.64</v>
      </c>
      <c r="K1231" s="6">
        <v>98.48</v>
      </c>
      <c r="L1231" s="6">
        <v>98.3</v>
      </c>
      <c r="M1231" s="6">
        <v>98.62</v>
      </c>
      <c r="N1231" s="6">
        <v>98.46</v>
      </c>
      <c r="O1231" s="6">
        <v>98.28</v>
      </c>
      <c r="P1231" s="6">
        <v>98.52</v>
      </c>
      <c r="Q1231" s="6">
        <v>98.45</v>
      </c>
      <c r="R1231" s="6">
        <v>98.28</v>
      </c>
    </row>
    <row r="1232" spans="2:18">
      <c r="B1232" s="6">
        <v>32622</v>
      </c>
      <c r="C1232" s="6" t="s">
        <v>1049</v>
      </c>
      <c r="D1232" s="6">
        <v>0</v>
      </c>
      <c r="E1232" s="6">
        <v>0</v>
      </c>
      <c r="F1232" s="6">
        <v>98.88</v>
      </c>
      <c r="G1232" s="6">
        <v>98.91</v>
      </c>
      <c r="H1232" s="6">
        <v>98.92</v>
      </c>
      <c r="I1232" s="6">
        <v>98.82</v>
      </c>
      <c r="J1232" s="6">
        <v>98.86</v>
      </c>
      <c r="K1232" s="6">
        <v>98.85</v>
      </c>
      <c r="L1232" s="6">
        <v>98.75</v>
      </c>
      <c r="M1232" s="6">
        <v>98.86</v>
      </c>
      <c r="N1232" s="6">
        <v>98.82</v>
      </c>
      <c r="O1232" s="6">
        <v>98.74</v>
      </c>
      <c r="P1232" s="6">
        <v>98.83</v>
      </c>
      <c r="Q1232" s="6">
        <v>98.81</v>
      </c>
      <c r="R1232" s="6">
        <v>98.73</v>
      </c>
    </row>
    <row r="1233" spans="2:18">
      <c r="B1233" s="6">
        <v>32622</v>
      </c>
      <c r="C1233" s="6" t="s">
        <v>1049</v>
      </c>
      <c r="D1233" s="6">
        <v>0</v>
      </c>
      <c r="E1233" s="6">
        <v>0</v>
      </c>
      <c r="F1233" s="6">
        <v>97.27</v>
      </c>
      <c r="G1233" s="6">
        <v>98.03</v>
      </c>
      <c r="H1233" s="6">
        <v>98.12</v>
      </c>
      <c r="I1233" s="6">
        <v>98.05</v>
      </c>
      <c r="J1233" s="6">
        <v>97.72</v>
      </c>
      <c r="K1233" s="6">
        <v>97.84</v>
      </c>
      <c r="L1233" s="6">
        <v>97.75</v>
      </c>
      <c r="M1233" s="6">
        <v>97.72</v>
      </c>
      <c r="N1233" s="6">
        <v>97.83</v>
      </c>
      <c r="O1233" s="6">
        <v>97.74</v>
      </c>
      <c r="P1233" s="6">
        <v>97.73</v>
      </c>
      <c r="Q1233" s="6">
        <v>97.84</v>
      </c>
      <c r="R1233" s="6">
        <v>97.75</v>
      </c>
    </row>
    <row r="1234" spans="2:18">
      <c r="B1234" s="6">
        <v>32622</v>
      </c>
      <c r="C1234" s="6" t="s">
        <v>1049</v>
      </c>
      <c r="D1234" s="6">
        <v>0</v>
      </c>
      <c r="E1234" s="6">
        <v>0</v>
      </c>
      <c r="F1234" s="6">
        <v>97.67</v>
      </c>
      <c r="G1234" s="6">
        <v>98.04</v>
      </c>
      <c r="H1234" s="6">
        <v>97.78</v>
      </c>
      <c r="I1234" s="6">
        <v>97.69</v>
      </c>
      <c r="J1234" s="6">
        <v>98.01</v>
      </c>
      <c r="K1234" s="6">
        <v>97.7</v>
      </c>
      <c r="L1234" s="6">
        <v>97.61</v>
      </c>
      <c r="M1234" s="6">
        <v>98.02</v>
      </c>
      <c r="N1234" s="6">
        <v>97.7</v>
      </c>
      <c r="O1234" s="6">
        <v>97.61</v>
      </c>
      <c r="P1234" s="6">
        <v>98.02</v>
      </c>
      <c r="Q1234" s="6">
        <v>97.7</v>
      </c>
      <c r="R1234" s="6">
        <v>97.61</v>
      </c>
    </row>
    <row r="1235" spans="2:18">
      <c r="B1235" s="6">
        <v>32623</v>
      </c>
      <c r="C1235" s="6" t="s">
        <v>1131</v>
      </c>
      <c r="D1235" s="6">
        <v>0</v>
      </c>
      <c r="E1235" s="6">
        <v>0</v>
      </c>
      <c r="F1235" s="6">
        <v>98.01</v>
      </c>
      <c r="G1235" s="6">
        <v>98.71</v>
      </c>
      <c r="H1235" s="6">
        <v>98.48</v>
      </c>
      <c r="I1235" s="6">
        <v>98.36</v>
      </c>
      <c r="J1235" s="6">
        <v>98.64</v>
      </c>
      <c r="K1235" s="6">
        <v>98.48</v>
      </c>
      <c r="L1235" s="6">
        <v>98.3</v>
      </c>
      <c r="M1235" s="6">
        <v>98.62</v>
      </c>
      <c r="N1235" s="6">
        <v>98.46</v>
      </c>
      <c r="O1235" s="6">
        <v>98.28</v>
      </c>
      <c r="P1235" s="6">
        <v>98.52</v>
      </c>
      <c r="Q1235" s="6">
        <v>98.45</v>
      </c>
      <c r="R1235" s="6">
        <v>98.28</v>
      </c>
    </row>
    <row r="1236" spans="2:18">
      <c r="B1236" s="6">
        <v>32623</v>
      </c>
      <c r="C1236" s="6" t="s">
        <v>1131</v>
      </c>
      <c r="D1236" s="6">
        <v>0</v>
      </c>
      <c r="E1236" s="6">
        <v>0</v>
      </c>
      <c r="F1236" s="6">
        <v>98.05</v>
      </c>
      <c r="G1236" s="6">
        <v>98.91</v>
      </c>
      <c r="H1236" s="6">
        <v>98.92</v>
      </c>
      <c r="I1236" s="6">
        <v>98.82</v>
      </c>
      <c r="J1236" s="6">
        <v>98.86</v>
      </c>
      <c r="K1236" s="6">
        <v>98.85</v>
      </c>
      <c r="L1236" s="6">
        <v>98.75</v>
      </c>
      <c r="M1236" s="6">
        <v>98.86</v>
      </c>
      <c r="N1236" s="6">
        <v>98.82</v>
      </c>
      <c r="O1236" s="6">
        <v>98.74</v>
      </c>
      <c r="P1236" s="6">
        <v>98.83</v>
      </c>
      <c r="Q1236" s="6">
        <v>98.81</v>
      </c>
      <c r="R1236" s="6">
        <v>98.73</v>
      </c>
    </row>
    <row r="1237" spans="2:18">
      <c r="B1237" s="6">
        <v>32623</v>
      </c>
      <c r="C1237" s="6" t="s">
        <v>1131</v>
      </c>
      <c r="D1237" s="6">
        <v>0</v>
      </c>
      <c r="E1237" s="6">
        <v>0</v>
      </c>
      <c r="F1237" s="6">
        <v>98.56</v>
      </c>
      <c r="G1237" s="6">
        <v>98.03</v>
      </c>
      <c r="H1237" s="6">
        <v>98.12</v>
      </c>
      <c r="I1237" s="6">
        <v>98.05</v>
      </c>
      <c r="J1237" s="6">
        <v>97.72</v>
      </c>
      <c r="K1237" s="6">
        <v>97.84</v>
      </c>
      <c r="L1237" s="6">
        <v>97.75</v>
      </c>
      <c r="M1237" s="6">
        <v>97.72</v>
      </c>
      <c r="N1237" s="6">
        <v>97.83</v>
      </c>
      <c r="O1237" s="6">
        <v>97.74</v>
      </c>
      <c r="P1237" s="6">
        <v>97.73</v>
      </c>
      <c r="Q1237" s="6">
        <v>97.84</v>
      </c>
      <c r="R1237" s="6">
        <v>97.75</v>
      </c>
    </row>
    <row r="1238" spans="2:18">
      <c r="B1238" s="6">
        <v>32623</v>
      </c>
      <c r="C1238" s="6" t="s">
        <v>1131</v>
      </c>
      <c r="D1238" s="6">
        <v>0</v>
      </c>
      <c r="E1238" s="6">
        <v>0</v>
      </c>
      <c r="F1238" s="6">
        <v>97.97</v>
      </c>
      <c r="G1238" s="6">
        <v>98.04</v>
      </c>
      <c r="H1238" s="6">
        <v>97.78</v>
      </c>
      <c r="I1238" s="6">
        <v>97.69</v>
      </c>
      <c r="J1238" s="6">
        <v>98.01</v>
      </c>
      <c r="K1238" s="6">
        <v>97.7</v>
      </c>
      <c r="L1238" s="6">
        <v>97.61</v>
      </c>
      <c r="M1238" s="6">
        <v>98.02</v>
      </c>
      <c r="N1238" s="6">
        <v>97.7</v>
      </c>
      <c r="O1238" s="6">
        <v>97.61</v>
      </c>
      <c r="P1238" s="6">
        <v>98.02</v>
      </c>
      <c r="Q1238" s="6">
        <v>97.7</v>
      </c>
      <c r="R1238" s="6">
        <v>97.61</v>
      </c>
    </row>
    <row r="1239" spans="2:18">
      <c r="B1239" s="6">
        <v>32624</v>
      </c>
      <c r="C1239" s="6" t="s">
        <v>1137</v>
      </c>
      <c r="D1239" s="6">
        <v>0</v>
      </c>
      <c r="E1239" s="6">
        <v>0</v>
      </c>
      <c r="F1239" s="6">
        <v>100</v>
      </c>
      <c r="G1239" s="6">
        <v>98.74</v>
      </c>
      <c r="H1239" s="6">
        <v>98.55</v>
      </c>
      <c r="I1239" s="6">
        <v>98.22</v>
      </c>
      <c r="J1239" s="6">
        <v>98.64</v>
      </c>
      <c r="K1239" s="6">
        <v>98.48</v>
      </c>
      <c r="L1239" s="6">
        <v>98.3</v>
      </c>
      <c r="M1239" s="6">
        <v>98.62</v>
      </c>
      <c r="N1239" s="6">
        <v>98.46</v>
      </c>
      <c r="O1239" s="6">
        <v>98.28</v>
      </c>
      <c r="P1239" s="6">
        <v>98.52</v>
      </c>
      <c r="Q1239" s="6">
        <v>98.45</v>
      </c>
      <c r="R1239" s="6">
        <v>98.28</v>
      </c>
    </row>
    <row r="1240" spans="2:18">
      <c r="B1240" s="6">
        <v>32624</v>
      </c>
      <c r="C1240" s="6" t="s">
        <v>1137</v>
      </c>
      <c r="D1240" s="6">
        <v>0</v>
      </c>
      <c r="E1240" s="6">
        <v>0</v>
      </c>
      <c r="F1240" s="6">
        <v>100</v>
      </c>
      <c r="G1240" s="6">
        <v>98.78</v>
      </c>
      <c r="H1240" s="6">
        <v>98.67</v>
      </c>
      <c r="I1240" s="6">
        <v>98.6</v>
      </c>
      <c r="J1240" s="6">
        <v>98.77</v>
      </c>
      <c r="K1240" s="6">
        <v>98.75</v>
      </c>
      <c r="L1240" s="6">
        <v>98.72</v>
      </c>
      <c r="M1240" s="6">
        <v>98.71</v>
      </c>
      <c r="N1240" s="6">
        <v>98.7</v>
      </c>
      <c r="O1240" s="6">
        <v>98.68</v>
      </c>
      <c r="P1240" s="6">
        <v>98.71</v>
      </c>
      <c r="Q1240" s="6">
        <v>98.7</v>
      </c>
      <c r="R1240" s="6">
        <v>98.68</v>
      </c>
    </row>
    <row r="1241" spans="2:18">
      <c r="B1241" s="6">
        <v>32624</v>
      </c>
      <c r="C1241" s="6" t="s">
        <v>1137</v>
      </c>
      <c r="D1241" s="6">
        <v>0</v>
      </c>
      <c r="E1241" s="6">
        <v>0</v>
      </c>
      <c r="F1241" s="6">
        <v>100</v>
      </c>
      <c r="G1241" s="6">
        <v>97.49</v>
      </c>
      <c r="H1241" s="6">
        <v>97.66</v>
      </c>
      <c r="I1241" s="6">
        <v>97.52</v>
      </c>
      <c r="J1241" s="6">
        <v>97.72</v>
      </c>
      <c r="K1241" s="6">
        <v>97.84</v>
      </c>
      <c r="L1241" s="6">
        <v>97.75</v>
      </c>
      <c r="M1241" s="6">
        <v>97.72</v>
      </c>
      <c r="N1241" s="6">
        <v>97.83</v>
      </c>
      <c r="O1241" s="6">
        <v>97.74</v>
      </c>
      <c r="P1241" s="6">
        <v>97.73</v>
      </c>
      <c r="Q1241" s="6">
        <v>97.84</v>
      </c>
      <c r="R1241" s="6">
        <v>97.75</v>
      </c>
    </row>
    <row r="1242" spans="2:18">
      <c r="B1242" s="6">
        <v>32624</v>
      </c>
      <c r="C1242" s="6" t="s">
        <v>1137</v>
      </c>
      <c r="D1242" s="6">
        <v>0</v>
      </c>
      <c r="E1242" s="6">
        <v>0</v>
      </c>
      <c r="F1242" s="6">
        <v>97.78</v>
      </c>
      <c r="G1242" s="6">
        <v>98.15</v>
      </c>
      <c r="H1242" s="6">
        <v>97.53</v>
      </c>
      <c r="I1242" s="6">
        <v>97.49</v>
      </c>
      <c r="J1242" s="6">
        <v>98.01</v>
      </c>
      <c r="K1242" s="6">
        <v>97.7</v>
      </c>
      <c r="L1242" s="6">
        <v>97.61</v>
      </c>
      <c r="M1242" s="6">
        <v>98.02</v>
      </c>
      <c r="N1242" s="6">
        <v>97.7</v>
      </c>
      <c r="O1242" s="6">
        <v>97.61</v>
      </c>
      <c r="P1242" s="6">
        <v>98.02</v>
      </c>
      <c r="Q1242" s="6">
        <v>97.7</v>
      </c>
      <c r="R1242" s="6">
        <v>97.61</v>
      </c>
    </row>
    <row r="1243" spans="2:18">
      <c r="B1243" s="6">
        <v>32625</v>
      </c>
      <c r="C1243" s="6" t="s">
        <v>1088</v>
      </c>
      <c r="D1243" s="6">
        <v>0</v>
      </c>
      <c r="E1243" s="6">
        <v>0</v>
      </c>
      <c r="F1243" s="6">
        <v>100</v>
      </c>
      <c r="G1243" s="6">
        <v>98.74</v>
      </c>
      <c r="H1243" s="6">
        <v>98.55</v>
      </c>
      <c r="I1243" s="6">
        <v>98.22</v>
      </c>
      <c r="J1243" s="6">
        <v>98.64</v>
      </c>
      <c r="K1243" s="6">
        <v>98.48</v>
      </c>
      <c r="L1243" s="6">
        <v>98.3</v>
      </c>
      <c r="M1243" s="6">
        <v>98.62</v>
      </c>
      <c r="N1243" s="6">
        <v>98.46</v>
      </c>
      <c r="O1243" s="6">
        <v>98.28</v>
      </c>
      <c r="P1243" s="6">
        <v>98.52</v>
      </c>
      <c r="Q1243" s="6">
        <v>98.45</v>
      </c>
      <c r="R1243" s="6">
        <v>98.28</v>
      </c>
    </row>
    <row r="1244" spans="2:18">
      <c r="B1244" s="6">
        <v>32625</v>
      </c>
      <c r="C1244" s="6" t="s">
        <v>1088</v>
      </c>
      <c r="D1244" s="6">
        <v>0</v>
      </c>
      <c r="E1244" s="6">
        <v>0</v>
      </c>
      <c r="F1244" s="6">
        <v>100</v>
      </c>
      <c r="G1244" s="6">
        <v>98.78</v>
      </c>
      <c r="H1244" s="6">
        <v>98.67</v>
      </c>
      <c r="I1244" s="6">
        <v>98.6</v>
      </c>
      <c r="J1244" s="6">
        <v>98.77</v>
      </c>
      <c r="K1244" s="6">
        <v>98.75</v>
      </c>
      <c r="L1244" s="6">
        <v>98.72</v>
      </c>
      <c r="M1244" s="6">
        <v>98.71</v>
      </c>
      <c r="N1244" s="6">
        <v>98.7</v>
      </c>
      <c r="O1244" s="6">
        <v>98.68</v>
      </c>
      <c r="P1244" s="6">
        <v>98.71</v>
      </c>
      <c r="Q1244" s="6">
        <v>98.7</v>
      </c>
      <c r="R1244" s="6">
        <v>98.68</v>
      </c>
    </row>
    <row r="1245" spans="2:18">
      <c r="B1245" s="6">
        <v>32625</v>
      </c>
      <c r="C1245" s="6" t="s">
        <v>1088</v>
      </c>
      <c r="D1245" s="6">
        <v>0</v>
      </c>
      <c r="E1245" s="6">
        <v>0</v>
      </c>
      <c r="F1245" s="6">
        <v>100</v>
      </c>
      <c r="G1245" s="6">
        <v>97.49</v>
      </c>
      <c r="H1245" s="6">
        <v>97.66</v>
      </c>
      <c r="I1245" s="6">
        <v>97.52</v>
      </c>
      <c r="J1245" s="6">
        <v>97.72</v>
      </c>
      <c r="K1245" s="6">
        <v>97.84</v>
      </c>
      <c r="L1245" s="6">
        <v>97.75</v>
      </c>
      <c r="M1245" s="6">
        <v>97.72</v>
      </c>
      <c r="N1245" s="6">
        <v>97.83</v>
      </c>
      <c r="O1245" s="6">
        <v>97.74</v>
      </c>
      <c r="P1245" s="6">
        <v>97.73</v>
      </c>
      <c r="Q1245" s="6">
        <v>97.84</v>
      </c>
      <c r="R1245" s="6">
        <v>97.75</v>
      </c>
    </row>
    <row r="1246" spans="2:18">
      <c r="B1246" s="6">
        <v>32625</v>
      </c>
      <c r="C1246" s="6" t="s">
        <v>1088</v>
      </c>
      <c r="D1246" s="6">
        <v>0</v>
      </c>
      <c r="E1246" s="6">
        <v>0</v>
      </c>
      <c r="F1246" s="6">
        <v>96.84</v>
      </c>
      <c r="G1246" s="6">
        <v>98.15</v>
      </c>
      <c r="H1246" s="6">
        <v>97.53</v>
      </c>
      <c r="I1246" s="6">
        <v>97.49</v>
      </c>
      <c r="J1246" s="6">
        <v>98.01</v>
      </c>
      <c r="K1246" s="6">
        <v>97.7</v>
      </c>
      <c r="L1246" s="6">
        <v>97.61</v>
      </c>
      <c r="M1246" s="6">
        <v>98.02</v>
      </c>
      <c r="N1246" s="6">
        <v>97.7</v>
      </c>
      <c r="O1246" s="6">
        <v>97.61</v>
      </c>
      <c r="P1246" s="6">
        <v>98.02</v>
      </c>
      <c r="Q1246" s="6">
        <v>97.7</v>
      </c>
      <c r="R1246" s="6">
        <v>97.61</v>
      </c>
    </row>
    <row r="1247" spans="2:18">
      <c r="B1247" s="6">
        <v>32626</v>
      </c>
      <c r="C1247" s="6" t="s">
        <v>1074</v>
      </c>
      <c r="D1247" s="6">
        <v>0</v>
      </c>
      <c r="E1247" s="6">
        <v>0</v>
      </c>
      <c r="F1247" s="6">
        <v>100</v>
      </c>
      <c r="G1247" s="6">
        <v>98.74</v>
      </c>
      <c r="H1247" s="6">
        <v>98.55</v>
      </c>
      <c r="I1247" s="6">
        <v>98.22</v>
      </c>
      <c r="J1247" s="6">
        <v>98.64</v>
      </c>
      <c r="K1247" s="6">
        <v>98.48</v>
      </c>
      <c r="L1247" s="6">
        <v>98.3</v>
      </c>
      <c r="M1247" s="6">
        <v>98.62</v>
      </c>
      <c r="N1247" s="6">
        <v>98.46</v>
      </c>
      <c r="O1247" s="6">
        <v>98.28</v>
      </c>
      <c r="P1247" s="6">
        <v>98.52</v>
      </c>
      <c r="Q1247" s="6">
        <v>98.45</v>
      </c>
      <c r="R1247" s="6">
        <v>98.28</v>
      </c>
    </row>
    <row r="1248" spans="2:18">
      <c r="B1248" s="6">
        <v>32626</v>
      </c>
      <c r="C1248" s="6" t="s">
        <v>1074</v>
      </c>
      <c r="D1248" s="6">
        <v>0</v>
      </c>
      <c r="E1248" s="6">
        <v>0</v>
      </c>
      <c r="F1248" s="6">
        <v>100</v>
      </c>
      <c r="G1248" s="6">
        <v>98.78</v>
      </c>
      <c r="H1248" s="6">
        <v>98.67</v>
      </c>
      <c r="I1248" s="6">
        <v>98.6</v>
      </c>
      <c r="J1248" s="6">
        <v>98.77</v>
      </c>
      <c r="K1248" s="6">
        <v>98.75</v>
      </c>
      <c r="L1248" s="6">
        <v>98.72</v>
      </c>
      <c r="M1248" s="6">
        <v>98.71</v>
      </c>
      <c r="N1248" s="6">
        <v>98.7</v>
      </c>
      <c r="O1248" s="6">
        <v>98.68</v>
      </c>
      <c r="P1248" s="6">
        <v>98.71</v>
      </c>
      <c r="Q1248" s="6">
        <v>98.7</v>
      </c>
      <c r="R1248" s="6">
        <v>98.68</v>
      </c>
    </row>
    <row r="1249" spans="2:18">
      <c r="B1249" s="6">
        <v>32626</v>
      </c>
      <c r="C1249" s="6" t="s">
        <v>1074</v>
      </c>
      <c r="D1249" s="6">
        <v>0</v>
      </c>
      <c r="E1249" s="6">
        <v>0</v>
      </c>
      <c r="F1249" s="6">
        <v>100</v>
      </c>
      <c r="G1249" s="6">
        <v>97.49</v>
      </c>
      <c r="H1249" s="6">
        <v>97.66</v>
      </c>
      <c r="I1249" s="6">
        <v>97.52</v>
      </c>
      <c r="J1249" s="6">
        <v>97.72</v>
      </c>
      <c r="K1249" s="6">
        <v>97.84</v>
      </c>
      <c r="L1249" s="6">
        <v>97.75</v>
      </c>
      <c r="M1249" s="6">
        <v>97.72</v>
      </c>
      <c r="N1249" s="6">
        <v>97.83</v>
      </c>
      <c r="O1249" s="6">
        <v>97.74</v>
      </c>
      <c r="P1249" s="6">
        <v>97.73</v>
      </c>
      <c r="Q1249" s="6">
        <v>97.84</v>
      </c>
      <c r="R1249" s="6">
        <v>97.75</v>
      </c>
    </row>
    <row r="1250" spans="2:18">
      <c r="B1250" s="6">
        <v>32626</v>
      </c>
      <c r="C1250" s="6" t="s">
        <v>1074</v>
      </c>
      <c r="D1250" s="6">
        <v>0</v>
      </c>
      <c r="E1250" s="6">
        <v>0</v>
      </c>
      <c r="F1250" s="6">
        <v>95.6</v>
      </c>
      <c r="G1250" s="6">
        <v>98.15</v>
      </c>
      <c r="H1250" s="6">
        <v>97.53</v>
      </c>
      <c r="I1250" s="6">
        <v>97.49</v>
      </c>
      <c r="J1250" s="6">
        <v>98.01</v>
      </c>
      <c r="K1250" s="6">
        <v>97.7</v>
      </c>
      <c r="L1250" s="6">
        <v>97.61</v>
      </c>
      <c r="M1250" s="6">
        <v>98.02</v>
      </c>
      <c r="N1250" s="6">
        <v>97.7</v>
      </c>
      <c r="O1250" s="6">
        <v>97.61</v>
      </c>
      <c r="P1250" s="6">
        <v>98.02</v>
      </c>
      <c r="Q1250" s="6">
        <v>97.7</v>
      </c>
      <c r="R1250" s="6">
        <v>97.61</v>
      </c>
    </row>
    <row r="1251" spans="2:18">
      <c r="B1251" s="6">
        <v>32627</v>
      </c>
      <c r="C1251" s="6" t="s">
        <v>997</v>
      </c>
      <c r="D1251" s="6">
        <v>0</v>
      </c>
      <c r="E1251" s="6">
        <v>0</v>
      </c>
      <c r="F1251" s="6">
        <v>91.79</v>
      </c>
      <c r="G1251" s="6">
        <v>0</v>
      </c>
      <c r="H1251" s="6">
        <v>99.57</v>
      </c>
      <c r="I1251" s="6">
        <v>94.95</v>
      </c>
      <c r="J1251" s="6">
        <v>98.23</v>
      </c>
      <c r="K1251" s="6">
        <v>98.19</v>
      </c>
      <c r="L1251" s="6">
        <v>98.1</v>
      </c>
      <c r="M1251" s="6">
        <v>98.23</v>
      </c>
      <c r="N1251" s="6">
        <v>98.19</v>
      </c>
      <c r="O1251" s="6">
        <v>98.1</v>
      </c>
      <c r="P1251" s="6">
        <v>98.04</v>
      </c>
      <c r="Q1251" s="6">
        <v>98.09</v>
      </c>
      <c r="R1251" s="6">
        <v>97.91</v>
      </c>
    </row>
    <row r="1252" spans="2:18">
      <c r="B1252" s="6">
        <v>32627</v>
      </c>
      <c r="C1252" s="6" t="s">
        <v>997</v>
      </c>
      <c r="D1252" s="6">
        <v>0</v>
      </c>
      <c r="E1252" s="6">
        <v>0</v>
      </c>
      <c r="F1252" s="6">
        <v>95</v>
      </c>
      <c r="G1252" s="6">
        <v>0</v>
      </c>
      <c r="H1252" s="6">
        <v>98.63</v>
      </c>
      <c r="I1252" s="6">
        <v>94.93</v>
      </c>
      <c r="J1252" s="6">
        <v>89.16</v>
      </c>
      <c r="K1252" s="6">
        <v>92.29</v>
      </c>
      <c r="L1252" s="6">
        <v>95.48</v>
      </c>
      <c r="M1252" s="6">
        <v>89.16</v>
      </c>
      <c r="N1252" s="6">
        <v>92.29</v>
      </c>
      <c r="O1252" s="6">
        <v>95.48</v>
      </c>
      <c r="P1252" s="6">
        <v>89.16</v>
      </c>
      <c r="Q1252" s="6">
        <v>92.29</v>
      </c>
      <c r="R1252" s="6">
        <v>95.48</v>
      </c>
    </row>
    <row r="1253" spans="2:18">
      <c r="B1253" s="6">
        <v>32627</v>
      </c>
      <c r="C1253" s="6" t="s">
        <v>997</v>
      </c>
      <c r="D1253" s="6">
        <v>0</v>
      </c>
      <c r="E1253" s="6">
        <v>0</v>
      </c>
      <c r="F1253" s="6">
        <v>97.37</v>
      </c>
      <c r="G1253" s="6">
        <v>0</v>
      </c>
      <c r="H1253" s="6">
        <v>0</v>
      </c>
      <c r="I1253" s="6">
        <v>95.79</v>
      </c>
      <c r="J1253" s="6">
        <v>99.26</v>
      </c>
      <c r="K1253" s="6">
        <v>99.39</v>
      </c>
      <c r="L1253" s="6">
        <v>99.39</v>
      </c>
      <c r="M1253" s="6">
        <v>99.26</v>
      </c>
      <c r="N1253" s="6">
        <v>99.39</v>
      </c>
      <c r="O1253" s="6">
        <v>99.39</v>
      </c>
      <c r="P1253" s="6">
        <v>99.26</v>
      </c>
      <c r="Q1253" s="6">
        <v>99.39</v>
      </c>
      <c r="R1253" s="6">
        <v>99.39</v>
      </c>
    </row>
    <row r="1254" spans="2:18">
      <c r="B1254" s="6">
        <v>32627</v>
      </c>
      <c r="C1254" s="6" t="s">
        <v>997</v>
      </c>
      <c r="D1254" s="6">
        <v>0</v>
      </c>
      <c r="E1254" s="6">
        <v>0</v>
      </c>
      <c r="F1254" s="6">
        <v>94.74</v>
      </c>
      <c r="G1254" s="6">
        <v>0</v>
      </c>
      <c r="H1254" s="6">
        <v>0</v>
      </c>
      <c r="I1254" s="6">
        <v>94.02</v>
      </c>
      <c r="J1254" s="6">
        <v>0</v>
      </c>
      <c r="K1254" s="6">
        <v>99.39</v>
      </c>
      <c r="L1254" s="6">
        <v>97.81</v>
      </c>
      <c r="M1254" s="6">
        <v>0</v>
      </c>
      <c r="N1254" s="6">
        <v>99.39</v>
      </c>
      <c r="O1254" s="6">
        <v>97.81</v>
      </c>
      <c r="P1254" s="6">
        <v>64.22</v>
      </c>
      <c r="Q1254" s="6">
        <v>89.74</v>
      </c>
      <c r="R1254" s="6">
        <v>82.9</v>
      </c>
    </row>
    <row r="1255" spans="2:18">
      <c r="B1255" s="6">
        <v>32627</v>
      </c>
      <c r="C1255" s="6" t="s">
        <v>997</v>
      </c>
      <c r="D1255" s="6">
        <v>0</v>
      </c>
      <c r="E1255" s="6">
        <v>0</v>
      </c>
      <c r="F1255" s="6">
        <v>94.44</v>
      </c>
      <c r="G1255" s="6">
        <v>0</v>
      </c>
      <c r="H1255" s="6">
        <v>97.83</v>
      </c>
      <c r="I1255" s="6">
        <v>97.12</v>
      </c>
      <c r="J1255" s="6">
        <v>98.47</v>
      </c>
      <c r="K1255" s="6">
        <v>98.28</v>
      </c>
      <c r="L1255" s="6">
        <v>97.11</v>
      </c>
      <c r="M1255" s="6">
        <v>98.47</v>
      </c>
      <c r="N1255" s="6">
        <v>98.28</v>
      </c>
      <c r="O1255" s="6">
        <v>97.11</v>
      </c>
      <c r="P1255" s="6">
        <v>98.47</v>
      </c>
      <c r="Q1255" s="6">
        <v>98.28</v>
      </c>
      <c r="R1255" s="6">
        <v>97.11</v>
      </c>
    </row>
    <row r="1256" spans="2:18">
      <c r="B1256" s="6">
        <v>32627</v>
      </c>
      <c r="C1256" s="6" t="s">
        <v>997</v>
      </c>
      <c r="D1256" s="6">
        <v>0</v>
      </c>
      <c r="E1256" s="6">
        <v>0</v>
      </c>
      <c r="F1256" s="6">
        <v>93.75</v>
      </c>
      <c r="G1256" s="6">
        <v>0</v>
      </c>
      <c r="H1256" s="6">
        <v>0</v>
      </c>
      <c r="I1256" s="6">
        <v>96.17</v>
      </c>
      <c r="J1256" s="6">
        <v>0</v>
      </c>
      <c r="K1256" s="6">
        <v>0</v>
      </c>
      <c r="L1256" s="6">
        <v>93.9</v>
      </c>
      <c r="M1256" s="6">
        <v>0</v>
      </c>
      <c r="N1256" s="6">
        <v>0</v>
      </c>
      <c r="O1256" s="6">
        <v>93.9</v>
      </c>
      <c r="P1256" s="6">
        <v>0</v>
      </c>
      <c r="Q1256" s="6">
        <v>0</v>
      </c>
      <c r="R1256" s="6">
        <v>93.9</v>
      </c>
    </row>
    <row r="1257" spans="2:18">
      <c r="B1257" s="6">
        <v>32628</v>
      </c>
      <c r="C1257" s="6" t="s">
        <v>207</v>
      </c>
      <c r="D1257" s="6">
        <v>99.05</v>
      </c>
      <c r="E1257" s="6">
        <v>98.88</v>
      </c>
      <c r="F1257" s="6">
        <v>98.45</v>
      </c>
      <c r="G1257" s="6">
        <v>98.71</v>
      </c>
      <c r="H1257" s="6">
        <v>98.48</v>
      </c>
      <c r="I1257" s="6">
        <v>98.36</v>
      </c>
      <c r="J1257" s="6">
        <v>98.64</v>
      </c>
      <c r="K1257" s="6">
        <v>98.48</v>
      </c>
      <c r="L1257" s="6">
        <v>98.3</v>
      </c>
      <c r="M1257" s="6">
        <v>98.62</v>
      </c>
      <c r="N1257" s="6">
        <v>98.46</v>
      </c>
      <c r="O1257" s="6">
        <v>98.28</v>
      </c>
      <c r="P1257" s="6">
        <v>98.52</v>
      </c>
      <c r="Q1257" s="6">
        <v>98.45</v>
      </c>
      <c r="R1257" s="6">
        <v>98.28</v>
      </c>
    </row>
    <row r="1258" spans="2:18">
      <c r="B1258" s="6">
        <v>32628</v>
      </c>
      <c r="C1258" s="6" t="s">
        <v>207</v>
      </c>
      <c r="D1258" s="6">
        <v>99.22</v>
      </c>
      <c r="E1258" s="6">
        <v>99.13</v>
      </c>
      <c r="F1258" s="6">
        <v>99.31</v>
      </c>
      <c r="G1258" s="6">
        <v>98.91</v>
      </c>
      <c r="H1258" s="6">
        <v>98.92</v>
      </c>
      <c r="I1258" s="6">
        <v>98.82</v>
      </c>
      <c r="J1258" s="6">
        <v>98.86</v>
      </c>
      <c r="K1258" s="6">
        <v>98.85</v>
      </c>
      <c r="L1258" s="6">
        <v>98.75</v>
      </c>
      <c r="M1258" s="6">
        <v>98.86</v>
      </c>
      <c r="N1258" s="6">
        <v>98.82</v>
      </c>
      <c r="O1258" s="6">
        <v>98.74</v>
      </c>
      <c r="P1258" s="6">
        <v>98.83</v>
      </c>
      <c r="Q1258" s="6">
        <v>98.81</v>
      </c>
      <c r="R1258" s="6">
        <v>98.73</v>
      </c>
    </row>
    <row r="1259" spans="2:18">
      <c r="B1259" s="6">
        <v>32628</v>
      </c>
      <c r="C1259" s="6" t="s">
        <v>207</v>
      </c>
      <c r="D1259" s="6">
        <v>98.99</v>
      </c>
      <c r="E1259" s="6">
        <v>98.59</v>
      </c>
      <c r="F1259" s="6">
        <v>98.99</v>
      </c>
      <c r="G1259" s="6">
        <v>98.03</v>
      </c>
      <c r="H1259" s="6">
        <v>98.12</v>
      </c>
      <c r="I1259" s="6">
        <v>98.05</v>
      </c>
      <c r="J1259" s="6">
        <v>97.72</v>
      </c>
      <c r="K1259" s="6">
        <v>97.84</v>
      </c>
      <c r="L1259" s="6">
        <v>97.75</v>
      </c>
      <c r="M1259" s="6">
        <v>97.72</v>
      </c>
      <c r="N1259" s="6">
        <v>97.83</v>
      </c>
      <c r="O1259" s="6">
        <v>97.74</v>
      </c>
      <c r="P1259" s="6">
        <v>97.73</v>
      </c>
      <c r="Q1259" s="6">
        <v>97.84</v>
      </c>
      <c r="R1259" s="6">
        <v>97.75</v>
      </c>
    </row>
    <row r="1260" spans="2:18">
      <c r="B1260" s="6">
        <v>32628</v>
      </c>
      <c r="C1260" s="6" t="s">
        <v>207</v>
      </c>
      <c r="D1260" s="6">
        <v>98.24</v>
      </c>
      <c r="E1260" s="6">
        <v>97.9</v>
      </c>
      <c r="F1260" s="6">
        <v>97.57</v>
      </c>
      <c r="G1260" s="6">
        <v>98.04</v>
      </c>
      <c r="H1260" s="6">
        <v>97.78</v>
      </c>
      <c r="I1260" s="6">
        <v>97.69</v>
      </c>
      <c r="J1260" s="6">
        <v>98.01</v>
      </c>
      <c r="K1260" s="6">
        <v>97.7</v>
      </c>
      <c r="L1260" s="6">
        <v>97.61</v>
      </c>
      <c r="M1260" s="6">
        <v>98.02</v>
      </c>
      <c r="N1260" s="6">
        <v>97.7</v>
      </c>
      <c r="O1260" s="6">
        <v>97.61</v>
      </c>
      <c r="P1260" s="6">
        <v>98.02</v>
      </c>
      <c r="Q1260" s="6">
        <v>97.7</v>
      </c>
      <c r="R1260" s="6">
        <v>97.61</v>
      </c>
    </row>
    <row r="1261" spans="2:18">
      <c r="B1261" s="6">
        <v>32631</v>
      </c>
      <c r="C1261" s="6" t="s">
        <v>1075</v>
      </c>
      <c r="D1261" s="6">
        <v>0</v>
      </c>
      <c r="E1261" s="6">
        <v>0</v>
      </c>
      <c r="F1261" s="6">
        <v>100</v>
      </c>
      <c r="G1261" s="6">
        <v>98.71</v>
      </c>
      <c r="H1261" s="6">
        <v>98.48</v>
      </c>
      <c r="I1261" s="6">
        <v>98.36</v>
      </c>
      <c r="J1261" s="6">
        <v>98.64</v>
      </c>
      <c r="K1261" s="6">
        <v>98.48</v>
      </c>
      <c r="L1261" s="6">
        <v>98.3</v>
      </c>
      <c r="M1261" s="6">
        <v>98.62</v>
      </c>
      <c r="N1261" s="6">
        <v>98.46</v>
      </c>
      <c r="O1261" s="6">
        <v>98.28</v>
      </c>
      <c r="P1261" s="6">
        <v>98.52</v>
      </c>
      <c r="Q1261" s="6">
        <v>98.45</v>
      </c>
      <c r="R1261" s="6">
        <v>98.28</v>
      </c>
    </row>
    <row r="1262" spans="2:18">
      <c r="B1262" s="6">
        <v>32631</v>
      </c>
      <c r="C1262" s="6" t="s">
        <v>1075</v>
      </c>
      <c r="D1262" s="6">
        <v>0</v>
      </c>
      <c r="E1262" s="6">
        <v>0</v>
      </c>
      <c r="F1262" s="6">
        <v>100</v>
      </c>
      <c r="G1262" s="6">
        <v>98.91</v>
      </c>
      <c r="H1262" s="6">
        <v>98.92</v>
      </c>
      <c r="I1262" s="6">
        <v>98.82</v>
      </c>
      <c r="J1262" s="6">
        <v>98.86</v>
      </c>
      <c r="K1262" s="6">
        <v>98.85</v>
      </c>
      <c r="L1262" s="6">
        <v>98.75</v>
      </c>
      <c r="M1262" s="6">
        <v>98.86</v>
      </c>
      <c r="N1262" s="6">
        <v>98.82</v>
      </c>
      <c r="O1262" s="6">
        <v>98.74</v>
      </c>
      <c r="P1262" s="6">
        <v>98.83</v>
      </c>
      <c r="Q1262" s="6">
        <v>98.81</v>
      </c>
      <c r="R1262" s="6">
        <v>98.73</v>
      </c>
    </row>
    <row r="1263" spans="2:18">
      <c r="B1263" s="6">
        <v>32631</v>
      </c>
      <c r="C1263" s="6" t="s">
        <v>1075</v>
      </c>
      <c r="D1263" s="6">
        <v>0</v>
      </c>
      <c r="E1263" s="6">
        <v>0</v>
      </c>
      <c r="F1263" s="6">
        <v>98.1</v>
      </c>
      <c r="G1263" s="6">
        <v>98.03</v>
      </c>
      <c r="H1263" s="6">
        <v>98.12</v>
      </c>
      <c r="I1263" s="6">
        <v>98.05</v>
      </c>
      <c r="J1263" s="6">
        <v>97.72</v>
      </c>
      <c r="K1263" s="6">
        <v>97.84</v>
      </c>
      <c r="L1263" s="6">
        <v>97.75</v>
      </c>
      <c r="M1263" s="6">
        <v>97.72</v>
      </c>
      <c r="N1263" s="6">
        <v>97.83</v>
      </c>
      <c r="O1263" s="6">
        <v>97.74</v>
      </c>
      <c r="P1263" s="6">
        <v>97.73</v>
      </c>
      <c r="Q1263" s="6">
        <v>97.84</v>
      </c>
      <c r="R1263" s="6">
        <v>97.75</v>
      </c>
    </row>
    <row r="1264" spans="2:18">
      <c r="B1264" s="6">
        <v>32631</v>
      </c>
      <c r="C1264" s="6" t="s">
        <v>1075</v>
      </c>
      <c r="D1264" s="6">
        <v>0</v>
      </c>
      <c r="E1264" s="6">
        <v>0</v>
      </c>
      <c r="F1264" s="6">
        <v>99.03</v>
      </c>
      <c r="G1264" s="6">
        <v>98.04</v>
      </c>
      <c r="H1264" s="6">
        <v>97.78</v>
      </c>
      <c r="I1264" s="6">
        <v>97.69</v>
      </c>
      <c r="J1264" s="6">
        <v>98.01</v>
      </c>
      <c r="K1264" s="6">
        <v>97.7</v>
      </c>
      <c r="L1264" s="6">
        <v>97.61</v>
      </c>
      <c r="M1264" s="6">
        <v>98.02</v>
      </c>
      <c r="N1264" s="6">
        <v>97.7</v>
      </c>
      <c r="O1264" s="6">
        <v>97.61</v>
      </c>
      <c r="P1264" s="6">
        <v>98.02</v>
      </c>
      <c r="Q1264" s="6">
        <v>97.7</v>
      </c>
      <c r="R1264" s="6">
        <v>97.61</v>
      </c>
    </row>
    <row r="1265" spans="2:18">
      <c r="B1265" s="6">
        <v>32632</v>
      </c>
      <c r="C1265" s="6" t="s">
        <v>1179</v>
      </c>
      <c r="D1265" s="6">
        <v>0</v>
      </c>
      <c r="E1265" s="6">
        <v>0</v>
      </c>
      <c r="F1265" s="6">
        <v>68.52</v>
      </c>
      <c r="G1265" s="6">
        <v>0</v>
      </c>
      <c r="H1265" s="6">
        <v>0</v>
      </c>
      <c r="I1265" s="6">
        <v>63.58</v>
      </c>
      <c r="J1265" s="6">
        <v>0</v>
      </c>
      <c r="K1265" s="6">
        <v>0</v>
      </c>
      <c r="L1265" s="6">
        <v>63.58</v>
      </c>
      <c r="M1265" s="6">
        <v>0</v>
      </c>
      <c r="N1265" s="6">
        <v>0</v>
      </c>
      <c r="O1265" s="6">
        <v>63.58</v>
      </c>
      <c r="P1265" s="6">
        <v>0</v>
      </c>
      <c r="Q1265" s="6">
        <v>0</v>
      </c>
      <c r="R1265" s="6">
        <v>63.58</v>
      </c>
    </row>
    <row r="1266" spans="2:18">
      <c r="B1266" s="6">
        <v>32632</v>
      </c>
      <c r="C1266" s="6" t="s">
        <v>1179</v>
      </c>
      <c r="D1266" s="6">
        <v>51.35</v>
      </c>
      <c r="E1266" s="6">
        <v>51.35</v>
      </c>
      <c r="F1266" s="6">
        <v>42.9</v>
      </c>
      <c r="G1266" s="6">
        <v>51.35</v>
      </c>
      <c r="H1266" s="6">
        <v>51.35</v>
      </c>
      <c r="I1266" s="6">
        <v>49.95</v>
      </c>
      <c r="J1266" s="6">
        <v>51.35</v>
      </c>
      <c r="K1266" s="6">
        <v>51.35</v>
      </c>
      <c r="L1266" s="6">
        <v>49.95</v>
      </c>
      <c r="M1266" s="6">
        <v>51.35</v>
      </c>
      <c r="N1266" s="6">
        <v>51.35</v>
      </c>
      <c r="O1266" s="6">
        <v>49.95</v>
      </c>
      <c r="P1266" s="6">
        <v>51.35</v>
      </c>
      <c r="Q1266" s="6">
        <v>51.35</v>
      </c>
      <c r="R1266" s="6">
        <v>49.95</v>
      </c>
    </row>
    <row r="1267" spans="2:18">
      <c r="B1267" s="6">
        <v>32632</v>
      </c>
      <c r="C1267" s="6" t="s">
        <v>1179</v>
      </c>
      <c r="D1267" s="6">
        <v>0</v>
      </c>
      <c r="E1267" s="6">
        <v>0</v>
      </c>
      <c r="F1267" s="6">
        <v>84.09</v>
      </c>
      <c r="G1267" s="6">
        <v>0</v>
      </c>
      <c r="H1267" s="6">
        <v>0</v>
      </c>
      <c r="I1267" s="6">
        <v>82.48</v>
      </c>
      <c r="J1267" s="6">
        <v>0</v>
      </c>
      <c r="K1267" s="6">
        <v>0</v>
      </c>
      <c r="L1267" s="6">
        <v>82.48</v>
      </c>
      <c r="M1267" s="6">
        <v>0</v>
      </c>
      <c r="N1267" s="6">
        <v>0</v>
      </c>
      <c r="O1267" s="6">
        <v>82.48</v>
      </c>
      <c r="P1267" s="6">
        <v>0</v>
      </c>
      <c r="Q1267" s="6">
        <v>0</v>
      </c>
      <c r="R1267" s="6">
        <v>82.48</v>
      </c>
    </row>
    <row r="1268" spans="2:18">
      <c r="B1268" s="6">
        <v>32632</v>
      </c>
      <c r="C1268" s="6" t="s">
        <v>1179</v>
      </c>
      <c r="D1268" s="6">
        <v>0</v>
      </c>
      <c r="E1268" s="6">
        <v>63.16</v>
      </c>
      <c r="F1268" s="6">
        <v>62.45</v>
      </c>
      <c r="G1268" s="6">
        <v>0</v>
      </c>
      <c r="H1268" s="6">
        <v>63.16</v>
      </c>
      <c r="I1268" s="6">
        <v>62.47</v>
      </c>
      <c r="J1268" s="6">
        <v>0</v>
      </c>
      <c r="K1268" s="6">
        <v>63.16</v>
      </c>
      <c r="L1268" s="6">
        <v>62.47</v>
      </c>
      <c r="M1268" s="6">
        <v>0</v>
      </c>
      <c r="N1268" s="6">
        <v>63.16</v>
      </c>
      <c r="O1268" s="6">
        <v>62.47</v>
      </c>
      <c r="P1268" s="6">
        <v>0</v>
      </c>
      <c r="Q1268" s="6">
        <v>63.16</v>
      </c>
      <c r="R1268" s="6">
        <v>62.47</v>
      </c>
    </row>
    <row r="1269" spans="2:18">
      <c r="B1269" s="6">
        <v>32632</v>
      </c>
      <c r="C1269" s="6" t="s">
        <v>1179</v>
      </c>
      <c r="D1269" s="6">
        <v>62.74</v>
      </c>
      <c r="E1269" s="6">
        <v>68.86</v>
      </c>
      <c r="F1269" s="6">
        <v>71.75</v>
      </c>
      <c r="G1269" s="6">
        <v>80.86</v>
      </c>
      <c r="H1269" s="6">
        <v>83.63</v>
      </c>
      <c r="I1269" s="6">
        <v>83.96</v>
      </c>
      <c r="J1269" s="6">
        <v>80.86</v>
      </c>
      <c r="K1269" s="6">
        <v>83.63</v>
      </c>
      <c r="L1269" s="6">
        <v>83.87</v>
      </c>
      <c r="M1269" s="6">
        <v>80.86</v>
      </c>
      <c r="N1269" s="6">
        <v>83.63</v>
      </c>
      <c r="O1269" s="6">
        <v>83.87</v>
      </c>
      <c r="P1269" s="6">
        <v>80.86</v>
      </c>
      <c r="Q1269" s="6">
        <v>83.63</v>
      </c>
      <c r="R1269" s="6">
        <v>83.87</v>
      </c>
    </row>
    <row r="1270" spans="2:18">
      <c r="B1270" s="6">
        <v>32632</v>
      </c>
      <c r="C1270" s="6" t="s">
        <v>1179</v>
      </c>
      <c r="D1270" s="6">
        <v>62.74</v>
      </c>
      <c r="E1270" s="6">
        <v>68.86</v>
      </c>
      <c r="F1270" s="6">
        <v>71.75</v>
      </c>
      <c r="G1270" s="6">
        <v>80.86</v>
      </c>
      <c r="H1270" s="6">
        <v>83.63</v>
      </c>
      <c r="I1270" s="6">
        <v>83.96</v>
      </c>
      <c r="J1270" s="6">
        <v>80.86</v>
      </c>
      <c r="K1270" s="6">
        <v>83.63</v>
      </c>
      <c r="L1270" s="6">
        <v>83.87</v>
      </c>
      <c r="M1270" s="6">
        <v>80.86</v>
      </c>
      <c r="N1270" s="6">
        <v>83.63</v>
      </c>
      <c r="O1270" s="6">
        <v>83.87</v>
      </c>
      <c r="P1270" s="6">
        <v>80.86</v>
      </c>
      <c r="Q1270" s="6">
        <v>83.63</v>
      </c>
      <c r="R1270" s="6">
        <v>83.87</v>
      </c>
    </row>
    <row r="1271" spans="2:18">
      <c r="B1271" s="6">
        <v>32633</v>
      </c>
      <c r="C1271" s="6" t="s">
        <v>1174</v>
      </c>
      <c r="D1271" s="6">
        <v>0</v>
      </c>
      <c r="E1271" s="6">
        <v>0</v>
      </c>
      <c r="F1271" s="6">
        <v>60.71</v>
      </c>
      <c r="G1271" s="6">
        <v>0</v>
      </c>
      <c r="H1271" s="6">
        <v>0</v>
      </c>
      <c r="I1271" s="6">
        <v>63.58</v>
      </c>
      <c r="J1271" s="6">
        <v>0</v>
      </c>
      <c r="K1271" s="6">
        <v>0</v>
      </c>
      <c r="L1271" s="6">
        <v>63.58</v>
      </c>
      <c r="M1271" s="6">
        <v>0</v>
      </c>
      <c r="N1271" s="6">
        <v>0</v>
      </c>
      <c r="O1271" s="6">
        <v>63.58</v>
      </c>
      <c r="P1271" s="6">
        <v>0</v>
      </c>
      <c r="Q1271" s="6">
        <v>0</v>
      </c>
      <c r="R1271" s="6">
        <v>63.58</v>
      </c>
    </row>
    <row r="1272" spans="2:18">
      <c r="B1272" s="6">
        <v>32633</v>
      </c>
      <c r="C1272" s="6" t="s">
        <v>1174</v>
      </c>
      <c r="D1272" s="6">
        <v>0</v>
      </c>
      <c r="E1272" s="6">
        <v>0</v>
      </c>
      <c r="F1272" s="6">
        <v>63.64</v>
      </c>
      <c r="G1272" s="6">
        <v>51.35</v>
      </c>
      <c r="H1272" s="6">
        <v>51.35</v>
      </c>
      <c r="I1272" s="6">
        <v>49.95</v>
      </c>
      <c r="J1272" s="6">
        <v>51.35</v>
      </c>
      <c r="K1272" s="6">
        <v>51.35</v>
      </c>
      <c r="L1272" s="6">
        <v>49.95</v>
      </c>
      <c r="M1272" s="6">
        <v>51.35</v>
      </c>
      <c r="N1272" s="6">
        <v>51.35</v>
      </c>
      <c r="O1272" s="6">
        <v>49.95</v>
      </c>
      <c r="P1272" s="6">
        <v>51.35</v>
      </c>
      <c r="Q1272" s="6">
        <v>51.35</v>
      </c>
      <c r="R1272" s="6">
        <v>49.95</v>
      </c>
    </row>
    <row r="1273" spans="2:18">
      <c r="B1273" s="6">
        <v>32633</v>
      </c>
      <c r="C1273" s="6" t="s">
        <v>1174</v>
      </c>
      <c r="D1273" s="6">
        <v>0</v>
      </c>
      <c r="E1273" s="6">
        <v>0</v>
      </c>
      <c r="F1273" s="6">
        <v>81.03</v>
      </c>
      <c r="G1273" s="6">
        <v>0</v>
      </c>
      <c r="H1273" s="6">
        <v>0</v>
      </c>
      <c r="I1273" s="6">
        <v>82.48</v>
      </c>
      <c r="J1273" s="6">
        <v>0</v>
      </c>
      <c r="K1273" s="6">
        <v>0</v>
      </c>
      <c r="L1273" s="6">
        <v>82.48</v>
      </c>
      <c r="M1273" s="6">
        <v>0</v>
      </c>
      <c r="N1273" s="6">
        <v>0</v>
      </c>
      <c r="O1273" s="6">
        <v>82.48</v>
      </c>
      <c r="P1273" s="6">
        <v>0</v>
      </c>
      <c r="Q1273" s="6">
        <v>0</v>
      </c>
      <c r="R1273" s="6">
        <v>82.48</v>
      </c>
    </row>
    <row r="1274" spans="2:18">
      <c r="B1274" s="6">
        <v>32633</v>
      </c>
      <c r="C1274" s="6" t="s">
        <v>1174</v>
      </c>
      <c r="D1274" s="6">
        <v>0</v>
      </c>
      <c r="E1274" s="6">
        <v>0</v>
      </c>
      <c r="F1274" s="6">
        <v>62.5</v>
      </c>
      <c r="G1274" s="6">
        <v>0</v>
      </c>
      <c r="H1274" s="6">
        <v>63.16</v>
      </c>
      <c r="I1274" s="6">
        <v>62.47</v>
      </c>
      <c r="J1274" s="6">
        <v>0</v>
      </c>
      <c r="K1274" s="6">
        <v>63.16</v>
      </c>
      <c r="L1274" s="6">
        <v>62.47</v>
      </c>
      <c r="M1274" s="6">
        <v>0</v>
      </c>
      <c r="N1274" s="6">
        <v>63.16</v>
      </c>
      <c r="O1274" s="6">
        <v>62.47</v>
      </c>
      <c r="P1274" s="6">
        <v>0</v>
      </c>
      <c r="Q1274" s="6">
        <v>63.16</v>
      </c>
      <c r="R1274" s="6">
        <v>62.47</v>
      </c>
    </row>
    <row r="1275" spans="2:18">
      <c r="B1275" s="6">
        <v>32633</v>
      </c>
      <c r="C1275" s="6" t="s">
        <v>1174</v>
      </c>
      <c r="D1275" s="6">
        <v>0</v>
      </c>
      <c r="E1275" s="6">
        <v>0</v>
      </c>
      <c r="F1275" s="6">
        <v>75.52</v>
      </c>
      <c r="G1275" s="6">
        <v>80.86</v>
      </c>
      <c r="H1275" s="6">
        <v>83.63</v>
      </c>
      <c r="I1275" s="6">
        <v>83.96</v>
      </c>
      <c r="J1275" s="6">
        <v>80.86</v>
      </c>
      <c r="K1275" s="6">
        <v>83.63</v>
      </c>
      <c r="L1275" s="6">
        <v>83.87</v>
      </c>
      <c r="M1275" s="6">
        <v>80.86</v>
      </c>
      <c r="N1275" s="6">
        <v>83.63</v>
      </c>
      <c r="O1275" s="6">
        <v>83.87</v>
      </c>
      <c r="P1275" s="6">
        <v>80.86</v>
      </c>
      <c r="Q1275" s="6">
        <v>83.63</v>
      </c>
      <c r="R1275" s="6">
        <v>83.87</v>
      </c>
    </row>
    <row r="1276" spans="2:18">
      <c r="B1276" s="6">
        <v>32633</v>
      </c>
      <c r="C1276" s="6" t="s">
        <v>1174</v>
      </c>
      <c r="D1276" s="6">
        <v>0</v>
      </c>
      <c r="E1276" s="6">
        <v>0</v>
      </c>
      <c r="F1276" s="6">
        <v>75.52</v>
      </c>
      <c r="G1276" s="6">
        <v>80.86</v>
      </c>
      <c r="H1276" s="6">
        <v>83.63</v>
      </c>
      <c r="I1276" s="6">
        <v>83.96</v>
      </c>
      <c r="J1276" s="6">
        <v>80.86</v>
      </c>
      <c r="K1276" s="6">
        <v>83.63</v>
      </c>
      <c r="L1276" s="6">
        <v>83.87</v>
      </c>
      <c r="M1276" s="6">
        <v>80.86</v>
      </c>
      <c r="N1276" s="6">
        <v>83.63</v>
      </c>
      <c r="O1276" s="6">
        <v>83.87</v>
      </c>
      <c r="P1276" s="6">
        <v>80.86</v>
      </c>
      <c r="Q1276" s="6">
        <v>83.63</v>
      </c>
      <c r="R1276" s="6">
        <v>83.87</v>
      </c>
    </row>
    <row r="1277" spans="2:18">
      <c r="B1277" s="6">
        <v>32634</v>
      </c>
      <c r="C1277" s="6" t="s">
        <v>1180</v>
      </c>
      <c r="D1277" s="6">
        <v>83.33</v>
      </c>
      <c r="E1277" s="6">
        <v>92.15</v>
      </c>
      <c r="F1277" s="6">
        <v>90.89</v>
      </c>
      <c r="G1277" s="6">
        <v>80.86</v>
      </c>
      <c r="H1277" s="6">
        <v>83.63</v>
      </c>
      <c r="I1277" s="6">
        <v>83.96</v>
      </c>
      <c r="J1277" s="6">
        <v>80.86</v>
      </c>
      <c r="K1277" s="6">
        <v>83.63</v>
      </c>
      <c r="L1277" s="6">
        <v>83.87</v>
      </c>
      <c r="M1277" s="6">
        <v>80.86</v>
      </c>
      <c r="N1277" s="6">
        <v>83.63</v>
      </c>
      <c r="O1277" s="6">
        <v>83.87</v>
      </c>
      <c r="P1277" s="6">
        <v>80.86</v>
      </c>
      <c r="Q1277" s="6">
        <v>83.63</v>
      </c>
      <c r="R1277" s="6">
        <v>83.87</v>
      </c>
    </row>
    <row r="1278" spans="2:18">
      <c r="B1278" s="6">
        <v>32634</v>
      </c>
      <c r="C1278" s="6" t="s">
        <v>1180</v>
      </c>
      <c r="D1278" s="6">
        <v>83.33</v>
      </c>
      <c r="E1278" s="6">
        <v>92.15</v>
      </c>
      <c r="F1278" s="6">
        <v>90.89</v>
      </c>
      <c r="G1278" s="6">
        <v>80.86</v>
      </c>
      <c r="H1278" s="6">
        <v>83.63</v>
      </c>
      <c r="I1278" s="6">
        <v>83.96</v>
      </c>
      <c r="J1278" s="6">
        <v>80.86</v>
      </c>
      <c r="K1278" s="6">
        <v>83.63</v>
      </c>
      <c r="L1278" s="6">
        <v>83.87</v>
      </c>
      <c r="M1278" s="6">
        <v>80.86</v>
      </c>
      <c r="N1278" s="6">
        <v>83.63</v>
      </c>
      <c r="O1278" s="6">
        <v>83.87</v>
      </c>
      <c r="P1278" s="6">
        <v>80.86</v>
      </c>
      <c r="Q1278" s="6">
        <v>83.63</v>
      </c>
      <c r="R1278" s="6">
        <v>83.87</v>
      </c>
    </row>
    <row r="1279" spans="2:18">
      <c r="B1279" s="6">
        <v>32634</v>
      </c>
      <c r="C1279" s="6" t="s">
        <v>1180</v>
      </c>
      <c r="D1279" s="6">
        <v>86.67</v>
      </c>
      <c r="E1279" s="6">
        <v>77.19</v>
      </c>
      <c r="F1279" s="6">
        <v>77.42</v>
      </c>
      <c r="G1279" s="6">
        <v>76.67</v>
      </c>
      <c r="H1279" s="6">
        <v>80.45</v>
      </c>
      <c r="I1279" s="6">
        <v>78.739999999999995</v>
      </c>
      <c r="J1279" s="6">
        <v>76.67</v>
      </c>
      <c r="K1279" s="6">
        <v>80.45</v>
      </c>
      <c r="L1279" s="6">
        <v>78.739999999999995</v>
      </c>
      <c r="M1279" s="6">
        <v>76.67</v>
      </c>
      <c r="N1279" s="6">
        <v>80.45</v>
      </c>
      <c r="O1279" s="6">
        <v>78.739999999999995</v>
      </c>
      <c r="P1279" s="6">
        <v>76.67</v>
      </c>
      <c r="Q1279" s="6">
        <v>80.45</v>
      </c>
      <c r="R1279" s="6">
        <v>78.739999999999995</v>
      </c>
    </row>
    <row r="1280" spans="2:18">
      <c r="B1280" s="6">
        <v>32634</v>
      </c>
      <c r="C1280" s="6" t="s">
        <v>1180</v>
      </c>
      <c r="D1280" s="6">
        <v>80</v>
      </c>
      <c r="E1280" s="6">
        <v>87.92</v>
      </c>
      <c r="F1280" s="6">
        <v>86.12</v>
      </c>
      <c r="G1280" s="6">
        <v>80</v>
      </c>
      <c r="H1280" s="6">
        <v>87.92</v>
      </c>
      <c r="I1280" s="6">
        <v>87.42</v>
      </c>
      <c r="J1280" s="6">
        <v>80</v>
      </c>
      <c r="K1280" s="6">
        <v>87.92</v>
      </c>
      <c r="L1280" s="6">
        <v>87.42</v>
      </c>
      <c r="M1280" s="6">
        <v>80</v>
      </c>
      <c r="N1280" s="6">
        <v>87.92</v>
      </c>
      <c r="O1280" s="6">
        <v>87.42</v>
      </c>
      <c r="P1280" s="6">
        <v>80</v>
      </c>
      <c r="Q1280" s="6">
        <v>87.92</v>
      </c>
      <c r="R1280" s="6">
        <v>87.42</v>
      </c>
    </row>
    <row r="1281" spans="2:18">
      <c r="B1281" s="6">
        <v>32634</v>
      </c>
      <c r="C1281" s="6" t="s">
        <v>1180</v>
      </c>
      <c r="D1281" s="6">
        <v>93.75</v>
      </c>
      <c r="E1281" s="6">
        <v>95.71</v>
      </c>
      <c r="F1281" s="6">
        <v>89.14</v>
      </c>
      <c r="G1281" s="6">
        <v>93.75</v>
      </c>
      <c r="H1281" s="6">
        <v>95.71</v>
      </c>
      <c r="I1281" s="6">
        <v>89.21</v>
      </c>
      <c r="J1281" s="6">
        <v>93.75</v>
      </c>
      <c r="K1281" s="6">
        <v>95.71</v>
      </c>
      <c r="L1281" s="6">
        <v>89.21</v>
      </c>
      <c r="M1281" s="6">
        <v>93.75</v>
      </c>
      <c r="N1281" s="6">
        <v>95.71</v>
      </c>
      <c r="O1281" s="6">
        <v>89.21</v>
      </c>
      <c r="P1281" s="6">
        <v>93.75</v>
      </c>
      <c r="Q1281" s="6">
        <v>95.71</v>
      </c>
      <c r="R1281" s="6">
        <v>89.21</v>
      </c>
    </row>
    <row r="1282" spans="2:18">
      <c r="B1282" s="6">
        <v>32636</v>
      </c>
      <c r="C1282" s="6" t="s">
        <v>1112</v>
      </c>
      <c r="D1282" s="6">
        <v>0</v>
      </c>
      <c r="E1282" s="6">
        <v>0</v>
      </c>
      <c r="F1282" s="6">
        <v>95</v>
      </c>
      <c r="G1282" s="6">
        <v>98.71</v>
      </c>
      <c r="H1282" s="6">
        <v>98.48</v>
      </c>
      <c r="I1282" s="6">
        <v>98.36</v>
      </c>
      <c r="J1282" s="6">
        <v>98.64</v>
      </c>
      <c r="K1282" s="6">
        <v>98.48</v>
      </c>
      <c r="L1282" s="6">
        <v>98.3</v>
      </c>
      <c r="M1282" s="6">
        <v>98.62</v>
      </c>
      <c r="N1282" s="6">
        <v>98.46</v>
      </c>
      <c r="O1282" s="6">
        <v>98.28</v>
      </c>
      <c r="P1282" s="6">
        <v>98.52</v>
      </c>
      <c r="Q1282" s="6">
        <v>98.45</v>
      </c>
      <c r="R1282" s="6">
        <v>98.28</v>
      </c>
    </row>
    <row r="1283" spans="2:18">
      <c r="B1283" s="6">
        <v>32636</v>
      </c>
      <c r="C1283" s="6" t="s">
        <v>1112</v>
      </c>
      <c r="D1283" s="6">
        <v>0</v>
      </c>
      <c r="E1283" s="6">
        <v>0</v>
      </c>
      <c r="F1283" s="6">
        <v>100</v>
      </c>
      <c r="G1283" s="6">
        <v>98.91</v>
      </c>
      <c r="H1283" s="6">
        <v>98.92</v>
      </c>
      <c r="I1283" s="6">
        <v>98.82</v>
      </c>
      <c r="J1283" s="6">
        <v>98.86</v>
      </c>
      <c r="K1283" s="6">
        <v>98.85</v>
      </c>
      <c r="L1283" s="6">
        <v>98.75</v>
      </c>
      <c r="M1283" s="6">
        <v>98.86</v>
      </c>
      <c r="N1283" s="6">
        <v>98.82</v>
      </c>
      <c r="O1283" s="6">
        <v>98.74</v>
      </c>
      <c r="P1283" s="6">
        <v>98.83</v>
      </c>
      <c r="Q1283" s="6">
        <v>98.81</v>
      </c>
      <c r="R1283" s="6">
        <v>98.73</v>
      </c>
    </row>
    <row r="1284" spans="2:18">
      <c r="B1284" s="6">
        <v>32636</v>
      </c>
      <c r="C1284" s="6" t="s">
        <v>1112</v>
      </c>
      <c r="D1284" s="6">
        <v>0</v>
      </c>
      <c r="E1284" s="6">
        <v>0</v>
      </c>
      <c r="F1284" s="6">
        <v>98.77</v>
      </c>
      <c r="G1284" s="6">
        <v>98.03</v>
      </c>
      <c r="H1284" s="6">
        <v>98.12</v>
      </c>
      <c r="I1284" s="6">
        <v>98.05</v>
      </c>
      <c r="J1284" s="6">
        <v>97.72</v>
      </c>
      <c r="K1284" s="6">
        <v>97.84</v>
      </c>
      <c r="L1284" s="6">
        <v>97.75</v>
      </c>
      <c r="M1284" s="6">
        <v>97.72</v>
      </c>
      <c r="N1284" s="6">
        <v>97.83</v>
      </c>
      <c r="O1284" s="6">
        <v>97.74</v>
      </c>
      <c r="P1284" s="6">
        <v>97.73</v>
      </c>
      <c r="Q1284" s="6">
        <v>97.84</v>
      </c>
      <c r="R1284" s="6">
        <v>97.75</v>
      </c>
    </row>
    <row r="1285" spans="2:18">
      <c r="B1285" s="6">
        <v>32636</v>
      </c>
      <c r="C1285" s="6" t="s">
        <v>1112</v>
      </c>
      <c r="D1285" s="6">
        <v>0</v>
      </c>
      <c r="E1285" s="6">
        <v>0</v>
      </c>
      <c r="F1285" s="6">
        <v>98.42</v>
      </c>
      <c r="G1285" s="6">
        <v>98.04</v>
      </c>
      <c r="H1285" s="6">
        <v>97.78</v>
      </c>
      <c r="I1285" s="6">
        <v>97.69</v>
      </c>
      <c r="J1285" s="6">
        <v>98.01</v>
      </c>
      <c r="K1285" s="6">
        <v>97.7</v>
      </c>
      <c r="L1285" s="6">
        <v>97.61</v>
      </c>
      <c r="M1285" s="6">
        <v>98.02</v>
      </c>
      <c r="N1285" s="6">
        <v>97.7</v>
      </c>
      <c r="O1285" s="6">
        <v>97.61</v>
      </c>
      <c r="P1285" s="6">
        <v>98.02</v>
      </c>
      <c r="Q1285" s="6">
        <v>97.7</v>
      </c>
      <c r="R1285" s="6">
        <v>97.61</v>
      </c>
    </row>
    <row r="1286" spans="2:18">
      <c r="B1286" s="6">
        <v>32637</v>
      </c>
      <c r="C1286" s="6" t="s">
        <v>208</v>
      </c>
      <c r="D1286" s="6">
        <v>0</v>
      </c>
      <c r="E1286" s="6">
        <v>0</v>
      </c>
      <c r="F1286" s="6">
        <v>94.07</v>
      </c>
      <c r="G1286" s="6">
        <v>98.71</v>
      </c>
      <c r="H1286" s="6">
        <v>98.48</v>
      </c>
      <c r="I1286" s="6">
        <v>98.36</v>
      </c>
      <c r="J1286" s="6">
        <v>98.64</v>
      </c>
      <c r="K1286" s="6">
        <v>98.48</v>
      </c>
      <c r="L1286" s="6">
        <v>98.3</v>
      </c>
      <c r="M1286" s="6">
        <v>98.62</v>
      </c>
      <c r="N1286" s="6">
        <v>98.46</v>
      </c>
      <c r="O1286" s="6">
        <v>98.28</v>
      </c>
      <c r="P1286" s="6">
        <v>98.52</v>
      </c>
      <c r="Q1286" s="6">
        <v>98.45</v>
      </c>
      <c r="R1286" s="6">
        <v>98.28</v>
      </c>
    </row>
    <row r="1287" spans="2:18">
      <c r="B1287" s="6">
        <v>32637</v>
      </c>
      <c r="C1287" s="6" t="s">
        <v>208</v>
      </c>
      <c r="D1287" s="6">
        <v>99.15</v>
      </c>
      <c r="E1287" s="6">
        <v>99.15</v>
      </c>
      <c r="F1287" s="6">
        <v>94.77</v>
      </c>
      <c r="G1287" s="6">
        <v>98.91</v>
      </c>
      <c r="H1287" s="6">
        <v>98.92</v>
      </c>
      <c r="I1287" s="6">
        <v>98.82</v>
      </c>
      <c r="J1287" s="6">
        <v>98.86</v>
      </c>
      <c r="K1287" s="6">
        <v>98.85</v>
      </c>
      <c r="L1287" s="6">
        <v>98.75</v>
      </c>
      <c r="M1287" s="6">
        <v>98.86</v>
      </c>
      <c r="N1287" s="6">
        <v>98.82</v>
      </c>
      <c r="O1287" s="6">
        <v>98.74</v>
      </c>
      <c r="P1287" s="6">
        <v>98.83</v>
      </c>
      <c r="Q1287" s="6">
        <v>98.81</v>
      </c>
      <c r="R1287" s="6">
        <v>98.73</v>
      </c>
    </row>
    <row r="1288" spans="2:18">
      <c r="B1288" s="6">
        <v>32637</v>
      </c>
      <c r="C1288" s="6" t="s">
        <v>208</v>
      </c>
      <c r="D1288" s="6">
        <v>98.74</v>
      </c>
      <c r="E1288" s="6">
        <v>98.74</v>
      </c>
      <c r="F1288" s="6">
        <v>98.29</v>
      </c>
      <c r="G1288" s="6">
        <v>98.03</v>
      </c>
      <c r="H1288" s="6">
        <v>98.12</v>
      </c>
      <c r="I1288" s="6">
        <v>98.05</v>
      </c>
      <c r="J1288" s="6">
        <v>97.72</v>
      </c>
      <c r="K1288" s="6">
        <v>97.84</v>
      </c>
      <c r="L1288" s="6">
        <v>97.75</v>
      </c>
      <c r="M1288" s="6">
        <v>97.72</v>
      </c>
      <c r="N1288" s="6">
        <v>97.83</v>
      </c>
      <c r="O1288" s="6">
        <v>97.74</v>
      </c>
      <c r="P1288" s="6">
        <v>97.73</v>
      </c>
      <c r="Q1288" s="6">
        <v>97.84</v>
      </c>
      <c r="R1288" s="6">
        <v>97.75</v>
      </c>
    </row>
    <row r="1289" spans="2:18">
      <c r="B1289" s="6">
        <v>32637</v>
      </c>
      <c r="C1289" s="6" t="s">
        <v>208</v>
      </c>
      <c r="D1289" s="6">
        <v>0</v>
      </c>
      <c r="E1289" s="6">
        <v>0</v>
      </c>
      <c r="F1289" s="6">
        <v>98.42</v>
      </c>
      <c r="G1289" s="6">
        <v>98.04</v>
      </c>
      <c r="H1289" s="6">
        <v>97.78</v>
      </c>
      <c r="I1289" s="6">
        <v>97.69</v>
      </c>
      <c r="J1289" s="6">
        <v>98.01</v>
      </c>
      <c r="K1289" s="6">
        <v>97.7</v>
      </c>
      <c r="L1289" s="6">
        <v>97.61</v>
      </c>
      <c r="M1289" s="6">
        <v>98.02</v>
      </c>
      <c r="N1289" s="6">
        <v>97.7</v>
      </c>
      <c r="O1289" s="6">
        <v>97.61</v>
      </c>
      <c r="P1289" s="6">
        <v>98.02</v>
      </c>
      <c r="Q1289" s="6">
        <v>97.7</v>
      </c>
      <c r="R1289" s="6">
        <v>97.61</v>
      </c>
    </row>
    <row r="1290" spans="2:18">
      <c r="B1290" s="6">
        <v>32638</v>
      </c>
      <c r="C1290" s="6" t="s">
        <v>209</v>
      </c>
      <c r="D1290" s="6">
        <v>0</v>
      </c>
      <c r="E1290" s="6">
        <v>0</v>
      </c>
      <c r="F1290" s="6">
        <v>97.76</v>
      </c>
      <c r="G1290" s="6">
        <v>98.71</v>
      </c>
      <c r="H1290" s="6">
        <v>98.48</v>
      </c>
      <c r="I1290" s="6">
        <v>98.36</v>
      </c>
      <c r="J1290" s="6">
        <v>98.64</v>
      </c>
      <c r="K1290" s="6">
        <v>98.48</v>
      </c>
      <c r="L1290" s="6">
        <v>98.3</v>
      </c>
      <c r="M1290" s="6">
        <v>98.62</v>
      </c>
      <c r="N1290" s="6">
        <v>98.46</v>
      </c>
      <c r="O1290" s="6">
        <v>98.28</v>
      </c>
      <c r="P1290" s="6">
        <v>98.52</v>
      </c>
      <c r="Q1290" s="6">
        <v>98.45</v>
      </c>
      <c r="R1290" s="6">
        <v>98.28</v>
      </c>
    </row>
    <row r="1291" spans="2:18">
      <c r="B1291" s="6">
        <v>32638</v>
      </c>
      <c r="C1291" s="6" t="s">
        <v>209</v>
      </c>
      <c r="D1291" s="6">
        <v>0</v>
      </c>
      <c r="E1291" s="6">
        <v>0</v>
      </c>
      <c r="F1291" s="6">
        <v>98.89</v>
      </c>
      <c r="G1291" s="6">
        <v>98.91</v>
      </c>
      <c r="H1291" s="6">
        <v>98.92</v>
      </c>
      <c r="I1291" s="6">
        <v>98.82</v>
      </c>
      <c r="J1291" s="6">
        <v>98.86</v>
      </c>
      <c r="K1291" s="6">
        <v>98.85</v>
      </c>
      <c r="L1291" s="6">
        <v>98.75</v>
      </c>
      <c r="M1291" s="6">
        <v>98.86</v>
      </c>
      <c r="N1291" s="6">
        <v>98.82</v>
      </c>
      <c r="O1291" s="6">
        <v>98.74</v>
      </c>
      <c r="P1291" s="6">
        <v>98.83</v>
      </c>
      <c r="Q1291" s="6">
        <v>98.81</v>
      </c>
      <c r="R1291" s="6">
        <v>98.73</v>
      </c>
    </row>
    <row r="1292" spans="2:18">
      <c r="B1292" s="6">
        <v>32638</v>
      </c>
      <c r="C1292" s="6" t="s">
        <v>209</v>
      </c>
      <c r="D1292" s="6">
        <v>0</v>
      </c>
      <c r="E1292" s="6">
        <v>0</v>
      </c>
      <c r="F1292" s="6">
        <v>97.3</v>
      </c>
      <c r="G1292" s="6">
        <v>98.03</v>
      </c>
      <c r="H1292" s="6">
        <v>98.12</v>
      </c>
      <c r="I1292" s="6">
        <v>98.05</v>
      </c>
      <c r="J1292" s="6">
        <v>97.72</v>
      </c>
      <c r="K1292" s="6">
        <v>97.84</v>
      </c>
      <c r="L1292" s="6">
        <v>97.75</v>
      </c>
      <c r="M1292" s="6">
        <v>97.72</v>
      </c>
      <c r="N1292" s="6">
        <v>97.83</v>
      </c>
      <c r="O1292" s="6">
        <v>97.74</v>
      </c>
      <c r="P1292" s="6">
        <v>97.73</v>
      </c>
      <c r="Q1292" s="6">
        <v>97.84</v>
      </c>
      <c r="R1292" s="6">
        <v>97.75</v>
      </c>
    </row>
    <row r="1293" spans="2:18">
      <c r="B1293" s="6">
        <v>32638</v>
      </c>
      <c r="C1293" s="6" t="s">
        <v>209</v>
      </c>
      <c r="D1293" s="6">
        <v>0</v>
      </c>
      <c r="E1293" s="6">
        <v>0</v>
      </c>
      <c r="F1293" s="6">
        <v>96.56</v>
      </c>
      <c r="G1293" s="6">
        <v>98.04</v>
      </c>
      <c r="H1293" s="6">
        <v>97.78</v>
      </c>
      <c r="I1293" s="6">
        <v>97.69</v>
      </c>
      <c r="J1293" s="6">
        <v>98.01</v>
      </c>
      <c r="K1293" s="6">
        <v>97.7</v>
      </c>
      <c r="L1293" s="6">
        <v>97.61</v>
      </c>
      <c r="M1293" s="6">
        <v>98.02</v>
      </c>
      <c r="N1293" s="6">
        <v>97.7</v>
      </c>
      <c r="O1293" s="6">
        <v>97.61</v>
      </c>
      <c r="P1293" s="6">
        <v>98.02</v>
      </c>
      <c r="Q1293" s="6">
        <v>97.7</v>
      </c>
      <c r="R1293" s="6">
        <v>97.61</v>
      </c>
    </row>
    <row r="1294" spans="2:18">
      <c r="B1294" s="6">
        <v>32639</v>
      </c>
      <c r="C1294" s="6" t="s">
        <v>1073</v>
      </c>
      <c r="D1294" s="6">
        <v>0</v>
      </c>
      <c r="E1294" s="6">
        <v>0</v>
      </c>
      <c r="F1294" s="6">
        <v>95.92</v>
      </c>
      <c r="G1294" s="6">
        <v>98.71</v>
      </c>
      <c r="H1294" s="6">
        <v>98.48</v>
      </c>
      <c r="I1294" s="6">
        <v>98.36</v>
      </c>
      <c r="J1294" s="6">
        <v>98.64</v>
      </c>
      <c r="K1294" s="6">
        <v>98.48</v>
      </c>
      <c r="L1294" s="6">
        <v>98.3</v>
      </c>
      <c r="M1294" s="6">
        <v>98.62</v>
      </c>
      <c r="N1294" s="6">
        <v>98.46</v>
      </c>
      <c r="O1294" s="6">
        <v>98.28</v>
      </c>
      <c r="P1294" s="6">
        <v>98.52</v>
      </c>
      <c r="Q1294" s="6">
        <v>98.45</v>
      </c>
      <c r="R1294" s="6">
        <v>98.28</v>
      </c>
    </row>
    <row r="1295" spans="2:18">
      <c r="B1295" s="6">
        <v>32639</v>
      </c>
      <c r="C1295" s="6" t="s">
        <v>1073</v>
      </c>
      <c r="D1295" s="6">
        <v>0</v>
      </c>
      <c r="E1295" s="6">
        <v>0</v>
      </c>
      <c r="F1295" s="6">
        <v>98</v>
      </c>
      <c r="G1295" s="6">
        <v>98.91</v>
      </c>
      <c r="H1295" s="6">
        <v>98.92</v>
      </c>
      <c r="I1295" s="6">
        <v>98.82</v>
      </c>
      <c r="J1295" s="6">
        <v>98.86</v>
      </c>
      <c r="K1295" s="6">
        <v>98.85</v>
      </c>
      <c r="L1295" s="6">
        <v>98.75</v>
      </c>
      <c r="M1295" s="6">
        <v>98.86</v>
      </c>
      <c r="N1295" s="6">
        <v>98.82</v>
      </c>
      <c r="O1295" s="6">
        <v>98.74</v>
      </c>
      <c r="P1295" s="6">
        <v>98.83</v>
      </c>
      <c r="Q1295" s="6">
        <v>98.81</v>
      </c>
      <c r="R1295" s="6">
        <v>98.73</v>
      </c>
    </row>
    <row r="1296" spans="2:18">
      <c r="B1296" s="6">
        <v>32639</v>
      </c>
      <c r="C1296" s="6" t="s">
        <v>1073</v>
      </c>
      <c r="D1296" s="6">
        <v>0</v>
      </c>
      <c r="E1296" s="6">
        <v>0</v>
      </c>
      <c r="F1296" s="6">
        <v>97.56</v>
      </c>
      <c r="G1296" s="6">
        <v>98.03</v>
      </c>
      <c r="H1296" s="6">
        <v>98.12</v>
      </c>
      <c r="I1296" s="6">
        <v>98.05</v>
      </c>
      <c r="J1296" s="6">
        <v>97.72</v>
      </c>
      <c r="K1296" s="6">
        <v>97.84</v>
      </c>
      <c r="L1296" s="6">
        <v>97.75</v>
      </c>
      <c r="M1296" s="6">
        <v>97.72</v>
      </c>
      <c r="N1296" s="6">
        <v>97.83</v>
      </c>
      <c r="O1296" s="6">
        <v>97.74</v>
      </c>
      <c r="P1296" s="6">
        <v>97.73</v>
      </c>
      <c r="Q1296" s="6">
        <v>97.84</v>
      </c>
      <c r="R1296" s="6">
        <v>97.75</v>
      </c>
    </row>
    <row r="1297" spans="2:18">
      <c r="B1297" s="6">
        <v>32639</v>
      </c>
      <c r="C1297" s="6" t="s">
        <v>1073</v>
      </c>
      <c r="D1297" s="6">
        <v>0</v>
      </c>
      <c r="E1297" s="6">
        <v>0</v>
      </c>
      <c r="F1297" s="6">
        <v>97.07</v>
      </c>
      <c r="G1297" s="6">
        <v>98.04</v>
      </c>
      <c r="H1297" s="6">
        <v>97.78</v>
      </c>
      <c r="I1297" s="6">
        <v>97.69</v>
      </c>
      <c r="J1297" s="6">
        <v>98.01</v>
      </c>
      <c r="K1297" s="6">
        <v>97.7</v>
      </c>
      <c r="L1297" s="6">
        <v>97.61</v>
      </c>
      <c r="M1297" s="6">
        <v>98.02</v>
      </c>
      <c r="N1297" s="6">
        <v>97.7</v>
      </c>
      <c r="O1297" s="6">
        <v>97.61</v>
      </c>
      <c r="P1297" s="6">
        <v>98.02</v>
      </c>
      <c r="Q1297" s="6">
        <v>97.7</v>
      </c>
      <c r="R1297" s="6">
        <v>97.61</v>
      </c>
    </row>
    <row r="1298" spans="2:18">
      <c r="B1298" s="6">
        <v>32640</v>
      </c>
      <c r="C1298" s="6" t="s">
        <v>210</v>
      </c>
      <c r="D1298" s="6">
        <v>0</v>
      </c>
      <c r="E1298" s="6">
        <v>98.44</v>
      </c>
      <c r="F1298" s="6">
        <v>97.15</v>
      </c>
      <c r="G1298" s="6">
        <v>98.74</v>
      </c>
      <c r="H1298" s="6">
        <v>98.55</v>
      </c>
      <c r="I1298" s="6">
        <v>98.22</v>
      </c>
      <c r="J1298" s="6">
        <v>98.64</v>
      </c>
      <c r="K1298" s="6">
        <v>98.48</v>
      </c>
      <c r="L1298" s="6">
        <v>98.3</v>
      </c>
      <c r="M1298" s="6">
        <v>98.62</v>
      </c>
      <c r="N1298" s="6">
        <v>98.46</v>
      </c>
      <c r="O1298" s="6">
        <v>98.28</v>
      </c>
      <c r="P1298" s="6">
        <v>98.52</v>
      </c>
      <c r="Q1298" s="6">
        <v>98.45</v>
      </c>
      <c r="R1298" s="6">
        <v>98.28</v>
      </c>
    </row>
    <row r="1299" spans="2:18">
      <c r="B1299" s="6">
        <v>32640</v>
      </c>
      <c r="C1299" s="6" t="s">
        <v>210</v>
      </c>
      <c r="D1299" s="6">
        <v>0</v>
      </c>
      <c r="E1299" s="6">
        <v>98.46</v>
      </c>
      <c r="F1299" s="6">
        <v>98.4</v>
      </c>
      <c r="G1299" s="6">
        <v>98.78</v>
      </c>
      <c r="H1299" s="6">
        <v>98.67</v>
      </c>
      <c r="I1299" s="6">
        <v>98.6</v>
      </c>
      <c r="J1299" s="6">
        <v>98.77</v>
      </c>
      <c r="K1299" s="6">
        <v>98.75</v>
      </c>
      <c r="L1299" s="6">
        <v>98.72</v>
      </c>
      <c r="M1299" s="6">
        <v>98.71</v>
      </c>
      <c r="N1299" s="6">
        <v>98.7</v>
      </c>
      <c r="O1299" s="6">
        <v>98.68</v>
      </c>
      <c r="P1299" s="6">
        <v>98.71</v>
      </c>
      <c r="Q1299" s="6">
        <v>98.7</v>
      </c>
      <c r="R1299" s="6">
        <v>98.68</v>
      </c>
    </row>
    <row r="1300" spans="2:18">
      <c r="B1300" s="6">
        <v>32640</v>
      </c>
      <c r="C1300" s="6" t="s">
        <v>210</v>
      </c>
      <c r="D1300" s="6">
        <v>0</v>
      </c>
      <c r="E1300" s="6">
        <v>96.3</v>
      </c>
      <c r="F1300" s="6">
        <v>96.15</v>
      </c>
      <c r="G1300" s="6">
        <v>97.49</v>
      </c>
      <c r="H1300" s="6">
        <v>97.66</v>
      </c>
      <c r="I1300" s="6">
        <v>97.52</v>
      </c>
      <c r="J1300" s="6">
        <v>97.72</v>
      </c>
      <c r="K1300" s="6">
        <v>97.84</v>
      </c>
      <c r="L1300" s="6">
        <v>97.75</v>
      </c>
      <c r="M1300" s="6">
        <v>97.72</v>
      </c>
      <c r="N1300" s="6">
        <v>97.83</v>
      </c>
      <c r="O1300" s="6">
        <v>97.74</v>
      </c>
      <c r="P1300" s="6">
        <v>97.73</v>
      </c>
      <c r="Q1300" s="6">
        <v>97.84</v>
      </c>
      <c r="R1300" s="6">
        <v>97.75</v>
      </c>
    </row>
    <row r="1301" spans="2:18">
      <c r="B1301" s="6">
        <v>32640</v>
      </c>
      <c r="C1301" s="6" t="s">
        <v>210</v>
      </c>
      <c r="D1301" s="6">
        <v>0</v>
      </c>
      <c r="E1301" s="6">
        <v>96.03</v>
      </c>
      <c r="F1301" s="6">
        <v>97.07</v>
      </c>
      <c r="G1301" s="6">
        <v>98.15</v>
      </c>
      <c r="H1301" s="6">
        <v>97.53</v>
      </c>
      <c r="I1301" s="6">
        <v>97.49</v>
      </c>
      <c r="J1301" s="6">
        <v>98.01</v>
      </c>
      <c r="K1301" s="6">
        <v>97.7</v>
      </c>
      <c r="L1301" s="6">
        <v>97.61</v>
      </c>
      <c r="M1301" s="6">
        <v>98.02</v>
      </c>
      <c r="N1301" s="6">
        <v>97.7</v>
      </c>
      <c r="O1301" s="6">
        <v>97.61</v>
      </c>
      <c r="P1301" s="6">
        <v>98.02</v>
      </c>
      <c r="Q1301" s="6">
        <v>97.7</v>
      </c>
      <c r="R1301" s="6">
        <v>97.61</v>
      </c>
    </row>
    <row r="1302" spans="2:18">
      <c r="B1302" s="6">
        <v>32642</v>
      </c>
      <c r="C1302" s="6" t="s">
        <v>211</v>
      </c>
      <c r="D1302" s="6">
        <v>0</v>
      </c>
      <c r="E1302" s="6">
        <v>98.15</v>
      </c>
      <c r="F1302" s="6">
        <v>96.97</v>
      </c>
      <c r="G1302" s="6">
        <v>98.74</v>
      </c>
      <c r="H1302" s="6">
        <v>98.55</v>
      </c>
      <c r="I1302" s="6">
        <v>98.22</v>
      </c>
      <c r="J1302" s="6">
        <v>98.64</v>
      </c>
      <c r="K1302" s="6">
        <v>98.48</v>
      </c>
      <c r="L1302" s="6">
        <v>98.3</v>
      </c>
      <c r="M1302" s="6">
        <v>98.62</v>
      </c>
      <c r="N1302" s="6">
        <v>98.46</v>
      </c>
      <c r="O1302" s="6">
        <v>98.28</v>
      </c>
      <c r="P1302" s="6">
        <v>98.52</v>
      </c>
      <c r="Q1302" s="6">
        <v>98.45</v>
      </c>
      <c r="R1302" s="6">
        <v>98.28</v>
      </c>
    </row>
    <row r="1303" spans="2:18">
      <c r="B1303" s="6">
        <v>32642</v>
      </c>
      <c r="C1303" s="6" t="s">
        <v>211</v>
      </c>
      <c r="D1303" s="6">
        <v>0</v>
      </c>
      <c r="E1303" s="6">
        <v>98.18</v>
      </c>
      <c r="F1303" s="6">
        <v>98.3</v>
      </c>
      <c r="G1303" s="6">
        <v>98.78</v>
      </c>
      <c r="H1303" s="6">
        <v>98.67</v>
      </c>
      <c r="I1303" s="6">
        <v>98.6</v>
      </c>
      <c r="J1303" s="6">
        <v>98.77</v>
      </c>
      <c r="K1303" s="6">
        <v>98.75</v>
      </c>
      <c r="L1303" s="6">
        <v>98.72</v>
      </c>
      <c r="M1303" s="6">
        <v>98.71</v>
      </c>
      <c r="N1303" s="6">
        <v>98.7</v>
      </c>
      <c r="O1303" s="6">
        <v>98.68</v>
      </c>
      <c r="P1303" s="6">
        <v>98.71</v>
      </c>
      <c r="Q1303" s="6">
        <v>98.7</v>
      </c>
      <c r="R1303" s="6">
        <v>98.68</v>
      </c>
    </row>
    <row r="1304" spans="2:18">
      <c r="B1304" s="6">
        <v>32642</v>
      </c>
      <c r="C1304" s="6" t="s">
        <v>211</v>
      </c>
      <c r="D1304" s="6">
        <v>0</v>
      </c>
      <c r="E1304" s="6">
        <v>95.65</v>
      </c>
      <c r="F1304" s="6">
        <v>95.92</v>
      </c>
      <c r="G1304" s="6">
        <v>97.49</v>
      </c>
      <c r="H1304" s="6">
        <v>97.66</v>
      </c>
      <c r="I1304" s="6">
        <v>97.52</v>
      </c>
      <c r="J1304" s="6">
        <v>97.72</v>
      </c>
      <c r="K1304" s="6">
        <v>97.84</v>
      </c>
      <c r="L1304" s="6">
        <v>97.75</v>
      </c>
      <c r="M1304" s="6">
        <v>97.72</v>
      </c>
      <c r="N1304" s="6">
        <v>97.83</v>
      </c>
      <c r="O1304" s="6">
        <v>97.74</v>
      </c>
      <c r="P1304" s="6">
        <v>97.73</v>
      </c>
      <c r="Q1304" s="6">
        <v>97.84</v>
      </c>
      <c r="R1304" s="6">
        <v>97.75</v>
      </c>
    </row>
    <row r="1305" spans="2:18">
      <c r="B1305" s="6">
        <v>32642</v>
      </c>
      <c r="C1305" s="6" t="s">
        <v>211</v>
      </c>
      <c r="D1305" s="6">
        <v>0</v>
      </c>
      <c r="E1305" s="6">
        <v>98.11</v>
      </c>
      <c r="F1305" s="6">
        <v>97.77</v>
      </c>
      <c r="G1305" s="6">
        <v>98.15</v>
      </c>
      <c r="H1305" s="6">
        <v>97.53</v>
      </c>
      <c r="I1305" s="6">
        <v>97.49</v>
      </c>
      <c r="J1305" s="6">
        <v>98.01</v>
      </c>
      <c r="K1305" s="6">
        <v>97.7</v>
      </c>
      <c r="L1305" s="6">
        <v>97.61</v>
      </c>
      <c r="M1305" s="6">
        <v>98.02</v>
      </c>
      <c r="N1305" s="6">
        <v>97.7</v>
      </c>
      <c r="O1305" s="6">
        <v>97.61</v>
      </c>
      <c r="P1305" s="6">
        <v>98.02</v>
      </c>
      <c r="Q1305" s="6">
        <v>97.7</v>
      </c>
      <c r="R1305" s="6">
        <v>97.61</v>
      </c>
    </row>
    <row r="1306" spans="2:18">
      <c r="B1306" s="6">
        <v>32643</v>
      </c>
      <c r="C1306" s="6" t="s">
        <v>212</v>
      </c>
      <c r="D1306" s="6">
        <v>0</v>
      </c>
      <c r="E1306" s="6">
        <v>99.13</v>
      </c>
      <c r="F1306" s="6">
        <v>97.99</v>
      </c>
      <c r="G1306" s="6">
        <v>98.74</v>
      </c>
      <c r="H1306" s="6">
        <v>98.55</v>
      </c>
      <c r="I1306" s="6">
        <v>98.22</v>
      </c>
      <c r="J1306" s="6">
        <v>98.64</v>
      </c>
      <c r="K1306" s="6">
        <v>98.48</v>
      </c>
      <c r="L1306" s="6">
        <v>98.3</v>
      </c>
      <c r="M1306" s="6">
        <v>98.62</v>
      </c>
      <c r="N1306" s="6">
        <v>98.46</v>
      </c>
      <c r="O1306" s="6">
        <v>98.28</v>
      </c>
      <c r="P1306" s="6">
        <v>98.52</v>
      </c>
      <c r="Q1306" s="6">
        <v>98.45</v>
      </c>
      <c r="R1306" s="6">
        <v>98.28</v>
      </c>
    </row>
    <row r="1307" spans="2:18">
      <c r="B1307" s="6">
        <v>32643</v>
      </c>
      <c r="C1307" s="6" t="s">
        <v>212</v>
      </c>
      <c r="D1307" s="6">
        <v>0</v>
      </c>
      <c r="E1307" s="6">
        <v>99.14</v>
      </c>
      <c r="F1307" s="6">
        <v>98.86</v>
      </c>
      <c r="G1307" s="6">
        <v>98.78</v>
      </c>
      <c r="H1307" s="6">
        <v>98.67</v>
      </c>
      <c r="I1307" s="6">
        <v>98.6</v>
      </c>
      <c r="J1307" s="6">
        <v>98.77</v>
      </c>
      <c r="K1307" s="6">
        <v>98.75</v>
      </c>
      <c r="L1307" s="6">
        <v>98.72</v>
      </c>
      <c r="M1307" s="6">
        <v>98.71</v>
      </c>
      <c r="N1307" s="6">
        <v>98.7</v>
      </c>
      <c r="O1307" s="6">
        <v>98.68</v>
      </c>
      <c r="P1307" s="6">
        <v>98.71</v>
      </c>
      <c r="Q1307" s="6">
        <v>98.7</v>
      </c>
      <c r="R1307" s="6">
        <v>98.68</v>
      </c>
    </row>
    <row r="1308" spans="2:18">
      <c r="B1308" s="6">
        <v>32643</v>
      </c>
      <c r="C1308" s="6" t="s">
        <v>212</v>
      </c>
      <c r="D1308" s="6">
        <v>0</v>
      </c>
      <c r="E1308" s="6">
        <v>97.89</v>
      </c>
      <c r="F1308" s="6">
        <v>97.24</v>
      </c>
      <c r="G1308" s="6">
        <v>97.49</v>
      </c>
      <c r="H1308" s="6">
        <v>97.66</v>
      </c>
      <c r="I1308" s="6">
        <v>97.52</v>
      </c>
      <c r="J1308" s="6">
        <v>97.72</v>
      </c>
      <c r="K1308" s="6">
        <v>97.84</v>
      </c>
      <c r="L1308" s="6">
        <v>97.75</v>
      </c>
      <c r="M1308" s="6">
        <v>97.72</v>
      </c>
      <c r="N1308" s="6">
        <v>97.83</v>
      </c>
      <c r="O1308" s="6">
        <v>97.74</v>
      </c>
      <c r="P1308" s="6">
        <v>97.73</v>
      </c>
      <c r="Q1308" s="6">
        <v>97.84</v>
      </c>
      <c r="R1308" s="6">
        <v>97.75</v>
      </c>
    </row>
    <row r="1309" spans="2:18">
      <c r="B1309" s="6">
        <v>32643</v>
      </c>
      <c r="C1309" s="6" t="s">
        <v>212</v>
      </c>
      <c r="D1309" s="6">
        <v>0</v>
      </c>
      <c r="E1309" s="6">
        <v>97.37</v>
      </c>
      <c r="F1309" s="6">
        <v>91.94</v>
      </c>
      <c r="G1309" s="6">
        <v>98.15</v>
      </c>
      <c r="H1309" s="6">
        <v>97.53</v>
      </c>
      <c r="I1309" s="6">
        <v>97.49</v>
      </c>
      <c r="J1309" s="6">
        <v>98.01</v>
      </c>
      <c r="K1309" s="6">
        <v>97.7</v>
      </c>
      <c r="L1309" s="6">
        <v>97.61</v>
      </c>
      <c r="M1309" s="6">
        <v>98.02</v>
      </c>
      <c r="N1309" s="6">
        <v>97.7</v>
      </c>
      <c r="O1309" s="6">
        <v>97.61</v>
      </c>
      <c r="P1309" s="6">
        <v>98.02</v>
      </c>
      <c r="Q1309" s="6">
        <v>97.7</v>
      </c>
      <c r="R1309" s="6">
        <v>97.61</v>
      </c>
    </row>
    <row r="1310" spans="2:18">
      <c r="B1310" s="6">
        <v>32655</v>
      </c>
      <c r="C1310" s="6" t="s">
        <v>1136</v>
      </c>
      <c r="D1310" s="6">
        <v>0</v>
      </c>
      <c r="E1310" s="6">
        <v>0</v>
      </c>
      <c r="F1310" s="6">
        <v>98.72</v>
      </c>
      <c r="G1310" s="6">
        <v>98.48</v>
      </c>
      <c r="H1310" s="6">
        <v>98.4</v>
      </c>
      <c r="I1310" s="6">
        <v>98.25</v>
      </c>
      <c r="J1310" s="6">
        <v>98.64</v>
      </c>
      <c r="K1310" s="6">
        <v>98.48</v>
      </c>
      <c r="L1310" s="6">
        <v>98.3</v>
      </c>
      <c r="M1310" s="6">
        <v>98.62</v>
      </c>
      <c r="N1310" s="6">
        <v>98.46</v>
      </c>
      <c r="O1310" s="6">
        <v>98.28</v>
      </c>
      <c r="P1310" s="6">
        <v>98.52</v>
      </c>
      <c r="Q1310" s="6">
        <v>98.45</v>
      </c>
      <c r="R1310" s="6">
        <v>98.28</v>
      </c>
    </row>
    <row r="1311" spans="2:18">
      <c r="B1311" s="6">
        <v>32655</v>
      </c>
      <c r="C1311" s="6" t="s">
        <v>1136</v>
      </c>
      <c r="D1311" s="6">
        <v>0</v>
      </c>
      <c r="E1311" s="6">
        <v>0</v>
      </c>
      <c r="F1311" s="6">
        <v>98.73</v>
      </c>
      <c r="G1311" s="6">
        <v>99.01</v>
      </c>
      <c r="H1311" s="6">
        <v>98.74</v>
      </c>
      <c r="I1311" s="6">
        <v>98.68</v>
      </c>
      <c r="J1311" s="6">
        <v>99.01</v>
      </c>
      <c r="K1311" s="6">
        <v>98.76</v>
      </c>
      <c r="L1311" s="6">
        <v>98.69</v>
      </c>
      <c r="M1311" s="6">
        <v>99.01</v>
      </c>
      <c r="N1311" s="6">
        <v>98.76</v>
      </c>
      <c r="O1311" s="6">
        <v>98.71</v>
      </c>
      <c r="P1311" s="6">
        <v>99.01</v>
      </c>
      <c r="Q1311" s="6">
        <v>98.76</v>
      </c>
      <c r="R1311" s="6">
        <v>98.71</v>
      </c>
    </row>
    <row r="1312" spans="2:18">
      <c r="B1312" s="6">
        <v>32655</v>
      </c>
      <c r="C1312" s="6" t="s">
        <v>1136</v>
      </c>
      <c r="D1312" s="6">
        <v>0</v>
      </c>
      <c r="E1312" s="6">
        <v>0</v>
      </c>
      <c r="F1312" s="6">
        <v>96.93</v>
      </c>
      <c r="G1312" s="6">
        <v>97.43</v>
      </c>
      <c r="H1312" s="6">
        <v>97.49</v>
      </c>
      <c r="I1312" s="6">
        <v>97.36</v>
      </c>
      <c r="J1312" s="6">
        <v>97.72</v>
      </c>
      <c r="K1312" s="6">
        <v>97.84</v>
      </c>
      <c r="L1312" s="6">
        <v>97.75</v>
      </c>
      <c r="M1312" s="6">
        <v>97.72</v>
      </c>
      <c r="N1312" s="6">
        <v>97.83</v>
      </c>
      <c r="O1312" s="6">
        <v>97.74</v>
      </c>
      <c r="P1312" s="6">
        <v>97.73</v>
      </c>
      <c r="Q1312" s="6">
        <v>97.84</v>
      </c>
      <c r="R1312" s="6">
        <v>97.75</v>
      </c>
    </row>
    <row r="1313" spans="2:18">
      <c r="B1313" s="6">
        <v>32655</v>
      </c>
      <c r="C1313" s="6" t="s">
        <v>1136</v>
      </c>
      <c r="D1313" s="6">
        <v>0</v>
      </c>
      <c r="E1313" s="6">
        <v>0</v>
      </c>
      <c r="F1313" s="6">
        <v>98.7</v>
      </c>
      <c r="G1313" s="6">
        <v>97.88</v>
      </c>
      <c r="H1313" s="6">
        <v>97.7</v>
      </c>
      <c r="I1313" s="6">
        <v>97.56</v>
      </c>
      <c r="J1313" s="6">
        <v>98.01</v>
      </c>
      <c r="K1313" s="6">
        <v>97.7</v>
      </c>
      <c r="L1313" s="6">
        <v>97.61</v>
      </c>
      <c r="M1313" s="6">
        <v>98.02</v>
      </c>
      <c r="N1313" s="6">
        <v>97.7</v>
      </c>
      <c r="O1313" s="6">
        <v>97.61</v>
      </c>
      <c r="P1313" s="6">
        <v>98.02</v>
      </c>
      <c r="Q1313" s="6">
        <v>97.7</v>
      </c>
      <c r="R1313" s="6">
        <v>97.61</v>
      </c>
    </row>
    <row r="1314" spans="2:18">
      <c r="B1314" s="6">
        <v>32657</v>
      </c>
      <c r="C1314" s="6" t="s">
        <v>1196</v>
      </c>
      <c r="D1314" s="6">
        <v>0</v>
      </c>
      <c r="E1314" s="6">
        <v>0</v>
      </c>
      <c r="F1314" s="6">
        <v>83.75</v>
      </c>
      <c r="G1314" s="6">
        <v>0</v>
      </c>
      <c r="H1314" s="6">
        <v>95.89</v>
      </c>
      <c r="I1314" s="6">
        <v>93.66</v>
      </c>
      <c r="J1314" s="6">
        <v>0</v>
      </c>
      <c r="K1314" s="6">
        <v>95.89</v>
      </c>
      <c r="L1314" s="6">
        <v>93.66</v>
      </c>
      <c r="M1314" s="6">
        <v>0</v>
      </c>
      <c r="N1314" s="6">
        <v>95.89</v>
      </c>
      <c r="O1314" s="6">
        <v>93.66</v>
      </c>
      <c r="P1314" s="6">
        <v>0</v>
      </c>
      <c r="Q1314" s="6">
        <v>95.89</v>
      </c>
      <c r="R1314" s="6">
        <v>93.66</v>
      </c>
    </row>
    <row r="1315" spans="2:18">
      <c r="B1315" s="6">
        <v>32657</v>
      </c>
      <c r="C1315" s="6" t="s">
        <v>1196</v>
      </c>
      <c r="D1315" s="6">
        <v>0</v>
      </c>
      <c r="E1315" s="6">
        <v>0</v>
      </c>
      <c r="F1315" s="6">
        <v>74.069999999999993</v>
      </c>
      <c r="G1315" s="6">
        <v>97.8</v>
      </c>
      <c r="H1315" s="6">
        <v>95.81</v>
      </c>
      <c r="I1315" s="6">
        <v>93.09</v>
      </c>
      <c r="J1315" s="6">
        <v>97.8</v>
      </c>
      <c r="K1315" s="6">
        <v>95.81</v>
      </c>
      <c r="L1315" s="6">
        <v>92.55</v>
      </c>
      <c r="M1315" s="6">
        <v>97.8</v>
      </c>
      <c r="N1315" s="6">
        <v>95.81</v>
      </c>
      <c r="O1315" s="6">
        <v>92.43</v>
      </c>
      <c r="P1315" s="6">
        <v>97.23</v>
      </c>
      <c r="Q1315" s="6">
        <v>95.67</v>
      </c>
      <c r="R1315" s="6">
        <v>93.87</v>
      </c>
    </row>
    <row r="1316" spans="2:18">
      <c r="B1316" s="6">
        <v>32658</v>
      </c>
      <c r="C1316" s="6" t="s">
        <v>1197</v>
      </c>
      <c r="D1316" s="6">
        <v>0</v>
      </c>
      <c r="E1316" s="6">
        <v>95.89</v>
      </c>
      <c r="F1316" s="6">
        <v>95.27</v>
      </c>
      <c r="G1316" s="6">
        <v>0</v>
      </c>
      <c r="H1316" s="6">
        <v>95.89</v>
      </c>
      <c r="I1316" s="6">
        <v>93.66</v>
      </c>
      <c r="J1316" s="6">
        <v>0</v>
      </c>
      <c r="K1316" s="6">
        <v>95.89</v>
      </c>
      <c r="L1316" s="6">
        <v>93.66</v>
      </c>
      <c r="M1316" s="6">
        <v>0</v>
      </c>
      <c r="N1316" s="6">
        <v>95.89</v>
      </c>
      <c r="O1316" s="6">
        <v>93.66</v>
      </c>
      <c r="P1316" s="6">
        <v>0</v>
      </c>
      <c r="Q1316" s="6">
        <v>95.89</v>
      </c>
      <c r="R1316" s="6">
        <v>93.66</v>
      </c>
    </row>
    <row r="1317" spans="2:18">
      <c r="B1317" s="6">
        <v>32658</v>
      </c>
      <c r="C1317" s="6" t="s">
        <v>1197</v>
      </c>
      <c r="D1317" s="6">
        <v>93.33</v>
      </c>
      <c r="E1317" s="6">
        <v>97.53</v>
      </c>
      <c r="F1317" s="6">
        <v>95.32</v>
      </c>
      <c r="G1317" s="6">
        <v>93.33</v>
      </c>
      <c r="H1317" s="6">
        <v>97.53</v>
      </c>
      <c r="I1317" s="6">
        <v>95.32</v>
      </c>
      <c r="J1317" s="6">
        <v>93.33</v>
      </c>
      <c r="K1317" s="6">
        <v>97.98</v>
      </c>
      <c r="L1317" s="6">
        <v>95.96</v>
      </c>
      <c r="M1317" s="6">
        <v>93.33</v>
      </c>
      <c r="N1317" s="6">
        <v>97.98</v>
      </c>
      <c r="O1317" s="6">
        <v>96.04</v>
      </c>
      <c r="P1317" s="6">
        <v>93.33</v>
      </c>
      <c r="Q1317" s="6">
        <v>85.58</v>
      </c>
      <c r="R1317" s="6">
        <v>87.65</v>
      </c>
    </row>
    <row r="1318" spans="2:18">
      <c r="B1318" s="6">
        <v>32658</v>
      </c>
      <c r="C1318" s="6" t="s">
        <v>1197</v>
      </c>
      <c r="D1318" s="6">
        <v>0</v>
      </c>
      <c r="E1318" s="6">
        <v>96.37</v>
      </c>
      <c r="F1318" s="6">
        <v>94.51</v>
      </c>
      <c r="G1318" s="6">
        <v>97.8</v>
      </c>
      <c r="H1318" s="6">
        <v>95.81</v>
      </c>
      <c r="I1318" s="6">
        <v>93.09</v>
      </c>
      <c r="J1318" s="6">
        <v>97.8</v>
      </c>
      <c r="K1318" s="6">
        <v>95.81</v>
      </c>
      <c r="L1318" s="6">
        <v>92.55</v>
      </c>
      <c r="M1318" s="6">
        <v>97.8</v>
      </c>
      <c r="N1318" s="6">
        <v>95.81</v>
      </c>
      <c r="O1318" s="6">
        <v>92.43</v>
      </c>
      <c r="P1318" s="6">
        <v>97.23</v>
      </c>
      <c r="Q1318" s="6">
        <v>95.67</v>
      </c>
      <c r="R1318" s="6">
        <v>93.87</v>
      </c>
    </row>
    <row r="1319" spans="2:18">
      <c r="B1319" s="6">
        <v>32658</v>
      </c>
      <c r="C1319" s="6" t="s">
        <v>1197</v>
      </c>
      <c r="D1319" s="6">
        <v>0</v>
      </c>
      <c r="E1319" s="6">
        <v>97.74</v>
      </c>
      <c r="F1319" s="6">
        <v>96.14</v>
      </c>
      <c r="G1319" s="6">
        <v>94.14</v>
      </c>
      <c r="H1319" s="6">
        <v>95.21</v>
      </c>
      <c r="I1319" s="6">
        <v>94.44</v>
      </c>
      <c r="J1319" s="6">
        <v>94.14</v>
      </c>
      <c r="K1319" s="6">
        <v>95.21</v>
      </c>
      <c r="L1319" s="6">
        <v>95.51</v>
      </c>
      <c r="M1319" s="6">
        <v>94.14</v>
      </c>
      <c r="N1319" s="6">
        <v>95.21</v>
      </c>
      <c r="O1319" s="6">
        <v>95.13</v>
      </c>
      <c r="P1319" s="6">
        <v>92.91</v>
      </c>
      <c r="Q1319" s="6">
        <v>94.84</v>
      </c>
      <c r="R1319" s="6">
        <v>94.98</v>
      </c>
    </row>
    <row r="1320" spans="2:18">
      <c r="B1320" s="6">
        <v>32659</v>
      </c>
      <c r="C1320" s="6" t="s">
        <v>266</v>
      </c>
      <c r="D1320" s="6">
        <v>0</v>
      </c>
      <c r="E1320" s="6">
        <v>83.93</v>
      </c>
      <c r="F1320" s="6">
        <v>86.38</v>
      </c>
      <c r="G1320" s="6">
        <v>97.07</v>
      </c>
      <c r="H1320" s="6">
        <v>94.76</v>
      </c>
      <c r="I1320" s="6">
        <v>95.55</v>
      </c>
      <c r="J1320" s="6">
        <v>98.23</v>
      </c>
      <c r="K1320" s="6">
        <v>98.19</v>
      </c>
      <c r="L1320" s="6">
        <v>98.1</v>
      </c>
      <c r="M1320" s="6">
        <v>98.23</v>
      </c>
      <c r="N1320" s="6">
        <v>98.19</v>
      </c>
      <c r="O1320" s="6">
        <v>98.1</v>
      </c>
      <c r="P1320" s="6">
        <v>98.04</v>
      </c>
      <c r="Q1320" s="6">
        <v>98.09</v>
      </c>
      <c r="R1320" s="6">
        <v>97.91</v>
      </c>
    </row>
    <row r="1321" spans="2:18">
      <c r="B1321" s="6">
        <v>32659</v>
      </c>
      <c r="C1321" s="6" t="s">
        <v>266</v>
      </c>
      <c r="D1321" s="6">
        <v>0</v>
      </c>
      <c r="E1321" s="6">
        <v>99.26</v>
      </c>
      <c r="F1321" s="6">
        <v>98.95</v>
      </c>
      <c r="G1321" s="6">
        <v>98.65</v>
      </c>
      <c r="H1321" s="6">
        <v>98.92</v>
      </c>
      <c r="I1321" s="6">
        <v>98.33</v>
      </c>
      <c r="J1321" s="6">
        <v>98.77</v>
      </c>
      <c r="K1321" s="6">
        <v>99.16</v>
      </c>
      <c r="L1321" s="6">
        <v>98.56</v>
      </c>
      <c r="M1321" s="6">
        <v>98.77</v>
      </c>
      <c r="N1321" s="6">
        <v>99.16</v>
      </c>
      <c r="O1321" s="6">
        <v>98.56</v>
      </c>
      <c r="P1321" s="6">
        <v>98.52</v>
      </c>
      <c r="Q1321" s="6">
        <v>98.45</v>
      </c>
      <c r="R1321" s="6">
        <v>98.28</v>
      </c>
    </row>
    <row r="1322" spans="2:18">
      <c r="B1322" s="6">
        <v>32659</v>
      </c>
      <c r="C1322" s="6" t="s">
        <v>266</v>
      </c>
      <c r="D1322" s="6">
        <v>0</v>
      </c>
      <c r="E1322" s="6">
        <v>99.09</v>
      </c>
      <c r="F1322" s="6">
        <v>98.48</v>
      </c>
      <c r="G1322" s="6">
        <v>96.62</v>
      </c>
      <c r="H1322" s="6">
        <v>98.65</v>
      </c>
      <c r="I1322" s="6">
        <v>98.32</v>
      </c>
      <c r="J1322" s="6">
        <v>99.33</v>
      </c>
      <c r="K1322" s="6">
        <v>99.31</v>
      </c>
      <c r="L1322" s="6">
        <v>98.87</v>
      </c>
      <c r="M1322" s="6">
        <v>99.33</v>
      </c>
      <c r="N1322" s="6">
        <v>99.31</v>
      </c>
      <c r="O1322" s="6">
        <v>98.87</v>
      </c>
      <c r="P1322" s="6">
        <v>97.69</v>
      </c>
      <c r="Q1322" s="6">
        <v>98.01</v>
      </c>
      <c r="R1322" s="6">
        <v>98.3</v>
      </c>
    </row>
    <row r="1323" spans="2:18">
      <c r="B1323" s="6">
        <v>32660</v>
      </c>
      <c r="C1323" s="6" t="s">
        <v>643</v>
      </c>
      <c r="D1323" s="6">
        <v>0</v>
      </c>
      <c r="E1323" s="6">
        <v>0</v>
      </c>
      <c r="F1323" s="6">
        <v>99</v>
      </c>
      <c r="G1323" s="6">
        <v>98.48</v>
      </c>
      <c r="H1323" s="6">
        <v>98.4</v>
      </c>
      <c r="I1323" s="6">
        <v>98.25</v>
      </c>
      <c r="J1323" s="6">
        <v>98.64</v>
      </c>
      <c r="K1323" s="6">
        <v>98.48</v>
      </c>
      <c r="L1323" s="6">
        <v>98.3</v>
      </c>
      <c r="M1323" s="6">
        <v>98.62</v>
      </c>
      <c r="N1323" s="6">
        <v>98.46</v>
      </c>
      <c r="O1323" s="6">
        <v>98.28</v>
      </c>
      <c r="P1323" s="6">
        <v>98.52</v>
      </c>
      <c r="Q1323" s="6">
        <v>98.45</v>
      </c>
      <c r="R1323" s="6">
        <v>98.28</v>
      </c>
    </row>
    <row r="1324" spans="2:18">
      <c r="B1324" s="6">
        <v>32660</v>
      </c>
      <c r="C1324" s="6" t="s">
        <v>643</v>
      </c>
      <c r="D1324" s="6">
        <v>0</v>
      </c>
      <c r="E1324" s="6">
        <v>0</v>
      </c>
      <c r="F1324" s="6">
        <v>99.01</v>
      </c>
      <c r="G1324" s="6">
        <v>97.97</v>
      </c>
      <c r="H1324" s="6">
        <v>98.08</v>
      </c>
      <c r="I1324" s="6">
        <v>98.09</v>
      </c>
      <c r="J1324" s="6">
        <v>98.86</v>
      </c>
      <c r="K1324" s="6">
        <v>98.85</v>
      </c>
      <c r="L1324" s="6">
        <v>98.75</v>
      </c>
      <c r="M1324" s="6">
        <v>98.86</v>
      </c>
      <c r="N1324" s="6">
        <v>98.82</v>
      </c>
      <c r="O1324" s="6">
        <v>98.74</v>
      </c>
      <c r="P1324" s="6">
        <v>98.83</v>
      </c>
      <c r="Q1324" s="6">
        <v>98.81</v>
      </c>
      <c r="R1324" s="6">
        <v>98.73</v>
      </c>
    </row>
    <row r="1325" spans="2:18">
      <c r="B1325" s="6">
        <v>32660</v>
      </c>
      <c r="C1325" s="6" t="s">
        <v>643</v>
      </c>
      <c r="D1325" s="6">
        <v>0</v>
      </c>
      <c r="E1325" s="6">
        <v>0</v>
      </c>
      <c r="F1325" s="6">
        <v>97.6</v>
      </c>
      <c r="G1325" s="6">
        <v>97.43</v>
      </c>
      <c r="H1325" s="6">
        <v>97.49</v>
      </c>
      <c r="I1325" s="6">
        <v>97.36</v>
      </c>
      <c r="J1325" s="6">
        <v>97.72</v>
      </c>
      <c r="K1325" s="6">
        <v>97.84</v>
      </c>
      <c r="L1325" s="6">
        <v>97.75</v>
      </c>
      <c r="M1325" s="6">
        <v>97.72</v>
      </c>
      <c r="N1325" s="6">
        <v>97.83</v>
      </c>
      <c r="O1325" s="6">
        <v>97.74</v>
      </c>
      <c r="P1325" s="6">
        <v>97.73</v>
      </c>
      <c r="Q1325" s="6">
        <v>97.84</v>
      </c>
      <c r="R1325" s="6">
        <v>97.75</v>
      </c>
    </row>
    <row r="1326" spans="2:18">
      <c r="B1326" s="6">
        <v>32660</v>
      </c>
      <c r="C1326" s="6" t="s">
        <v>643</v>
      </c>
      <c r="D1326" s="6">
        <v>0</v>
      </c>
      <c r="E1326" s="6">
        <v>0</v>
      </c>
      <c r="F1326" s="6">
        <v>97.99</v>
      </c>
      <c r="G1326" s="6">
        <v>97.88</v>
      </c>
      <c r="H1326" s="6">
        <v>97.7</v>
      </c>
      <c r="I1326" s="6">
        <v>97.56</v>
      </c>
      <c r="J1326" s="6">
        <v>98.01</v>
      </c>
      <c r="K1326" s="6">
        <v>97.7</v>
      </c>
      <c r="L1326" s="6">
        <v>97.61</v>
      </c>
      <c r="M1326" s="6">
        <v>98.02</v>
      </c>
      <c r="N1326" s="6">
        <v>97.7</v>
      </c>
      <c r="O1326" s="6">
        <v>97.61</v>
      </c>
      <c r="P1326" s="6">
        <v>98.02</v>
      </c>
      <c r="Q1326" s="6">
        <v>97.7</v>
      </c>
      <c r="R1326" s="6">
        <v>97.61</v>
      </c>
    </row>
    <row r="1327" spans="2:18">
      <c r="B1327" s="6">
        <v>32661</v>
      </c>
      <c r="C1327" s="6" t="s">
        <v>408</v>
      </c>
      <c r="D1327" s="6">
        <v>0</v>
      </c>
      <c r="E1327" s="6">
        <v>0</v>
      </c>
      <c r="F1327" s="6">
        <v>99.1</v>
      </c>
      <c r="G1327" s="6">
        <v>98.48</v>
      </c>
      <c r="H1327" s="6">
        <v>98.4</v>
      </c>
      <c r="I1327" s="6">
        <v>98.25</v>
      </c>
      <c r="J1327" s="6">
        <v>98.64</v>
      </c>
      <c r="K1327" s="6">
        <v>98.48</v>
      </c>
      <c r="L1327" s="6">
        <v>98.3</v>
      </c>
      <c r="M1327" s="6">
        <v>98.62</v>
      </c>
      <c r="N1327" s="6">
        <v>98.46</v>
      </c>
      <c r="O1327" s="6">
        <v>98.28</v>
      </c>
      <c r="P1327" s="6">
        <v>98.52</v>
      </c>
      <c r="Q1327" s="6">
        <v>98.45</v>
      </c>
      <c r="R1327" s="6">
        <v>98.28</v>
      </c>
    </row>
    <row r="1328" spans="2:18">
      <c r="B1328" s="6">
        <v>32661</v>
      </c>
      <c r="C1328" s="6" t="s">
        <v>408</v>
      </c>
      <c r="D1328" s="6">
        <v>0</v>
      </c>
      <c r="E1328" s="6">
        <v>0</v>
      </c>
      <c r="F1328" s="6">
        <v>99.1</v>
      </c>
      <c r="G1328" s="6">
        <v>97.97</v>
      </c>
      <c r="H1328" s="6">
        <v>98.08</v>
      </c>
      <c r="I1328" s="6">
        <v>98.09</v>
      </c>
      <c r="J1328" s="6">
        <v>98.86</v>
      </c>
      <c r="K1328" s="6">
        <v>98.85</v>
      </c>
      <c r="L1328" s="6">
        <v>98.75</v>
      </c>
      <c r="M1328" s="6">
        <v>98.86</v>
      </c>
      <c r="N1328" s="6">
        <v>98.82</v>
      </c>
      <c r="O1328" s="6">
        <v>98.74</v>
      </c>
      <c r="P1328" s="6">
        <v>98.83</v>
      </c>
      <c r="Q1328" s="6">
        <v>98.81</v>
      </c>
      <c r="R1328" s="6">
        <v>98.73</v>
      </c>
    </row>
    <row r="1329" spans="2:18">
      <c r="B1329" s="6">
        <v>32661</v>
      </c>
      <c r="C1329" s="6" t="s">
        <v>408</v>
      </c>
      <c r="D1329" s="6">
        <v>0</v>
      </c>
      <c r="E1329" s="6">
        <v>0</v>
      </c>
      <c r="F1329" s="6">
        <v>95.71</v>
      </c>
      <c r="G1329" s="6">
        <v>97.43</v>
      </c>
      <c r="H1329" s="6">
        <v>97.49</v>
      </c>
      <c r="I1329" s="6">
        <v>97.36</v>
      </c>
      <c r="J1329" s="6">
        <v>97.72</v>
      </c>
      <c r="K1329" s="6">
        <v>97.84</v>
      </c>
      <c r="L1329" s="6">
        <v>97.75</v>
      </c>
      <c r="M1329" s="6">
        <v>97.72</v>
      </c>
      <c r="N1329" s="6">
        <v>97.83</v>
      </c>
      <c r="O1329" s="6">
        <v>97.74</v>
      </c>
      <c r="P1329" s="6">
        <v>97.73</v>
      </c>
      <c r="Q1329" s="6">
        <v>97.84</v>
      </c>
      <c r="R1329" s="6">
        <v>97.75</v>
      </c>
    </row>
    <row r="1330" spans="2:18">
      <c r="B1330" s="6">
        <v>32661</v>
      </c>
      <c r="C1330" s="6" t="s">
        <v>408</v>
      </c>
      <c r="D1330" s="6">
        <v>0</v>
      </c>
      <c r="E1330" s="6">
        <v>0</v>
      </c>
      <c r="F1330" s="6">
        <v>99.09</v>
      </c>
      <c r="G1330" s="6">
        <v>97.88</v>
      </c>
      <c r="H1330" s="6">
        <v>97.7</v>
      </c>
      <c r="I1330" s="6">
        <v>97.56</v>
      </c>
      <c r="J1330" s="6">
        <v>98.01</v>
      </c>
      <c r="K1330" s="6">
        <v>97.7</v>
      </c>
      <c r="L1330" s="6">
        <v>97.61</v>
      </c>
      <c r="M1330" s="6">
        <v>98.02</v>
      </c>
      <c r="N1330" s="6">
        <v>97.7</v>
      </c>
      <c r="O1330" s="6">
        <v>97.61</v>
      </c>
      <c r="P1330" s="6">
        <v>98.02</v>
      </c>
      <c r="Q1330" s="6">
        <v>97.7</v>
      </c>
      <c r="R1330" s="6">
        <v>97.61</v>
      </c>
    </row>
    <row r="1331" spans="2:18">
      <c r="B1331" s="6">
        <v>32662</v>
      </c>
      <c r="C1331" s="6" t="s">
        <v>406</v>
      </c>
      <c r="D1331" s="6">
        <v>0</v>
      </c>
      <c r="E1331" s="6">
        <v>0</v>
      </c>
      <c r="F1331" s="6">
        <v>99.09</v>
      </c>
      <c r="G1331" s="6">
        <v>98.48</v>
      </c>
      <c r="H1331" s="6">
        <v>98.4</v>
      </c>
      <c r="I1331" s="6">
        <v>98.25</v>
      </c>
      <c r="J1331" s="6">
        <v>98.64</v>
      </c>
      <c r="K1331" s="6">
        <v>98.48</v>
      </c>
      <c r="L1331" s="6">
        <v>98.3</v>
      </c>
      <c r="M1331" s="6">
        <v>98.62</v>
      </c>
      <c r="N1331" s="6">
        <v>98.46</v>
      </c>
      <c r="O1331" s="6">
        <v>98.28</v>
      </c>
      <c r="P1331" s="6">
        <v>98.52</v>
      </c>
      <c r="Q1331" s="6">
        <v>98.45</v>
      </c>
      <c r="R1331" s="6">
        <v>98.28</v>
      </c>
    </row>
    <row r="1332" spans="2:18">
      <c r="B1332" s="6">
        <v>32662</v>
      </c>
      <c r="C1332" s="6" t="s">
        <v>406</v>
      </c>
      <c r="D1332" s="6">
        <v>0</v>
      </c>
      <c r="E1332" s="6">
        <v>0</v>
      </c>
      <c r="F1332" s="6">
        <v>99.1</v>
      </c>
      <c r="G1332" s="6">
        <v>97.97</v>
      </c>
      <c r="H1332" s="6">
        <v>98.08</v>
      </c>
      <c r="I1332" s="6">
        <v>98.09</v>
      </c>
      <c r="J1332" s="6">
        <v>98.86</v>
      </c>
      <c r="K1332" s="6">
        <v>98.85</v>
      </c>
      <c r="L1332" s="6">
        <v>98.75</v>
      </c>
      <c r="M1332" s="6">
        <v>98.86</v>
      </c>
      <c r="N1332" s="6">
        <v>98.82</v>
      </c>
      <c r="O1332" s="6">
        <v>98.74</v>
      </c>
      <c r="P1332" s="6">
        <v>98.83</v>
      </c>
      <c r="Q1332" s="6">
        <v>98.81</v>
      </c>
      <c r="R1332" s="6">
        <v>98.73</v>
      </c>
    </row>
    <row r="1333" spans="2:18">
      <c r="B1333" s="6">
        <v>32662</v>
      </c>
      <c r="C1333" s="6" t="s">
        <v>406</v>
      </c>
      <c r="D1333" s="6">
        <v>0</v>
      </c>
      <c r="E1333" s="6">
        <v>0</v>
      </c>
      <c r="F1333" s="6">
        <v>95.67</v>
      </c>
      <c r="G1333" s="6">
        <v>97.43</v>
      </c>
      <c r="H1333" s="6">
        <v>97.49</v>
      </c>
      <c r="I1333" s="6">
        <v>97.36</v>
      </c>
      <c r="J1333" s="6">
        <v>97.72</v>
      </c>
      <c r="K1333" s="6">
        <v>97.84</v>
      </c>
      <c r="L1333" s="6">
        <v>97.75</v>
      </c>
      <c r="M1333" s="6">
        <v>97.72</v>
      </c>
      <c r="N1333" s="6">
        <v>97.83</v>
      </c>
      <c r="O1333" s="6">
        <v>97.74</v>
      </c>
      <c r="P1333" s="6">
        <v>97.73</v>
      </c>
      <c r="Q1333" s="6">
        <v>97.84</v>
      </c>
      <c r="R1333" s="6">
        <v>97.75</v>
      </c>
    </row>
    <row r="1334" spans="2:18">
      <c r="B1334" s="6">
        <v>32662</v>
      </c>
      <c r="C1334" s="6" t="s">
        <v>406</v>
      </c>
      <c r="D1334" s="6">
        <v>0</v>
      </c>
      <c r="E1334" s="6">
        <v>0</v>
      </c>
      <c r="F1334" s="6">
        <v>99.08</v>
      </c>
      <c r="G1334" s="6">
        <v>97.88</v>
      </c>
      <c r="H1334" s="6">
        <v>97.7</v>
      </c>
      <c r="I1334" s="6">
        <v>97.56</v>
      </c>
      <c r="J1334" s="6">
        <v>98.01</v>
      </c>
      <c r="K1334" s="6">
        <v>97.7</v>
      </c>
      <c r="L1334" s="6">
        <v>97.61</v>
      </c>
      <c r="M1334" s="6">
        <v>98.02</v>
      </c>
      <c r="N1334" s="6">
        <v>97.7</v>
      </c>
      <c r="O1334" s="6">
        <v>97.61</v>
      </c>
      <c r="P1334" s="6">
        <v>98.02</v>
      </c>
      <c r="Q1334" s="6">
        <v>97.7</v>
      </c>
      <c r="R1334" s="6">
        <v>97.61</v>
      </c>
    </row>
    <row r="1335" spans="2:18">
      <c r="B1335" s="6">
        <v>32663</v>
      </c>
      <c r="C1335" s="6" t="s">
        <v>438</v>
      </c>
      <c r="D1335" s="6">
        <v>0</v>
      </c>
      <c r="E1335" s="6">
        <v>0</v>
      </c>
      <c r="F1335" s="6">
        <v>99.16</v>
      </c>
      <c r="G1335" s="6">
        <v>98.48</v>
      </c>
      <c r="H1335" s="6">
        <v>98.4</v>
      </c>
      <c r="I1335" s="6">
        <v>98.25</v>
      </c>
      <c r="J1335" s="6">
        <v>98.64</v>
      </c>
      <c r="K1335" s="6">
        <v>98.48</v>
      </c>
      <c r="L1335" s="6">
        <v>98.3</v>
      </c>
      <c r="M1335" s="6">
        <v>98.62</v>
      </c>
      <c r="N1335" s="6">
        <v>98.46</v>
      </c>
      <c r="O1335" s="6">
        <v>98.28</v>
      </c>
      <c r="P1335" s="6">
        <v>98.52</v>
      </c>
      <c r="Q1335" s="6">
        <v>98.45</v>
      </c>
      <c r="R1335" s="6">
        <v>98.28</v>
      </c>
    </row>
    <row r="1336" spans="2:18">
      <c r="B1336" s="6">
        <v>32663</v>
      </c>
      <c r="C1336" s="6" t="s">
        <v>438</v>
      </c>
      <c r="D1336" s="6">
        <v>0</v>
      </c>
      <c r="E1336" s="6">
        <v>0</v>
      </c>
      <c r="F1336" s="6">
        <v>99.17</v>
      </c>
      <c r="G1336" s="6">
        <v>97.97</v>
      </c>
      <c r="H1336" s="6">
        <v>98.08</v>
      </c>
      <c r="I1336" s="6">
        <v>98.09</v>
      </c>
      <c r="J1336" s="6">
        <v>98.86</v>
      </c>
      <c r="K1336" s="6">
        <v>98.85</v>
      </c>
      <c r="L1336" s="6">
        <v>98.75</v>
      </c>
      <c r="M1336" s="6">
        <v>98.86</v>
      </c>
      <c r="N1336" s="6">
        <v>98.82</v>
      </c>
      <c r="O1336" s="6">
        <v>98.74</v>
      </c>
      <c r="P1336" s="6">
        <v>98.83</v>
      </c>
      <c r="Q1336" s="6">
        <v>98.81</v>
      </c>
      <c r="R1336" s="6">
        <v>98.73</v>
      </c>
    </row>
    <row r="1337" spans="2:18">
      <c r="B1337" s="6">
        <v>32663</v>
      </c>
      <c r="C1337" s="6" t="s">
        <v>438</v>
      </c>
      <c r="D1337" s="6">
        <v>0</v>
      </c>
      <c r="E1337" s="6">
        <v>0</v>
      </c>
      <c r="F1337" s="6">
        <v>96</v>
      </c>
      <c r="G1337" s="6">
        <v>97.43</v>
      </c>
      <c r="H1337" s="6">
        <v>97.49</v>
      </c>
      <c r="I1337" s="6">
        <v>97.36</v>
      </c>
      <c r="J1337" s="6">
        <v>97.72</v>
      </c>
      <c r="K1337" s="6">
        <v>97.84</v>
      </c>
      <c r="L1337" s="6">
        <v>97.75</v>
      </c>
      <c r="M1337" s="6">
        <v>97.72</v>
      </c>
      <c r="N1337" s="6">
        <v>97.83</v>
      </c>
      <c r="O1337" s="6">
        <v>97.74</v>
      </c>
      <c r="P1337" s="6">
        <v>97.73</v>
      </c>
      <c r="Q1337" s="6">
        <v>97.84</v>
      </c>
      <c r="R1337" s="6">
        <v>97.75</v>
      </c>
    </row>
    <row r="1338" spans="2:18">
      <c r="B1338" s="6">
        <v>32663</v>
      </c>
      <c r="C1338" s="6" t="s">
        <v>438</v>
      </c>
      <c r="D1338" s="6">
        <v>0</v>
      </c>
      <c r="E1338" s="6">
        <v>0</v>
      </c>
      <c r="F1338" s="6">
        <v>98.31</v>
      </c>
      <c r="G1338" s="6">
        <v>97.88</v>
      </c>
      <c r="H1338" s="6">
        <v>97.7</v>
      </c>
      <c r="I1338" s="6">
        <v>97.56</v>
      </c>
      <c r="J1338" s="6">
        <v>98.01</v>
      </c>
      <c r="K1338" s="6">
        <v>97.7</v>
      </c>
      <c r="L1338" s="6">
        <v>97.61</v>
      </c>
      <c r="M1338" s="6">
        <v>98.02</v>
      </c>
      <c r="N1338" s="6">
        <v>97.7</v>
      </c>
      <c r="O1338" s="6">
        <v>97.61</v>
      </c>
      <c r="P1338" s="6">
        <v>98.02</v>
      </c>
      <c r="Q1338" s="6">
        <v>97.7</v>
      </c>
      <c r="R1338" s="6">
        <v>97.61</v>
      </c>
    </row>
    <row r="1339" spans="2:18">
      <c r="B1339" s="6">
        <v>32664</v>
      </c>
      <c r="C1339" s="6" t="s">
        <v>593</v>
      </c>
      <c r="D1339" s="6">
        <v>0</v>
      </c>
      <c r="E1339" s="6">
        <v>0</v>
      </c>
      <c r="F1339" s="6">
        <v>98.1</v>
      </c>
      <c r="G1339" s="6">
        <v>97.07</v>
      </c>
      <c r="H1339" s="6">
        <v>94.76</v>
      </c>
      <c r="I1339" s="6">
        <v>95.55</v>
      </c>
      <c r="J1339" s="6">
        <v>98.23</v>
      </c>
      <c r="K1339" s="6">
        <v>98.19</v>
      </c>
      <c r="L1339" s="6">
        <v>98.1</v>
      </c>
      <c r="M1339" s="6">
        <v>98.23</v>
      </c>
      <c r="N1339" s="6">
        <v>98.19</v>
      </c>
      <c r="O1339" s="6">
        <v>98.1</v>
      </c>
      <c r="P1339" s="6">
        <v>98.04</v>
      </c>
      <c r="Q1339" s="6">
        <v>98.09</v>
      </c>
      <c r="R1339" s="6">
        <v>97.91</v>
      </c>
    </row>
    <row r="1340" spans="2:18">
      <c r="B1340" s="6">
        <v>32664</v>
      </c>
      <c r="C1340" s="6" t="s">
        <v>593</v>
      </c>
      <c r="D1340" s="6">
        <v>0</v>
      </c>
      <c r="E1340" s="6">
        <v>0</v>
      </c>
      <c r="F1340" s="6">
        <v>96.43</v>
      </c>
      <c r="G1340" s="6">
        <v>0</v>
      </c>
      <c r="H1340" s="6">
        <v>0</v>
      </c>
      <c r="I1340" s="6">
        <v>96.43</v>
      </c>
      <c r="J1340" s="6">
        <v>0</v>
      </c>
      <c r="K1340" s="6">
        <v>0</v>
      </c>
      <c r="L1340" s="6">
        <v>96.91</v>
      </c>
      <c r="M1340" s="6">
        <v>0</v>
      </c>
      <c r="N1340" s="6">
        <v>0</v>
      </c>
      <c r="O1340" s="6">
        <v>96.91</v>
      </c>
      <c r="P1340" s="6">
        <v>0</v>
      </c>
      <c r="Q1340" s="6">
        <v>0</v>
      </c>
      <c r="R1340" s="6">
        <v>96.91</v>
      </c>
    </row>
    <row r="1341" spans="2:18">
      <c r="B1341" s="6">
        <v>32664</v>
      </c>
      <c r="C1341" s="6" t="s">
        <v>593</v>
      </c>
      <c r="D1341" s="6">
        <v>0</v>
      </c>
      <c r="E1341" s="6">
        <v>0</v>
      </c>
      <c r="F1341" s="6">
        <v>97.22</v>
      </c>
      <c r="G1341" s="6">
        <v>78.87</v>
      </c>
      <c r="H1341" s="6">
        <v>91.66</v>
      </c>
      <c r="I1341" s="6">
        <v>96.42</v>
      </c>
      <c r="J1341" s="6">
        <v>99.26</v>
      </c>
      <c r="K1341" s="6">
        <v>99.39</v>
      </c>
      <c r="L1341" s="6">
        <v>99.39</v>
      </c>
      <c r="M1341" s="6">
        <v>99.26</v>
      </c>
      <c r="N1341" s="6">
        <v>99.39</v>
      </c>
      <c r="O1341" s="6">
        <v>99.39</v>
      </c>
      <c r="P1341" s="6">
        <v>99.26</v>
      </c>
      <c r="Q1341" s="6">
        <v>99.39</v>
      </c>
      <c r="R1341" s="6">
        <v>99.39</v>
      </c>
    </row>
    <row r="1342" spans="2:18">
      <c r="B1342" s="6">
        <v>32664</v>
      </c>
      <c r="C1342" s="6" t="s">
        <v>593</v>
      </c>
      <c r="D1342" s="6">
        <v>0</v>
      </c>
      <c r="E1342" s="6">
        <v>0</v>
      </c>
      <c r="F1342" s="6">
        <v>97.39</v>
      </c>
      <c r="G1342" s="6">
        <v>89.78</v>
      </c>
      <c r="H1342" s="6">
        <v>89.78</v>
      </c>
      <c r="I1342" s="6">
        <v>97.82</v>
      </c>
      <c r="J1342" s="6">
        <v>89.78</v>
      </c>
      <c r="K1342" s="6">
        <v>89.78</v>
      </c>
      <c r="L1342" s="6">
        <v>97.82</v>
      </c>
      <c r="M1342" s="6">
        <v>89.78</v>
      </c>
      <c r="N1342" s="6">
        <v>89.78</v>
      </c>
      <c r="O1342" s="6">
        <v>97.82</v>
      </c>
      <c r="P1342" s="6">
        <v>89.78</v>
      </c>
      <c r="Q1342" s="6">
        <v>89.78</v>
      </c>
      <c r="R1342" s="6">
        <v>97.82</v>
      </c>
    </row>
    <row r="1343" spans="2:18">
      <c r="B1343" s="6">
        <v>32665</v>
      </c>
      <c r="C1343" s="6" t="s">
        <v>702</v>
      </c>
      <c r="D1343" s="6">
        <v>0</v>
      </c>
      <c r="E1343" s="6">
        <v>0</v>
      </c>
      <c r="F1343" s="6">
        <v>86.67</v>
      </c>
      <c r="G1343" s="6">
        <v>97.07</v>
      </c>
      <c r="H1343" s="6">
        <v>94.76</v>
      </c>
      <c r="I1343" s="6">
        <v>95.55</v>
      </c>
      <c r="J1343" s="6">
        <v>98.23</v>
      </c>
      <c r="K1343" s="6">
        <v>98.19</v>
      </c>
      <c r="L1343" s="6">
        <v>98.1</v>
      </c>
      <c r="M1343" s="6">
        <v>98.23</v>
      </c>
      <c r="N1343" s="6">
        <v>98.19</v>
      </c>
      <c r="O1343" s="6">
        <v>98.1</v>
      </c>
      <c r="P1343" s="6">
        <v>98.04</v>
      </c>
      <c r="Q1343" s="6">
        <v>98.09</v>
      </c>
      <c r="R1343" s="6">
        <v>97.91</v>
      </c>
    </row>
    <row r="1344" spans="2:18">
      <c r="B1344" s="6">
        <v>32665</v>
      </c>
      <c r="C1344" s="6" t="s">
        <v>702</v>
      </c>
      <c r="D1344" s="6">
        <v>0</v>
      </c>
      <c r="E1344" s="6">
        <v>0</v>
      </c>
      <c r="F1344" s="6">
        <v>96.97</v>
      </c>
      <c r="G1344" s="6">
        <v>89.16</v>
      </c>
      <c r="H1344" s="6">
        <v>90.71</v>
      </c>
      <c r="I1344" s="6">
        <v>96</v>
      </c>
      <c r="J1344" s="6">
        <v>89.16</v>
      </c>
      <c r="K1344" s="6">
        <v>92.29</v>
      </c>
      <c r="L1344" s="6">
        <v>95.48</v>
      </c>
      <c r="M1344" s="6">
        <v>89.16</v>
      </c>
      <c r="N1344" s="6">
        <v>92.29</v>
      </c>
      <c r="O1344" s="6">
        <v>95.48</v>
      </c>
      <c r="P1344" s="6">
        <v>89.16</v>
      </c>
      <c r="Q1344" s="6">
        <v>92.29</v>
      </c>
      <c r="R1344" s="6">
        <v>95.48</v>
      </c>
    </row>
    <row r="1345" spans="2:18">
      <c r="B1345" s="6">
        <v>32665</v>
      </c>
      <c r="C1345" s="6" t="s">
        <v>702</v>
      </c>
      <c r="D1345" s="6">
        <v>0</v>
      </c>
      <c r="E1345" s="6">
        <v>0</v>
      </c>
      <c r="F1345" s="6">
        <v>93.75</v>
      </c>
      <c r="G1345" s="6">
        <v>78.87</v>
      </c>
      <c r="H1345" s="6">
        <v>91.66</v>
      </c>
      <c r="I1345" s="6">
        <v>96.42</v>
      </c>
      <c r="J1345" s="6">
        <v>99.26</v>
      </c>
      <c r="K1345" s="6">
        <v>99.39</v>
      </c>
      <c r="L1345" s="6">
        <v>99.39</v>
      </c>
      <c r="M1345" s="6">
        <v>99.26</v>
      </c>
      <c r="N1345" s="6">
        <v>99.39</v>
      </c>
      <c r="O1345" s="6">
        <v>99.39</v>
      </c>
      <c r="P1345" s="6">
        <v>99.26</v>
      </c>
      <c r="Q1345" s="6">
        <v>99.39</v>
      </c>
      <c r="R1345" s="6">
        <v>99.39</v>
      </c>
    </row>
    <row r="1346" spans="2:18">
      <c r="B1346" s="6">
        <v>32665</v>
      </c>
      <c r="C1346" s="6" t="s">
        <v>702</v>
      </c>
      <c r="D1346" s="6">
        <v>0</v>
      </c>
      <c r="E1346" s="6">
        <v>0</v>
      </c>
      <c r="F1346" s="6">
        <v>97.87</v>
      </c>
      <c r="G1346" s="6">
        <v>89.78</v>
      </c>
      <c r="H1346" s="6">
        <v>89.78</v>
      </c>
      <c r="I1346" s="6">
        <v>97.82</v>
      </c>
      <c r="J1346" s="6">
        <v>89.78</v>
      </c>
      <c r="K1346" s="6">
        <v>89.78</v>
      </c>
      <c r="L1346" s="6">
        <v>97.82</v>
      </c>
      <c r="M1346" s="6">
        <v>89.78</v>
      </c>
      <c r="N1346" s="6">
        <v>89.78</v>
      </c>
      <c r="O1346" s="6">
        <v>97.82</v>
      </c>
      <c r="P1346" s="6">
        <v>89.78</v>
      </c>
      <c r="Q1346" s="6">
        <v>89.78</v>
      </c>
      <c r="R1346" s="6">
        <v>97.82</v>
      </c>
    </row>
    <row r="1347" spans="2:18">
      <c r="B1347" s="6">
        <v>32666</v>
      </c>
      <c r="C1347" s="6" t="s">
        <v>1201</v>
      </c>
      <c r="D1347" s="6">
        <v>0</v>
      </c>
      <c r="E1347" s="6">
        <v>35.93</v>
      </c>
      <c r="F1347" s="6">
        <v>49.62</v>
      </c>
      <c r="G1347" s="6">
        <v>0</v>
      </c>
      <c r="H1347" s="6">
        <v>35.93</v>
      </c>
      <c r="I1347" s="6">
        <v>52.17</v>
      </c>
      <c r="J1347" s="6">
        <v>0</v>
      </c>
      <c r="K1347" s="6">
        <v>35.93</v>
      </c>
      <c r="L1347" s="6">
        <v>52.17</v>
      </c>
      <c r="M1347" s="6">
        <v>0</v>
      </c>
      <c r="N1347" s="6">
        <v>35.93</v>
      </c>
      <c r="O1347" s="6">
        <v>52.17</v>
      </c>
      <c r="P1347" s="6">
        <v>93.33</v>
      </c>
      <c r="Q1347" s="6">
        <v>85.58</v>
      </c>
      <c r="R1347" s="6">
        <v>87.65</v>
      </c>
    </row>
    <row r="1348" spans="2:18">
      <c r="B1348" s="6">
        <v>32666</v>
      </c>
      <c r="C1348" s="6" t="s">
        <v>1201</v>
      </c>
      <c r="D1348" s="6">
        <v>0</v>
      </c>
      <c r="E1348" s="6">
        <v>24.58</v>
      </c>
      <c r="F1348" s="6">
        <v>29.69</v>
      </c>
      <c r="G1348" s="6">
        <v>0</v>
      </c>
      <c r="H1348" s="6">
        <v>24.58</v>
      </c>
      <c r="I1348" s="6">
        <v>34.78</v>
      </c>
      <c r="J1348" s="6">
        <v>0</v>
      </c>
      <c r="K1348" s="6">
        <v>24.58</v>
      </c>
      <c r="L1348" s="6">
        <v>34.78</v>
      </c>
      <c r="M1348" s="6">
        <v>0</v>
      </c>
      <c r="N1348" s="6">
        <v>24.58</v>
      </c>
      <c r="O1348" s="6">
        <v>34.78</v>
      </c>
      <c r="P1348" s="6">
        <v>0</v>
      </c>
      <c r="Q1348" s="6">
        <v>24.58</v>
      </c>
      <c r="R1348" s="6">
        <v>34.78</v>
      </c>
    </row>
    <row r="1349" spans="2:18">
      <c r="B1349" s="6">
        <v>32667</v>
      </c>
      <c r="C1349" s="6" t="s">
        <v>1194</v>
      </c>
      <c r="D1349" s="6">
        <v>0</v>
      </c>
      <c r="E1349" s="6">
        <v>0</v>
      </c>
      <c r="F1349" s="6">
        <v>80</v>
      </c>
      <c r="G1349" s="6">
        <v>0</v>
      </c>
      <c r="H1349" s="6">
        <v>35.93</v>
      </c>
      <c r="I1349" s="6">
        <v>52.17</v>
      </c>
      <c r="J1349" s="6">
        <v>0</v>
      </c>
      <c r="K1349" s="6">
        <v>35.93</v>
      </c>
      <c r="L1349" s="6">
        <v>52.17</v>
      </c>
      <c r="M1349" s="6">
        <v>0</v>
      </c>
      <c r="N1349" s="6">
        <v>35.93</v>
      </c>
      <c r="O1349" s="6">
        <v>52.17</v>
      </c>
      <c r="P1349" s="6">
        <v>93.33</v>
      </c>
      <c r="Q1349" s="6">
        <v>85.58</v>
      </c>
      <c r="R1349" s="6">
        <v>87.65</v>
      </c>
    </row>
    <row r="1350" spans="2:18">
      <c r="B1350" s="6">
        <v>32667</v>
      </c>
      <c r="C1350" s="6" t="s">
        <v>1194</v>
      </c>
      <c r="D1350" s="6">
        <v>0</v>
      </c>
      <c r="E1350" s="6">
        <v>0</v>
      </c>
      <c r="F1350" s="6">
        <v>52.5</v>
      </c>
      <c r="G1350" s="6">
        <v>0</v>
      </c>
      <c r="H1350" s="6">
        <v>24.58</v>
      </c>
      <c r="I1350" s="6">
        <v>34.78</v>
      </c>
      <c r="J1350" s="6">
        <v>0</v>
      </c>
      <c r="K1350" s="6">
        <v>24.58</v>
      </c>
      <c r="L1350" s="6">
        <v>34.78</v>
      </c>
      <c r="M1350" s="6">
        <v>0</v>
      </c>
      <c r="N1350" s="6">
        <v>24.58</v>
      </c>
      <c r="O1350" s="6">
        <v>34.78</v>
      </c>
      <c r="P1350" s="6">
        <v>0</v>
      </c>
      <c r="Q1350" s="6">
        <v>24.58</v>
      </c>
      <c r="R1350" s="6">
        <v>34.78</v>
      </c>
    </row>
    <row r="1351" spans="2:18">
      <c r="B1351" s="6">
        <v>32668</v>
      </c>
      <c r="C1351" s="6" t="s">
        <v>1195</v>
      </c>
      <c r="D1351" s="6">
        <v>0</v>
      </c>
      <c r="E1351" s="6">
        <v>0</v>
      </c>
      <c r="F1351" s="6">
        <v>37.200000000000003</v>
      </c>
      <c r="G1351" s="6">
        <v>0</v>
      </c>
      <c r="H1351" s="6">
        <v>24.58</v>
      </c>
      <c r="I1351" s="6">
        <v>34.78</v>
      </c>
      <c r="J1351" s="6">
        <v>0</v>
      </c>
      <c r="K1351" s="6">
        <v>24.58</v>
      </c>
      <c r="L1351" s="6">
        <v>34.78</v>
      </c>
      <c r="M1351" s="6">
        <v>0</v>
      </c>
      <c r="N1351" s="6">
        <v>24.58</v>
      </c>
      <c r="O1351" s="6">
        <v>34.78</v>
      </c>
      <c r="P1351" s="6">
        <v>0</v>
      </c>
      <c r="Q1351" s="6">
        <v>24.58</v>
      </c>
      <c r="R1351" s="6">
        <v>34.78</v>
      </c>
    </row>
    <row r="1352" spans="2:18">
      <c r="B1352" s="6">
        <v>32669</v>
      </c>
      <c r="C1352" s="6" t="s">
        <v>800</v>
      </c>
      <c r="D1352" s="6">
        <v>0</v>
      </c>
      <c r="E1352" s="6">
        <v>0</v>
      </c>
      <c r="F1352" s="6">
        <v>92.44</v>
      </c>
      <c r="G1352" s="6">
        <v>98.77</v>
      </c>
      <c r="H1352" s="6">
        <v>98.55</v>
      </c>
      <c r="I1352" s="6">
        <v>98.72</v>
      </c>
      <c r="J1352" s="6">
        <v>98.23</v>
      </c>
      <c r="K1352" s="6">
        <v>98.19</v>
      </c>
      <c r="L1352" s="6">
        <v>98.1</v>
      </c>
      <c r="M1352" s="6">
        <v>98.23</v>
      </c>
      <c r="N1352" s="6">
        <v>98.19</v>
      </c>
      <c r="O1352" s="6">
        <v>98.1</v>
      </c>
      <c r="P1352" s="6">
        <v>98.04</v>
      </c>
      <c r="Q1352" s="6">
        <v>98.09</v>
      </c>
      <c r="R1352" s="6">
        <v>97.91</v>
      </c>
    </row>
    <row r="1353" spans="2:18">
      <c r="B1353" s="6">
        <v>32669</v>
      </c>
      <c r="C1353" s="6" t="s">
        <v>800</v>
      </c>
      <c r="D1353" s="6">
        <v>0</v>
      </c>
      <c r="E1353" s="6">
        <v>0</v>
      </c>
      <c r="F1353" s="6">
        <v>98.35</v>
      </c>
      <c r="G1353" s="6">
        <v>99.43</v>
      </c>
      <c r="H1353" s="6">
        <v>99.52</v>
      </c>
      <c r="I1353" s="6">
        <v>99.53</v>
      </c>
      <c r="J1353" s="6">
        <v>99.26</v>
      </c>
      <c r="K1353" s="6">
        <v>99.39</v>
      </c>
      <c r="L1353" s="6">
        <v>99.39</v>
      </c>
      <c r="M1353" s="6">
        <v>99.26</v>
      </c>
      <c r="N1353" s="6">
        <v>99.39</v>
      </c>
      <c r="O1353" s="6">
        <v>99.39</v>
      </c>
      <c r="P1353" s="6">
        <v>99.26</v>
      </c>
      <c r="Q1353" s="6">
        <v>99.39</v>
      </c>
      <c r="R1353" s="6">
        <v>99.39</v>
      </c>
    </row>
    <row r="1354" spans="2:18">
      <c r="B1354" s="6">
        <v>32671</v>
      </c>
      <c r="C1354" s="6" t="s">
        <v>1205</v>
      </c>
      <c r="D1354" s="6">
        <v>0</v>
      </c>
      <c r="E1354" s="6">
        <v>0</v>
      </c>
      <c r="F1354" s="6">
        <v>93.57</v>
      </c>
      <c r="G1354" s="6">
        <v>0</v>
      </c>
      <c r="H1354" s="6">
        <v>0</v>
      </c>
      <c r="I1354" s="6">
        <v>93.57</v>
      </c>
      <c r="J1354" s="6">
        <v>0</v>
      </c>
      <c r="K1354" s="6">
        <v>0</v>
      </c>
      <c r="L1354" s="6">
        <v>93.57</v>
      </c>
      <c r="M1354" s="6">
        <v>0</v>
      </c>
      <c r="N1354" s="6">
        <v>0</v>
      </c>
      <c r="O1354" s="6">
        <v>93.57</v>
      </c>
      <c r="P1354" s="6">
        <v>0</v>
      </c>
      <c r="Q1354" s="6">
        <v>0</v>
      </c>
      <c r="R1354" s="6">
        <v>93.57</v>
      </c>
    </row>
    <row r="1355" spans="2:18">
      <c r="B1355" s="6">
        <v>32672</v>
      </c>
      <c r="C1355" s="6" t="s">
        <v>555</v>
      </c>
      <c r="D1355" s="6">
        <v>98.58</v>
      </c>
      <c r="E1355" s="6">
        <v>98.62</v>
      </c>
      <c r="F1355" s="6">
        <v>98.49</v>
      </c>
      <c r="G1355" s="6">
        <v>98.48</v>
      </c>
      <c r="H1355" s="6">
        <v>98.4</v>
      </c>
      <c r="I1355" s="6">
        <v>98.25</v>
      </c>
      <c r="J1355" s="6">
        <v>98.64</v>
      </c>
      <c r="K1355" s="6">
        <v>98.48</v>
      </c>
      <c r="L1355" s="6">
        <v>98.3</v>
      </c>
      <c r="M1355" s="6">
        <v>98.62</v>
      </c>
      <c r="N1355" s="6">
        <v>98.46</v>
      </c>
      <c r="O1355" s="6">
        <v>98.28</v>
      </c>
      <c r="P1355" s="6">
        <v>98.52</v>
      </c>
      <c r="Q1355" s="6">
        <v>98.45</v>
      </c>
      <c r="R1355" s="6">
        <v>98.28</v>
      </c>
    </row>
    <row r="1356" spans="2:18">
      <c r="B1356" s="6">
        <v>32672</v>
      </c>
      <c r="C1356" s="6" t="s">
        <v>555</v>
      </c>
      <c r="D1356" s="6">
        <v>98.6</v>
      </c>
      <c r="E1356" s="6">
        <v>98.71</v>
      </c>
      <c r="F1356" s="6">
        <v>98.57</v>
      </c>
      <c r="G1356" s="6">
        <v>98.9</v>
      </c>
      <c r="H1356" s="6">
        <v>98.86</v>
      </c>
      <c r="I1356" s="6">
        <v>98.83</v>
      </c>
      <c r="J1356" s="6">
        <v>98.78</v>
      </c>
      <c r="K1356" s="6">
        <v>98.81</v>
      </c>
      <c r="L1356" s="6">
        <v>98.78</v>
      </c>
      <c r="M1356" s="6">
        <v>98.78</v>
      </c>
      <c r="N1356" s="6">
        <v>98.81</v>
      </c>
      <c r="O1356" s="6">
        <v>98.78</v>
      </c>
      <c r="P1356" s="6">
        <v>98.78</v>
      </c>
      <c r="Q1356" s="6">
        <v>98.81</v>
      </c>
      <c r="R1356" s="6">
        <v>98.78</v>
      </c>
    </row>
    <row r="1357" spans="2:18">
      <c r="B1357" s="6">
        <v>32672</v>
      </c>
      <c r="C1357" s="6" t="s">
        <v>555</v>
      </c>
      <c r="D1357" s="6">
        <v>96.61</v>
      </c>
      <c r="E1357" s="6">
        <v>97.55</v>
      </c>
      <c r="F1357" s="6">
        <v>97.17</v>
      </c>
      <c r="G1357" s="6">
        <v>97.43</v>
      </c>
      <c r="H1357" s="6">
        <v>97.49</v>
      </c>
      <c r="I1357" s="6">
        <v>97.36</v>
      </c>
      <c r="J1357" s="6">
        <v>97.72</v>
      </c>
      <c r="K1357" s="6">
        <v>97.84</v>
      </c>
      <c r="L1357" s="6">
        <v>97.75</v>
      </c>
      <c r="M1357" s="6">
        <v>97.72</v>
      </c>
      <c r="N1357" s="6">
        <v>97.83</v>
      </c>
      <c r="O1357" s="6">
        <v>97.74</v>
      </c>
      <c r="P1357" s="6">
        <v>97.73</v>
      </c>
      <c r="Q1357" s="6">
        <v>97.84</v>
      </c>
      <c r="R1357" s="6">
        <v>97.75</v>
      </c>
    </row>
    <row r="1358" spans="2:18">
      <c r="B1358" s="6">
        <v>32672</v>
      </c>
      <c r="C1358" s="6" t="s">
        <v>555</v>
      </c>
      <c r="D1358" s="6">
        <v>98.56</v>
      </c>
      <c r="E1358" s="6">
        <v>97.86</v>
      </c>
      <c r="F1358" s="6">
        <v>97.84</v>
      </c>
      <c r="G1358" s="6">
        <v>97.88</v>
      </c>
      <c r="H1358" s="6">
        <v>97.7</v>
      </c>
      <c r="I1358" s="6">
        <v>97.56</v>
      </c>
      <c r="J1358" s="6">
        <v>98.01</v>
      </c>
      <c r="K1358" s="6">
        <v>97.7</v>
      </c>
      <c r="L1358" s="6">
        <v>97.61</v>
      </c>
      <c r="M1358" s="6">
        <v>98.02</v>
      </c>
      <c r="N1358" s="6">
        <v>97.7</v>
      </c>
      <c r="O1358" s="6">
        <v>97.61</v>
      </c>
      <c r="P1358" s="6">
        <v>98.02</v>
      </c>
      <c r="Q1358" s="6">
        <v>97.7</v>
      </c>
      <c r="R1358" s="6">
        <v>97.61</v>
      </c>
    </row>
    <row r="1359" spans="2:18">
      <c r="B1359" s="6">
        <v>32673</v>
      </c>
      <c r="C1359" s="6" t="s">
        <v>820</v>
      </c>
      <c r="D1359" s="6">
        <v>98.51</v>
      </c>
      <c r="E1359" s="6">
        <v>98.64</v>
      </c>
      <c r="F1359" s="6">
        <v>98.59</v>
      </c>
      <c r="G1359" s="6">
        <v>98.48</v>
      </c>
      <c r="H1359" s="6">
        <v>98.4</v>
      </c>
      <c r="I1359" s="6">
        <v>98.25</v>
      </c>
      <c r="J1359" s="6">
        <v>98.64</v>
      </c>
      <c r="K1359" s="6">
        <v>98.48</v>
      </c>
      <c r="L1359" s="6">
        <v>98.3</v>
      </c>
      <c r="M1359" s="6">
        <v>98.62</v>
      </c>
      <c r="N1359" s="6">
        <v>98.46</v>
      </c>
      <c r="O1359" s="6">
        <v>98.28</v>
      </c>
      <c r="P1359" s="6">
        <v>98.52</v>
      </c>
      <c r="Q1359" s="6">
        <v>98.45</v>
      </c>
      <c r="R1359" s="6">
        <v>98.28</v>
      </c>
    </row>
    <row r="1360" spans="2:18">
      <c r="B1360" s="6">
        <v>32673</v>
      </c>
      <c r="C1360" s="6" t="s">
        <v>820</v>
      </c>
      <c r="D1360" s="6">
        <v>98.84</v>
      </c>
      <c r="E1360" s="6">
        <v>98.72</v>
      </c>
      <c r="F1360" s="6">
        <v>98.78</v>
      </c>
      <c r="G1360" s="6">
        <v>98.9</v>
      </c>
      <c r="H1360" s="6">
        <v>98.86</v>
      </c>
      <c r="I1360" s="6">
        <v>98.83</v>
      </c>
      <c r="J1360" s="6">
        <v>98.78</v>
      </c>
      <c r="K1360" s="6">
        <v>98.81</v>
      </c>
      <c r="L1360" s="6">
        <v>98.78</v>
      </c>
      <c r="M1360" s="6">
        <v>98.78</v>
      </c>
      <c r="N1360" s="6">
        <v>98.81</v>
      </c>
      <c r="O1360" s="6">
        <v>98.78</v>
      </c>
      <c r="P1360" s="6">
        <v>98.78</v>
      </c>
      <c r="Q1360" s="6">
        <v>98.81</v>
      </c>
      <c r="R1360" s="6">
        <v>98.78</v>
      </c>
    </row>
    <row r="1361" spans="2:18">
      <c r="B1361" s="6">
        <v>32673</v>
      </c>
      <c r="C1361" s="6" t="s">
        <v>820</v>
      </c>
      <c r="D1361" s="6">
        <v>98.02</v>
      </c>
      <c r="E1361" s="6">
        <v>98.3</v>
      </c>
      <c r="F1361" s="6">
        <v>98.29</v>
      </c>
      <c r="G1361" s="6">
        <v>97.43</v>
      </c>
      <c r="H1361" s="6">
        <v>97.49</v>
      </c>
      <c r="I1361" s="6">
        <v>97.36</v>
      </c>
      <c r="J1361" s="6">
        <v>97.72</v>
      </c>
      <c r="K1361" s="6">
        <v>97.84</v>
      </c>
      <c r="L1361" s="6">
        <v>97.75</v>
      </c>
      <c r="M1361" s="6">
        <v>97.72</v>
      </c>
      <c r="N1361" s="6">
        <v>97.83</v>
      </c>
      <c r="O1361" s="6">
        <v>97.74</v>
      </c>
      <c r="P1361" s="6">
        <v>97.73</v>
      </c>
      <c r="Q1361" s="6">
        <v>97.84</v>
      </c>
      <c r="R1361" s="6">
        <v>97.75</v>
      </c>
    </row>
    <row r="1362" spans="2:18">
      <c r="B1362" s="6">
        <v>32673</v>
      </c>
      <c r="C1362" s="6" t="s">
        <v>820</v>
      </c>
      <c r="D1362" s="6">
        <v>97.62</v>
      </c>
      <c r="E1362" s="6">
        <v>97.98</v>
      </c>
      <c r="F1362" s="6">
        <v>98.02</v>
      </c>
      <c r="G1362" s="6">
        <v>97.88</v>
      </c>
      <c r="H1362" s="6">
        <v>97.7</v>
      </c>
      <c r="I1362" s="6">
        <v>97.56</v>
      </c>
      <c r="J1362" s="6">
        <v>98.01</v>
      </c>
      <c r="K1362" s="6">
        <v>97.7</v>
      </c>
      <c r="L1362" s="6">
        <v>97.61</v>
      </c>
      <c r="M1362" s="6">
        <v>98.02</v>
      </c>
      <c r="N1362" s="6">
        <v>97.7</v>
      </c>
      <c r="O1362" s="6">
        <v>97.61</v>
      </c>
      <c r="P1362" s="6">
        <v>98.02</v>
      </c>
      <c r="Q1362" s="6">
        <v>97.7</v>
      </c>
      <c r="R1362" s="6">
        <v>97.61</v>
      </c>
    </row>
    <row r="1363" spans="2:18">
      <c r="B1363" s="6">
        <v>32674</v>
      </c>
      <c r="C1363" s="6" t="s">
        <v>725</v>
      </c>
      <c r="D1363" s="6">
        <v>98.59</v>
      </c>
      <c r="E1363" s="6">
        <v>98.57</v>
      </c>
      <c r="F1363" s="6">
        <v>98.54</v>
      </c>
      <c r="G1363" s="6">
        <v>98.48</v>
      </c>
      <c r="H1363" s="6">
        <v>98.4</v>
      </c>
      <c r="I1363" s="6">
        <v>98.25</v>
      </c>
      <c r="J1363" s="6">
        <v>98.64</v>
      </c>
      <c r="K1363" s="6">
        <v>98.48</v>
      </c>
      <c r="L1363" s="6">
        <v>98.3</v>
      </c>
      <c r="M1363" s="6">
        <v>98.62</v>
      </c>
      <c r="N1363" s="6">
        <v>98.46</v>
      </c>
      <c r="O1363" s="6">
        <v>98.28</v>
      </c>
      <c r="P1363" s="6">
        <v>98.52</v>
      </c>
      <c r="Q1363" s="6">
        <v>98.45</v>
      </c>
      <c r="R1363" s="6">
        <v>98.28</v>
      </c>
    </row>
    <row r="1364" spans="2:18">
      <c r="B1364" s="6">
        <v>32674</v>
      </c>
      <c r="C1364" s="6" t="s">
        <v>725</v>
      </c>
      <c r="D1364" s="6">
        <v>99.1</v>
      </c>
      <c r="E1364" s="6">
        <v>99.11</v>
      </c>
      <c r="F1364" s="6">
        <v>99.09</v>
      </c>
      <c r="G1364" s="6">
        <v>98.9</v>
      </c>
      <c r="H1364" s="6">
        <v>98.86</v>
      </c>
      <c r="I1364" s="6">
        <v>98.83</v>
      </c>
      <c r="J1364" s="6">
        <v>98.78</v>
      </c>
      <c r="K1364" s="6">
        <v>98.81</v>
      </c>
      <c r="L1364" s="6">
        <v>98.78</v>
      </c>
      <c r="M1364" s="6">
        <v>98.78</v>
      </c>
      <c r="N1364" s="6">
        <v>98.81</v>
      </c>
      <c r="O1364" s="6">
        <v>98.78</v>
      </c>
      <c r="P1364" s="6">
        <v>98.78</v>
      </c>
      <c r="Q1364" s="6">
        <v>98.81</v>
      </c>
      <c r="R1364" s="6">
        <v>98.78</v>
      </c>
    </row>
    <row r="1365" spans="2:18">
      <c r="B1365" s="6">
        <v>32674</v>
      </c>
      <c r="C1365" s="6" t="s">
        <v>725</v>
      </c>
      <c r="D1365" s="6">
        <v>97.79</v>
      </c>
      <c r="E1365" s="6">
        <v>98.08</v>
      </c>
      <c r="F1365" s="6">
        <v>97.87</v>
      </c>
      <c r="G1365" s="6">
        <v>97.43</v>
      </c>
      <c r="H1365" s="6">
        <v>97.49</v>
      </c>
      <c r="I1365" s="6">
        <v>97.36</v>
      </c>
      <c r="J1365" s="6">
        <v>97.72</v>
      </c>
      <c r="K1365" s="6">
        <v>97.84</v>
      </c>
      <c r="L1365" s="6">
        <v>97.75</v>
      </c>
      <c r="M1365" s="6">
        <v>97.72</v>
      </c>
      <c r="N1365" s="6">
        <v>97.83</v>
      </c>
      <c r="O1365" s="6">
        <v>97.74</v>
      </c>
      <c r="P1365" s="6">
        <v>97.73</v>
      </c>
      <c r="Q1365" s="6">
        <v>97.84</v>
      </c>
      <c r="R1365" s="6">
        <v>97.75</v>
      </c>
    </row>
    <row r="1366" spans="2:18">
      <c r="B1366" s="6">
        <v>32674</v>
      </c>
      <c r="C1366" s="6" t="s">
        <v>725</v>
      </c>
      <c r="D1366" s="6">
        <v>98.37</v>
      </c>
      <c r="E1366" s="6">
        <v>98.28</v>
      </c>
      <c r="F1366" s="6">
        <v>98.2</v>
      </c>
      <c r="G1366" s="6">
        <v>97.88</v>
      </c>
      <c r="H1366" s="6">
        <v>97.7</v>
      </c>
      <c r="I1366" s="6">
        <v>97.56</v>
      </c>
      <c r="J1366" s="6">
        <v>98.01</v>
      </c>
      <c r="K1366" s="6">
        <v>97.7</v>
      </c>
      <c r="L1366" s="6">
        <v>97.61</v>
      </c>
      <c r="M1366" s="6">
        <v>98.02</v>
      </c>
      <c r="N1366" s="6">
        <v>97.7</v>
      </c>
      <c r="O1366" s="6">
        <v>97.61</v>
      </c>
      <c r="P1366" s="6">
        <v>98.02</v>
      </c>
      <c r="Q1366" s="6">
        <v>97.7</v>
      </c>
      <c r="R1366" s="6">
        <v>97.61</v>
      </c>
    </row>
    <row r="1367" spans="2:18">
      <c r="B1367" s="6">
        <v>32675</v>
      </c>
      <c r="C1367" s="6" t="s">
        <v>661</v>
      </c>
      <c r="D1367" s="6">
        <v>0</v>
      </c>
      <c r="E1367" s="6">
        <v>97.3</v>
      </c>
      <c r="F1367" s="6">
        <v>98.09</v>
      </c>
      <c r="G1367" s="6">
        <v>98.48</v>
      </c>
      <c r="H1367" s="6">
        <v>98.4</v>
      </c>
      <c r="I1367" s="6">
        <v>98.25</v>
      </c>
      <c r="J1367" s="6">
        <v>98.64</v>
      </c>
      <c r="K1367" s="6">
        <v>98.48</v>
      </c>
      <c r="L1367" s="6">
        <v>98.3</v>
      </c>
      <c r="M1367" s="6">
        <v>98.62</v>
      </c>
      <c r="N1367" s="6">
        <v>98.46</v>
      </c>
      <c r="O1367" s="6">
        <v>98.28</v>
      </c>
      <c r="P1367" s="6">
        <v>98.52</v>
      </c>
      <c r="Q1367" s="6">
        <v>98.45</v>
      </c>
      <c r="R1367" s="6">
        <v>98.28</v>
      </c>
    </row>
    <row r="1368" spans="2:18">
      <c r="B1368" s="6">
        <v>32675</v>
      </c>
      <c r="C1368" s="6" t="s">
        <v>661</v>
      </c>
      <c r="D1368" s="6">
        <v>0</v>
      </c>
      <c r="E1368" s="6">
        <v>98.93</v>
      </c>
      <c r="F1368" s="6">
        <v>99.06</v>
      </c>
      <c r="G1368" s="6">
        <v>98.9</v>
      </c>
      <c r="H1368" s="6">
        <v>98.86</v>
      </c>
      <c r="I1368" s="6">
        <v>98.83</v>
      </c>
      <c r="J1368" s="6">
        <v>98.78</v>
      </c>
      <c r="K1368" s="6">
        <v>98.81</v>
      </c>
      <c r="L1368" s="6">
        <v>98.78</v>
      </c>
      <c r="M1368" s="6">
        <v>98.78</v>
      </c>
      <c r="N1368" s="6">
        <v>98.81</v>
      </c>
      <c r="O1368" s="6">
        <v>98.78</v>
      </c>
      <c r="P1368" s="6">
        <v>98.78</v>
      </c>
      <c r="Q1368" s="6">
        <v>98.81</v>
      </c>
      <c r="R1368" s="6">
        <v>98.78</v>
      </c>
    </row>
    <row r="1369" spans="2:18">
      <c r="B1369" s="6">
        <v>32675</v>
      </c>
      <c r="C1369" s="6" t="s">
        <v>661</v>
      </c>
      <c r="D1369" s="6">
        <v>0</v>
      </c>
      <c r="E1369" s="6">
        <v>97.4</v>
      </c>
      <c r="F1369" s="6">
        <v>97.69</v>
      </c>
      <c r="G1369" s="6">
        <v>97.43</v>
      </c>
      <c r="H1369" s="6">
        <v>97.49</v>
      </c>
      <c r="I1369" s="6">
        <v>97.36</v>
      </c>
      <c r="J1369" s="6">
        <v>97.72</v>
      </c>
      <c r="K1369" s="6">
        <v>97.84</v>
      </c>
      <c r="L1369" s="6">
        <v>97.75</v>
      </c>
      <c r="M1369" s="6">
        <v>97.72</v>
      </c>
      <c r="N1369" s="6">
        <v>97.83</v>
      </c>
      <c r="O1369" s="6">
        <v>97.74</v>
      </c>
      <c r="P1369" s="6">
        <v>97.73</v>
      </c>
      <c r="Q1369" s="6">
        <v>97.84</v>
      </c>
      <c r="R1369" s="6">
        <v>97.75</v>
      </c>
    </row>
    <row r="1370" spans="2:18">
      <c r="B1370" s="6">
        <v>32675</v>
      </c>
      <c r="C1370" s="6" t="s">
        <v>661</v>
      </c>
      <c r="D1370" s="6">
        <v>0</v>
      </c>
      <c r="E1370" s="6">
        <v>96.4</v>
      </c>
      <c r="F1370" s="6">
        <v>97.24</v>
      </c>
      <c r="G1370" s="6">
        <v>97.88</v>
      </c>
      <c r="H1370" s="6">
        <v>97.7</v>
      </c>
      <c r="I1370" s="6">
        <v>97.56</v>
      </c>
      <c r="J1370" s="6">
        <v>98.01</v>
      </c>
      <c r="K1370" s="6">
        <v>97.7</v>
      </c>
      <c r="L1370" s="6">
        <v>97.61</v>
      </c>
      <c r="M1370" s="6">
        <v>98.02</v>
      </c>
      <c r="N1370" s="6">
        <v>97.7</v>
      </c>
      <c r="O1370" s="6">
        <v>97.61</v>
      </c>
      <c r="P1370" s="6">
        <v>98.02</v>
      </c>
      <c r="Q1370" s="6">
        <v>97.7</v>
      </c>
      <c r="R1370" s="6">
        <v>97.61</v>
      </c>
    </row>
    <row r="1371" spans="2:18">
      <c r="B1371" s="6">
        <v>32676</v>
      </c>
      <c r="C1371" s="6" t="s">
        <v>1078</v>
      </c>
      <c r="D1371" s="6">
        <v>0</v>
      </c>
      <c r="E1371" s="6">
        <v>0</v>
      </c>
      <c r="F1371" s="6">
        <v>92.59</v>
      </c>
      <c r="G1371" s="6">
        <v>95.22</v>
      </c>
      <c r="H1371" s="6">
        <v>95.27</v>
      </c>
      <c r="I1371" s="6">
        <v>92.98</v>
      </c>
      <c r="J1371" s="6">
        <v>95.22</v>
      </c>
      <c r="K1371" s="6">
        <v>95.27</v>
      </c>
      <c r="L1371" s="6">
        <v>92.98</v>
      </c>
      <c r="M1371" s="6">
        <v>98.62</v>
      </c>
      <c r="N1371" s="6">
        <v>98.46</v>
      </c>
      <c r="O1371" s="6">
        <v>98.28</v>
      </c>
      <c r="P1371" s="6">
        <v>98.52</v>
      </c>
      <c r="Q1371" s="6">
        <v>98.45</v>
      </c>
      <c r="R1371" s="6">
        <v>98.28</v>
      </c>
    </row>
    <row r="1372" spans="2:18">
      <c r="B1372" s="6">
        <v>32676</v>
      </c>
      <c r="C1372" s="6" t="s">
        <v>1078</v>
      </c>
      <c r="D1372" s="6">
        <v>0</v>
      </c>
      <c r="E1372" s="6">
        <v>0</v>
      </c>
      <c r="F1372" s="6">
        <v>84.95</v>
      </c>
      <c r="G1372" s="6">
        <v>0</v>
      </c>
      <c r="H1372" s="6">
        <v>0</v>
      </c>
      <c r="I1372" s="6">
        <v>85.17</v>
      </c>
      <c r="J1372" s="6">
        <v>0</v>
      </c>
      <c r="K1372" s="6">
        <v>0</v>
      </c>
      <c r="L1372" s="6">
        <v>85.17</v>
      </c>
      <c r="M1372" s="6">
        <v>87.08</v>
      </c>
      <c r="N1372" s="6">
        <v>94.95</v>
      </c>
      <c r="O1372" s="6">
        <v>89.9</v>
      </c>
      <c r="P1372" s="6">
        <v>96.61</v>
      </c>
      <c r="Q1372" s="6">
        <v>97.38</v>
      </c>
      <c r="R1372" s="6">
        <v>96.74</v>
      </c>
    </row>
    <row r="1373" spans="2:18">
      <c r="B1373" s="6">
        <v>32676</v>
      </c>
      <c r="C1373" s="6" t="s">
        <v>1078</v>
      </c>
      <c r="D1373" s="6">
        <v>0</v>
      </c>
      <c r="E1373" s="6">
        <v>0</v>
      </c>
      <c r="F1373" s="6">
        <v>84.95</v>
      </c>
      <c r="G1373" s="6">
        <v>0</v>
      </c>
      <c r="H1373" s="6">
        <v>0</v>
      </c>
      <c r="I1373" s="6">
        <v>85.17</v>
      </c>
      <c r="J1373" s="6">
        <v>0</v>
      </c>
      <c r="K1373" s="6">
        <v>0</v>
      </c>
      <c r="L1373" s="6">
        <v>85.17</v>
      </c>
      <c r="M1373" s="6">
        <v>87.08</v>
      </c>
      <c r="N1373" s="6">
        <v>94.95</v>
      </c>
      <c r="O1373" s="6">
        <v>89.9</v>
      </c>
      <c r="P1373" s="6">
        <v>96.61</v>
      </c>
      <c r="Q1373" s="6">
        <v>97.38</v>
      </c>
      <c r="R1373" s="6">
        <v>96.74</v>
      </c>
    </row>
    <row r="1374" spans="2:18">
      <c r="B1374" s="6">
        <v>32676</v>
      </c>
      <c r="C1374" s="6" t="s">
        <v>1078</v>
      </c>
      <c r="D1374" s="6">
        <v>0</v>
      </c>
      <c r="E1374" s="6">
        <v>0</v>
      </c>
      <c r="F1374" s="6">
        <v>69.23</v>
      </c>
      <c r="G1374" s="6">
        <v>98.74</v>
      </c>
      <c r="H1374" s="6">
        <v>98.8</v>
      </c>
      <c r="I1374" s="6">
        <v>98.7</v>
      </c>
      <c r="J1374" s="6">
        <v>98.74</v>
      </c>
      <c r="K1374" s="6">
        <v>98.8</v>
      </c>
      <c r="L1374" s="6">
        <v>98.7</v>
      </c>
      <c r="M1374" s="6">
        <v>98.74</v>
      </c>
      <c r="N1374" s="6">
        <v>98.8</v>
      </c>
      <c r="O1374" s="6">
        <v>98.7</v>
      </c>
      <c r="P1374" s="6">
        <v>98.74</v>
      </c>
      <c r="Q1374" s="6">
        <v>98.8</v>
      </c>
      <c r="R1374" s="6">
        <v>98.7</v>
      </c>
    </row>
    <row r="1375" spans="2:18">
      <c r="B1375" s="6">
        <v>32677</v>
      </c>
      <c r="C1375" s="6" t="s">
        <v>1097</v>
      </c>
      <c r="D1375" s="6">
        <v>0</v>
      </c>
      <c r="E1375" s="6">
        <v>0</v>
      </c>
      <c r="F1375" s="6">
        <v>94.12</v>
      </c>
      <c r="G1375" s="6">
        <v>95.22</v>
      </c>
      <c r="H1375" s="6">
        <v>95.27</v>
      </c>
      <c r="I1375" s="6">
        <v>92.98</v>
      </c>
      <c r="J1375" s="6">
        <v>95.22</v>
      </c>
      <c r="K1375" s="6">
        <v>95.27</v>
      </c>
      <c r="L1375" s="6">
        <v>92.98</v>
      </c>
      <c r="M1375" s="6">
        <v>98.62</v>
      </c>
      <c r="N1375" s="6">
        <v>98.46</v>
      </c>
      <c r="O1375" s="6">
        <v>98.28</v>
      </c>
      <c r="P1375" s="6">
        <v>98.52</v>
      </c>
      <c r="Q1375" s="6">
        <v>98.45</v>
      </c>
      <c r="R1375" s="6">
        <v>98.28</v>
      </c>
    </row>
    <row r="1376" spans="2:18">
      <c r="B1376" s="6">
        <v>32677</v>
      </c>
      <c r="C1376" s="6" t="s">
        <v>1097</v>
      </c>
      <c r="D1376" s="6">
        <v>0</v>
      </c>
      <c r="E1376" s="6">
        <v>0</v>
      </c>
      <c r="F1376" s="6">
        <v>85.11</v>
      </c>
      <c r="G1376" s="6">
        <v>0</v>
      </c>
      <c r="H1376" s="6">
        <v>0</v>
      </c>
      <c r="I1376" s="6">
        <v>85.17</v>
      </c>
      <c r="J1376" s="6">
        <v>0</v>
      </c>
      <c r="K1376" s="6">
        <v>0</v>
      </c>
      <c r="L1376" s="6">
        <v>85.17</v>
      </c>
      <c r="M1376" s="6">
        <v>87.08</v>
      </c>
      <c r="N1376" s="6">
        <v>94.95</v>
      </c>
      <c r="O1376" s="6">
        <v>89.9</v>
      </c>
      <c r="P1376" s="6">
        <v>96.61</v>
      </c>
      <c r="Q1376" s="6">
        <v>97.38</v>
      </c>
      <c r="R1376" s="6">
        <v>96.74</v>
      </c>
    </row>
    <row r="1377" spans="2:18">
      <c r="B1377" s="6">
        <v>32677</v>
      </c>
      <c r="C1377" s="6" t="s">
        <v>1097</v>
      </c>
      <c r="D1377" s="6">
        <v>0</v>
      </c>
      <c r="E1377" s="6">
        <v>0</v>
      </c>
      <c r="F1377" s="6">
        <v>85.11</v>
      </c>
      <c r="G1377" s="6">
        <v>0</v>
      </c>
      <c r="H1377" s="6">
        <v>0</v>
      </c>
      <c r="I1377" s="6">
        <v>85.17</v>
      </c>
      <c r="J1377" s="6">
        <v>0</v>
      </c>
      <c r="K1377" s="6">
        <v>0</v>
      </c>
      <c r="L1377" s="6">
        <v>85.17</v>
      </c>
      <c r="M1377" s="6">
        <v>87.08</v>
      </c>
      <c r="N1377" s="6">
        <v>94.95</v>
      </c>
      <c r="O1377" s="6">
        <v>89.9</v>
      </c>
      <c r="P1377" s="6">
        <v>96.61</v>
      </c>
      <c r="Q1377" s="6">
        <v>97.38</v>
      </c>
      <c r="R1377" s="6">
        <v>96.74</v>
      </c>
    </row>
    <row r="1378" spans="2:18">
      <c r="B1378" s="6">
        <v>32677</v>
      </c>
      <c r="C1378" s="6" t="s">
        <v>1097</v>
      </c>
      <c r="D1378" s="6">
        <v>0</v>
      </c>
      <c r="E1378" s="6">
        <v>0</v>
      </c>
      <c r="F1378" s="6">
        <v>85.11</v>
      </c>
      <c r="G1378" s="6">
        <v>0</v>
      </c>
      <c r="H1378" s="6">
        <v>0</v>
      </c>
      <c r="I1378" s="6">
        <v>85.17</v>
      </c>
      <c r="J1378" s="6">
        <v>0</v>
      </c>
      <c r="K1378" s="6">
        <v>0</v>
      </c>
      <c r="L1378" s="6">
        <v>85.17</v>
      </c>
      <c r="M1378" s="6">
        <v>87.08</v>
      </c>
      <c r="N1378" s="6">
        <v>94.95</v>
      </c>
      <c r="O1378" s="6">
        <v>89.9</v>
      </c>
      <c r="P1378" s="6">
        <v>96.61</v>
      </c>
      <c r="Q1378" s="6">
        <v>97.38</v>
      </c>
      <c r="R1378" s="6">
        <v>96.74</v>
      </c>
    </row>
    <row r="1379" spans="2:18">
      <c r="B1379" s="6">
        <v>32677</v>
      </c>
      <c r="C1379" s="6" t="s">
        <v>1097</v>
      </c>
      <c r="D1379" s="6">
        <v>0</v>
      </c>
      <c r="E1379" s="6">
        <v>0</v>
      </c>
      <c r="F1379" s="6">
        <v>87.18</v>
      </c>
      <c r="G1379" s="6">
        <v>98.74</v>
      </c>
      <c r="H1379" s="6">
        <v>98.8</v>
      </c>
      <c r="I1379" s="6">
        <v>98.7</v>
      </c>
      <c r="J1379" s="6">
        <v>98.74</v>
      </c>
      <c r="K1379" s="6">
        <v>98.8</v>
      </c>
      <c r="L1379" s="6">
        <v>98.7</v>
      </c>
      <c r="M1379" s="6">
        <v>98.74</v>
      </c>
      <c r="N1379" s="6">
        <v>98.8</v>
      </c>
      <c r="O1379" s="6">
        <v>98.7</v>
      </c>
      <c r="P1379" s="6">
        <v>98.74</v>
      </c>
      <c r="Q1379" s="6">
        <v>98.8</v>
      </c>
      <c r="R1379" s="6">
        <v>98.7</v>
      </c>
    </row>
    <row r="1380" spans="2:18">
      <c r="B1380" s="6">
        <v>32678</v>
      </c>
      <c r="C1380" s="6" t="s">
        <v>1202</v>
      </c>
      <c r="D1380" s="6">
        <v>0</v>
      </c>
      <c r="E1380" s="6">
        <v>0</v>
      </c>
      <c r="F1380" s="6">
        <v>63.64</v>
      </c>
      <c r="G1380" s="6">
        <v>0</v>
      </c>
      <c r="H1380" s="6">
        <v>0</v>
      </c>
      <c r="I1380" s="6">
        <v>63.64</v>
      </c>
      <c r="J1380" s="6">
        <v>97.8</v>
      </c>
      <c r="K1380" s="6">
        <v>95.81</v>
      </c>
      <c r="L1380" s="6">
        <v>92.55</v>
      </c>
      <c r="M1380" s="6">
        <v>97.8</v>
      </c>
      <c r="N1380" s="6">
        <v>95.81</v>
      </c>
      <c r="O1380" s="6">
        <v>92.43</v>
      </c>
      <c r="P1380" s="6">
        <v>97.23</v>
      </c>
      <c r="Q1380" s="6">
        <v>95.67</v>
      </c>
      <c r="R1380" s="6">
        <v>93.87</v>
      </c>
    </row>
    <row r="1381" spans="2:18">
      <c r="B1381" s="6">
        <v>32678</v>
      </c>
      <c r="C1381" s="6" t="s">
        <v>1202</v>
      </c>
      <c r="D1381" s="6">
        <v>0</v>
      </c>
      <c r="E1381" s="6">
        <v>0</v>
      </c>
      <c r="F1381" s="6">
        <v>96.73</v>
      </c>
      <c r="G1381" s="6">
        <v>0</v>
      </c>
      <c r="H1381" s="6">
        <v>0</v>
      </c>
      <c r="I1381" s="6">
        <v>96.73</v>
      </c>
      <c r="J1381" s="6">
        <v>94.14</v>
      </c>
      <c r="K1381" s="6">
        <v>95.21</v>
      </c>
      <c r="L1381" s="6">
        <v>95.51</v>
      </c>
      <c r="M1381" s="6">
        <v>94.14</v>
      </c>
      <c r="N1381" s="6">
        <v>95.21</v>
      </c>
      <c r="O1381" s="6">
        <v>95.13</v>
      </c>
      <c r="P1381" s="6">
        <v>92.91</v>
      </c>
      <c r="Q1381" s="6">
        <v>94.84</v>
      </c>
      <c r="R1381" s="6">
        <v>94.98</v>
      </c>
    </row>
    <row r="1382" spans="2:18">
      <c r="B1382" s="6">
        <v>32680</v>
      </c>
      <c r="C1382" s="6" t="s">
        <v>1187</v>
      </c>
      <c r="D1382" s="6">
        <v>0</v>
      </c>
      <c r="E1382" s="6">
        <v>90.93</v>
      </c>
      <c r="F1382" s="6">
        <v>90.93</v>
      </c>
      <c r="G1382" s="6">
        <v>80.86</v>
      </c>
      <c r="H1382" s="6">
        <v>83.63</v>
      </c>
      <c r="I1382" s="6">
        <v>83.96</v>
      </c>
      <c r="J1382" s="6">
        <v>80.86</v>
      </c>
      <c r="K1382" s="6">
        <v>83.63</v>
      </c>
      <c r="L1382" s="6">
        <v>83.87</v>
      </c>
      <c r="M1382" s="6">
        <v>80.86</v>
      </c>
      <c r="N1382" s="6">
        <v>83.63</v>
      </c>
      <c r="O1382" s="6">
        <v>83.87</v>
      </c>
      <c r="P1382" s="6">
        <v>80.86</v>
      </c>
      <c r="Q1382" s="6">
        <v>83.63</v>
      </c>
      <c r="R1382" s="6">
        <v>83.87</v>
      </c>
    </row>
    <row r="1383" spans="2:18">
      <c r="B1383" s="6">
        <v>32680</v>
      </c>
      <c r="C1383" s="6" t="s">
        <v>1187</v>
      </c>
      <c r="D1383" s="6">
        <v>0</v>
      </c>
      <c r="E1383" s="6">
        <v>90.65</v>
      </c>
      <c r="F1383" s="6">
        <v>90.65</v>
      </c>
      <c r="G1383" s="6">
        <v>76.67</v>
      </c>
      <c r="H1383" s="6">
        <v>80.45</v>
      </c>
      <c r="I1383" s="6">
        <v>78.739999999999995</v>
      </c>
      <c r="J1383" s="6">
        <v>76.67</v>
      </c>
      <c r="K1383" s="6">
        <v>80.45</v>
      </c>
      <c r="L1383" s="6">
        <v>78.739999999999995</v>
      </c>
      <c r="M1383" s="6">
        <v>76.67</v>
      </c>
      <c r="N1383" s="6">
        <v>80.45</v>
      </c>
      <c r="O1383" s="6">
        <v>78.739999999999995</v>
      </c>
      <c r="P1383" s="6">
        <v>76.67</v>
      </c>
      <c r="Q1383" s="6">
        <v>80.45</v>
      </c>
      <c r="R1383" s="6">
        <v>78.739999999999995</v>
      </c>
    </row>
    <row r="1384" spans="2:18">
      <c r="B1384" s="6">
        <v>32681</v>
      </c>
      <c r="C1384" s="6" t="s">
        <v>1146</v>
      </c>
      <c r="D1384" s="6">
        <v>45.3</v>
      </c>
      <c r="E1384" s="6">
        <v>47.74</v>
      </c>
      <c r="F1384" s="6">
        <v>52.27</v>
      </c>
      <c r="G1384" s="6">
        <v>45.3</v>
      </c>
      <c r="H1384" s="6">
        <v>35.630000000000003</v>
      </c>
      <c r="I1384" s="6">
        <v>41.93</v>
      </c>
      <c r="J1384" s="6">
        <v>45.3</v>
      </c>
      <c r="K1384" s="6">
        <v>35.630000000000003</v>
      </c>
      <c r="L1384" s="6">
        <v>41.93</v>
      </c>
      <c r="M1384" s="6">
        <v>45.3</v>
      </c>
      <c r="N1384" s="6">
        <v>35.630000000000003</v>
      </c>
      <c r="O1384" s="6">
        <v>41.93</v>
      </c>
      <c r="P1384" s="6">
        <v>53.45</v>
      </c>
      <c r="Q1384" s="6">
        <v>47.12</v>
      </c>
      <c r="R1384" s="6">
        <v>50.07</v>
      </c>
    </row>
    <row r="1385" spans="2:18">
      <c r="B1385" s="6">
        <v>32683</v>
      </c>
      <c r="C1385" s="6" t="s">
        <v>1151</v>
      </c>
      <c r="D1385" s="6">
        <v>38.479999999999997</v>
      </c>
      <c r="E1385" s="6">
        <v>38.479999999999997</v>
      </c>
      <c r="F1385" s="6">
        <v>34.75</v>
      </c>
      <c r="G1385" s="6">
        <v>38.479999999999997</v>
      </c>
      <c r="H1385" s="6">
        <v>38.479999999999997</v>
      </c>
      <c r="I1385" s="6">
        <v>36.520000000000003</v>
      </c>
      <c r="J1385" s="6">
        <v>38.479999999999997</v>
      </c>
      <c r="K1385" s="6">
        <v>38.479999999999997</v>
      </c>
      <c r="L1385" s="6">
        <v>36.520000000000003</v>
      </c>
      <c r="M1385" s="6">
        <v>38.479999999999997</v>
      </c>
      <c r="N1385" s="6">
        <v>38.479999999999997</v>
      </c>
      <c r="O1385" s="6">
        <v>36.520000000000003</v>
      </c>
      <c r="P1385" s="6">
        <v>38.479999999999997</v>
      </c>
      <c r="Q1385" s="6">
        <v>38.479999999999997</v>
      </c>
      <c r="R1385" s="6">
        <v>36.520000000000003</v>
      </c>
    </row>
    <row r="1386" spans="2:18">
      <c r="B1386" s="6">
        <v>32684</v>
      </c>
      <c r="C1386" s="6" t="s">
        <v>1144</v>
      </c>
      <c r="D1386" s="6">
        <v>0</v>
      </c>
      <c r="E1386" s="6">
        <v>0</v>
      </c>
      <c r="F1386" s="6">
        <v>41.21</v>
      </c>
      <c r="G1386" s="6">
        <v>38.479999999999997</v>
      </c>
      <c r="H1386" s="6">
        <v>38.479999999999997</v>
      </c>
      <c r="I1386" s="6">
        <v>36.520000000000003</v>
      </c>
      <c r="J1386" s="6">
        <v>38.479999999999997</v>
      </c>
      <c r="K1386" s="6">
        <v>38.479999999999997</v>
      </c>
      <c r="L1386" s="6">
        <v>36.520000000000003</v>
      </c>
      <c r="M1386" s="6">
        <v>38.479999999999997</v>
      </c>
      <c r="N1386" s="6">
        <v>38.479999999999997</v>
      </c>
      <c r="O1386" s="6">
        <v>36.520000000000003</v>
      </c>
      <c r="P1386" s="6">
        <v>38.479999999999997</v>
      </c>
      <c r="Q1386" s="6">
        <v>38.479999999999997</v>
      </c>
      <c r="R1386" s="6">
        <v>36.520000000000003</v>
      </c>
    </row>
    <row r="1387" spans="2:18">
      <c r="B1387" s="6">
        <v>32686</v>
      </c>
      <c r="C1387" s="6" t="s">
        <v>1020</v>
      </c>
      <c r="D1387" s="6">
        <v>0</v>
      </c>
      <c r="E1387" s="6">
        <v>0</v>
      </c>
      <c r="F1387" s="6">
        <v>83.12</v>
      </c>
      <c r="G1387" s="6">
        <v>96.77</v>
      </c>
      <c r="H1387" s="6">
        <v>97.74</v>
      </c>
      <c r="I1387" s="6">
        <v>96.78</v>
      </c>
      <c r="J1387" s="6">
        <v>98.23</v>
      </c>
      <c r="K1387" s="6">
        <v>98.19</v>
      </c>
      <c r="L1387" s="6">
        <v>98.1</v>
      </c>
      <c r="M1387" s="6">
        <v>98.23</v>
      </c>
      <c r="N1387" s="6">
        <v>98.19</v>
      </c>
      <c r="O1387" s="6">
        <v>98.1</v>
      </c>
      <c r="P1387" s="6">
        <v>98.04</v>
      </c>
      <c r="Q1387" s="6">
        <v>98.09</v>
      </c>
      <c r="R1387" s="6">
        <v>97.91</v>
      </c>
    </row>
    <row r="1388" spans="2:18">
      <c r="B1388" s="6">
        <v>32686</v>
      </c>
      <c r="C1388" s="6" t="s">
        <v>1020</v>
      </c>
      <c r="D1388" s="6">
        <v>0</v>
      </c>
      <c r="E1388" s="6">
        <v>0</v>
      </c>
      <c r="F1388" s="6">
        <v>97.56</v>
      </c>
      <c r="G1388" s="6">
        <v>0</v>
      </c>
      <c r="H1388" s="6">
        <v>0</v>
      </c>
      <c r="I1388" s="6">
        <v>97.56</v>
      </c>
      <c r="J1388" s="6">
        <v>0</v>
      </c>
      <c r="K1388" s="6">
        <v>0</v>
      </c>
      <c r="L1388" s="6">
        <v>96.91</v>
      </c>
      <c r="M1388" s="6">
        <v>0</v>
      </c>
      <c r="N1388" s="6">
        <v>0</v>
      </c>
      <c r="O1388" s="6">
        <v>96.91</v>
      </c>
      <c r="P1388" s="6">
        <v>0</v>
      </c>
      <c r="Q1388" s="6">
        <v>0</v>
      </c>
      <c r="R1388" s="6">
        <v>96.91</v>
      </c>
    </row>
    <row r="1389" spans="2:18">
      <c r="B1389" s="6">
        <v>32686</v>
      </c>
      <c r="C1389" s="6" t="s">
        <v>1020</v>
      </c>
      <c r="D1389" s="6">
        <v>0</v>
      </c>
      <c r="E1389" s="6">
        <v>0</v>
      </c>
      <c r="F1389" s="6">
        <v>96.25</v>
      </c>
      <c r="G1389" s="6">
        <v>99.56</v>
      </c>
      <c r="H1389" s="6">
        <v>99.17</v>
      </c>
      <c r="I1389" s="6">
        <v>99.23</v>
      </c>
      <c r="J1389" s="6">
        <v>99.26</v>
      </c>
      <c r="K1389" s="6">
        <v>99.39</v>
      </c>
      <c r="L1389" s="6">
        <v>99.39</v>
      </c>
      <c r="M1389" s="6">
        <v>99.26</v>
      </c>
      <c r="N1389" s="6">
        <v>99.39</v>
      </c>
      <c r="O1389" s="6">
        <v>99.39</v>
      </c>
      <c r="P1389" s="6">
        <v>99.26</v>
      </c>
      <c r="Q1389" s="6">
        <v>99.39</v>
      </c>
      <c r="R1389" s="6">
        <v>99.39</v>
      </c>
    </row>
    <row r="1390" spans="2:18">
      <c r="B1390" s="6">
        <v>32686</v>
      </c>
      <c r="C1390" s="6" t="s">
        <v>1020</v>
      </c>
      <c r="D1390" s="6">
        <v>0</v>
      </c>
      <c r="E1390" s="6">
        <v>0</v>
      </c>
      <c r="F1390" s="6">
        <v>96.47</v>
      </c>
      <c r="G1390" s="6">
        <v>0</v>
      </c>
      <c r="H1390" s="6">
        <v>0</v>
      </c>
      <c r="I1390" s="6">
        <v>97.94</v>
      </c>
      <c r="J1390" s="6">
        <v>89.78</v>
      </c>
      <c r="K1390" s="6">
        <v>89.78</v>
      </c>
      <c r="L1390" s="6">
        <v>97.82</v>
      </c>
      <c r="M1390" s="6">
        <v>89.78</v>
      </c>
      <c r="N1390" s="6">
        <v>89.78</v>
      </c>
      <c r="O1390" s="6">
        <v>97.82</v>
      </c>
      <c r="P1390" s="6">
        <v>89.78</v>
      </c>
      <c r="Q1390" s="6">
        <v>89.78</v>
      </c>
      <c r="R1390" s="6">
        <v>97.82</v>
      </c>
    </row>
    <row r="1391" spans="2:18">
      <c r="B1391" s="6">
        <v>32687</v>
      </c>
      <c r="C1391" s="6" t="s">
        <v>834</v>
      </c>
      <c r="D1391" s="6">
        <v>98.7</v>
      </c>
      <c r="E1391" s="6">
        <v>98.52</v>
      </c>
      <c r="F1391" s="6">
        <v>98.55</v>
      </c>
      <c r="G1391" s="6">
        <v>98.74</v>
      </c>
      <c r="H1391" s="6">
        <v>98.55</v>
      </c>
      <c r="I1391" s="6">
        <v>98.22</v>
      </c>
      <c r="J1391" s="6">
        <v>98.64</v>
      </c>
      <c r="K1391" s="6">
        <v>98.48</v>
      </c>
      <c r="L1391" s="6">
        <v>98.3</v>
      </c>
      <c r="M1391" s="6">
        <v>98.62</v>
      </c>
      <c r="N1391" s="6">
        <v>98.46</v>
      </c>
      <c r="O1391" s="6">
        <v>98.28</v>
      </c>
      <c r="P1391" s="6">
        <v>98.52</v>
      </c>
      <c r="Q1391" s="6">
        <v>98.45</v>
      </c>
      <c r="R1391" s="6">
        <v>98.28</v>
      </c>
    </row>
    <row r="1392" spans="2:18">
      <c r="B1392" s="6">
        <v>32687</v>
      </c>
      <c r="C1392" s="6" t="s">
        <v>834</v>
      </c>
      <c r="D1392" s="6">
        <v>98.72</v>
      </c>
      <c r="E1392" s="6">
        <v>98.79</v>
      </c>
      <c r="F1392" s="6">
        <v>98.73</v>
      </c>
      <c r="G1392" s="6">
        <v>98.62</v>
      </c>
      <c r="H1392" s="6">
        <v>98.73</v>
      </c>
      <c r="I1392" s="6">
        <v>98.74</v>
      </c>
      <c r="J1392" s="6">
        <v>98.78</v>
      </c>
      <c r="K1392" s="6">
        <v>98.81</v>
      </c>
      <c r="L1392" s="6">
        <v>98.78</v>
      </c>
      <c r="M1392" s="6">
        <v>98.78</v>
      </c>
      <c r="N1392" s="6">
        <v>98.81</v>
      </c>
      <c r="O1392" s="6">
        <v>98.78</v>
      </c>
      <c r="P1392" s="6">
        <v>98.78</v>
      </c>
      <c r="Q1392" s="6">
        <v>98.81</v>
      </c>
      <c r="R1392" s="6">
        <v>98.78</v>
      </c>
    </row>
    <row r="1393" spans="2:18">
      <c r="B1393" s="6">
        <v>32687</v>
      </c>
      <c r="C1393" s="6" t="s">
        <v>834</v>
      </c>
      <c r="D1393" s="6">
        <v>98.51</v>
      </c>
      <c r="E1393" s="6">
        <v>98.48</v>
      </c>
      <c r="F1393" s="6">
        <v>98.37</v>
      </c>
      <c r="G1393" s="6">
        <v>97.49</v>
      </c>
      <c r="H1393" s="6">
        <v>97.66</v>
      </c>
      <c r="I1393" s="6">
        <v>97.52</v>
      </c>
      <c r="J1393" s="6">
        <v>97.72</v>
      </c>
      <c r="K1393" s="6">
        <v>97.84</v>
      </c>
      <c r="L1393" s="6">
        <v>97.75</v>
      </c>
      <c r="M1393" s="6">
        <v>97.72</v>
      </c>
      <c r="N1393" s="6">
        <v>97.83</v>
      </c>
      <c r="O1393" s="6">
        <v>97.74</v>
      </c>
      <c r="P1393" s="6">
        <v>97.73</v>
      </c>
      <c r="Q1393" s="6">
        <v>97.84</v>
      </c>
      <c r="R1393" s="6">
        <v>97.75</v>
      </c>
    </row>
    <row r="1394" spans="2:18">
      <c r="B1394" s="6">
        <v>32687</v>
      </c>
      <c r="C1394" s="6" t="s">
        <v>834</v>
      </c>
      <c r="D1394" s="6">
        <v>98.07</v>
      </c>
      <c r="E1394" s="6">
        <v>97.74</v>
      </c>
      <c r="F1394" s="6">
        <v>97.78</v>
      </c>
      <c r="G1394" s="6">
        <v>98.15</v>
      </c>
      <c r="H1394" s="6">
        <v>97.53</v>
      </c>
      <c r="I1394" s="6">
        <v>97.49</v>
      </c>
      <c r="J1394" s="6">
        <v>98.01</v>
      </c>
      <c r="K1394" s="6">
        <v>97.7</v>
      </c>
      <c r="L1394" s="6">
        <v>97.61</v>
      </c>
      <c r="M1394" s="6">
        <v>98.02</v>
      </c>
      <c r="N1394" s="6">
        <v>97.7</v>
      </c>
      <c r="O1394" s="6">
        <v>97.61</v>
      </c>
      <c r="P1394" s="6">
        <v>98.02</v>
      </c>
      <c r="Q1394" s="6">
        <v>97.7</v>
      </c>
      <c r="R1394" s="6">
        <v>97.61</v>
      </c>
    </row>
    <row r="1395" spans="2:18">
      <c r="B1395" s="6">
        <v>32688</v>
      </c>
      <c r="C1395" s="6" t="s">
        <v>795</v>
      </c>
      <c r="D1395" s="6">
        <v>99.07</v>
      </c>
      <c r="E1395" s="6">
        <v>99.07</v>
      </c>
      <c r="F1395" s="6">
        <v>98.82</v>
      </c>
      <c r="G1395" s="6">
        <v>98.74</v>
      </c>
      <c r="H1395" s="6">
        <v>98.55</v>
      </c>
      <c r="I1395" s="6">
        <v>98.22</v>
      </c>
      <c r="J1395" s="6">
        <v>98.64</v>
      </c>
      <c r="K1395" s="6">
        <v>98.48</v>
      </c>
      <c r="L1395" s="6">
        <v>98.3</v>
      </c>
      <c r="M1395" s="6">
        <v>98.62</v>
      </c>
      <c r="N1395" s="6">
        <v>98.46</v>
      </c>
      <c r="O1395" s="6">
        <v>98.28</v>
      </c>
      <c r="P1395" s="6">
        <v>98.52</v>
      </c>
      <c r="Q1395" s="6">
        <v>98.45</v>
      </c>
      <c r="R1395" s="6">
        <v>98.28</v>
      </c>
    </row>
    <row r="1396" spans="2:18">
      <c r="B1396" s="6">
        <v>32688</v>
      </c>
      <c r="C1396" s="6" t="s">
        <v>795</v>
      </c>
      <c r="D1396" s="6">
        <v>97.73</v>
      </c>
      <c r="E1396" s="6">
        <v>98.41</v>
      </c>
      <c r="F1396" s="6">
        <v>98.58</v>
      </c>
      <c r="G1396" s="6">
        <v>98.62</v>
      </c>
      <c r="H1396" s="6">
        <v>98.73</v>
      </c>
      <c r="I1396" s="6">
        <v>98.74</v>
      </c>
      <c r="J1396" s="6">
        <v>98.78</v>
      </c>
      <c r="K1396" s="6">
        <v>98.81</v>
      </c>
      <c r="L1396" s="6">
        <v>98.78</v>
      </c>
      <c r="M1396" s="6">
        <v>98.78</v>
      </c>
      <c r="N1396" s="6">
        <v>98.81</v>
      </c>
      <c r="O1396" s="6">
        <v>98.78</v>
      </c>
      <c r="P1396" s="6">
        <v>98.78</v>
      </c>
      <c r="Q1396" s="6">
        <v>98.81</v>
      </c>
      <c r="R1396" s="6">
        <v>98.78</v>
      </c>
    </row>
    <row r="1397" spans="2:18">
      <c r="B1397" s="6">
        <v>32688</v>
      </c>
      <c r="C1397" s="6" t="s">
        <v>795</v>
      </c>
      <c r="D1397" s="6">
        <v>97.86</v>
      </c>
      <c r="E1397" s="6">
        <v>98.08</v>
      </c>
      <c r="F1397" s="6">
        <v>98.2</v>
      </c>
      <c r="G1397" s="6">
        <v>97.49</v>
      </c>
      <c r="H1397" s="6">
        <v>97.66</v>
      </c>
      <c r="I1397" s="6">
        <v>97.52</v>
      </c>
      <c r="J1397" s="6">
        <v>97.72</v>
      </c>
      <c r="K1397" s="6">
        <v>97.84</v>
      </c>
      <c r="L1397" s="6">
        <v>97.75</v>
      </c>
      <c r="M1397" s="6">
        <v>97.72</v>
      </c>
      <c r="N1397" s="6">
        <v>97.83</v>
      </c>
      <c r="O1397" s="6">
        <v>97.74</v>
      </c>
      <c r="P1397" s="6">
        <v>97.73</v>
      </c>
      <c r="Q1397" s="6">
        <v>97.84</v>
      </c>
      <c r="R1397" s="6">
        <v>97.75</v>
      </c>
    </row>
    <row r="1398" spans="2:18">
      <c r="B1398" s="6">
        <v>32688</v>
      </c>
      <c r="C1398" s="6" t="s">
        <v>795</v>
      </c>
      <c r="D1398" s="6">
        <v>98.44</v>
      </c>
      <c r="E1398" s="6">
        <v>98.17</v>
      </c>
      <c r="F1398" s="6">
        <v>98.13</v>
      </c>
      <c r="G1398" s="6">
        <v>98.15</v>
      </c>
      <c r="H1398" s="6">
        <v>97.53</v>
      </c>
      <c r="I1398" s="6">
        <v>97.49</v>
      </c>
      <c r="J1398" s="6">
        <v>98.01</v>
      </c>
      <c r="K1398" s="6">
        <v>97.7</v>
      </c>
      <c r="L1398" s="6">
        <v>97.61</v>
      </c>
      <c r="M1398" s="6">
        <v>98.02</v>
      </c>
      <c r="N1398" s="6">
        <v>97.7</v>
      </c>
      <c r="O1398" s="6">
        <v>97.61</v>
      </c>
      <c r="P1398" s="6">
        <v>98.02</v>
      </c>
      <c r="Q1398" s="6">
        <v>97.7</v>
      </c>
      <c r="R1398" s="6">
        <v>97.61</v>
      </c>
    </row>
    <row r="1399" spans="2:18">
      <c r="B1399" s="6">
        <v>32689</v>
      </c>
      <c r="C1399" s="6" t="s">
        <v>696</v>
      </c>
      <c r="D1399" s="6">
        <v>98.78</v>
      </c>
      <c r="E1399" s="6">
        <v>98.45</v>
      </c>
      <c r="F1399" s="6">
        <v>98.28</v>
      </c>
      <c r="G1399" s="6">
        <v>98.74</v>
      </c>
      <c r="H1399" s="6">
        <v>98.55</v>
      </c>
      <c r="I1399" s="6">
        <v>98.22</v>
      </c>
      <c r="J1399" s="6">
        <v>98.64</v>
      </c>
      <c r="K1399" s="6">
        <v>98.48</v>
      </c>
      <c r="L1399" s="6">
        <v>98.3</v>
      </c>
      <c r="M1399" s="6">
        <v>98.62</v>
      </c>
      <c r="N1399" s="6">
        <v>98.46</v>
      </c>
      <c r="O1399" s="6">
        <v>98.28</v>
      </c>
      <c r="P1399" s="6">
        <v>98.52</v>
      </c>
      <c r="Q1399" s="6">
        <v>98.45</v>
      </c>
      <c r="R1399" s="6">
        <v>98.28</v>
      </c>
    </row>
    <row r="1400" spans="2:18">
      <c r="B1400" s="6">
        <v>32689</v>
      </c>
      <c r="C1400" s="6" t="s">
        <v>696</v>
      </c>
      <c r="D1400" s="6">
        <v>98.96</v>
      </c>
      <c r="E1400" s="6">
        <v>98.55</v>
      </c>
      <c r="F1400" s="6">
        <v>98.67</v>
      </c>
      <c r="G1400" s="6">
        <v>98.62</v>
      </c>
      <c r="H1400" s="6">
        <v>98.73</v>
      </c>
      <c r="I1400" s="6">
        <v>98.74</v>
      </c>
      <c r="J1400" s="6">
        <v>98.78</v>
      </c>
      <c r="K1400" s="6">
        <v>98.81</v>
      </c>
      <c r="L1400" s="6">
        <v>98.78</v>
      </c>
      <c r="M1400" s="6">
        <v>98.78</v>
      </c>
      <c r="N1400" s="6">
        <v>98.81</v>
      </c>
      <c r="O1400" s="6">
        <v>98.78</v>
      </c>
      <c r="P1400" s="6">
        <v>98.78</v>
      </c>
      <c r="Q1400" s="6">
        <v>98.81</v>
      </c>
      <c r="R1400" s="6">
        <v>98.78</v>
      </c>
    </row>
    <row r="1401" spans="2:18">
      <c r="B1401" s="6">
        <v>32689</v>
      </c>
      <c r="C1401" s="6" t="s">
        <v>696</v>
      </c>
      <c r="D1401" s="6">
        <v>97.6</v>
      </c>
      <c r="E1401" s="6">
        <v>97.69</v>
      </c>
      <c r="F1401" s="6">
        <v>97.78</v>
      </c>
      <c r="G1401" s="6">
        <v>97.49</v>
      </c>
      <c r="H1401" s="6">
        <v>97.66</v>
      </c>
      <c r="I1401" s="6">
        <v>97.52</v>
      </c>
      <c r="J1401" s="6">
        <v>97.72</v>
      </c>
      <c r="K1401" s="6">
        <v>97.84</v>
      </c>
      <c r="L1401" s="6">
        <v>97.75</v>
      </c>
      <c r="M1401" s="6">
        <v>97.72</v>
      </c>
      <c r="N1401" s="6">
        <v>97.83</v>
      </c>
      <c r="O1401" s="6">
        <v>97.74</v>
      </c>
      <c r="P1401" s="6">
        <v>97.73</v>
      </c>
      <c r="Q1401" s="6">
        <v>97.84</v>
      </c>
      <c r="R1401" s="6">
        <v>97.75</v>
      </c>
    </row>
    <row r="1402" spans="2:18">
      <c r="B1402" s="6">
        <v>32689</v>
      </c>
      <c r="C1402" s="6" t="s">
        <v>696</v>
      </c>
      <c r="D1402" s="6">
        <v>96.87</v>
      </c>
      <c r="E1402" s="6">
        <v>96.02</v>
      </c>
      <c r="F1402" s="6">
        <v>95.72</v>
      </c>
      <c r="G1402" s="6">
        <v>98.15</v>
      </c>
      <c r="H1402" s="6">
        <v>97.53</v>
      </c>
      <c r="I1402" s="6">
        <v>97.49</v>
      </c>
      <c r="J1402" s="6">
        <v>98.01</v>
      </c>
      <c r="K1402" s="6">
        <v>97.7</v>
      </c>
      <c r="L1402" s="6">
        <v>97.61</v>
      </c>
      <c r="M1402" s="6">
        <v>98.02</v>
      </c>
      <c r="N1402" s="6">
        <v>97.7</v>
      </c>
      <c r="O1402" s="6">
        <v>97.61</v>
      </c>
      <c r="P1402" s="6">
        <v>98.02</v>
      </c>
      <c r="Q1402" s="6">
        <v>97.7</v>
      </c>
      <c r="R1402" s="6">
        <v>97.61</v>
      </c>
    </row>
    <row r="1403" spans="2:18">
      <c r="B1403" s="6">
        <v>32690</v>
      </c>
      <c r="C1403" s="6" t="s">
        <v>625</v>
      </c>
      <c r="D1403" s="6">
        <v>98.83</v>
      </c>
      <c r="E1403" s="6">
        <v>98.83</v>
      </c>
      <c r="F1403" s="6">
        <v>98.37</v>
      </c>
      <c r="G1403" s="6">
        <v>98.74</v>
      </c>
      <c r="H1403" s="6">
        <v>98.55</v>
      </c>
      <c r="I1403" s="6">
        <v>98.22</v>
      </c>
      <c r="J1403" s="6">
        <v>98.64</v>
      </c>
      <c r="K1403" s="6">
        <v>98.48</v>
      </c>
      <c r="L1403" s="6">
        <v>98.3</v>
      </c>
      <c r="M1403" s="6">
        <v>98.62</v>
      </c>
      <c r="N1403" s="6">
        <v>98.46</v>
      </c>
      <c r="O1403" s="6">
        <v>98.28</v>
      </c>
      <c r="P1403" s="6">
        <v>98.52</v>
      </c>
      <c r="Q1403" s="6">
        <v>98.45</v>
      </c>
      <c r="R1403" s="6">
        <v>98.28</v>
      </c>
    </row>
    <row r="1404" spans="2:18">
      <c r="B1404" s="6">
        <v>32690</v>
      </c>
      <c r="C1404" s="6" t="s">
        <v>625</v>
      </c>
      <c r="D1404" s="6">
        <v>98.84</v>
      </c>
      <c r="E1404" s="6">
        <v>98.84</v>
      </c>
      <c r="F1404" s="6">
        <v>98.93</v>
      </c>
      <c r="G1404" s="6">
        <v>98.62</v>
      </c>
      <c r="H1404" s="6">
        <v>98.73</v>
      </c>
      <c r="I1404" s="6">
        <v>98.74</v>
      </c>
      <c r="J1404" s="6">
        <v>98.78</v>
      </c>
      <c r="K1404" s="6">
        <v>98.81</v>
      </c>
      <c r="L1404" s="6">
        <v>98.78</v>
      </c>
      <c r="M1404" s="6">
        <v>98.78</v>
      </c>
      <c r="N1404" s="6">
        <v>98.81</v>
      </c>
      <c r="O1404" s="6">
        <v>98.78</v>
      </c>
      <c r="P1404" s="6">
        <v>98.78</v>
      </c>
      <c r="Q1404" s="6">
        <v>98.81</v>
      </c>
      <c r="R1404" s="6">
        <v>98.78</v>
      </c>
    </row>
    <row r="1405" spans="2:18">
      <c r="B1405" s="6">
        <v>32690</v>
      </c>
      <c r="C1405" s="6" t="s">
        <v>625</v>
      </c>
      <c r="D1405" s="6">
        <v>97.19</v>
      </c>
      <c r="E1405" s="6">
        <v>97.19</v>
      </c>
      <c r="F1405" s="6">
        <v>97.42</v>
      </c>
      <c r="G1405" s="6">
        <v>97.49</v>
      </c>
      <c r="H1405" s="6">
        <v>97.66</v>
      </c>
      <c r="I1405" s="6">
        <v>97.52</v>
      </c>
      <c r="J1405" s="6">
        <v>97.72</v>
      </c>
      <c r="K1405" s="6">
        <v>97.84</v>
      </c>
      <c r="L1405" s="6">
        <v>97.75</v>
      </c>
      <c r="M1405" s="6">
        <v>97.72</v>
      </c>
      <c r="N1405" s="6">
        <v>97.83</v>
      </c>
      <c r="O1405" s="6">
        <v>97.74</v>
      </c>
      <c r="P1405" s="6">
        <v>97.73</v>
      </c>
      <c r="Q1405" s="6">
        <v>97.84</v>
      </c>
      <c r="R1405" s="6">
        <v>97.75</v>
      </c>
    </row>
    <row r="1406" spans="2:18">
      <c r="B1406" s="6">
        <v>32690</v>
      </c>
      <c r="C1406" s="6" t="s">
        <v>625</v>
      </c>
      <c r="D1406" s="6">
        <v>98.82</v>
      </c>
      <c r="E1406" s="6">
        <v>81.099999999999994</v>
      </c>
      <c r="F1406" s="6">
        <v>84.23</v>
      </c>
      <c r="G1406" s="6">
        <v>98.15</v>
      </c>
      <c r="H1406" s="6">
        <v>97.53</v>
      </c>
      <c r="I1406" s="6">
        <v>97.49</v>
      </c>
      <c r="J1406" s="6">
        <v>98.01</v>
      </c>
      <c r="K1406" s="6">
        <v>97.7</v>
      </c>
      <c r="L1406" s="6">
        <v>97.61</v>
      </c>
      <c r="M1406" s="6">
        <v>98.02</v>
      </c>
      <c r="N1406" s="6">
        <v>97.7</v>
      </c>
      <c r="O1406" s="6">
        <v>97.61</v>
      </c>
      <c r="P1406" s="6">
        <v>98.02</v>
      </c>
      <c r="Q1406" s="6">
        <v>97.7</v>
      </c>
      <c r="R1406" s="6">
        <v>97.61</v>
      </c>
    </row>
    <row r="1407" spans="2:18">
      <c r="B1407" s="6">
        <v>32691</v>
      </c>
      <c r="C1407" s="6" t="s">
        <v>1077</v>
      </c>
      <c r="D1407" s="6">
        <v>0</v>
      </c>
      <c r="E1407" s="6">
        <v>98.9</v>
      </c>
      <c r="F1407" s="6">
        <v>98.9</v>
      </c>
      <c r="G1407" s="6">
        <v>98.74</v>
      </c>
      <c r="H1407" s="6">
        <v>98.55</v>
      </c>
      <c r="I1407" s="6">
        <v>98.22</v>
      </c>
      <c r="J1407" s="6">
        <v>98.64</v>
      </c>
      <c r="K1407" s="6">
        <v>98.48</v>
      </c>
      <c r="L1407" s="6">
        <v>98.3</v>
      </c>
      <c r="M1407" s="6">
        <v>98.62</v>
      </c>
      <c r="N1407" s="6">
        <v>98.46</v>
      </c>
      <c r="O1407" s="6">
        <v>98.28</v>
      </c>
      <c r="P1407" s="6">
        <v>98.52</v>
      </c>
      <c r="Q1407" s="6">
        <v>98.45</v>
      </c>
      <c r="R1407" s="6">
        <v>98.28</v>
      </c>
    </row>
    <row r="1408" spans="2:18">
      <c r="B1408" s="6">
        <v>32691</v>
      </c>
      <c r="C1408" s="6" t="s">
        <v>1077</v>
      </c>
      <c r="D1408" s="6">
        <v>0</v>
      </c>
      <c r="E1408" s="6">
        <v>0</v>
      </c>
      <c r="F1408" s="6">
        <v>98.91</v>
      </c>
      <c r="G1408" s="6">
        <v>98.62</v>
      </c>
      <c r="H1408" s="6">
        <v>98.73</v>
      </c>
      <c r="I1408" s="6">
        <v>98.74</v>
      </c>
      <c r="J1408" s="6">
        <v>98.78</v>
      </c>
      <c r="K1408" s="6">
        <v>98.81</v>
      </c>
      <c r="L1408" s="6">
        <v>98.78</v>
      </c>
      <c r="M1408" s="6">
        <v>98.78</v>
      </c>
      <c r="N1408" s="6">
        <v>98.81</v>
      </c>
      <c r="O1408" s="6">
        <v>98.78</v>
      </c>
      <c r="P1408" s="6">
        <v>98.78</v>
      </c>
      <c r="Q1408" s="6">
        <v>98.81</v>
      </c>
      <c r="R1408" s="6">
        <v>98.78</v>
      </c>
    </row>
    <row r="1409" spans="2:18">
      <c r="B1409" s="6">
        <v>32691</v>
      </c>
      <c r="C1409" s="6" t="s">
        <v>1077</v>
      </c>
      <c r="D1409" s="6">
        <v>0</v>
      </c>
      <c r="E1409" s="6">
        <v>0</v>
      </c>
      <c r="F1409" s="6">
        <v>94.85</v>
      </c>
      <c r="G1409" s="6">
        <v>97.49</v>
      </c>
      <c r="H1409" s="6">
        <v>97.66</v>
      </c>
      <c r="I1409" s="6">
        <v>97.52</v>
      </c>
      <c r="J1409" s="6">
        <v>97.72</v>
      </c>
      <c r="K1409" s="6">
        <v>97.84</v>
      </c>
      <c r="L1409" s="6">
        <v>97.75</v>
      </c>
      <c r="M1409" s="6">
        <v>97.72</v>
      </c>
      <c r="N1409" s="6">
        <v>97.83</v>
      </c>
      <c r="O1409" s="6">
        <v>97.74</v>
      </c>
      <c r="P1409" s="6">
        <v>97.73</v>
      </c>
      <c r="Q1409" s="6">
        <v>97.84</v>
      </c>
      <c r="R1409" s="6">
        <v>97.75</v>
      </c>
    </row>
    <row r="1410" spans="2:18">
      <c r="B1410" s="6">
        <v>32691</v>
      </c>
      <c r="C1410" s="6" t="s">
        <v>1077</v>
      </c>
      <c r="D1410" s="6">
        <v>0</v>
      </c>
      <c r="E1410" s="6">
        <v>97.22</v>
      </c>
      <c r="F1410" s="6">
        <v>97.22</v>
      </c>
      <c r="G1410" s="6">
        <v>98.15</v>
      </c>
      <c r="H1410" s="6">
        <v>97.53</v>
      </c>
      <c r="I1410" s="6">
        <v>97.49</v>
      </c>
      <c r="J1410" s="6">
        <v>98.01</v>
      </c>
      <c r="K1410" s="6">
        <v>97.7</v>
      </c>
      <c r="L1410" s="6">
        <v>97.61</v>
      </c>
      <c r="M1410" s="6">
        <v>98.02</v>
      </c>
      <c r="N1410" s="6">
        <v>97.7</v>
      </c>
      <c r="O1410" s="6">
        <v>97.61</v>
      </c>
      <c r="P1410" s="6">
        <v>98.02</v>
      </c>
      <c r="Q1410" s="6">
        <v>97.7</v>
      </c>
      <c r="R1410" s="6">
        <v>97.61</v>
      </c>
    </row>
    <row r="1411" spans="2:18">
      <c r="B1411" s="6">
        <v>32692</v>
      </c>
      <c r="C1411" s="6" t="s">
        <v>646</v>
      </c>
      <c r="D1411" s="6">
        <v>98.33</v>
      </c>
      <c r="E1411" s="6">
        <v>98.66</v>
      </c>
      <c r="F1411" s="6">
        <v>98.72</v>
      </c>
      <c r="G1411" s="6">
        <v>98.74</v>
      </c>
      <c r="H1411" s="6">
        <v>98.55</v>
      </c>
      <c r="I1411" s="6">
        <v>98.22</v>
      </c>
      <c r="J1411" s="6">
        <v>98.64</v>
      </c>
      <c r="K1411" s="6">
        <v>98.48</v>
      </c>
      <c r="L1411" s="6">
        <v>98.3</v>
      </c>
      <c r="M1411" s="6">
        <v>98.62</v>
      </c>
      <c r="N1411" s="6">
        <v>98.46</v>
      </c>
      <c r="O1411" s="6">
        <v>98.28</v>
      </c>
      <c r="P1411" s="6">
        <v>98.52</v>
      </c>
      <c r="Q1411" s="6">
        <v>98.45</v>
      </c>
      <c r="R1411" s="6">
        <v>98.28</v>
      </c>
    </row>
    <row r="1412" spans="2:18">
      <c r="B1412" s="6">
        <v>32692</v>
      </c>
      <c r="C1412" s="6" t="s">
        <v>646</v>
      </c>
      <c r="D1412" s="6">
        <v>98.9</v>
      </c>
      <c r="E1412" s="6">
        <v>99</v>
      </c>
      <c r="F1412" s="6">
        <v>99.02</v>
      </c>
      <c r="G1412" s="6">
        <v>98.62</v>
      </c>
      <c r="H1412" s="6">
        <v>98.73</v>
      </c>
      <c r="I1412" s="6">
        <v>98.74</v>
      </c>
      <c r="J1412" s="6">
        <v>98.78</v>
      </c>
      <c r="K1412" s="6">
        <v>98.81</v>
      </c>
      <c r="L1412" s="6">
        <v>98.78</v>
      </c>
      <c r="M1412" s="6">
        <v>98.78</v>
      </c>
      <c r="N1412" s="6">
        <v>98.81</v>
      </c>
      <c r="O1412" s="6">
        <v>98.78</v>
      </c>
      <c r="P1412" s="6">
        <v>98.78</v>
      </c>
      <c r="Q1412" s="6">
        <v>98.81</v>
      </c>
      <c r="R1412" s="6">
        <v>98.78</v>
      </c>
    </row>
    <row r="1413" spans="2:18">
      <c r="B1413" s="6">
        <v>32692</v>
      </c>
      <c r="C1413" s="6" t="s">
        <v>646</v>
      </c>
      <c r="D1413" s="6">
        <v>97.85</v>
      </c>
      <c r="E1413" s="6">
        <v>97.89</v>
      </c>
      <c r="F1413" s="6">
        <v>97.7</v>
      </c>
      <c r="G1413" s="6">
        <v>97.49</v>
      </c>
      <c r="H1413" s="6">
        <v>97.66</v>
      </c>
      <c r="I1413" s="6">
        <v>97.52</v>
      </c>
      <c r="J1413" s="6">
        <v>97.72</v>
      </c>
      <c r="K1413" s="6">
        <v>97.84</v>
      </c>
      <c r="L1413" s="6">
        <v>97.75</v>
      </c>
      <c r="M1413" s="6">
        <v>97.72</v>
      </c>
      <c r="N1413" s="6">
        <v>97.83</v>
      </c>
      <c r="O1413" s="6">
        <v>97.74</v>
      </c>
      <c r="P1413" s="6">
        <v>97.73</v>
      </c>
      <c r="Q1413" s="6">
        <v>97.84</v>
      </c>
      <c r="R1413" s="6">
        <v>97.75</v>
      </c>
    </row>
    <row r="1414" spans="2:18">
      <c r="B1414" s="6">
        <v>32692</v>
      </c>
      <c r="C1414" s="6" t="s">
        <v>646</v>
      </c>
      <c r="D1414" s="6">
        <v>96.33</v>
      </c>
      <c r="E1414" s="6">
        <v>95.75</v>
      </c>
      <c r="F1414" s="6">
        <v>96.4</v>
      </c>
      <c r="G1414" s="6">
        <v>98.15</v>
      </c>
      <c r="H1414" s="6">
        <v>97.53</v>
      </c>
      <c r="I1414" s="6">
        <v>97.49</v>
      </c>
      <c r="J1414" s="6">
        <v>98.01</v>
      </c>
      <c r="K1414" s="6">
        <v>97.7</v>
      </c>
      <c r="L1414" s="6">
        <v>97.61</v>
      </c>
      <c r="M1414" s="6">
        <v>98.02</v>
      </c>
      <c r="N1414" s="6">
        <v>97.7</v>
      </c>
      <c r="O1414" s="6">
        <v>97.61</v>
      </c>
      <c r="P1414" s="6">
        <v>98.02</v>
      </c>
      <c r="Q1414" s="6">
        <v>97.7</v>
      </c>
      <c r="R1414" s="6">
        <v>97.61</v>
      </c>
    </row>
    <row r="1415" spans="2:18">
      <c r="B1415" s="6">
        <v>32693</v>
      </c>
      <c r="C1415" s="6" t="s">
        <v>516</v>
      </c>
      <c r="D1415" s="6">
        <v>99.19</v>
      </c>
      <c r="E1415" s="6">
        <v>99.21</v>
      </c>
      <c r="F1415" s="6">
        <v>99.02</v>
      </c>
      <c r="G1415" s="6">
        <v>98.74</v>
      </c>
      <c r="H1415" s="6">
        <v>98.55</v>
      </c>
      <c r="I1415" s="6">
        <v>98.22</v>
      </c>
      <c r="J1415" s="6">
        <v>98.64</v>
      </c>
      <c r="K1415" s="6">
        <v>98.48</v>
      </c>
      <c r="L1415" s="6">
        <v>98.3</v>
      </c>
      <c r="M1415" s="6">
        <v>98.62</v>
      </c>
      <c r="N1415" s="6">
        <v>98.46</v>
      </c>
      <c r="O1415" s="6">
        <v>98.28</v>
      </c>
      <c r="P1415" s="6">
        <v>98.52</v>
      </c>
      <c r="Q1415" s="6">
        <v>98.45</v>
      </c>
      <c r="R1415" s="6">
        <v>98.28</v>
      </c>
    </row>
    <row r="1416" spans="2:18">
      <c r="B1416" s="6">
        <v>32693</v>
      </c>
      <c r="C1416" s="6" t="s">
        <v>516</v>
      </c>
      <c r="D1416" s="6">
        <v>99.2</v>
      </c>
      <c r="E1416" s="6">
        <v>99.21</v>
      </c>
      <c r="F1416" s="6">
        <v>99.1</v>
      </c>
      <c r="G1416" s="6">
        <v>98.62</v>
      </c>
      <c r="H1416" s="6">
        <v>98.73</v>
      </c>
      <c r="I1416" s="6">
        <v>98.74</v>
      </c>
      <c r="J1416" s="6">
        <v>98.78</v>
      </c>
      <c r="K1416" s="6">
        <v>98.81</v>
      </c>
      <c r="L1416" s="6">
        <v>98.78</v>
      </c>
      <c r="M1416" s="6">
        <v>98.78</v>
      </c>
      <c r="N1416" s="6">
        <v>98.81</v>
      </c>
      <c r="O1416" s="6">
        <v>98.78</v>
      </c>
      <c r="P1416" s="6">
        <v>98.78</v>
      </c>
      <c r="Q1416" s="6">
        <v>98.81</v>
      </c>
      <c r="R1416" s="6">
        <v>98.78</v>
      </c>
    </row>
    <row r="1417" spans="2:18">
      <c r="B1417" s="6">
        <v>32693</v>
      </c>
      <c r="C1417" s="6" t="s">
        <v>516</v>
      </c>
      <c r="D1417" s="6">
        <v>98.04</v>
      </c>
      <c r="E1417" s="6">
        <v>98.07</v>
      </c>
      <c r="F1417" s="6">
        <v>97.29</v>
      </c>
      <c r="G1417" s="6">
        <v>97.49</v>
      </c>
      <c r="H1417" s="6">
        <v>97.66</v>
      </c>
      <c r="I1417" s="6">
        <v>97.52</v>
      </c>
      <c r="J1417" s="6">
        <v>97.72</v>
      </c>
      <c r="K1417" s="6">
        <v>97.84</v>
      </c>
      <c r="L1417" s="6">
        <v>97.75</v>
      </c>
      <c r="M1417" s="6">
        <v>97.72</v>
      </c>
      <c r="N1417" s="6">
        <v>97.83</v>
      </c>
      <c r="O1417" s="6">
        <v>97.74</v>
      </c>
      <c r="P1417" s="6">
        <v>97.73</v>
      </c>
      <c r="Q1417" s="6">
        <v>97.84</v>
      </c>
      <c r="R1417" s="6">
        <v>97.75</v>
      </c>
    </row>
    <row r="1418" spans="2:18">
      <c r="B1418" s="6">
        <v>32693</v>
      </c>
      <c r="C1418" s="6" t="s">
        <v>516</v>
      </c>
      <c r="D1418" s="6">
        <v>99.19</v>
      </c>
      <c r="E1418" s="6">
        <v>96.81</v>
      </c>
      <c r="F1418" s="6">
        <v>97.09</v>
      </c>
      <c r="G1418" s="6">
        <v>98.15</v>
      </c>
      <c r="H1418" s="6">
        <v>97.53</v>
      </c>
      <c r="I1418" s="6">
        <v>97.49</v>
      </c>
      <c r="J1418" s="6">
        <v>98.01</v>
      </c>
      <c r="K1418" s="6">
        <v>97.7</v>
      </c>
      <c r="L1418" s="6">
        <v>97.61</v>
      </c>
      <c r="M1418" s="6">
        <v>98.02</v>
      </c>
      <c r="N1418" s="6">
        <v>97.7</v>
      </c>
      <c r="O1418" s="6">
        <v>97.61</v>
      </c>
      <c r="P1418" s="6">
        <v>98.02</v>
      </c>
      <c r="Q1418" s="6">
        <v>97.7</v>
      </c>
      <c r="R1418" s="6">
        <v>97.61</v>
      </c>
    </row>
    <row r="1419" spans="2:18">
      <c r="B1419" s="6">
        <v>32694</v>
      </c>
      <c r="C1419" s="6" t="s">
        <v>719</v>
      </c>
      <c r="D1419" s="6">
        <v>98.8</v>
      </c>
      <c r="E1419" s="6">
        <v>98.27</v>
      </c>
      <c r="F1419" s="6">
        <v>98.5</v>
      </c>
      <c r="G1419" s="6">
        <v>98.74</v>
      </c>
      <c r="H1419" s="6">
        <v>98.55</v>
      </c>
      <c r="I1419" s="6">
        <v>98.22</v>
      </c>
      <c r="J1419" s="6">
        <v>98.64</v>
      </c>
      <c r="K1419" s="6">
        <v>98.48</v>
      </c>
      <c r="L1419" s="6">
        <v>98.3</v>
      </c>
      <c r="M1419" s="6">
        <v>98.62</v>
      </c>
      <c r="N1419" s="6">
        <v>98.46</v>
      </c>
      <c r="O1419" s="6">
        <v>98.28</v>
      </c>
      <c r="P1419" s="6">
        <v>98.52</v>
      </c>
      <c r="Q1419" s="6">
        <v>98.45</v>
      </c>
      <c r="R1419" s="6">
        <v>98.28</v>
      </c>
    </row>
    <row r="1420" spans="2:18">
      <c r="B1420" s="6">
        <v>32694</v>
      </c>
      <c r="C1420" s="6" t="s">
        <v>719</v>
      </c>
      <c r="D1420" s="6">
        <v>98.82</v>
      </c>
      <c r="E1420" s="6">
        <v>98.98</v>
      </c>
      <c r="F1420" s="6">
        <v>98.98</v>
      </c>
      <c r="G1420" s="6">
        <v>98.62</v>
      </c>
      <c r="H1420" s="6">
        <v>98.73</v>
      </c>
      <c r="I1420" s="6">
        <v>98.74</v>
      </c>
      <c r="J1420" s="6">
        <v>98.78</v>
      </c>
      <c r="K1420" s="6">
        <v>98.81</v>
      </c>
      <c r="L1420" s="6">
        <v>98.78</v>
      </c>
      <c r="M1420" s="6">
        <v>98.78</v>
      </c>
      <c r="N1420" s="6">
        <v>98.81</v>
      </c>
      <c r="O1420" s="6">
        <v>98.78</v>
      </c>
      <c r="P1420" s="6">
        <v>98.78</v>
      </c>
      <c r="Q1420" s="6">
        <v>98.81</v>
      </c>
      <c r="R1420" s="6">
        <v>98.78</v>
      </c>
    </row>
    <row r="1421" spans="2:18">
      <c r="B1421" s="6">
        <v>32694</v>
      </c>
      <c r="C1421" s="6" t="s">
        <v>719</v>
      </c>
      <c r="D1421" s="6">
        <v>95.75</v>
      </c>
      <c r="E1421" s="6">
        <v>96.92</v>
      </c>
      <c r="F1421" s="6">
        <v>97.44</v>
      </c>
      <c r="G1421" s="6">
        <v>97.49</v>
      </c>
      <c r="H1421" s="6">
        <v>97.66</v>
      </c>
      <c r="I1421" s="6">
        <v>97.52</v>
      </c>
      <c r="J1421" s="6">
        <v>97.72</v>
      </c>
      <c r="K1421" s="6">
        <v>97.84</v>
      </c>
      <c r="L1421" s="6">
        <v>97.75</v>
      </c>
      <c r="M1421" s="6">
        <v>97.72</v>
      </c>
      <c r="N1421" s="6">
        <v>97.83</v>
      </c>
      <c r="O1421" s="6">
        <v>97.74</v>
      </c>
      <c r="P1421" s="6">
        <v>97.73</v>
      </c>
      <c r="Q1421" s="6">
        <v>97.84</v>
      </c>
      <c r="R1421" s="6">
        <v>97.75</v>
      </c>
    </row>
    <row r="1422" spans="2:18">
      <c r="B1422" s="6">
        <v>32694</v>
      </c>
      <c r="C1422" s="6" t="s">
        <v>719</v>
      </c>
      <c r="D1422" s="6">
        <v>98.79</v>
      </c>
      <c r="E1422" s="6">
        <v>96.35</v>
      </c>
      <c r="F1422" s="6">
        <v>97.04</v>
      </c>
      <c r="G1422" s="6">
        <v>98.15</v>
      </c>
      <c r="H1422" s="6">
        <v>97.53</v>
      </c>
      <c r="I1422" s="6">
        <v>97.49</v>
      </c>
      <c r="J1422" s="6">
        <v>98.01</v>
      </c>
      <c r="K1422" s="6">
        <v>97.7</v>
      </c>
      <c r="L1422" s="6">
        <v>97.61</v>
      </c>
      <c r="M1422" s="6">
        <v>98.02</v>
      </c>
      <c r="N1422" s="6">
        <v>97.7</v>
      </c>
      <c r="O1422" s="6">
        <v>97.61</v>
      </c>
      <c r="P1422" s="6">
        <v>98.02</v>
      </c>
      <c r="Q1422" s="6">
        <v>97.7</v>
      </c>
      <c r="R1422" s="6">
        <v>97.61</v>
      </c>
    </row>
    <row r="1423" spans="2:18">
      <c r="B1423" s="6">
        <v>32695</v>
      </c>
      <c r="C1423" s="6" t="s">
        <v>717</v>
      </c>
      <c r="D1423" s="6">
        <v>0</v>
      </c>
      <c r="E1423" s="6">
        <v>97.78</v>
      </c>
      <c r="F1423" s="6">
        <v>98.21</v>
      </c>
      <c r="G1423" s="6">
        <v>98.74</v>
      </c>
      <c r="H1423" s="6">
        <v>98.55</v>
      </c>
      <c r="I1423" s="6">
        <v>98.22</v>
      </c>
      <c r="J1423" s="6">
        <v>98.64</v>
      </c>
      <c r="K1423" s="6">
        <v>98.48</v>
      </c>
      <c r="L1423" s="6">
        <v>98.3</v>
      </c>
      <c r="M1423" s="6">
        <v>98.62</v>
      </c>
      <c r="N1423" s="6">
        <v>98.46</v>
      </c>
      <c r="O1423" s="6">
        <v>98.28</v>
      </c>
      <c r="P1423" s="6">
        <v>98.52</v>
      </c>
      <c r="Q1423" s="6">
        <v>98.45</v>
      </c>
      <c r="R1423" s="6">
        <v>98.28</v>
      </c>
    </row>
    <row r="1424" spans="2:18">
      <c r="B1424" s="6">
        <v>32695</v>
      </c>
      <c r="C1424" s="6" t="s">
        <v>717</v>
      </c>
      <c r="D1424" s="6">
        <v>0</v>
      </c>
      <c r="E1424" s="6">
        <v>98.72</v>
      </c>
      <c r="F1424" s="6">
        <v>98.79</v>
      </c>
      <c r="G1424" s="6">
        <v>98.62</v>
      </c>
      <c r="H1424" s="6">
        <v>98.73</v>
      </c>
      <c r="I1424" s="6">
        <v>98.74</v>
      </c>
      <c r="J1424" s="6">
        <v>98.78</v>
      </c>
      <c r="K1424" s="6">
        <v>98.81</v>
      </c>
      <c r="L1424" s="6">
        <v>98.78</v>
      </c>
      <c r="M1424" s="6">
        <v>98.78</v>
      </c>
      <c r="N1424" s="6">
        <v>98.81</v>
      </c>
      <c r="O1424" s="6">
        <v>98.78</v>
      </c>
      <c r="P1424" s="6">
        <v>98.78</v>
      </c>
      <c r="Q1424" s="6">
        <v>98.81</v>
      </c>
      <c r="R1424" s="6">
        <v>98.78</v>
      </c>
    </row>
    <row r="1425" spans="2:18">
      <c r="B1425" s="6">
        <v>32695</v>
      </c>
      <c r="C1425" s="6" t="s">
        <v>717</v>
      </c>
      <c r="D1425" s="6">
        <v>97.96</v>
      </c>
      <c r="E1425" s="6">
        <v>97.95</v>
      </c>
      <c r="F1425" s="6">
        <v>97.95</v>
      </c>
      <c r="G1425" s="6">
        <v>97.49</v>
      </c>
      <c r="H1425" s="6">
        <v>97.66</v>
      </c>
      <c r="I1425" s="6">
        <v>97.52</v>
      </c>
      <c r="J1425" s="6">
        <v>97.72</v>
      </c>
      <c r="K1425" s="6">
        <v>97.84</v>
      </c>
      <c r="L1425" s="6">
        <v>97.75</v>
      </c>
      <c r="M1425" s="6">
        <v>97.72</v>
      </c>
      <c r="N1425" s="6">
        <v>97.83</v>
      </c>
      <c r="O1425" s="6">
        <v>97.74</v>
      </c>
      <c r="P1425" s="6">
        <v>97.73</v>
      </c>
      <c r="Q1425" s="6">
        <v>97.84</v>
      </c>
      <c r="R1425" s="6">
        <v>97.75</v>
      </c>
    </row>
    <row r="1426" spans="2:18">
      <c r="B1426" s="6">
        <v>32695</v>
      </c>
      <c r="C1426" s="6" t="s">
        <v>717</v>
      </c>
      <c r="D1426" s="6">
        <v>0</v>
      </c>
      <c r="E1426" s="6">
        <v>96.03</v>
      </c>
      <c r="F1426" s="6">
        <v>96.93</v>
      </c>
      <c r="G1426" s="6">
        <v>98.15</v>
      </c>
      <c r="H1426" s="6">
        <v>97.53</v>
      </c>
      <c r="I1426" s="6">
        <v>97.49</v>
      </c>
      <c r="J1426" s="6">
        <v>98.01</v>
      </c>
      <c r="K1426" s="6">
        <v>97.7</v>
      </c>
      <c r="L1426" s="6">
        <v>97.61</v>
      </c>
      <c r="M1426" s="6">
        <v>98.02</v>
      </c>
      <c r="N1426" s="6">
        <v>97.7</v>
      </c>
      <c r="O1426" s="6">
        <v>97.61</v>
      </c>
      <c r="P1426" s="6">
        <v>98.02</v>
      </c>
      <c r="Q1426" s="6">
        <v>97.7</v>
      </c>
      <c r="R1426" s="6">
        <v>97.61</v>
      </c>
    </row>
    <row r="1427" spans="2:18">
      <c r="B1427" s="6">
        <v>32696</v>
      </c>
      <c r="C1427" s="6" t="s">
        <v>505</v>
      </c>
      <c r="D1427" s="6">
        <v>0</v>
      </c>
      <c r="E1427" s="6">
        <v>0</v>
      </c>
      <c r="F1427" s="6">
        <v>94</v>
      </c>
      <c r="G1427" s="6">
        <v>98.74</v>
      </c>
      <c r="H1427" s="6">
        <v>98.55</v>
      </c>
      <c r="I1427" s="6">
        <v>98.22</v>
      </c>
      <c r="J1427" s="6">
        <v>98.64</v>
      </c>
      <c r="K1427" s="6">
        <v>98.48</v>
      </c>
      <c r="L1427" s="6">
        <v>98.3</v>
      </c>
      <c r="M1427" s="6">
        <v>98.62</v>
      </c>
      <c r="N1427" s="6">
        <v>98.46</v>
      </c>
      <c r="O1427" s="6">
        <v>98.28</v>
      </c>
      <c r="P1427" s="6">
        <v>98.52</v>
      </c>
      <c r="Q1427" s="6">
        <v>98.45</v>
      </c>
      <c r="R1427" s="6">
        <v>98.28</v>
      </c>
    </row>
    <row r="1428" spans="2:18">
      <c r="B1428" s="6">
        <v>32696</v>
      </c>
      <c r="C1428" s="6" t="s">
        <v>505</v>
      </c>
      <c r="D1428" s="6">
        <v>0</v>
      </c>
      <c r="E1428" s="6">
        <v>0</v>
      </c>
      <c r="F1428" s="6">
        <v>98.68</v>
      </c>
      <c r="G1428" s="6">
        <v>98.62</v>
      </c>
      <c r="H1428" s="6">
        <v>98.73</v>
      </c>
      <c r="I1428" s="6">
        <v>98.74</v>
      </c>
      <c r="J1428" s="6">
        <v>98.78</v>
      </c>
      <c r="K1428" s="6">
        <v>98.81</v>
      </c>
      <c r="L1428" s="6">
        <v>98.78</v>
      </c>
      <c r="M1428" s="6">
        <v>98.78</v>
      </c>
      <c r="N1428" s="6">
        <v>98.81</v>
      </c>
      <c r="O1428" s="6">
        <v>98.78</v>
      </c>
      <c r="P1428" s="6">
        <v>98.78</v>
      </c>
      <c r="Q1428" s="6">
        <v>98.81</v>
      </c>
      <c r="R1428" s="6">
        <v>98.78</v>
      </c>
    </row>
    <row r="1429" spans="2:18">
      <c r="B1429" s="6">
        <v>32696</v>
      </c>
      <c r="C1429" s="6" t="s">
        <v>505</v>
      </c>
      <c r="D1429" s="6">
        <v>0</v>
      </c>
      <c r="E1429" s="6">
        <v>0</v>
      </c>
      <c r="F1429" s="6">
        <v>96.82</v>
      </c>
      <c r="G1429" s="6">
        <v>97.49</v>
      </c>
      <c r="H1429" s="6">
        <v>97.66</v>
      </c>
      <c r="I1429" s="6">
        <v>97.52</v>
      </c>
      <c r="J1429" s="6">
        <v>97.72</v>
      </c>
      <c r="K1429" s="6">
        <v>97.84</v>
      </c>
      <c r="L1429" s="6">
        <v>97.75</v>
      </c>
      <c r="M1429" s="6">
        <v>97.72</v>
      </c>
      <c r="N1429" s="6">
        <v>97.83</v>
      </c>
      <c r="O1429" s="6">
        <v>97.74</v>
      </c>
      <c r="P1429" s="6">
        <v>97.73</v>
      </c>
      <c r="Q1429" s="6">
        <v>97.84</v>
      </c>
      <c r="R1429" s="6">
        <v>97.75</v>
      </c>
    </row>
    <row r="1430" spans="2:18">
      <c r="B1430" s="6">
        <v>32696</v>
      </c>
      <c r="C1430" s="6" t="s">
        <v>505</v>
      </c>
      <c r="D1430" s="6">
        <v>0</v>
      </c>
      <c r="E1430" s="6">
        <v>0</v>
      </c>
      <c r="F1430" s="6">
        <v>98.58</v>
      </c>
      <c r="G1430" s="6">
        <v>98.15</v>
      </c>
      <c r="H1430" s="6">
        <v>97.53</v>
      </c>
      <c r="I1430" s="6">
        <v>97.49</v>
      </c>
      <c r="J1430" s="6">
        <v>98.01</v>
      </c>
      <c r="K1430" s="6">
        <v>97.7</v>
      </c>
      <c r="L1430" s="6">
        <v>97.61</v>
      </c>
      <c r="M1430" s="6">
        <v>98.02</v>
      </c>
      <c r="N1430" s="6">
        <v>97.7</v>
      </c>
      <c r="O1430" s="6">
        <v>97.61</v>
      </c>
      <c r="P1430" s="6">
        <v>98.02</v>
      </c>
      <c r="Q1430" s="6">
        <v>97.7</v>
      </c>
      <c r="R1430" s="6">
        <v>97.61</v>
      </c>
    </row>
    <row r="1431" spans="2:18">
      <c r="B1431" s="6">
        <v>32698</v>
      </c>
      <c r="C1431" s="6" t="s">
        <v>699</v>
      </c>
      <c r="D1431" s="6">
        <v>98.9</v>
      </c>
      <c r="E1431" s="6">
        <v>98.9</v>
      </c>
      <c r="F1431" s="6">
        <v>99.18</v>
      </c>
      <c r="G1431" s="6">
        <v>98.48</v>
      </c>
      <c r="H1431" s="6">
        <v>98.4</v>
      </c>
      <c r="I1431" s="6">
        <v>98.25</v>
      </c>
      <c r="J1431" s="6">
        <v>98.64</v>
      </c>
      <c r="K1431" s="6">
        <v>98.48</v>
      </c>
      <c r="L1431" s="6">
        <v>98.3</v>
      </c>
      <c r="M1431" s="6">
        <v>98.62</v>
      </c>
      <c r="N1431" s="6">
        <v>98.46</v>
      </c>
      <c r="O1431" s="6">
        <v>98.28</v>
      </c>
      <c r="P1431" s="6">
        <v>98.52</v>
      </c>
      <c r="Q1431" s="6">
        <v>98.45</v>
      </c>
      <c r="R1431" s="6">
        <v>98.28</v>
      </c>
    </row>
    <row r="1432" spans="2:18">
      <c r="B1432" s="6">
        <v>32698</v>
      </c>
      <c r="C1432" s="6" t="s">
        <v>699</v>
      </c>
      <c r="D1432" s="6">
        <v>98.53</v>
      </c>
      <c r="E1432" s="6">
        <v>98.53</v>
      </c>
      <c r="F1432" s="6">
        <v>98.98</v>
      </c>
      <c r="G1432" s="6">
        <v>98.9</v>
      </c>
      <c r="H1432" s="6">
        <v>98.86</v>
      </c>
      <c r="I1432" s="6">
        <v>98.83</v>
      </c>
      <c r="J1432" s="6">
        <v>98.78</v>
      </c>
      <c r="K1432" s="6">
        <v>98.81</v>
      </c>
      <c r="L1432" s="6">
        <v>98.78</v>
      </c>
      <c r="M1432" s="6">
        <v>98.78</v>
      </c>
      <c r="N1432" s="6">
        <v>98.81</v>
      </c>
      <c r="O1432" s="6">
        <v>98.78</v>
      </c>
      <c r="P1432" s="6">
        <v>98.78</v>
      </c>
      <c r="Q1432" s="6">
        <v>98.81</v>
      </c>
      <c r="R1432" s="6">
        <v>98.78</v>
      </c>
    </row>
    <row r="1433" spans="2:18">
      <c r="B1433" s="6">
        <v>32698</v>
      </c>
      <c r="C1433" s="6" t="s">
        <v>699</v>
      </c>
      <c r="D1433" s="6">
        <v>96.9</v>
      </c>
      <c r="E1433" s="6">
        <v>96.9</v>
      </c>
      <c r="F1433" s="6">
        <v>97.4</v>
      </c>
      <c r="G1433" s="6">
        <v>97.43</v>
      </c>
      <c r="H1433" s="6">
        <v>97.49</v>
      </c>
      <c r="I1433" s="6">
        <v>97.36</v>
      </c>
      <c r="J1433" s="6">
        <v>97.72</v>
      </c>
      <c r="K1433" s="6">
        <v>97.84</v>
      </c>
      <c r="L1433" s="6">
        <v>97.75</v>
      </c>
      <c r="M1433" s="6">
        <v>97.72</v>
      </c>
      <c r="N1433" s="6">
        <v>97.83</v>
      </c>
      <c r="O1433" s="6">
        <v>97.74</v>
      </c>
      <c r="P1433" s="6">
        <v>97.73</v>
      </c>
      <c r="Q1433" s="6">
        <v>97.84</v>
      </c>
      <c r="R1433" s="6">
        <v>97.75</v>
      </c>
    </row>
    <row r="1434" spans="2:18">
      <c r="B1434" s="6">
        <v>32698</v>
      </c>
      <c r="C1434" s="6" t="s">
        <v>699</v>
      </c>
      <c r="D1434" s="6">
        <v>97.21</v>
      </c>
      <c r="E1434" s="6">
        <v>97.21</v>
      </c>
      <c r="F1434" s="6">
        <v>97.21</v>
      </c>
      <c r="G1434" s="6">
        <v>97.88</v>
      </c>
      <c r="H1434" s="6">
        <v>97.7</v>
      </c>
      <c r="I1434" s="6">
        <v>97.56</v>
      </c>
      <c r="J1434" s="6">
        <v>98.01</v>
      </c>
      <c r="K1434" s="6">
        <v>97.7</v>
      </c>
      <c r="L1434" s="6">
        <v>97.61</v>
      </c>
      <c r="M1434" s="6">
        <v>98.02</v>
      </c>
      <c r="N1434" s="6">
        <v>97.7</v>
      </c>
      <c r="O1434" s="6">
        <v>97.61</v>
      </c>
      <c r="P1434" s="6">
        <v>98.02</v>
      </c>
      <c r="Q1434" s="6">
        <v>97.7</v>
      </c>
      <c r="R1434" s="6">
        <v>97.61</v>
      </c>
    </row>
    <row r="1435" spans="2:18">
      <c r="B1435" s="6">
        <v>32700</v>
      </c>
      <c r="C1435" s="6" t="s">
        <v>442</v>
      </c>
      <c r="D1435" s="6">
        <v>98.26</v>
      </c>
      <c r="E1435" s="6">
        <v>98.59</v>
      </c>
      <c r="F1435" s="6">
        <v>98.49</v>
      </c>
      <c r="G1435" s="6">
        <v>98.48</v>
      </c>
      <c r="H1435" s="6">
        <v>98.4</v>
      </c>
      <c r="I1435" s="6">
        <v>98.25</v>
      </c>
      <c r="J1435" s="6">
        <v>98.64</v>
      </c>
      <c r="K1435" s="6">
        <v>98.48</v>
      </c>
      <c r="L1435" s="6">
        <v>98.3</v>
      </c>
      <c r="M1435" s="6">
        <v>98.62</v>
      </c>
      <c r="N1435" s="6">
        <v>98.46</v>
      </c>
      <c r="O1435" s="6">
        <v>98.28</v>
      </c>
      <c r="P1435" s="6">
        <v>98.52</v>
      </c>
      <c r="Q1435" s="6">
        <v>98.45</v>
      </c>
      <c r="R1435" s="6">
        <v>98.28</v>
      </c>
    </row>
    <row r="1436" spans="2:18">
      <c r="B1436" s="6">
        <v>32700</v>
      </c>
      <c r="C1436" s="6" t="s">
        <v>442</v>
      </c>
      <c r="D1436" s="6">
        <v>98.85</v>
      </c>
      <c r="E1436" s="6">
        <v>98.81</v>
      </c>
      <c r="F1436" s="6">
        <v>98.73</v>
      </c>
      <c r="G1436" s="6">
        <v>98.9</v>
      </c>
      <c r="H1436" s="6">
        <v>98.86</v>
      </c>
      <c r="I1436" s="6">
        <v>98.83</v>
      </c>
      <c r="J1436" s="6">
        <v>98.78</v>
      </c>
      <c r="K1436" s="6">
        <v>98.81</v>
      </c>
      <c r="L1436" s="6">
        <v>98.78</v>
      </c>
      <c r="M1436" s="6">
        <v>98.78</v>
      </c>
      <c r="N1436" s="6">
        <v>98.81</v>
      </c>
      <c r="O1436" s="6">
        <v>98.78</v>
      </c>
      <c r="P1436" s="6">
        <v>98.78</v>
      </c>
      <c r="Q1436" s="6">
        <v>98.81</v>
      </c>
      <c r="R1436" s="6">
        <v>98.78</v>
      </c>
    </row>
    <row r="1437" spans="2:18">
      <c r="B1437" s="6">
        <v>32700</v>
      </c>
      <c r="C1437" s="6" t="s">
        <v>442</v>
      </c>
      <c r="D1437" s="6">
        <v>97.21</v>
      </c>
      <c r="E1437" s="6">
        <v>97.1</v>
      </c>
      <c r="F1437" s="6">
        <v>96.46</v>
      </c>
      <c r="G1437" s="6">
        <v>97.43</v>
      </c>
      <c r="H1437" s="6">
        <v>97.49</v>
      </c>
      <c r="I1437" s="6">
        <v>97.36</v>
      </c>
      <c r="J1437" s="6">
        <v>97.72</v>
      </c>
      <c r="K1437" s="6">
        <v>97.84</v>
      </c>
      <c r="L1437" s="6">
        <v>97.75</v>
      </c>
      <c r="M1437" s="6">
        <v>97.72</v>
      </c>
      <c r="N1437" s="6">
        <v>97.83</v>
      </c>
      <c r="O1437" s="6">
        <v>97.74</v>
      </c>
      <c r="P1437" s="6">
        <v>97.73</v>
      </c>
      <c r="Q1437" s="6">
        <v>97.84</v>
      </c>
      <c r="R1437" s="6">
        <v>97.75</v>
      </c>
    </row>
    <row r="1438" spans="2:18">
      <c r="B1438" s="6">
        <v>32700</v>
      </c>
      <c r="C1438" s="6" t="s">
        <v>442</v>
      </c>
      <c r="D1438" s="6">
        <v>95.12</v>
      </c>
      <c r="E1438" s="6">
        <v>96.22</v>
      </c>
      <c r="F1438" s="6">
        <v>96.78</v>
      </c>
      <c r="G1438" s="6">
        <v>97.88</v>
      </c>
      <c r="H1438" s="6">
        <v>97.7</v>
      </c>
      <c r="I1438" s="6">
        <v>97.56</v>
      </c>
      <c r="J1438" s="6">
        <v>98.01</v>
      </c>
      <c r="K1438" s="6">
        <v>97.7</v>
      </c>
      <c r="L1438" s="6">
        <v>97.61</v>
      </c>
      <c r="M1438" s="6">
        <v>98.02</v>
      </c>
      <c r="N1438" s="6">
        <v>97.7</v>
      </c>
      <c r="O1438" s="6">
        <v>97.61</v>
      </c>
      <c r="P1438" s="6">
        <v>98.02</v>
      </c>
      <c r="Q1438" s="6">
        <v>97.7</v>
      </c>
      <c r="R1438" s="6">
        <v>97.61</v>
      </c>
    </row>
    <row r="1439" spans="2:18">
      <c r="B1439" s="6">
        <v>32701</v>
      </c>
      <c r="C1439" s="6" t="s">
        <v>1115</v>
      </c>
      <c r="D1439" s="6">
        <v>76.67</v>
      </c>
      <c r="E1439" s="6">
        <v>78.569999999999993</v>
      </c>
      <c r="F1439" s="6">
        <v>80.58</v>
      </c>
      <c r="G1439" s="6">
        <v>76.67</v>
      </c>
      <c r="H1439" s="6">
        <v>78.569999999999993</v>
      </c>
      <c r="I1439" s="6">
        <v>80.58</v>
      </c>
      <c r="J1439" s="6">
        <v>76.67</v>
      </c>
      <c r="K1439" s="6">
        <v>78.569999999999993</v>
      </c>
      <c r="L1439" s="6">
        <v>79.67</v>
      </c>
      <c r="M1439" s="6">
        <v>87.08</v>
      </c>
      <c r="N1439" s="6">
        <v>94.95</v>
      </c>
      <c r="O1439" s="6">
        <v>89.9</v>
      </c>
      <c r="P1439" s="6">
        <v>96.61</v>
      </c>
      <c r="Q1439" s="6">
        <v>97.38</v>
      </c>
      <c r="R1439" s="6">
        <v>96.74</v>
      </c>
    </row>
    <row r="1440" spans="2:18">
      <c r="B1440" s="6">
        <v>32701</v>
      </c>
      <c r="C1440" s="6" t="s">
        <v>1115</v>
      </c>
      <c r="D1440" s="6">
        <v>88.24</v>
      </c>
      <c r="E1440" s="6">
        <v>87.5</v>
      </c>
      <c r="F1440" s="6">
        <v>79.84</v>
      </c>
      <c r="G1440" s="6">
        <v>97.97</v>
      </c>
      <c r="H1440" s="6">
        <v>98.08</v>
      </c>
      <c r="I1440" s="6">
        <v>98.09</v>
      </c>
      <c r="J1440" s="6">
        <v>98.86</v>
      </c>
      <c r="K1440" s="6">
        <v>98.85</v>
      </c>
      <c r="L1440" s="6">
        <v>98.75</v>
      </c>
      <c r="M1440" s="6">
        <v>98.86</v>
      </c>
      <c r="N1440" s="6">
        <v>98.82</v>
      </c>
      <c r="O1440" s="6">
        <v>98.74</v>
      </c>
      <c r="P1440" s="6">
        <v>98.83</v>
      </c>
      <c r="Q1440" s="6">
        <v>98.81</v>
      </c>
      <c r="R1440" s="6">
        <v>98.73</v>
      </c>
    </row>
    <row r="1441" spans="2:18">
      <c r="B1441" s="6">
        <v>32701</v>
      </c>
      <c r="C1441" s="6" t="s">
        <v>1115</v>
      </c>
      <c r="D1441" s="6">
        <v>77.22</v>
      </c>
      <c r="E1441" s="6">
        <v>67.599999999999994</v>
      </c>
      <c r="F1441" s="6">
        <v>73.13</v>
      </c>
      <c r="G1441" s="6">
        <v>97.43</v>
      </c>
      <c r="H1441" s="6">
        <v>97.49</v>
      </c>
      <c r="I1441" s="6">
        <v>97.36</v>
      </c>
      <c r="J1441" s="6">
        <v>97.72</v>
      </c>
      <c r="K1441" s="6">
        <v>97.84</v>
      </c>
      <c r="L1441" s="6">
        <v>97.75</v>
      </c>
      <c r="M1441" s="6">
        <v>97.72</v>
      </c>
      <c r="N1441" s="6">
        <v>97.83</v>
      </c>
      <c r="O1441" s="6">
        <v>97.74</v>
      </c>
      <c r="P1441" s="6">
        <v>97.73</v>
      </c>
      <c r="Q1441" s="6">
        <v>97.84</v>
      </c>
      <c r="R1441" s="6">
        <v>97.75</v>
      </c>
    </row>
    <row r="1442" spans="2:18">
      <c r="B1442" s="6">
        <v>32701</v>
      </c>
      <c r="C1442" s="6" t="s">
        <v>1115</v>
      </c>
      <c r="D1442" s="6">
        <v>96.15</v>
      </c>
      <c r="E1442" s="6">
        <v>95.89</v>
      </c>
      <c r="F1442" s="6">
        <v>77.430000000000007</v>
      </c>
      <c r="G1442" s="6">
        <v>96.15</v>
      </c>
      <c r="H1442" s="6">
        <v>96.2</v>
      </c>
      <c r="I1442" s="6">
        <v>82.37</v>
      </c>
      <c r="J1442" s="6">
        <v>96.15</v>
      </c>
      <c r="K1442" s="6">
        <v>96.2</v>
      </c>
      <c r="L1442" s="6">
        <v>82.23</v>
      </c>
      <c r="M1442" s="6">
        <v>64.22</v>
      </c>
      <c r="N1442" s="6">
        <v>87.68</v>
      </c>
      <c r="O1442" s="6">
        <v>77.75</v>
      </c>
      <c r="P1442" s="6">
        <v>64.22</v>
      </c>
      <c r="Q1442" s="6">
        <v>89.74</v>
      </c>
      <c r="R1442" s="6">
        <v>82.9</v>
      </c>
    </row>
    <row r="1443" spans="2:18">
      <c r="B1443" s="6">
        <v>32702</v>
      </c>
      <c r="C1443" s="6" t="s">
        <v>1203</v>
      </c>
      <c r="D1443" s="6">
        <v>0</v>
      </c>
      <c r="E1443" s="6">
        <v>0</v>
      </c>
      <c r="F1443" s="6">
        <v>95.82</v>
      </c>
      <c r="G1443" s="6">
        <v>0</v>
      </c>
      <c r="H1443" s="6">
        <v>0</v>
      </c>
      <c r="I1443" s="6">
        <v>95.82</v>
      </c>
      <c r="J1443" s="6">
        <v>0</v>
      </c>
      <c r="K1443" s="6">
        <v>0</v>
      </c>
      <c r="L1443" s="6">
        <v>95.82</v>
      </c>
      <c r="M1443" s="6">
        <v>0</v>
      </c>
      <c r="N1443" s="6">
        <v>0</v>
      </c>
      <c r="O1443" s="6">
        <v>95.82</v>
      </c>
      <c r="P1443" s="6">
        <v>78.569999999999993</v>
      </c>
      <c r="Q1443" s="6">
        <v>79.319999999999993</v>
      </c>
      <c r="R1443" s="6">
        <v>88.2</v>
      </c>
    </row>
    <row r="1444" spans="2:18">
      <c r="B1444" s="6">
        <v>32702</v>
      </c>
      <c r="C1444" s="6" t="s">
        <v>1203</v>
      </c>
      <c r="D1444" s="6">
        <v>0</v>
      </c>
      <c r="E1444" s="6">
        <v>0</v>
      </c>
      <c r="F1444" s="6">
        <v>95.88</v>
      </c>
      <c r="G1444" s="6">
        <v>0</v>
      </c>
      <c r="H1444" s="6">
        <v>0</v>
      </c>
      <c r="I1444" s="6">
        <v>95.88</v>
      </c>
      <c r="J1444" s="6">
        <v>0</v>
      </c>
      <c r="K1444" s="6">
        <v>0</v>
      </c>
      <c r="L1444" s="6">
        <v>95.88</v>
      </c>
      <c r="M1444" s="6">
        <v>0</v>
      </c>
      <c r="N1444" s="6">
        <v>0</v>
      </c>
      <c r="O1444" s="6">
        <v>95.88</v>
      </c>
      <c r="P1444" s="6">
        <v>97.23</v>
      </c>
      <c r="Q1444" s="6">
        <v>95.67</v>
      </c>
      <c r="R1444" s="6">
        <v>93.87</v>
      </c>
    </row>
    <row r="1445" spans="2:18">
      <c r="B1445" s="6">
        <v>32703</v>
      </c>
      <c r="C1445" s="6" t="s">
        <v>1183</v>
      </c>
      <c r="D1445" s="6">
        <v>75.989999999999995</v>
      </c>
      <c r="E1445" s="6">
        <v>78.14</v>
      </c>
      <c r="F1445" s="6">
        <v>79.959999999999994</v>
      </c>
      <c r="G1445" s="6">
        <v>80.86</v>
      </c>
      <c r="H1445" s="6">
        <v>83.63</v>
      </c>
      <c r="I1445" s="6">
        <v>83.96</v>
      </c>
      <c r="J1445" s="6">
        <v>80.86</v>
      </c>
      <c r="K1445" s="6">
        <v>83.63</v>
      </c>
      <c r="L1445" s="6">
        <v>83.87</v>
      </c>
      <c r="M1445" s="6">
        <v>80.86</v>
      </c>
      <c r="N1445" s="6">
        <v>83.63</v>
      </c>
      <c r="O1445" s="6">
        <v>83.87</v>
      </c>
      <c r="P1445" s="6">
        <v>80.86</v>
      </c>
      <c r="Q1445" s="6">
        <v>83.63</v>
      </c>
      <c r="R1445" s="6">
        <v>83.87</v>
      </c>
    </row>
    <row r="1446" spans="2:18">
      <c r="B1446" s="6">
        <v>32704</v>
      </c>
      <c r="C1446" s="6" t="s">
        <v>1184</v>
      </c>
      <c r="D1446" s="6">
        <v>92.59</v>
      </c>
      <c r="E1446" s="6">
        <v>94.7</v>
      </c>
      <c r="F1446" s="6">
        <v>92.35</v>
      </c>
      <c r="G1446" s="6">
        <v>80.86</v>
      </c>
      <c r="H1446" s="6">
        <v>83.63</v>
      </c>
      <c r="I1446" s="6">
        <v>83.96</v>
      </c>
      <c r="J1446" s="6">
        <v>80.86</v>
      </c>
      <c r="K1446" s="6">
        <v>83.63</v>
      </c>
      <c r="L1446" s="6">
        <v>83.87</v>
      </c>
      <c r="M1446" s="6">
        <v>80.86</v>
      </c>
      <c r="N1446" s="6">
        <v>83.63</v>
      </c>
      <c r="O1446" s="6">
        <v>83.87</v>
      </c>
      <c r="P1446" s="6">
        <v>80.86</v>
      </c>
      <c r="Q1446" s="6">
        <v>83.63</v>
      </c>
      <c r="R1446" s="6">
        <v>83.87</v>
      </c>
    </row>
    <row r="1447" spans="2:18">
      <c r="B1447" s="6">
        <v>32704</v>
      </c>
      <c r="C1447" s="6" t="s">
        <v>1184</v>
      </c>
      <c r="D1447" s="6">
        <v>60</v>
      </c>
      <c r="E1447" s="6">
        <v>69.73</v>
      </c>
      <c r="F1447" s="6">
        <v>69.73</v>
      </c>
      <c r="G1447" s="6">
        <v>76.67</v>
      </c>
      <c r="H1447" s="6">
        <v>80.45</v>
      </c>
      <c r="I1447" s="6">
        <v>78.739999999999995</v>
      </c>
      <c r="J1447" s="6">
        <v>76.67</v>
      </c>
      <c r="K1447" s="6">
        <v>80.45</v>
      </c>
      <c r="L1447" s="6">
        <v>78.739999999999995</v>
      </c>
      <c r="M1447" s="6">
        <v>76.67</v>
      </c>
      <c r="N1447" s="6">
        <v>80.45</v>
      </c>
      <c r="O1447" s="6">
        <v>78.739999999999995</v>
      </c>
      <c r="P1447" s="6">
        <v>76.67</v>
      </c>
      <c r="Q1447" s="6">
        <v>80.45</v>
      </c>
      <c r="R1447" s="6">
        <v>78.739999999999995</v>
      </c>
    </row>
    <row r="1448" spans="2:18">
      <c r="B1448" s="6">
        <v>32705</v>
      </c>
      <c r="C1448" s="6" t="s">
        <v>1172</v>
      </c>
      <c r="D1448" s="6">
        <v>0</v>
      </c>
      <c r="E1448" s="6">
        <v>64.25</v>
      </c>
      <c r="F1448" s="6">
        <v>64.25</v>
      </c>
      <c r="G1448" s="6">
        <v>80.86</v>
      </c>
      <c r="H1448" s="6">
        <v>83.63</v>
      </c>
      <c r="I1448" s="6">
        <v>83.96</v>
      </c>
      <c r="J1448" s="6">
        <v>80.86</v>
      </c>
      <c r="K1448" s="6">
        <v>83.63</v>
      </c>
      <c r="L1448" s="6">
        <v>83.87</v>
      </c>
      <c r="M1448" s="6">
        <v>80.86</v>
      </c>
      <c r="N1448" s="6">
        <v>83.63</v>
      </c>
      <c r="O1448" s="6">
        <v>83.87</v>
      </c>
      <c r="P1448" s="6">
        <v>80.86</v>
      </c>
      <c r="Q1448" s="6">
        <v>83.63</v>
      </c>
      <c r="R1448" s="6">
        <v>83.87</v>
      </c>
    </row>
    <row r="1449" spans="2:18">
      <c r="B1449" s="6">
        <v>32706</v>
      </c>
      <c r="C1449" s="6" t="s">
        <v>1166</v>
      </c>
      <c r="D1449" s="6">
        <v>0</v>
      </c>
      <c r="E1449" s="6">
        <v>0</v>
      </c>
      <c r="F1449" s="6">
        <v>76</v>
      </c>
      <c r="G1449" s="6">
        <v>0</v>
      </c>
      <c r="H1449" s="6">
        <v>0</v>
      </c>
      <c r="I1449" s="6">
        <v>76</v>
      </c>
      <c r="J1449" s="6">
        <v>0</v>
      </c>
      <c r="K1449" s="6">
        <v>0</v>
      </c>
      <c r="L1449" s="6">
        <v>76</v>
      </c>
      <c r="M1449" s="6">
        <v>0</v>
      </c>
      <c r="N1449" s="6">
        <v>0</v>
      </c>
      <c r="O1449" s="6">
        <v>76</v>
      </c>
      <c r="P1449" s="6">
        <v>0</v>
      </c>
      <c r="Q1449" s="6">
        <v>0</v>
      </c>
      <c r="R1449" s="6">
        <v>76</v>
      </c>
    </row>
    <row r="1450" spans="2:18">
      <c r="B1450" s="6">
        <v>32706</v>
      </c>
      <c r="C1450" s="6" t="s">
        <v>1166</v>
      </c>
      <c r="D1450" s="6">
        <v>0</v>
      </c>
      <c r="E1450" s="6">
        <v>0</v>
      </c>
      <c r="F1450" s="6">
        <v>94.74</v>
      </c>
      <c r="G1450" s="6">
        <v>0</v>
      </c>
      <c r="H1450" s="6">
        <v>0</v>
      </c>
      <c r="I1450" s="6">
        <v>94.74</v>
      </c>
      <c r="J1450" s="6">
        <v>0</v>
      </c>
      <c r="K1450" s="6">
        <v>0</v>
      </c>
      <c r="L1450" s="6">
        <v>94.74</v>
      </c>
      <c r="M1450" s="6">
        <v>0</v>
      </c>
      <c r="N1450" s="6">
        <v>0</v>
      </c>
      <c r="O1450" s="6">
        <v>94.74</v>
      </c>
      <c r="P1450" s="6">
        <v>0</v>
      </c>
      <c r="Q1450" s="6">
        <v>0</v>
      </c>
      <c r="R1450" s="6">
        <v>94.74</v>
      </c>
    </row>
    <row r="1451" spans="2:18">
      <c r="B1451" s="6">
        <v>32707</v>
      </c>
      <c r="C1451" s="6" t="s">
        <v>403</v>
      </c>
      <c r="D1451" s="6">
        <v>99.28</v>
      </c>
      <c r="E1451" s="6">
        <v>98.83</v>
      </c>
      <c r="F1451" s="6">
        <v>98.83</v>
      </c>
      <c r="G1451" s="6">
        <v>98.71</v>
      </c>
      <c r="H1451" s="6">
        <v>98.48</v>
      </c>
      <c r="I1451" s="6">
        <v>98.36</v>
      </c>
      <c r="J1451" s="6">
        <v>98.64</v>
      </c>
      <c r="K1451" s="6">
        <v>98.48</v>
      </c>
      <c r="L1451" s="6">
        <v>98.3</v>
      </c>
      <c r="M1451" s="6">
        <v>98.62</v>
      </c>
      <c r="N1451" s="6">
        <v>98.46</v>
      </c>
      <c r="O1451" s="6">
        <v>98.28</v>
      </c>
      <c r="P1451" s="6">
        <v>98.52</v>
      </c>
      <c r="Q1451" s="6">
        <v>98.45</v>
      </c>
      <c r="R1451" s="6">
        <v>98.28</v>
      </c>
    </row>
    <row r="1452" spans="2:18">
      <c r="B1452" s="6">
        <v>32707</v>
      </c>
      <c r="C1452" s="6" t="s">
        <v>403</v>
      </c>
      <c r="D1452" s="6">
        <v>99.29</v>
      </c>
      <c r="E1452" s="6">
        <v>99.23</v>
      </c>
      <c r="F1452" s="6">
        <v>99.23</v>
      </c>
      <c r="G1452" s="6">
        <v>98.91</v>
      </c>
      <c r="H1452" s="6">
        <v>98.92</v>
      </c>
      <c r="I1452" s="6">
        <v>98.82</v>
      </c>
      <c r="J1452" s="6">
        <v>98.86</v>
      </c>
      <c r="K1452" s="6">
        <v>98.85</v>
      </c>
      <c r="L1452" s="6">
        <v>98.75</v>
      </c>
      <c r="M1452" s="6">
        <v>98.86</v>
      </c>
      <c r="N1452" s="6">
        <v>98.82</v>
      </c>
      <c r="O1452" s="6">
        <v>98.74</v>
      </c>
      <c r="P1452" s="6">
        <v>98.83</v>
      </c>
      <c r="Q1452" s="6">
        <v>98.81</v>
      </c>
      <c r="R1452" s="6">
        <v>98.73</v>
      </c>
    </row>
    <row r="1453" spans="2:18">
      <c r="B1453" s="6">
        <v>32707</v>
      </c>
      <c r="C1453" s="6" t="s">
        <v>403</v>
      </c>
      <c r="D1453" s="6">
        <v>98.25</v>
      </c>
      <c r="E1453" s="6">
        <v>97.01</v>
      </c>
      <c r="F1453" s="6">
        <v>97.01</v>
      </c>
      <c r="G1453" s="6">
        <v>98.03</v>
      </c>
      <c r="H1453" s="6">
        <v>98.12</v>
      </c>
      <c r="I1453" s="6">
        <v>98.05</v>
      </c>
      <c r="J1453" s="6">
        <v>97.72</v>
      </c>
      <c r="K1453" s="6">
        <v>97.84</v>
      </c>
      <c r="L1453" s="6">
        <v>97.75</v>
      </c>
      <c r="M1453" s="6">
        <v>97.72</v>
      </c>
      <c r="N1453" s="6">
        <v>97.83</v>
      </c>
      <c r="O1453" s="6">
        <v>97.74</v>
      </c>
      <c r="P1453" s="6">
        <v>97.73</v>
      </c>
      <c r="Q1453" s="6">
        <v>97.84</v>
      </c>
      <c r="R1453" s="6">
        <v>97.75</v>
      </c>
    </row>
    <row r="1454" spans="2:18">
      <c r="B1454" s="6">
        <v>32707</v>
      </c>
      <c r="C1454" s="6" t="s">
        <v>403</v>
      </c>
      <c r="D1454" s="6">
        <v>98.55</v>
      </c>
      <c r="E1454" s="6">
        <v>98.04</v>
      </c>
      <c r="F1454" s="6">
        <v>98.04</v>
      </c>
      <c r="G1454" s="6">
        <v>98.04</v>
      </c>
      <c r="H1454" s="6">
        <v>97.78</v>
      </c>
      <c r="I1454" s="6">
        <v>97.69</v>
      </c>
      <c r="J1454" s="6">
        <v>98.01</v>
      </c>
      <c r="K1454" s="6">
        <v>97.7</v>
      </c>
      <c r="L1454" s="6">
        <v>97.61</v>
      </c>
      <c r="M1454" s="6">
        <v>98.02</v>
      </c>
      <c r="N1454" s="6">
        <v>97.7</v>
      </c>
      <c r="O1454" s="6">
        <v>97.61</v>
      </c>
      <c r="P1454" s="6">
        <v>98.02</v>
      </c>
      <c r="Q1454" s="6">
        <v>97.7</v>
      </c>
      <c r="R1454" s="6">
        <v>97.61</v>
      </c>
    </row>
    <row r="1455" spans="2:18">
      <c r="B1455" s="6">
        <v>32708</v>
      </c>
      <c r="C1455" s="6" t="s">
        <v>399</v>
      </c>
      <c r="D1455" s="6">
        <v>99.18</v>
      </c>
      <c r="E1455" s="6">
        <v>99.11</v>
      </c>
      <c r="F1455" s="6">
        <v>99.11</v>
      </c>
      <c r="G1455" s="6">
        <v>98.71</v>
      </c>
      <c r="H1455" s="6">
        <v>98.48</v>
      </c>
      <c r="I1455" s="6">
        <v>98.36</v>
      </c>
      <c r="J1455" s="6">
        <v>98.64</v>
      </c>
      <c r="K1455" s="6">
        <v>98.48</v>
      </c>
      <c r="L1455" s="6">
        <v>98.3</v>
      </c>
      <c r="M1455" s="6">
        <v>98.62</v>
      </c>
      <c r="N1455" s="6">
        <v>98.46</v>
      </c>
      <c r="O1455" s="6">
        <v>98.28</v>
      </c>
      <c r="P1455" s="6">
        <v>98.52</v>
      </c>
      <c r="Q1455" s="6">
        <v>98.45</v>
      </c>
      <c r="R1455" s="6">
        <v>98.28</v>
      </c>
    </row>
    <row r="1456" spans="2:18">
      <c r="B1456" s="6">
        <v>32708</v>
      </c>
      <c r="C1456" s="6" t="s">
        <v>399</v>
      </c>
      <c r="D1456" s="6">
        <v>99.18</v>
      </c>
      <c r="E1456" s="6">
        <v>99.12</v>
      </c>
      <c r="F1456" s="6">
        <v>99.12</v>
      </c>
      <c r="G1456" s="6">
        <v>98.91</v>
      </c>
      <c r="H1456" s="6">
        <v>98.92</v>
      </c>
      <c r="I1456" s="6">
        <v>98.82</v>
      </c>
      <c r="J1456" s="6">
        <v>98.86</v>
      </c>
      <c r="K1456" s="6">
        <v>98.85</v>
      </c>
      <c r="L1456" s="6">
        <v>98.75</v>
      </c>
      <c r="M1456" s="6">
        <v>98.86</v>
      </c>
      <c r="N1456" s="6">
        <v>98.82</v>
      </c>
      <c r="O1456" s="6">
        <v>98.74</v>
      </c>
      <c r="P1456" s="6">
        <v>98.83</v>
      </c>
      <c r="Q1456" s="6">
        <v>98.81</v>
      </c>
      <c r="R1456" s="6">
        <v>98.73</v>
      </c>
    </row>
    <row r="1457" spans="2:18">
      <c r="B1457" s="6">
        <v>32708</v>
      </c>
      <c r="C1457" s="6" t="s">
        <v>399</v>
      </c>
      <c r="D1457" s="6">
        <v>98</v>
      </c>
      <c r="E1457" s="6">
        <v>96.81</v>
      </c>
      <c r="F1457" s="6">
        <v>96.81</v>
      </c>
      <c r="G1457" s="6">
        <v>98.03</v>
      </c>
      <c r="H1457" s="6">
        <v>98.12</v>
      </c>
      <c r="I1457" s="6">
        <v>98.05</v>
      </c>
      <c r="J1457" s="6">
        <v>97.72</v>
      </c>
      <c r="K1457" s="6">
        <v>97.84</v>
      </c>
      <c r="L1457" s="6">
        <v>97.75</v>
      </c>
      <c r="M1457" s="6">
        <v>97.72</v>
      </c>
      <c r="N1457" s="6">
        <v>97.83</v>
      </c>
      <c r="O1457" s="6">
        <v>97.74</v>
      </c>
      <c r="P1457" s="6">
        <v>97.73</v>
      </c>
      <c r="Q1457" s="6">
        <v>97.84</v>
      </c>
      <c r="R1457" s="6">
        <v>97.75</v>
      </c>
    </row>
    <row r="1458" spans="2:18">
      <c r="B1458" s="6">
        <v>32708</v>
      </c>
      <c r="C1458" s="6" t="s">
        <v>399</v>
      </c>
      <c r="D1458" s="6">
        <v>98.34</v>
      </c>
      <c r="E1458" s="6">
        <v>98.66</v>
      </c>
      <c r="F1458" s="6">
        <v>98.66</v>
      </c>
      <c r="G1458" s="6">
        <v>98.04</v>
      </c>
      <c r="H1458" s="6">
        <v>97.78</v>
      </c>
      <c r="I1458" s="6">
        <v>97.69</v>
      </c>
      <c r="J1458" s="6">
        <v>98.01</v>
      </c>
      <c r="K1458" s="6">
        <v>97.7</v>
      </c>
      <c r="L1458" s="6">
        <v>97.61</v>
      </c>
      <c r="M1458" s="6">
        <v>98.02</v>
      </c>
      <c r="N1458" s="6">
        <v>97.7</v>
      </c>
      <c r="O1458" s="6">
        <v>97.61</v>
      </c>
      <c r="P1458" s="6">
        <v>98.02</v>
      </c>
      <c r="Q1458" s="6">
        <v>97.7</v>
      </c>
      <c r="R1458" s="6">
        <v>97.61</v>
      </c>
    </row>
    <row r="1459" spans="2:18">
      <c r="B1459" s="6">
        <v>32709</v>
      </c>
      <c r="C1459" s="6" t="s">
        <v>650</v>
      </c>
      <c r="D1459" s="6">
        <v>99.06</v>
      </c>
      <c r="E1459" s="6">
        <v>99.04</v>
      </c>
      <c r="F1459" s="6">
        <v>99.04</v>
      </c>
      <c r="G1459" s="6">
        <v>98.71</v>
      </c>
      <c r="H1459" s="6">
        <v>98.48</v>
      </c>
      <c r="I1459" s="6">
        <v>98.36</v>
      </c>
      <c r="J1459" s="6">
        <v>98.64</v>
      </c>
      <c r="K1459" s="6">
        <v>98.48</v>
      </c>
      <c r="L1459" s="6">
        <v>98.3</v>
      </c>
      <c r="M1459" s="6">
        <v>98.62</v>
      </c>
      <c r="N1459" s="6">
        <v>98.46</v>
      </c>
      <c r="O1459" s="6">
        <v>98.28</v>
      </c>
      <c r="P1459" s="6">
        <v>98.52</v>
      </c>
      <c r="Q1459" s="6">
        <v>98.45</v>
      </c>
      <c r="R1459" s="6">
        <v>98.28</v>
      </c>
    </row>
    <row r="1460" spans="2:18">
      <c r="B1460" s="6">
        <v>32709</v>
      </c>
      <c r="C1460" s="6" t="s">
        <v>650</v>
      </c>
      <c r="D1460" s="6">
        <v>99.07</v>
      </c>
      <c r="E1460" s="6">
        <v>99.05</v>
      </c>
      <c r="F1460" s="6">
        <v>99.05</v>
      </c>
      <c r="G1460" s="6">
        <v>98.91</v>
      </c>
      <c r="H1460" s="6">
        <v>98.92</v>
      </c>
      <c r="I1460" s="6">
        <v>98.82</v>
      </c>
      <c r="J1460" s="6">
        <v>98.86</v>
      </c>
      <c r="K1460" s="6">
        <v>98.85</v>
      </c>
      <c r="L1460" s="6">
        <v>98.75</v>
      </c>
      <c r="M1460" s="6">
        <v>98.86</v>
      </c>
      <c r="N1460" s="6">
        <v>98.82</v>
      </c>
      <c r="O1460" s="6">
        <v>98.74</v>
      </c>
      <c r="P1460" s="6">
        <v>98.83</v>
      </c>
      <c r="Q1460" s="6">
        <v>98.81</v>
      </c>
      <c r="R1460" s="6">
        <v>98.73</v>
      </c>
    </row>
    <row r="1461" spans="2:18">
      <c r="B1461" s="6">
        <v>32709</v>
      </c>
      <c r="C1461" s="6" t="s">
        <v>650</v>
      </c>
      <c r="D1461" s="6">
        <v>97.73</v>
      </c>
      <c r="E1461" s="6">
        <v>97.67</v>
      </c>
      <c r="F1461" s="6">
        <v>97.67</v>
      </c>
      <c r="G1461" s="6">
        <v>98.03</v>
      </c>
      <c r="H1461" s="6">
        <v>98.12</v>
      </c>
      <c r="I1461" s="6">
        <v>98.05</v>
      </c>
      <c r="J1461" s="6">
        <v>97.72</v>
      </c>
      <c r="K1461" s="6">
        <v>97.84</v>
      </c>
      <c r="L1461" s="6">
        <v>97.75</v>
      </c>
      <c r="M1461" s="6">
        <v>97.72</v>
      </c>
      <c r="N1461" s="6">
        <v>97.83</v>
      </c>
      <c r="O1461" s="6">
        <v>97.74</v>
      </c>
      <c r="P1461" s="6">
        <v>97.73</v>
      </c>
      <c r="Q1461" s="6">
        <v>97.84</v>
      </c>
      <c r="R1461" s="6">
        <v>97.75</v>
      </c>
    </row>
    <row r="1462" spans="2:18">
      <c r="B1462" s="6">
        <v>32709</v>
      </c>
      <c r="C1462" s="6" t="s">
        <v>650</v>
      </c>
      <c r="D1462" s="6">
        <v>99.05</v>
      </c>
      <c r="E1462" s="6">
        <v>99.03</v>
      </c>
      <c r="F1462" s="6">
        <v>99.03</v>
      </c>
      <c r="G1462" s="6">
        <v>98.04</v>
      </c>
      <c r="H1462" s="6">
        <v>97.78</v>
      </c>
      <c r="I1462" s="6">
        <v>97.69</v>
      </c>
      <c r="J1462" s="6">
        <v>98.01</v>
      </c>
      <c r="K1462" s="6">
        <v>97.7</v>
      </c>
      <c r="L1462" s="6">
        <v>97.61</v>
      </c>
      <c r="M1462" s="6">
        <v>98.02</v>
      </c>
      <c r="N1462" s="6">
        <v>97.7</v>
      </c>
      <c r="O1462" s="6">
        <v>97.61</v>
      </c>
      <c r="P1462" s="6">
        <v>98.02</v>
      </c>
      <c r="Q1462" s="6">
        <v>97.7</v>
      </c>
      <c r="R1462" s="6">
        <v>97.61</v>
      </c>
    </row>
    <row r="1463" spans="2:18">
      <c r="B1463" s="6">
        <v>32710</v>
      </c>
      <c r="C1463" s="6" t="s">
        <v>706</v>
      </c>
      <c r="D1463" s="6">
        <v>99.08</v>
      </c>
      <c r="E1463" s="6">
        <v>97.76</v>
      </c>
      <c r="F1463" s="6">
        <v>97.76</v>
      </c>
      <c r="G1463" s="6">
        <v>98.71</v>
      </c>
      <c r="H1463" s="6">
        <v>98.48</v>
      </c>
      <c r="I1463" s="6">
        <v>98.36</v>
      </c>
      <c r="J1463" s="6">
        <v>98.64</v>
      </c>
      <c r="K1463" s="6">
        <v>98.48</v>
      </c>
      <c r="L1463" s="6">
        <v>98.3</v>
      </c>
      <c r="M1463" s="6">
        <v>98.62</v>
      </c>
      <c r="N1463" s="6">
        <v>98.46</v>
      </c>
      <c r="O1463" s="6">
        <v>98.28</v>
      </c>
      <c r="P1463" s="6">
        <v>98.52</v>
      </c>
      <c r="Q1463" s="6">
        <v>98.45</v>
      </c>
      <c r="R1463" s="6">
        <v>98.28</v>
      </c>
    </row>
    <row r="1464" spans="2:18">
      <c r="B1464" s="6">
        <v>32710</v>
      </c>
      <c r="C1464" s="6" t="s">
        <v>706</v>
      </c>
      <c r="D1464" s="6">
        <v>99.09</v>
      </c>
      <c r="E1464" s="6">
        <v>99.11</v>
      </c>
      <c r="F1464" s="6">
        <v>99.11</v>
      </c>
      <c r="G1464" s="6">
        <v>98.91</v>
      </c>
      <c r="H1464" s="6">
        <v>98.92</v>
      </c>
      <c r="I1464" s="6">
        <v>98.82</v>
      </c>
      <c r="J1464" s="6">
        <v>98.86</v>
      </c>
      <c r="K1464" s="6">
        <v>98.85</v>
      </c>
      <c r="L1464" s="6">
        <v>98.75</v>
      </c>
      <c r="M1464" s="6">
        <v>98.86</v>
      </c>
      <c r="N1464" s="6">
        <v>98.82</v>
      </c>
      <c r="O1464" s="6">
        <v>98.74</v>
      </c>
      <c r="P1464" s="6">
        <v>98.83</v>
      </c>
      <c r="Q1464" s="6">
        <v>98.81</v>
      </c>
      <c r="R1464" s="6">
        <v>98.73</v>
      </c>
    </row>
    <row r="1465" spans="2:18">
      <c r="B1465" s="6">
        <v>32710</v>
      </c>
      <c r="C1465" s="6" t="s">
        <v>706</v>
      </c>
      <c r="D1465" s="6">
        <v>97.78</v>
      </c>
      <c r="E1465" s="6">
        <v>97.83</v>
      </c>
      <c r="F1465" s="6">
        <v>97.83</v>
      </c>
      <c r="G1465" s="6">
        <v>98.03</v>
      </c>
      <c r="H1465" s="6">
        <v>98.12</v>
      </c>
      <c r="I1465" s="6">
        <v>98.05</v>
      </c>
      <c r="J1465" s="6">
        <v>97.72</v>
      </c>
      <c r="K1465" s="6">
        <v>97.84</v>
      </c>
      <c r="L1465" s="6">
        <v>97.75</v>
      </c>
      <c r="M1465" s="6">
        <v>97.72</v>
      </c>
      <c r="N1465" s="6">
        <v>97.83</v>
      </c>
      <c r="O1465" s="6">
        <v>97.74</v>
      </c>
      <c r="P1465" s="6">
        <v>97.73</v>
      </c>
      <c r="Q1465" s="6">
        <v>97.84</v>
      </c>
      <c r="R1465" s="6">
        <v>97.75</v>
      </c>
    </row>
    <row r="1466" spans="2:18">
      <c r="B1466" s="6">
        <v>32710</v>
      </c>
      <c r="C1466" s="6" t="s">
        <v>706</v>
      </c>
      <c r="D1466" s="6">
        <v>99.07</v>
      </c>
      <c r="E1466" s="6">
        <v>98.17</v>
      </c>
      <c r="F1466" s="6">
        <v>98.17</v>
      </c>
      <c r="G1466" s="6">
        <v>98.04</v>
      </c>
      <c r="H1466" s="6">
        <v>97.78</v>
      </c>
      <c r="I1466" s="6">
        <v>97.69</v>
      </c>
      <c r="J1466" s="6">
        <v>98.01</v>
      </c>
      <c r="K1466" s="6">
        <v>97.7</v>
      </c>
      <c r="L1466" s="6">
        <v>97.61</v>
      </c>
      <c r="M1466" s="6">
        <v>98.02</v>
      </c>
      <c r="N1466" s="6">
        <v>97.7</v>
      </c>
      <c r="O1466" s="6">
        <v>97.61</v>
      </c>
      <c r="P1466" s="6">
        <v>98.02</v>
      </c>
      <c r="Q1466" s="6">
        <v>97.7</v>
      </c>
      <c r="R1466" s="6">
        <v>97.61</v>
      </c>
    </row>
    <row r="1467" spans="2:18">
      <c r="B1467" s="6">
        <v>32711</v>
      </c>
      <c r="C1467" s="6" t="s">
        <v>440</v>
      </c>
      <c r="D1467" s="6">
        <v>0</v>
      </c>
      <c r="E1467" s="6">
        <v>95.76</v>
      </c>
      <c r="F1467" s="6">
        <v>95.76</v>
      </c>
      <c r="G1467" s="6">
        <v>98.71</v>
      </c>
      <c r="H1467" s="6">
        <v>98.48</v>
      </c>
      <c r="I1467" s="6">
        <v>98.36</v>
      </c>
      <c r="J1467" s="6">
        <v>98.64</v>
      </c>
      <c r="K1467" s="6">
        <v>98.48</v>
      </c>
      <c r="L1467" s="6">
        <v>98.3</v>
      </c>
      <c r="M1467" s="6">
        <v>98.62</v>
      </c>
      <c r="N1467" s="6">
        <v>98.46</v>
      </c>
      <c r="O1467" s="6">
        <v>98.28</v>
      </c>
      <c r="P1467" s="6">
        <v>98.52</v>
      </c>
      <c r="Q1467" s="6">
        <v>98.45</v>
      </c>
      <c r="R1467" s="6">
        <v>98.28</v>
      </c>
    </row>
    <row r="1468" spans="2:18">
      <c r="B1468" s="6">
        <v>32711</v>
      </c>
      <c r="C1468" s="6" t="s">
        <v>440</v>
      </c>
      <c r="D1468" s="6">
        <v>0</v>
      </c>
      <c r="E1468" s="6">
        <v>98.33</v>
      </c>
      <c r="F1468" s="6">
        <v>98.33</v>
      </c>
      <c r="G1468" s="6">
        <v>98.91</v>
      </c>
      <c r="H1468" s="6">
        <v>98.92</v>
      </c>
      <c r="I1468" s="6">
        <v>98.82</v>
      </c>
      <c r="J1468" s="6">
        <v>98.86</v>
      </c>
      <c r="K1468" s="6">
        <v>98.85</v>
      </c>
      <c r="L1468" s="6">
        <v>98.75</v>
      </c>
      <c r="M1468" s="6">
        <v>98.86</v>
      </c>
      <c r="N1468" s="6">
        <v>98.82</v>
      </c>
      <c r="O1468" s="6">
        <v>98.74</v>
      </c>
      <c r="P1468" s="6">
        <v>98.83</v>
      </c>
      <c r="Q1468" s="6">
        <v>98.81</v>
      </c>
      <c r="R1468" s="6">
        <v>98.73</v>
      </c>
    </row>
    <row r="1469" spans="2:18">
      <c r="B1469" s="6">
        <v>32711</v>
      </c>
      <c r="C1469" s="6" t="s">
        <v>440</v>
      </c>
      <c r="D1469" s="6">
        <v>0</v>
      </c>
      <c r="E1469" s="6">
        <v>96</v>
      </c>
      <c r="F1469" s="6">
        <v>96</v>
      </c>
      <c r="G1469" s="6">
        <v>98.03</v>
      </c>
      <c r="H1469" s="6">
        <v>98.12</v>
      </c>
      <c r="I1469" s="6">
        <v>98.05</v>
      </c>
      <c r="J1469" s="6">
        <v>97.72</v>
      </c>
      <c r="K1469" s="6">
        <v>97.84</v>
      </c>
      <c r="L1469" s="6">
        <v>97.75</v>
      </c>
      <c r="M1469" s="6">
        <v>97.72</v>
      </c>
      <c r="N1469" s="6">
        <v>97.83</v>
      </c>
      <c r="O1469" s="6">
        <v>97.74</v>
      </c>
      <c r="P1469" s="6">
        <v>97.73</v>
      </c>
      <c r="Q1469" s="6">
        <v>97.84</v>
      </c>
      <c r="R1469" s="6">
        <v>97.75</v>
      </c>
    </row>
    <row r="1470" spans="2:18">
      <c r="B1470" s="6">
        <v>32711</v>
      </c>
      <c r="C1470" s="6" t="s">
        <v>440</v>
      </c>
      <c r="D1470" s="6">
        <v>0</v>
      </c>
      <c r="E1470" s="6">
        <v>98.23</v>
      </c>
      <c r="F1470" s="6">
        <v>98.23</v>
      </c>
      <c r="G1470" s="6">
        <v>98.04</v>
      </c>
      <c r="H1470" s="6">
        <v>97.78</v>
      </c>
      <c r="I1470" s="6">
        <v>97.69</v>
      </c>
      <c r="J1470" s="6">
        <v>98.01</v>
      </c>
      <c r="K1470" s="6">
        <v>97.7</v>
      </c>
      <c r="L1470" s="6">
        <v>97.61</v>
      </c>
      <c r="M1470" s="6">
        <v>98.02</v>
      </c>
      <c r="N1470" s="6">
        <v>97.7</v>
      </c>
      <c r="O1470" s="6">
        <v>97.61</v>
      </c>
      <c r="P1470" s="6">
        <v>98.02</v>
      </c>
      <c r="Q1470" s="6">
        <v>97.7</v>
      </c>
      <c r="R1470" s="6">
        <v>97.61</v>
      </c>
    </row>
    <row r="1471" spans="2:18">
      <c r="B1471" s="6">
        <v>32712</v>
      </c>
      <c r="C1471" s="6" t="s">
        <v>1139</v>
      </c>
      <c r="D1471" s="6">
        <v>0</v>
      </c>
      <c r="E1471" s="6">
        <v>0</v>
      </c>
      <c r="F1471" s="6">
        <v>75</v>
      </c>
      <c r="G1471" s="6">
        <v>0</v>
      </c>
      <c r="H1471" s="6">
        <v>0</v>
      </c>
      <c r="I1471" s="6">
        <v>75</v>
      </c>
      <c r="J1471" s="6">
        <v>76.67</v>
      </c>
      <c r="K1471" s="6">
        <v>78.569999999999993</v>
      </c>
      <c r="L1471" s="6">
        <v>79.67</v>
      </c>
      <c r="M1471" s="6">
        <v>87.08</v>
      </c>
      <c r="N1471" s="6">
        <v>94.95</v>
      </c>
      <c r="O1471" s="6">
        <v>89.9</v>
      </c>
      <c r="P1471" s="6">
        <v>96.61</v>
      </c>
      <c r="Q1471" s="6">
        <v>97.38</v>
      </c>
      <c r="R1471" s="6">
        <v>96.74</v>
      </c>
    </row>
    <row r="1472" spans="2:18">
      <c r="B1472" s="6">
        <v>32712</v>
      </c>
      <c r="C1472" s="6" t="s">
        <v>1139</v>
      </c>
      <c r="D1472" s="6">
        <v>0</v>
      </c>
      <c r="E1472" s="6">
        <v>0</v>
      </c>
      <c r="F1472" s="6">
        <v>71.430000000000007</v>
      </c>
      <c r="G1472" s="6">
        <v>98.91</v>
      </c>
      <c r="H1472" s="6">
        <v>98.92</v>
      </c>
      <c r="I1472" s="6">
        <v>98.82</v>
      </c>
      <c r="J1472" s="6">
        <v>98.86</v>
      </c>
      <c r="K1472" s="6">
        <v>98.85</v>
      </c>
      <c r="L1472" s="6">
        <v>98.75</v>
      </c>
      <c r="M1472" s="6">
        <v>98.86</v>
      </c>
      <c r="N1472" s="6">
        <v>98.82</v>
      </c>
      <c r="O1472" s="6">
        <v>98.74</v>
      </c>
      <c r="P1472" s="6">
        <v>98.83</v>
      </c>
      <c r="Q1472" s="6">
        <v>98.81</v>
      </c>
      <c r="R1472" s="6">
        <v>98.73</v>
      </c>
    </row>
    <row r="1473" spans="2:18">
      <c r="B1473" s="6">
        <v>32712</v>
      </c>
      <c r="C1473" s="6" t="s">
        <v>1139</v>
      </c>
      <c r="D1473" s="6">
        <v>0</v>
      </c>
      <c r="E1473" s="6">
        <v>0</v>
      </c>
      <c r="F1473" s="6">
        <v>87.5</v>
      </c>
      <c r="G1473" s="6">
        <v>98.03</v>
      </c>
      <c r="H1473" s="6">
        <v>98.12</v>
      </c>
      <c r="I1473" s="6">
        <v>98.05</v>
      </c>
      <c r="J1473" s="6">
        <v>97.72</v>
      </c>
      <c r="K1473" s="6">
        <v>97.84</v>
      </c>
      <c r="L1473" s="6">
        <v>97.75</v>
      </c>
      <c r="M1473" s="6">
        <v>97.72</v>
      </c>
      <c r="N1473" s="6">
        <v>97.83</v>
      </c>
      <c r="O1473" s="6">
        <v>97.74</v>
      </c>
      <c r="P1473" s="6">
        <v>97.73</v>
      </c>
      <c r="Q1473" s="6">
        <v>97.84</v>
      </c>
      <c r="R1473" s="6">
        <v>97.75</v>
      </c>
    </row>
    <row r="1474" spans="2:18">
      <c r="B1474" s="6">
        <v>32712</v>
      </c>
      <c r="C1474" s="6" t="s">
        <v>1139</v>
      </c>
      <c r="D1474" s="6">
        <v>0</v>
      </c>
      <c r="E1474" s="6">
        <v>0</v>
      </c>
      <c r="F1474" s="6">
        <v>80</v>
      </c>
      <c r="G1474" s="6">
        <v>0</v>
      </c>
      <c r="H1474" s="6">
        <v>0</v>
      </c>
      <c r="I1474" s="6">
        <v>80</v>
      </c>
      <c r="J1474" s="6">
        <v>96.15</v>
      </c>
      <c r="K1474" s="6">
        <v>96.2</v>
      </c>
      <c r="L1474" s="6">
        <v>82.23</v>
      </c>
      <c r="M1474" s="6">
        <v>64.22</v>
      </c>
      <c r="N1474" s="6">
        <v>87.68</v>
      </c>
      <c r="O1474" s="6">
        <v>77.75</v>
      </c>
      <c r="P1474" s="6">
        <v>64.22</v>
      </c>
      <c r="Q1474" s="6">
        <v>89.74</v>
      </c>
      <c r="R1474" s="6">
        <v>82.9</v>
      </c>
    </row>
    <row r="1475" spans="2:18">
      <c r="B1475" s="6">
        <v>32713</v>
      </c>
      <c r="C1475" s="6" t="s">
        <v>1200</v>
      </c>
      <c r="D1475" s="6">
        <v>79.17</v>
      </c>
      <c r="E1475" s="6">
        <v>63.33</v>
      </c>
      <c r="F1475" s="6">
        <v>63.33</v>
      </c>
      <c r="G1475" s="6">
        <v>79.17</v>
      </c>
      <c r="H1475" s="6">
        <v>63.33</v>
      </c>
      <c r="I1475" s="6">
        <v>63.33</v>
      </c>
      <c r="J1475" s="6">
        <v>79.17</v>
      </c>
      <c r="K1475" s="6">
        <v>63.33</v>
      </c>
      <c r="L1475" s="6">
        <v>63.33</v>
      </c>
      <c r="M1475" s="6">
        <v>79.17</v>
      </c>
      <c r="N1475" s="6">
        <v>72.319999999999993</v>
      </c>
      <c r="O1475" s="6">
        <v>63.48</v>
      </c>
      <c r="P1475" s="6">
        <v>78.569999999999993</v>
      </c>
      <c r="Q1475" s="6">
        <v>79.319999999999993</v>
      </c>
      <c r="R1475" s="6">
        <v>88.2</v>
      </c>
    </row>
    <row r="1476" spans="2:18">
      <c r="B1476" s="6">
        <v>32713</v>
      </c>
      <c r="C1476" s="6" t="s">
        <v>1200</v>
      </c>
      <c r="D1476" s="6">
        <v>79.17</v>
      </c>
      <c r="E1476" s="6">
        <v>63.33</v>
      </c>
      <c r="F1476" s="6">
        <v>63.33</v>
      </c>
      <c r="G1476" s="6">
        <v>79.17</v>
      </c>
      <c r="H1476" s="6">
        <v>63.33</v>
      </c>
      <c r="I1476" s="6">
        <v>63.33</v>
      </c>
      <c r="J1476" s="6">
        <v>79.17</v>
      </c>
      <c r="K1476" s="6">
        <v>63.33</v>
      </c>
      <c r="L1476" s="6">
        <v>63.33</v>
      </c>
      <c r="M1476" s="6">
        <v>79.17</v>
      </c>
      <c r="N1476" s="6">
        <v>72.319999999999993</v>
      </c>
      <c r="O1476" s="6">
        <v>63.48</v>
      </c>
      <c r="P1476" s="6">
        <v>78.569999999999993</v>
      </c>
      <c r="Q1476" s="6">
        <v>79.319999999999993</v>
      </c>
      <c r="R1476" s="6">
        <v>88.2</v>
      </c>
    </row>
    <row r="1477" spans="2:18">
      <c r="B1477" s="6">
        <v>32713</v>
      </c>
      <c r="C1477" s="6" t="s">
        <v>1200</v>
      </c>
      <c r="D1477" s="6">
        <v>42.86</v>
      </c>
      <c r="E1477" s="6">
        <v>54.55</v>
      </c>
      <c r="F1477" s="6">
        <v>54.55</v>
      </c>
      <c r="G1477" s="6">
        <v>42.86</v>
      </c>
      <c r="H1477" s="6">
        <v>54.55</v>
      </c>
      <c r="I1477" s="6">
        <v>54.55</v>
      </c>
      <c r="J1477" s="6">
        <v>42.86</v>
      </c>
      <c r="K1477" s="6">
        <v>54.55</v>
      </c>
      <c r="L1477" s="6">
        <v>54.55</v>
      </c>
      <c r="M1477" s="6">
        <v>42.86</v>
      </c>
      <c r="N1477" s="6">
        <v>67.81</v>
      </c>
      <c r="O1477" s="6">
        <v>62.86</v>
      </c>
      <c r="P1477" s="6">
        <v>67.55</v>
      </c>
      <c r="Q1477" s="6">
        <v>74.17</v>
      </c>
      <c r="R1477" s="6">
        <v>67.33</v>
      </c>
    </row>
    <row r="1478" spans="2:18">
      <c r="B1478" s="6">
        <v>32713</v>
      </c>
      <c r="C1478" s="6" t="s">
        <v>1200</v>
      </c>
      <c r="D1478" s="6">
        <v>12.38</v>
      </c>
      <c r="E1478" s="6">
        <v>22.22</v>
      </c>
      <c r="F1478" s="6">
        <v>22.22</v>
      </c>
      <c r="G1478" s="6">
        <v>12.38</v>
      </c>
      <c r="H1478" s="6">
        <v>22.22</v>
      </c>
      <c r="I1478" s="6">
        <v>22.22</v>
      </c>
      <c r="J1478" s="6">
        <v>12.38</v>
      </c>
      <c r="K1478" s="6">
        <v>22.22</v>
      </c>
      <c r="L1478" s="6">
        <v>22.22</v>
      </c>
      <c r="M1478" s="6">
        <v>12.38</v>
      </c>
      <c r="N1478" s="6">
        <v>22.22</v>
      </c>
      <c r="O1478" s="6">
        <v>22.22</v>
      </c>
      <c r="P1478" s="6">
        <v>12.38</v>
      </c>
      <c r="Q1478" s="6">
        <v>22.22</v>
      </c>
      <c r="R1478" s="6">
        <v>22.22</v>
      </c>
    </row>
    <row r="1479" spans="2:18">
      <c r="B1479" s="6">
        <v>32714</v>
      </c>
      <c r="C1479" s="6" t="s">
        <v>1209</v>
      </c>
      <c r="D1479" s="6">
        <v>0</v>
      </c>
      <c r="E1479" s="6">
        <v>80.36</v>
      </c>
      <c r="F1479" s="6">
        <v>80.36</v>
      </c>
      <c r="G1479" s="6">
        <v>0</v>
      </c>
      <c r="H1479" s="6">
        <v>80.36</v>
      </c>
      <c r="I1479" s="6">
        <v>75.86</v>
      </c>
      <c r="J1479" s="6">
        <v>0</v>
      </c>
      <c r="K1479" s="6">
        <v>80.36</v>
      </c>
      <c r="L1479" s="6">
        <v>75.86</v>
      </c>
      <c r="M1479" s="6">
        <v>79.17</v>
      </c>
      <c r="N1479" s="6">
        <v>72.319999999999993</v>
      </c>
      <c r="O1479" s="6">
        <v>63.48</v>
      </c>
      <c r="P1479" s="6">
        <v>78.569999999999993</v>
      </c>
      <c r="Q1479" s="6">
        <v>79.319999999999993</v>
      </c>
      <c r="R1479" s="6">
        <v>88.2</v>
      </c>
    </row>
    <row r="1480" spans="2:18">
      <c r="B1480" s="6">
        <v>32714</v>
      </c>
      <c r="C1480" s="6" t="s">
        <v>1209</v>
      </c>
      <c r="D1480" s="6">
        <v>0</v>
      </c>
      <c r="E1480" s="6">
        <v>80.36</v>
      </c>
      <c r="F1480" s="6">
        <v>80.36</v>
      </c>
      <c r="G1480" s="6">
        <v>0</v>
      </c>
      <c r="H1480" s="6">
        <v>80.36</v>
      </c>
      <c r="I1480" s="6">
        <v>75.86</v>
      </c>
      <c r="J1480" s="6">
        <v>0</v>
      </c>
      <c r="K1480" s="6">
        <v>80.36</v>
      </c>
      <c r="L1480" s="6">
        <v>75.86</v>
      </c>
      <c r="M1480" s="6">
        <v>79.17</v>
      </c>
      <c r="N1480" s="6">
        <v>72.319999999999993</v>
      </c>
      <c r="O1480" s="6">
        <v>63.48</v>
      </c>
      <c r="P1480" s="6">
        <v>78.569999999999993</v>
      </c>
      <c r="Q1480" s="6">
        <v>79.319999999999993</v>
      </c>
      <c r="R1480" s="6">
        <v>88.2</v>
      </c>
    </row>
    <row r="1481" spans="2:18">
      <c r="B1481" s="6">
        <v>32714</v>
      </c>
      <c r="C1481" s="6" t="s">
        <v>1209</v>
      </c>
      <c r="D1481" s="6">
        <v>0</v>
      </c>
      <c r="E1481" s="6">
        <v>85.71</v>
      </c>
      <c r="F1481" s="6">
        <v>85.71</v>
      </c>
      <c r="G1481" s="6">
        <v>0</v>
      </c>
      <c r="H1481" s="6">
        <v>85.71</v>
      </c>
      <c r="I1481" s="6">
        <v>85.71</v>
      </c>
      <c r="J1481" s="6">
        <v>0</v>
      </c>
      <c r="K1481" s="6">
        <v>85.71</v>
      </c>
      <c r="L1481" s="6">
        <v>85.71</v>
      </c>
      <c r="M1481" s="6">
        <v>42.86</v>
      </c>
      <c r="N1481" s="6">
        <v>67.81</v>
      </c>
      <c r="O1481" s="6">
        <v>62.86</v>
      </c>
      <c r="P1481" s="6">
        <v>67.55</v>
      </c>
      <c r="Q1481" s="6">
        <v>74.17</v>
      </c>
      <c r="R1481" s="6">
        <v>67.33</v>
      </c>
    </row>
    <row r="1482" spans="2:18">
      <c r="B1482" s="6">
        <v>32715</v>
      </c>
      <c r="C1482" s="6" t="s">
        <v>1198</v>
      </c>
      <c r="D1482" s="6">
        <v>97.8</v>
      </c>
      <c r="E1482" s="6">
        <v>95.5</v>
      </c>
      <c r="F1482" s="6">
        <v>95.5</v>
      </c>
      <c r="G1482" s="6">
        <v>97.8</v>
      </c>
      <c r="H1482" s="6">
        <v>95.81</v>
      </c>
      <c r="I1482" s="6">
        <v>93.09</v>
      </c>
      <c r="J1482" s="6">
        <v>97.8</v>
      </c>
      <c r="K1482" s="6">
        <v>95.81</v>
      </c>
      <c r="L1482" s="6">
        <v>92.55</v>
      </c>
      <c r="M1482" s="6">
        <v>97.8</v>
      </c>
      <c r="N1482" s="6">
        <v>95.81</v>
      </c>
      <c r="O1482" s="6">
        <v>92.43</v>
      </c>
      <c r="P1482" s="6">
        <v>97.23</v>
      </c>
      <c r="Q1482" s="6">
        <v>95.67</v>
      </c>
      <c r="R1482" s="6">
        <v>93.87</v>
      </c>
    </row>
    <row r="1483" spans="2:18">
      <c r="B1483" s="6">
        <v>32715</v>
      </c>
      <c r="C1483" s="6" t="s">
        <v>1198</v>
      </c>
      <c r="D1483" s="6">
        <v>95.88</v>
      </c>
      <c r="E1483" s="6">
        <v>95.44</v>
      </c>
      <c r="F1483" s="6">
        <v>95.44</v>
      </c>
      <c r="G1483" s="6">
        <v>95.88</v>
      </c>
      <c r="H1483" s="6">
        <v>95.44</v>
      </c>
      <c r="I1483" s="6">
        <v>95.44</v>
      </c>
      <c r="J1483" s="6">
        <v>95.88</v>
      </c>
      <c r="K1483" s="6">
        <v>95.44</v>
      </c>
      <c r="L1483" s="6">
        <v>95.44</v>
      </c>
      <c r="M1483" s="6">
        <v>95.88</v>
      </c>
      <c r="N1483" s="6">
        <v>95.44</v>
      </c>
      <c r="O1483" s="6">
        <v>95.44</v>
      </c>
      <c r="P1483" s="6">
        <v>95.88</v>
      </c>
      <c r="Q1483" s="6">
        <v>95.44</v>
      </c>
      <c r="R1483" s="6">
        <v>95.44</v>
      </c>
    </row>
    <row r="1484" spans="2:18">
      <c r="B1484" s="6">
        <v>32715</v>
      </c>
      <c r="C1484" s="6" t="s">
        <v>1198</v>
      </c>
      <c r="D1484" s="6">
        <v>93.75</v>
      </c>
      <c r="E1484" s="6">
        <v>94.52</v>
      </c>
      <c r="F1484" s="6">
        <v>94.52</v>
      </c>
      <c r="G1484" s="6">
        <v>93.75</v>
      </c>
      <c r="H1484" s="6">
        <v>94.52</v>
      </c>
      <c r="I1484" s="6">
        <v>94.52</v>
      </c>
      <c r="J1484" s="6">
        <v>93.75</v>
      </c>
      <c r="K1484" s="6">
        <v>94.52</v>
      </c>
      <c r="L1484" s="6">
        <v>94.52</v>
      </c>
      <c r="M1484" s="6">
        <v>93.75</v>
      </c>
      <c r="N1484" s="6">
        <v>94.52</v>
      </c>
      <c r="O1484" s="6">
        <v>94.52</v>
      </c>
      <c r="P1484" s="6">
        <v>93.75</v>
      </c>
      <c r="Q1484" s="6">
        <v>94.52</v>
      </c>
      <c r="R1484" s="6">
        <v>94.52</v>
      </c>
    </row>
    <row r="1485" spans="2:18">
      <c r="B1485" s="6">
        <v>32715</v>
      </c>
      <c r="C1485" s="6" t="s">
        <v>1198</v>
      </c>
      <c r="D1485" s="6">
        <v>94.14</v>
      </c>
      <c r="E1485" s="6">
        <v>93.86</v>
      </c>
      <c r="F1485" s="6">
        <v>93.86</v>
      </c>
      <c r="G1485" s="6">
        <v>94.14</v>
      </c>
      <c r="H1485" s="6">
        <v>95.21</v>
      </c>
      <c r="I1485" s="6">
        <v>94.44</v>
      </c>
      <c r="J1485" s="6">
        <v>94.14</v>
      </c>
      <c r="K1485" s="6">
        <v>95.21</v>
      </c>
      <c r="L1485" s="6">
        <v>95.51</v>
      </c>
      <c r="M1485" s="6">
        <v>94.14</v>
      </c>
      <c r="N1485" s="6">
        <v>95.21</v>
      </c>
      <c r="O1485" s="6">
        <v>95.13</v>
      </c>
      <c r="P1485" s="6">
        <v>92.91</v>
      </c>
      <c r="Q1485" s="6">
        <v>94.84</v>
      </c>
      <c r="R1485" s="6">
        <v>94.98</v>
      </c>
    </row>
    <row r="1486" spans="2:18">
      <c r="B1486" s="6">
        <v>32715</v>
      </c>
      <c r="C1486" s="6" t="s">
        <v>1198</v>
      </c>
      <c r="D1486" s="6">
        <v>100</v>
      </c>
      <c r="E1486" s="6">
        <v>99.19</v>
      </c>
      <c r="F1486" s="6">
        <v>99.19</v>
      </c>
      <c r="G1486" s="6">
        <v>100</v>
      </c>
      <c r="H1486" s="6">
        <v>99.19</v>
      </c>
      <c r="I1486" s="6">
        <v>97.92</v>
      </c>
      <c r="J1486" s="6">
        <v>100</v>
      </c>
      <c r="K1486" s="6">
        <v>99.19</v>
      </c>
      <c r="L1486" s="6">
        <v>97.92</v>
      </c>
      <c r="M1486" s="6">
        <v>100</v>
      </c>
      <c r="N1486" s="6">
        <v>99.19</v>
      </c>
      <c r="O1486" s="6">
        <v>97.92</v>
      </c>
      <c r="P1486" s="6">
        <v>100</v>
      </c>
      <c r="Q1486" s="6">
        <v>99.19</v>
      </c>
      <c r="R1486" s="6">
        <v>97.92</v>
      </c>
    </row>
    <row r="1487" spans="2:18">
      <c r="B1487" s="6">
        <v>32716</v>
      </c>
      <c r="C1487" s="6" t="s">
        <v>354</v>
      </c>
      <c r="D1487" s="6">
        <v>0</v>
      </c>
      <c r="E1487" s="6">
        <v>88.65</v>
      </c>
      <c r="F1487" s="6">
        <v>88.65</v>
      </c>
      <c r="G1487" s="6">
        <v>98.77</v>
      </c>
      <c r="H1487" s="6">
        <v>98.55</v>
      </c>
      <c r="I1487" s="6">
        <v>98.72</v>
      </c>
      <c r="J1487" s="6">
        <v>98.23</v>
      </c>
      <c r="K1487" s="6">
        <v>98.19</v>
      </c>
      <c r="L1487" s="6">
        <v>98.1</v>
      </c>
      <c r="M1487" s="6">
        <v>98.23</v>
      </c>
      <c r="N1487" s="6">
        <v>98.19</v>
      </c>
      <c r="O1487" s="6">
        <v>98.1</v>
      </c>
      <c r="P1487" s="6">
        <v>98.04</v>
      </c>
      <c r="Q1487" s="6">
        <v>98.09</v>
      </c>
      <c r="R1487" s="6">
        <v>97.91</v>
      </c>
    </row>
    <row r="1488" spans="2:18">
      <c r="B1488" s="6">
        <v>32716</v>
      </c>
      <c r="C1488" s="6" t="s">
        <v>354</v>
      </c>
      <c r="D1488" s="6">
        <v>0</v>
      </c>
      <c r="E1488" s="6">
        <v>93.4</v>
      </c>
      <c r="F1488" s="6">
        <v>93.4</v>
      </c>
      <c r="G1488" s="6">
        <v>99.43</v>
      </c>
      <c r="H1488" s="6">
        <v>99.52</v>
      </c>
      <c r="I1488" s="6">
        <v>99.53</v>
      </c>
      <c r="J1488" s="6">
        <v>99.26</v>
      </c>
      <c r="K1488" s="6">
        <v>99.39</v>
      </c>
      <c r="L1488" s="6">
        <v>99.39</v>
      </c>
      <c r="M1488" s="6">
        <v>99.26</v>
      </c>
      <c r="N1488" s="6">
        <v>99.39</v>
      </c>
      <c r="O1488" s="6">
        <v>99.39</v>
      </c>
      <c r="P1488" s="6">
        <v>99.26</v>
      </c>
      <c r="Q1488" s="6">
        <v>99.39</v>
      </c>
      <c r="R1488" s="6">
        <v>99.39</v>
      </c>
    </row>
    <row r="1489" spans="2:18">
      <c r="B1489" s="6">
        <v>32717</v>
      </c>
      <c r="C1489" s="6" t="s">
        <v>635</v>
      </c>
      <c r="D1489" s="6">
        <v>0</v>
      </c>
      <c r="E1489" s="6">
        <v>97.96</v>
      </c>
      <c r="F1489" s="6">
        <v>97.96</v>
      </c>
      <c r="G1489" s="6">
        <v>98.74</v>
      </c>
      <c r="H1489" s="6">
        <v>98.55</v>
      </c>
      <c r="I1489" s="6">
        <v>98.22</v>
      </c>
      <c r="J1489" s="6">
        <v>98.64</v>
      </c>
      <c r="K1489" s="6">
        <v>98.48</v>
      </c>
      <c r="L1489" s="6">
        <v>98.3</v>
      </c>
      <c r="M1489" s="6">
        <v>98.62</v>
      </c>
      <c r="N1489" s="6">
        <v>98.46</v>
      </c>
      <c r="O1489" s="6">
        <v>98.28</v>
      </c>
      <c r="P1489" s="6">
        <v>98.52</v>
      </c>
      <c r="Q1489" s="6">
        <v>98.45</v>
      </c>
      <c r="R1489" s="6">
        <v>98.28</v>
      </c>
    </row>
    <row r="1490" spans="2:18">
      <c r="B1490" s="6">
        <v>32717</v>
      </c>
      <c r="C1490" s="6" t="s">
        <v>635</v>
      </c>
      <c r="D1490" s="6">
        <v>0</v>
      </c>
      <c r="E1490" s="6">
        <v>98</v>
      </c>
      <c r="F1490" s="6">
        <v>98</v>
      </c>
      <c r="G1490" s="6">
        <v>98.85</v>
      </c>
      <c r="H1490" s="6">
        <v>98.85</v>
      </c>
      <c r="I1490" s="6">
        <v>98.64</v>
      </c>
      <c r="J1490" s="6">
        <v>98.86</v>
      </c>
      <c r="K1490" s="6">
        <v>98.85</v>
      </c>
      <c r="L1490" s="6">
        <v>98.75</v>
      </c>
      <c r="M1490" s="6">
        <v>98.86</v>
      </c>
      <c r="N1490" s="6">
        <v>98.82</v>
      </c>
      <c r="O1490" s="6">
        <v>98.74</v>
      </c>
      <c r="P1490" s="6">
        <v>98.83</v>
      </c>
      <c r="Q1490" s="6">
        <v>98.81</v>
      </c>
      <c r="R1490" s="6">
        <v>98.73</v>
      </c>
    </row>
    <row r="1491" spans="2:18">
      <c r="B1491" s="6">
        <v>32717</v>
      </c>
      <c r="C1491" s="6" t="s">
        <v>635</v>
      </c>
      <c r="D1491" s="6">
        <v>0</v>
      </c>
      <c r="E1491" s="6">
        <v>97.56</v>
      </c>
      <c r="F1491" s="6">
        <v>97.56</v>
      </c>
      <c r="G1491" s="6">
        <v>97.49</v>
      </c>
      <c r="H1491" s="6">
        <v>97.66</v>
      </c>
      <c r="I1491" s="6">
        <v>97.52</v>
      </c>
      <c r="J1491" s="6">
        <v>97.72</v>
      </c>
      <c r="K1491" s="6">
        <v>97.84</v>
      </c>
      <c r="L1491" s="6">
        <v>97.75</v>
      </c>
      <c r="M1491" s="6">
        <v>97.72</v>
      </c>
      <c r="N1491" s="6">
        <v>97.83</v>
      </c>
      <c r="O1491" s="6">
        <v>97.74</v>
      </c>
      <c r="P1491" s="6">
        <v>97.73</v>
      </c>
      <c r="Q1491" s="6">
        <v>97.84</v>
      </c>
      <c r="R1491" s="6">
        <v>97.75</v>
      </c>
    </row>
    <row r="1492" spans="2:18">
      <c r="B1492" s="6">
        <v>32717</v>
      </c>
      <c r="C1492" s="6" t="s">
        <v>635</v>
      </c>
      <c r="D1492" s="6">
        <v>0</v>
      </c>
      <c r="E1492" s="6">
        <v>97.92</v>
      </c>
      <c r="F1492" s="6">
        <v>97.92</v>
      </c>
      <c r="G1492" s="6">
        <v>98.15</v>
      </c>
      <c r="H1492" s="6">
        <v>97.53</v>
      </c>
      <c r="I1492" s="6">
        <v>97.49</v>
      </c>
      <c r="J1492" s="6">
        <v>98.01</v>
      </c>
      <c r="K1492" s="6">
        <v>97.7</v>
      </c>
      <c r="L1492" s="6">
        <v>97.61</v>
      </c>
      <c r="M1492" s="6">
        <v>98.02</v>
      </c>
      <c r="N1492" s="6">
        <v>97.7</v>
      </c>
      <c r="O1492" s="6">
        <v>97.61</v>
      </c>
      <c r="P1492" s="6">
        <v>98.02</v>
      </c>
      <c r="Q1492" s="6">
        <v>97.7</v>
      </c>
      <c r="R1492" s="6">
        <v>97.61</v>
      </c>
    </row>
    <row r="1493" spans="2:18">
      <c r="B1493" s="6">
        <v>32718</v>
      </c>
      <c r="C1493" s="6" t="s">
        <v>675</v>
      </c>
      <c r="D1493" s="6">
        <v>0</v>
      </c>
      <c r="E1493" s="6">
        <v>98.17</v>
      </c>
      <c r="F1493" s="6">
        <v>98.17</v>
      </c>
      <c r="G1493" s="6">
        <v>98.74</v>
      </c>
      <c r="H1493" s="6">
        <v>98.55</v>
      </c>
      <c r="I1493" s="6">
        <v>98.22</v>
      </c>
      <c r="J1493" s="6">
        <v>98.64</v>
      </c>
      <c r="K1493" s="6">
        <v>98.48</v>
      </c>
      <c r="L1493" s="6">
        <v>98.3</v>
      </c>
      <c r="M1493" s="6">
        <v>98.62</v>
      </c>
      <c r="N1493" s="6">
        <v>98.46</v>
      </c>
      <c r="O1493" s="6">
        <v>98.28</v>
      </c>
      <c r="P1493" s="6">
        <v>98.52</v>
      </c>
      <c r="Q1493" s="6">
        <v>98.45</v>
      </c>
      <c r="R1493" s="6">
        <v>98.28</v>
      </c>
    </row>
    <row r="1494" spans="2:18">
      <c r="B1494" s="6">
        <v>32718</v>
      </c>
      <c r="C1494" s="6" t="s">
        <v>675</v>
      </c>
      <c r="D1494" s="6">
        <v>0</v>
      </c>
      <c r="E1494" s="6">
        <v>99.09</v>
      </c>
      <c r="F1494" s="6">
        <v>99.09</v>
      </c>
      <c r="G1494" s="6">
        <v>98.85</v>
      </c>
      <c r="H1494" s="6">
        <v>98.85</v>
      </c>
      <c r="I1494" s="6">
        <v>98.64</v>
      </c>
      <c r="J1494" s="6">
        <v>98.86</v>
      </c>
      <c r="K1494" s="6">
        <v>98.85</v>
      </c>
      <c r="L1494" s="6">
        <v>98.75</v>
      </c>
      <c r="M1494" s="6">
        <v>98.86</v>
      </c>
      <c r="N1494" s="6">
        <v>98.82</v>
      </c>
      <c r="O1494" s="6">
        <v>98.74</v>
      </c>
      <c r="P1494" s="6">
        <v>98.83</v>
      </c>
      <c r="Q1494" s="6">
        <v>98.81</v>
      </c>
      <c r="R1494" s="6">
        <v>98.73</v>
      </c>
    </row>
    <row r="1495" spans="2:18">
      <c r="B1495" s="6">
        <v>32718</v>
      </c>
      <c r="C1495" s="6" t="s">
        <v>675</v>
      </c>
      <c r="D1495" s="6">
        <v>0</v>
      </c>
      <c r="E1495" s="6">
        <v>97.78</v>
      </c>
      <c r="F1495" s="6">
        <v>97.78</v>
      </c>
      <c r="G1495" s="6">
        <v>97.49</v>
      </c>
      <c r="H1495" s="6">
        <v>97.66</v>
      </c>
      <c r="I1495" s="6">
        <v>97.52</v>
      </c>
      <c r="J1495" s="6">
        <v>97.72</v>
      </c>
      <c r="K1495" s="6">
        <v>97.84</v>
      </c>
      <c r="L1495" s="6">
        <v>97.75</v>
      </c>
      <c r="M1495" s="6">
        <v>97.72</v>
      </c>
      <c r="N1495" s="6">
        <v>97.83</v>
      </c>
      <c r="O1495" s="6">
        <v>97.74</v>
      </c>
      <c r="P1495" s="6">
        <v>97.73</v>
      </c>
      <c r="Q1495" s="6">
        <v>97.84</v>
      </c>
      <c r="R1495" s="6">
        <v>97.75</v>
      </c>
    </row>
    <row r="1496" spans="2:18">
      <c r="B1496" s="6">
        <v>32718</v>
      </c>
      <c r="C1496" s="6" t="s">
        <v>675</v>
      </c>
      <c r="D1496" s="6">
        <v>0</v>
      </c>
      <c r="E1496" s="6">
        <v>96.26</v>
      </c>
      <c r="F1496" s="6">
        <v>96.26</v>
      </c>
      <c r="G1496" s="6">
        <v>98.15</v>
      </c>
      <c r="H1496" s="6">
        <v>97.53</v>
      </c>
      <c r="I1496" s="6">
        <v>97.49</v>
      </c>
      <c r="J1496" s="6">
        <v>98.01</v>
      </c>
      <c r="K1496" s="6">
        <v>97.7</v>
      </c>
      <c r="L1496" s="6">
        <v>97.61</v>
      </c>
      <c r="M1496" s="6">
        <v>98.02</v>
      </c>
      <c r="N1496" s="6">
        <v>97.7</v>
      </c>
      <c r="O1496" s="6">
        <v>97.61</v>
      </c>
      <c r="P1496" s="6">
        <v>98.02</v>
      </c>
      <c r="Q1496" s="6">
        <v>97.7</v>
      </c>
      <c r="R1496" s="6">
        <v>97.61</v>
      </c>
    </row>
    <row r="1497" spans="2:18">
      <c r="B1497" s="6">
        <v>32719</v>
      </c>
      <c r="C1497" s="6" t="s">
        <v>754</v>
      </c>
      <c r="D1497" s="6">
        <v>0</v>
      </c>
      <c r="E1497" s="6">
        <v>99.22</v>
      </c>
      <c r="F1497" s="6">
        <v>99.22</v>
      </c>
      <c r="G1497" s="6">
        <v>98.74</v>
      </c>
      <c r="H1497" s="6">
        <v>98.55</v>
      </c>
      <c r="I1497" s="6">
        <v>98.22</v>
      </c>
      <c r="J1497" s="6">
        <v>98.64</v>
      </c>
      <c r="K1497" s="6">
        <v>98.48</v>
      </c>
      <c r="L1497" s="6">
        <v>98.3</v>
      </c>
      <c r="M1497" s="6">
        <v>98.62</v>
      </c>
      <c r="N1497" s="6">
        <v>98.46</v>
      </c>
      <c r="O1497" s="6">
        <v>98.28</v>
      </c>
      <c r="P1497" s="6">
        <v>98.52</v>
      </c>
      <c r="Q1497" s="6">
        <v>98.45</v>
      </c>
      <c r="R1497" s="6">
        <v>98.28</v>
      </c>
    </row>
    <row r="1498" spans="2:18">
      <c r="B1498" s="6">
        <v>32719</v>
      </c>
      <c r="C1498" s="6" t="s">
        <v>754</v>
      </c>
      <c r="D1498" s="6">
        <v>0</v>
      </c>
      <c r="E1498" s="6">
        <v>99.23</v>
      </c>
      <c r="F1498" s="6">
        <v>99.23</v>
      </c>
      <c r="G1498" s="6">
        <v>98.85</v>
      </c>
      <c r="H1498" s="6">
        <v>98.85</v>
      </c>
      <c r="I1498" s="6">
        <v>98.64</v>
      </c>
      <c r="J1498" s="6">
        <v>98.86</v>
      </c>
      <c r="K1498" s="6">
        <v>98.85</v>
      </c>
      <c r="L1498" s="6">
        <v>98.75</v>
      </c>
      <c r="M1498" s="6">
        <v>98.86</v>
      </c>
      <c r="N1498" s="6">
        <v>98.82</v>
      </c>
      <c r="O1498" s="6">
        <v>98.74</v>
      </c>
      <c r="P1498" s="6">
        <v>98.83</v>
      </c>
      <c r="Q1498" s="6">
        <v>98.81</v>
      </c>
      <c r="R1498" s="6">
        <v>98.73</v>
      </c>
    </row>
    <row r="1499" spans="2:18">
      <c r="B1499" s="6">
        <v>32719</v>
      </c>
      <c r="C1499" s="6" t="s">
        <v>754</v>
      </c>
      <c r="D1499" s="6">
        <v>0</v>
      </c>
      <c r="E1499" s="6">
        <v>98.11</v>
      </c>
      <c r="F1499" s="6">
        <v>98.11</v>
      </c>
      <c r="G1499" s="6">
        <v>97.49</v>
      </c>
      <c r="H1499" s="6">
        <v>97.66</v>
      </c>
      <c r="I1499" s="6">
        <v>97.52</v>
      </c>
      <c r="J1499" s="6">
        <v>97.72</v>
      </c>
      <c r="K1499" s="6">
        <v>97.84</v>
      </c>
      <c r="L1499" s="6">
        <v>97.75</v>
      </c>
      <c r="M1499" s="6">
        <v>97.72</v>
      </c>
      <c r="N1499" s="6">
        <v>97.83</v>
      </c>
      <c r="O1499" s="6">
        <v>97.74</v>
      </c>
      <c r="P1499" s="6">
        <v>97.73</v>
      </c>
      <c r="Q1499" s="6">
        <v>97.84</v>
      </c>
      <c r="R1499" s="6">
        <v>97.75</v>
      </c>
    </row>
    <row r="1500" spans="2:18">
      <c r="B1500" s="6">
        <v>32719</v>
      </c>
      <c r="C1500" s="6" t="s">
        <v>754</v>
      </c>
      <c r="D1500" s="6">
        <v>0</v>
      </c>
      <c r="E1500" s="6">
        <v>97.85</v>
      </c>
      <c r="F1500" s="6">
        <v>97.85</v>
      </c>
      <c r="G1500" s="6">
        <v>98.15</v>
      </c>
      <c r="H1500" s="6">
        <v>97.53</v>
      </c>
      <c r="I1500" s="6">
        <v>97.49</v>
      </c>
      <c r="J1500" s="6">
        <v>98.01</v>
      </c>
      <c r="K1500" s="6">
        <v>97.7</v>
      </c>
      <c r="L1500" s="6">
        <v>97.61</v>
      </c>
      <c r="M1500" s="6">
        <v>98.02</v>
      </c>
      <c r="N1500" s="6">
        <v>97.7</v>
      </c>
      <c r="O1500" s="6">
        <v>97.61</v>
      </c>
      <c r="P1500" s="6">
        <v>98.02</v>
      </c>
      <c r="Q1500" s="6">
        <v>97.7</v>
      </c>
      <c r="R1500" s="6">
        <v>97.61</v>
      </c>
    </row>
    <row r="1501" spans="2:18">
      <c r="B1501" s="6">
        <v>32720</v>
      </c>
      <c r="C1501" s="6" t="s">
        <v>1171</v>
      </c>
      <c r="D1501" s="6">
        <v>0</v>
      </c>
      <c r="E1501" s="6">
        <v>84.44</v>
      </c>
      <c r="F1501" s="6">
        <v>84.44</v>
      </c>
      <c r="G1501" s="6">
        <v>80.86</v>
      </c>
      <c r="H1501" s="6">
        <v>83.63</v>
      </c>
      <c r="I1501" s="6">
        <v>83.96</v>
      </c>
      <c r="J1501" s="6">
        <v>80.86</v>
      </c>
      <c r="K1501" s="6">
        <v>83.63</v>
      </c>
      <c r="L1501" s="6">
        <v>83.87</v>
      </c>
      <c r="M1501" s="6">
        <v>80.86</v>
      </c>
      <c r="N1501" s="6">
        <v>83.63</v>
      </c>
      <c r="O1501" s="6">
        <v>83.87</v>
      </c>
      <c r="P1501" s="6">
        <v>80.86</v>
      </c>
      <c r="Q1501" s="6">
        <v>83.63</v>
      </c>
      <c r="R1501" s="6">
        <v>83.87</v>
      </c>
    </row>
    <row r="1502" spans="2:18">
      <c r="B1502" s="6">
        <v>32720</v>
      </c>
      <c r="C1502" s="6" t="s">
        <v>1171</v>
      </c>
      <c r="D1502" s="6">
        <v>0</v>
      </c>
      <c r="E1502" s="6">
        <v>84.44</v>
      </c>
      <c r="F1502" s="6">
        <v>84.44</v>
      </c>
      <c r="G1502" s="6">
        <v>80.86</v>
      </c>
      <c r="H1502" s="6">
        <v>83.63</v>
      </c>
      <c r="I1502" s="6">
        <v>83.96</v>
      </c>
      <c r="J1502" s="6">
        <v>80.86</v>
      </c>
      <c r="K1502" s="6">
        <v>83.63</v>
      </c>
      <c r="L1502" s="6">
        <v>83.87</v>
      </c>
      <c r="M1502" s="6">
        <v>80.86</v>
      </c>
      <c r="N1502" s="6">
        <v>83.63</v>
      </c>
      <c r="O1502" s="6">
        <v>83.87</v>
      </c>
      <c r="P1502" s="6">
        <v>80.86</v>
      </c>
      <c r="Q1502" s="6">
        <v>83.63</v>
      </c>
      <c r="R1502" s="6">
        <v>83.87</v>
      </c>
    </row>
    <row r="1503" spans="2:18">
      <c r="B1503" s="6">
        <v>32720</v>
      </c>
      <c r="C1503" s="6" t="s">
        <v>1171</v>
      </c>
      <c r="D1503" s="6">
        <v>0</v>
      </c>
      <c r="E1503" s="6">
        <v>77.78</v>
      </c>
      <c r="F1503" s="6">
        <v>77.78</v>
      </c>
      <c r="G1503" s="6">
        <v>0</v>
      </c>
      <c r="H1503" s="6">
        <v>77.78</v>
      </c>
      <c r="I1503" s="6">
        <v>77.78</v>
      </c>
      <c r="J1503" s="6">
        <v>0</v>
      </c>
      <c r="K1503" s="6">
        <v>77.78</v>
      </c>
      <c r="L1503" s="6">
        <v>77.78</v>
      </c>
      <c r="M1503" s="6">
        <v>0</v>
      </c>
      <c r="N1503" s="6">
        <v>77.78</v>
      </c>
      <c r="O1503" s="6">
        <v>77.78</v>
      </c>
      <c r="P1503" s="6">
        <v>0</v>
      </c>
      <c r="Q1503" s="6">
        <v>77.78</v>
      </c>
      <c r="R1503" s="6">
        <v>77.78</v>
      </c>
    </row>
    <row r="1504" spans="2:18">
      <c r="B1504" s="6">
        <v>32725</v>
      </c>
      <c r="C1504" s="6" t="s">
        <v>1208</v>
      </c>
      <c r="D1504" s="6">
        <v>88.89</v>
      </c>
      <c r="E1504" s="6">
        <v>89.16</v>
      </c>
      <c r="F1504" s="6">
        <v>89.16</v>
      </c>
      <c r="G1504" s="6">
        <v>88.89</v>
      </c>
      <c r="H1504" s="6">
        <v>92.34</v>
      </c>
      <c r="I1504" s="6">
        <v>79.78</v>
      </c>
      <c r="J1504" s="6">
        <v>88.89</v>
      </c>
      <c r="K1504" s="6">
        <v>92.34</v>
      </c>
      <c r="L1504" s="6">
        <v>80.08</v>
      </c>
      <c r="M1504" s="6">
        <v>88.89</v>
      </c>
      <c r="N1504" s="6">
        <v>92.34</v>
      </c>
      <c r="O1504" s="6">
        <v>80.08</v>
      </c>
      <c r="P1504" s="6">
        <v>88.89</v>
      </c>
      <c r="Q1504" s="6">
        <v>92.34</v>
      </c>
      <c r="R1504" s="6">
        <v>80.08</v>
      </c>
    </row>
    <row r="1505" spans="2:18">
      <c r="B1505" s="6">
        <v>32727</v>
      </c>
      <c r="C1505" s="6" t="s">
        <v>500</v>
      </c>
      <c r="D1505" s="6">
        <v>0</v>
      </c>
      <c r="E1505" s="6">
        <v>96.77</v>
      </c>
      <c r="F1505" s="6">
        <v>96.77</v>
      </c>
      <c r="G1505" s="6">
        <v>96.15</v>
      </c>
      <c r="H1505" s="6">
        <v>96.2</v>
      </c>
      <c r="I1505" s="6">
        <v>82.37</v>
      </c>
      <c r="J1505" s="6">
        <v>96.15</v>
      </c>
      <c r="K1505" s="6">
        <v>96.2</v>
      </c>
      <c r="L1505" s="6">
        <v>82.23</v>
      </c>
      <c r="M1505" s="6">
        <v>64.22</v>
      </c>
      <c r="N1505" s="6">
        <v>87.68</v>
      </c>
      <c r="O1505" s="6">
        <v>77.75</v>
      </c>
      <c r="P1505" s="6">
        <v>64.22</v>
      </c>
      <c r="Q1505" s="6">
        <v>89.74</v>
      </c>
      <c r="R1505" s="6">
        <v>82.9</v>
      </c>
    </row>
    <row r="1506" spans="2:18">
      <c r="B1506" s="6">
        <v>32728</v>
      </c>
      <c r="C1506" s="6" t="s">
        <v>612</v>
      </c>
      <c r="D1506" s="6">
        <v>0</v>
      </c>
      <c r="E1506" s="6">
        <v>95.19</v>
      </c>
      <c r="F1506" s="6">
        <v>95.19</v>
      </c>
      <c r="G1506" s="6">
        <v>98.74</v>
      </c>
      <c r="H1506" s="6">
        <v>98.55</v>
      </c>
      <c r="I1506" s="6">
        <v>98.22</v>
      </c>
      <c r="J1506" s="6">
        <v>98.64</v>
      </c>
      <c r="K1506" s="6">
        <v>98.48</v>
      </c>
      <c r="L1506" s="6">
        <v>98.3</v>
      </c>
      <c r="M1506" s="6">
        <v>98.62</v>
      </c>
      <c r="N1506" s="6">
        <v>98.46</v>
      </c>
      <c r="O1506" s="6">
        <v>98.28</v>
      </c>
      <c r="P1506" s="6">
        <v>98.52</v>
      </c>
      <c r="Q1506" s="6">
        <v>98.45</v>
      </c>
      <c r="R1506" s="6">
        <v>98.28</v>
      </c>
    </row>
    <row r="1507" spans="2:18">
      <c r="B1507" s="6">
        <v>32728</v>
      </c>
      <c r="C1507" s="6" t="s">
        <v>612</v>
      </c>
      <c r="D1507" s="6">
        <v>0</v>
      </c>
      <c r="E1507" s="6">
        <v>96.39</v>
      </c>
      <c r="F1507" s="6">
        <v>96.39</v>
      </c>
      <c r="G1507" s="6">
        <v>0</v>
      </c>
      <c r="H1507" s="6">
        <v>96.39</v>
      </c>
      <c r="I1507" s="6">
        <v>96.39</v>
      </c>
      <c r="J1507" s="6">
        <v>0</v>
      </c>
      <c r="K1507" s="6">
        <v>96.39</v>
      </c>
      <c r="L1507" s="6">
        <v>96.39</v>
      </c>
      <c r="M1507" s="6">
        <v>98.76</v>
      </c>
      <c r="N1507" s="6">
        <v>98.51</v>
      </c>
      <c r="O1507" s="6">
        <v>98.63</v>
      </c>
      <c r="P1507" s="6">
        <v>98.76</v>
      </c>
      <c r="Q1507" s="6">
        <v>98.51</v>
      </c>
      <c r="R1507" s="6">
        <v>98.63</v>
      </c>
    </row>
    <row r="1508" spans="2:18">
      <c r="B1508" s="6">
        <v>32728</v>
      </c>
      <c r="C1508" s="6" t="s">
        <v>612</v>
      </c>
      <c r="D1508" s="6">
        <v>0</v>
      </c>
      <c r="E1508" s="6">
        <v>97.49</v>
      </c>
      <c r="F1508" s="6">
        <v>97.49</v>
      </c>
      <c r="G1508" s="6">
        <v>97.49</v>
      </c>
      <c r="H1508" s="6">
        <v>97.66</v>
      </c>
      <c r="I1508" s="6">
        <v>97.52</v>
      </c>
      <c r="J1508" s="6">
        <v>97.72</v>
      </c>
      <c r="K1508" s="6">
        <v>97.84</v>
      </c>
      <c r="L1508" s="6">
        <v>97.75</v>
      </c>
      <c r="M1508" s="6">
        <v>97.72</v>
      </c>
      <c r="N1508" s="6">
        <v>97.83</v>
      </c>
      <c r="O1508" s="6">
        <v>97.74</v>
      </c>
      <c r="P1508" s="6">
        <v>97.73</v>
      </c>
      <c r="Q1508" s="6">
        <v>97.84</v>
      </c>
      <c r="R1508" s="6">
        <v>97.75</v>
      </c>
    </row>
    <row r="1509" spans="2:18">
      <c r="B1509" s="6">
        <v>32728</v>
      </c>
      <c r="C1509" s="6" t="s">
        <v>612</v>
      </c>
      <c r="D1509" s="6">
        <v>0</v>
      </c>
      <c r="E1509" s="6">
        <v>94.94</v>
      </c>
      <c r="F1509" s="6">
        <v>94.94</v>
      </c>
      <c r="G1509" s="6">
        <v>98.15</v>
      </c>
      <c r="H1509" s="6">
        <v>97.53</v>
      </c>
      <c r="I1509" s="6">
        <v>97.49</v>
      </c>
      <c r="J1509" s="6">
        <v>98.01</v>
      </c>
      <c r="K1509" s="6">
        <v>97.7</v>
      </c>
      <c r="L1509" s="6">
        <v>97.61</v>
      </c>
      <c r="M1509" s="6">
        <v>98.02</v>
      </c>
      <c r="N1509" s="6">
        <v>97.7</v>
      </c>
      <c r="O1509" s="6">
        <v>97.61</v>
      </c>
      <c r="P1509" s="6">
        <v>98.02</v>
      </c>
      <c r="Q1509" s="6">
        <v>97.7</v>
      </c>
      <c r="R1509" s="6">
        <v>97.61</v>
      </c>
    </row>
    <row r="1510" spans="2:18">
      <c r="B1510" s="6">
        <v>32730</v>
      </c>
      <c r="C1510" s="6" t="s">
        <v>671</v>
      </c>
      <c r="D1510" s="6">
        <v>89.87</v>
      </c>
      <c r="E1510" s="6">
        <v>95.63</v>
      </c>
      <c r="F1510" s="6">
        <v>95.63</v>
      </c>
      <c r="G1510" s="6">
        <v>98.48</v>
      </c>
      <c r="H1510" s="6">
        <v>98.4</v>
      </c>
      <c r="I1510" s="6">
        <v>98.25</v>
      </c>
      <c r="J1510" s="6">
        <v>98.64</v>
      </c>
      <c r="K1510" s="6">
        <v>98.48</v>
      </c>
      <c r="L1510" s="6">
        <v>98.3</v>
      </c>
      <c r="M1510" s="6">
        <v>98.62</v>
      </c>
      <c r="N1510" s="6">
        <v>98.46</v>
      </c>
      <c r="O1510" s="6">
        <v>98.28</v>
      </c>
      <c r="P1510" s="6">
        <v>98.52</v>
      </c>
      <c r="Q1510" s="6">
        <v>98.45</v>
      </c>
      <c r="R1510" s="6">
        <v>98.28</v>
      </c>
    </row>
    <row r="1511" spans="2:18">
      <c r="B1511" s="6">
        <v>32730</v>
      </c>
      <c r="C1511" s="6" t="s">
        <v>671</v>
      </c>
      <c r="D1511" s="6">
        <v>79</v>
      </c>
      <c r="E1511" s="6">
        <v>95.35</v>
      </c>
      <c r="F1511" s="6">
        <v>95.35</v>
      </c>
      <c r="G1511" s="6">
        <v>97.97</v>
      </c>
      <c r="H1511" s="6">
        <v>98.08</v>
      </c>
      <c r="I1511" s="6">
        <v>98.09</v>
      </c>
      <c r="J1511" s="6">
        <v>98.86</v>
      </c>
      <c r="K1511" s="6">
        <v>98.85</v>
      </c>
      <c r="L1511" s="6">
        <v>98.75</v>
      </c>
      <c r="M1511" s="6">
        <v>98.86</v>
      </c>
      <c r="N1511" s="6">
        <v>98.82</v>
      </c>
      <c r="O1511" s="6">
        <v>98.74</v>
      </c>
      <c r="P1511" s="6">
        <v>98.83</v>
      </c>
      <c r="Q1511" s="6">
        <v>98.81</v>
      </c>
      <c r="R1511" s="6">
        <v>98.73</v>
      </c>
    </row>
    <row r="1512" spans="2:18">
      <c r="B1512" s="6">
        <v>32730</v>
      </c>
      <c r="C1512" s="6" t="s">
        <v>671</v>
      </c>
      <c r="D1512" s="6">
        <v>90.91</v>
      </c>
      <c r="E1512" s="6">
        <v>96.59</v>
      </c>
      <c r="F1512" s="6">
        <v>96.59</v>
      </c>
      <c r="G1512" s="6">
        <v>97.43</v>
      </c>
      <c r="H1512" s="6">
        <v>97.49</v>
      </c>
      <c r="I1512" s="6">
        <v>97.36</v>
      </c>
      <c r="J1512" s="6">
        <v>97.72</v>
      </c>
      <c r="K1512" s="6">
        <v>97.84</v>
      </c>
      <c r="L1512" s="6">
        <v>97.75</v>
      </c>
      <c r="M1512" s="6">
        <v>97.72</v>
      </c>
      <c r="N1512" s="6">
        <v>97.83</v>
      </c>
      <c r="O1512" s="6">
        <v>97.74</v>
      </c>
      <c r="P1512" s="6">
        <v>97.73</v>
      </c>
      <c r="Q1512" s="6">
        <v>97.84</v>
      </c>
      <c r="R1512" s="6">
        <v>97.75</v>
      </c>
    </row>
    <row r="1513" spans="2:18">
      <c r="B1513" s="6">
        <v>32730</v>
      </c>
      <c r="C1513" s="6" t="s">
        <v>671</v>
      </c>
      <c r="D1513" s="6">
        <v>94.37</v>
      </c>
      <c r="E1513" s="6">
        <v>96.31</v>
      </c>
      <c r="F1513" s="6">
        <v>96.31</v>
      </c>
      <c r="G1513" s="6">
        <v>97.88</v>
      </c>
      <c r="H1513" s="6">
        <v>97.7</v>
      </c>
      <c r="I1513" s="6">
        <v>97.56</v>
      </c>
      <c r="J1513" s="6">
        <v>98.01</v>
      </c>
      <c r="K1513" s="6">
        <v>97.7</v>
      </c>
      <c r="L1513" s="6">
        <v>97.61</v>
      </c>
      <c r="M1513" s="6">
        <v>98.02</v>
      </c>
      <c r="N1513" s="6">
        <v>97.7</v>
      </c>
      <c r="O1513" s="6">
        <v>97.61</v>
      </c>
      <c r="P1513" s="6">
        <v>98.02</v>
      </c>
      <c r="Q1513" s="6">
        <v>97.7</v>
      </c>
      <c r="R1513" s="6">
        <v>97.61</v>
      </c>
    </row>
    <row r="1514" spans="2:18">
      <c r="B1514" s="6">
        <v>32731</v>
      </c>
      <c r="C1514" s="6" t="s">
        <v>536</v>
      </c>
      <c r="D1514" s="6">
        <v>0</v>
      </c>
      <c r="E1514" s="6">
        <v>97.99</v>
      </c>
      <c r="F1514" s="6">
        <v>97.99</v>
      </c>
      <c r="G1514" s="6">
        <v>98.48</v>
      </c>
      <c r="H1514" s="6">
        <v>98.4</v>
      </c>
      <c r="I1514" s="6">
        <v>98.25</v>
      </c>
      <c r="J1514" s="6">
        <v>98.64</v>
      </c>
      <c r="K1514" s="6">
        <v>98.48</v>
      </c>
      <c r="L1514" s="6">
        <v>98.3</v>
      </c>
      <c r="M1514" s="6">
        <v>98.62</v>
      </c>
      <c r="N1514" s="6">
        <v>98.46</v>
      </c>
      <c r="O1514" s="6">
        <v>98.28</v>
      </c>
      <c r="P1514" s="6">
        <v>98.52</v>
      </c>
      <c r="Q1514" s="6">
        <v>98.45</v>
      </c>
      <c r="R1514" s="6">
        <v>98.28</v>
      </c>
    </row>
    <row r="1515" spans="2:18">
      <c r="B1515" s="6">
        <v>32731</v>
      </c>
      <c r="C1515" s="6" t="s">
        <v>536</v>
      </c>
      <c r="D1515" s="6">
        <v>0</v>
      </c>
      <c r="E1515" s="6">
        <v>98.03</v>
      </c>
      <c r="F1515" s="6">
        <v>98.03</v>
      </c>
      <c r="G1515" s="6">
        <v>99.01</v>
      </c>
      <c r="H1515" s="6">
        <v>98.74</v>
      </c>
      <c r="I1515" s="6">
        <v>98.68</v>
      </c>
      <c r="J1515" s="6">
        <v>99.01</v>
      </c>
      <c r="K1515" s="6">
        <v>98.76</v>
      </c>
      <c r="L1515" s="6">
        <v>98.69</v>
      </c>
      <c r="M1515" s="6">
        <v>99.01</v>
      </c>
      <c r="N1515" s="6">
        <v>98.76</v>
      </c>
      <c r="O1515" s="6">
        <v>98.71</v>
      </c>
      <c r="P1515" s="6">
        <v>99.01</v>
      </c>
      <c r="Q1515" s="6">
        <v>98.76</v>
      </c>
      <c r="R1515" s="6">
        <v>98.71</v>
      </c>
    </row>
    <row r="1516" spans="2:18">
      <c r="B1516" s="6">
        <v>32731</v>
      </c>
      <c r="C1516" s="6" t="s">
        <v>536</v>
      </c>
      <c r="D1516" s="6">
        <v>0</v>
      </c>
      <c r="E1516" s="6">
        <v>97.12</v>
      </c>
      <c r="F1516" s="6">
        <v>97.12</v>
      </c>
      <c r="G1516" s="6">
        <v>97.43</v>
      </c>
      <c r="H1516" s="6">
        <v>97.49</v>
      </c>
      <c r="I1516" s="6">
        <v>97.36</v>
      </c>
      <c r="J1516" s="6">
        <v>97.72</v>
      </c>
      <c r="K1516" s="6">
        <v>97.84</v>
      </c>
      <c r="L1516" s="6">
        <v>97.75</v>
      </c>
      <c r="M1516" s="6">
        <v>97.72</v>
      </c>
      <c r="N1516" s="6">
        <v>97.83</v>
      </c>
      <c r="O1516" s="6">
        <v>97.74</v>
      </c>
      <c r="P1516" s="6">
        <v>97.73</v>
      </c>
      <c r="Q1516" s="6">
        <v>97.84</v>
      </c>
      <c r="R1516" s="6">
        <v>97.75</v>
      </c>
    </row>
    <row r="1517" spans="2:18">
      <c r="B1517" s="6">
        <v>32731</v>
      </c>
      <c r="C1517" s="6" t="s">
        <v>536</v>
      </c>
      <c r="D1517" s="6">
        <v>0</v>
      </c>
      <c r="E1517" s="6">
        <v>96.2</v>
      </c>
      <c r="F1517" s="6">
        <v>96.2</v>
      </c>
      <c r="G1517" s="6">
        <v>97.88</v>
      </c>
      <c r="H1517" s="6">
        <v>97.7</v>
      </c>
      <c r="I1517" s="6">
        <v>97.56</v>
      </c>
      <c r="J1517" s="6">
        <v>98.01</v>
      </c>
      <c r="K1517" s="6">
        <v>97.7</v>
      </c>
      <c r="L1517" s="6">
        <v>97.61</v>
      </c>
      <c r="M1517" s="6">
        <v>98.02</v>
      </c>
      <c r="N1517" s="6">
        <v>97.7</v>
      </c>
      <c r="O1517" s="6">
        <v>97.61</v>
      </c>
      <c r="P1517" s="6">
        <v>98.02</v>
      </c>
      <c r="Q1517" s="6">
        <v>97.7</v>
      </c>
      <c r="R1517" s="6">
        <v>97.61</v>
      </c>
    </row>
    <row r="1518" spans="2:18">
      <c r="B1518" s="6">
        <v>32732</v>
      </c>
      <c r="C1518" s="6" t="s">
        <v>1148</v>
      </c>
      <c r="D1518" s="6">
        <v>54.17</v>
      </c>
      <c r="E1518" s="6">
        <v>59.72</v>
      </c>
      <c r="F1518" s="6">
        <v>59.72</v>
      </c>
      <c r="G1518" s="6">
        <v>54.56</v>
      </c>
      <c r="H1518" s="6">
        <v>58.08</v>
      </c>
      <c r="I1518" s="6">
        <v>59.52</v>
      </c>
      <c r="J1518" s="6">
        <v>54.56</v>
      </c>
      <c r="K1518" s="6">
        <v>58.08</v>
      </c>
      <c r="L1518" s="6">
        <v>59.52</v>
      </c>
      <c r="M1518" s="6">
        <v>54.56</v>
      </c>
      <c r="N1518" s="6">
        <v>58.08</v>
      </c>
      <c r="O1518" s="6">
        <v>59.52</v>
      </c>
      <c r="P1518" s="6">
        <v>53.45</v>
      </c>
      <c r="Q1518" s="6">
        <v>47.12</v>
      </c>
      <c r="R1518" s="6">
        <v>50.07</v>
      </c>
    </row>
    <row r="1519" spans="2:18">
      <c r="B1519" s="6">
        <v>32733</v>
      </c>
      <c r="C1519" s="6" t="s">
        <v>1149</v>
      </c>
      <c r="D1519" s="6">
        <v>57.29</v>
      </c>
      <c r="E1519" s="6">
        <v>58.61</v>
      </c>
      <c r="F1519" s="6">
        <v>58.61</v>
      </c>
      <c r="G1519" s="6">
        <v>54.56</v>
      </c>
      <c r="H1519" s="6">
        <v>58.08</v>
      </c>
      <c r="I1519" s="6">
        <v>59.52</v>
      </c>
      <c r="J1519" s="6">
        <v>54.56</v>
      </c>
      <c r="K1519" s="6">
        <v>58.08</v>
      </c>
      <c r="L1519" s="6">
        <v>59.52</v>
      </c>
      <c r="M1519" s="6">
        <v>54.56</v>
      </c>
      <c r="N1519" s="6">
        <v>58.08</v>
      </c>
      <c r="O1519" s="6">
        <v>59.52</v>
      </c>
      <c r="P1519" s="6">
        <v>53.45</v>
      </c>
      <c r="Q1519" s="6">
        <v>47.12</v>
      </c>
      <c r="R1519" s="6">
        <v>50.07</v>
      </c>
    </row>
    <row r="1520" spans="2:18">
      <c r="B1520" s="6">
        <v>32734</v>
      </c>
      <c r="C1520" s="6" t="s">
        <v>1145</v>
      </c>
      <c r="D1520" s="6">
        <v>44.44</v>
      </c>
      <c r="E1520" s="6">
        <v>53.47</v>
      </c>
      <c r="F1520" s="6">
        <v>53.47</v>
      </c>
      <c r="G1520" s="6">
        <v>54.56</v>
      </c>
      <c r="H1520" s="6">
        <v>58.08</v>
      </c>
      <c r="I1520" s="6">
        <v>59.52</v>
      </c>
      <c r="J1520" s="6">
        <v>54.56</v>
      </c>
      <c r="K1520" s="6">
        <v>58.08</v>
      </c>
      <c r="L1520" s="6">
        <v>59.52</v>
      </c>
      <c r="M1520" s="6">
        <v>54.56</v>
      </c>
      <c r="N1520" s="6">
        <v>58.08</v>
      </c>
      <c r="O1520" s="6">
        <v>59.52</v>
      </c>
      <c r="P1520" s="6">
        <v>53.45</v>
      </c>
      <c r="Q1520" s="6">
        <v>47.12</v>
      </c>
      <c r="R1520" s="6">
        <v>50.07</v>
      </c>
    </row>
    <row r="1521" spans="2:18">
      <c r="B1521" s="6">
        <v>32736</v>
      </c>
      <c r="C1521" s="6" t="s">
        <v>735</v>
      </c>
      <c r="D1521" s="6">
        <v>0</v>
      </c>
      <c r="E1521" s="6">
        <v>95.74</v>
      </c>
      <c r="F1521" s="6">
        <v>95.74</v>
      </c>
      <c r="G1521" s="6">
        <v>98.74</v>
      </c>
      <c r="H1521" s="6">
        <v>98.55</v>
      </c>
      <c r="I1521" s="6">
        <v>98.22</v>
      </c>
      <c r="J1521" s="6">
        <v>98.64</v>
      </c>
      <c r="K1521" s="6">
        <v>98.48</v>
      </c>
      <c r="L1521" s="6">
        <v>98.3</v>
      </c>
      <c r="M1521" s="6">
        <v>98.62</v>
      </c>
      <c r="N1521" s="6">
        <v>98.46</v>
      </c>
      <c r="O1521" s="6">
        <v>98.28</v>
      </c>
      <c r="P1521" s="6">
        <v>98.52</v>
      </c>
      <c r="Q1521" s="6">
        <v>98.45</v>
      </c>
      <c r="R1521" s="6">
        <v>98.28</v>
      </c>
    </row>
    <row r="1522" spans="2:18">
      <c r="B1522" s="6">
        <v>32736</v>
      </c>
      <c r="C1522" s="6" t="s">
        <v>735</v>
      </c>
      <c r="D1522" s="6">
        <v>0</v>
      </c>
      <c r="E1522" s="6">
        <v>95.92</v>
      </c>
      <c r="F1522" s="6">
        <v>95.92</v>
      </c>
      <c r="G1522" s="6">
        <v>98.78</v>
      </c>
      <c r="H1522" s="6">
        <v>98.67</v>
      </c>
      <c r="I1522" s="6">
        <v>98.6</v>
      </c>
      <c r="J1522" s="6">
        <v>98.77</v>
      </c>
      <c r="K1522" s="6">
        <v>98.75</v>
      </c>
      <c r="L1522" s="6">
        <v>98.72</v>
      </c>
      <c r="M1522" s="6">
        <v>98.71</v>
      </c>
      <c r="N1522" s="6">
        <v>98.7</v>
      </c>
      <c r="O1522" s="6">
        <v>98.68</v>
      </c>
      <c r="P1522" s="6">
        <v>98.71</v>
      </c>
      <c r="Q1522" s="6">
        <v>98.7</v>
      </c>
      <c r="R1522" s="6">
        <v>98.68</v>
      </c>
    </row>
    <row r="1523" spans="2:18">
      <c r="B1523" s="6">
        <v>32736</v>
      </c>
      <c r="C1523" s="6" t="s">
        <v>735</v>
      </c>
      <c r="D1523" s="6">
        <v>0</v>
      </c>
      <c r="E1523" s="6">
        <v>98</v>
      </c>
      <c r="F1523" s="6">
        <v>98</v>
      </c>
      <c r="G1523" s="6">
        <v>97.49</v>
      </c>
      <c r="H1523" s="6">
        <v>97.66</v>
      </c>
      <c r="I1523" s="6">
        <v>97.52</v>
      </c>
      <c r="J1523" s="6">
        <v>97.72</v>
      </c>
      <c r="K1523" s="6">
        <v>97.84</v>
      </c>
      <c r="L1523" s="6">
        <v>97.75</v>
      </c>
      <c r="M1523" s="6">
        <v>97.72</v>
      </c>
      <c r="N1523" s="6">
        <v>97.83</v>
      </c>
      <c r="O1523" s="6">
        <v>97.74</v>
      </c>
      <c r="P1523" s="6">
        <v>97.73</v>
      </c>
      <c r="Q1523" s="6">
        <v>97.84</v>
      </c>
      <c r="R1523" s="6">
        <v>97.75</v>
      </c>
    </row>
    <row r="1524" spans="2:18">
      <c r="B1524" s="6">
        <v>32736</v>
      </c>
      <c r="C1524" s="6" t="s">
        <v>735</v>
      </c>
      <c r="D1524" s="6">
        <v>0</v>
      </c>
      <c r="E1524" s="6">
        <v>95.56</v>
      </c>
      <c r="F1524" s="6">
        <v>95.56</v>
      </c>
      <c r="G1524" s="6">
        <v>98.15</v>
      </c>
      <c r="H1524" s="6">
        <v>97.53</v>
      </c>
      <c r="I1524" s="6">
        <v>97.49</v>
      </c>
      <c r="J1524" s="6">
        <v>98.01</v>
      </c>
      <c r="K1524" s="6">
        <v>97.7</v>
      </c>
      <c r="L1524" s="6">
        <v>97.61</v>
      </c>
      <c r="M1524" s="6">
        <v>98.02</v>
      </c>
      <c r="N1524" s="6">
        <v>97.7</v>
      </c>
      <c r="O1524" s="6">
        <v>97.61</v>
      </c>
      <c r="P1524" s="6">
        <v>98.02</v>
      </c>
      <c r="Q1524" s="6">
        <v>97.7</v>
      </c>
      <c r="R1524" s="6">
        <v>97.61</v>
      </c>
    </row>
    <row r="1525" spans="2:18">
      <c r="B1525" s="6">
        <v>32737</v>
      </c>
      <c r="C1525" s="6" t="s">
        <v>738</v>
      </c>
      <c r="D1525" s="6">
        <v>0</v>
      </c>
      <c r="E1525" s="6">
        <v>90.24</v>
      </c>
      <c r="F1525" s="6">
        <v>90.24</v>
      </c>
      <c r="G1525" s="6">
        <v>98.74</v>
      </c>
      <c r="H1525" s="6">
        <v>98.55</v>
      </c>
      <c r="I1525" s="6">
        <v>98.22</v>
      </c>
      <c r="J1525" s="6">
        <v>98.64</v>
      </c>
      <c r="K1525" s="6">
        <v>98.48</v>
      </c>
      <c r="L1525" s="6">
        <v>98.3</v>
      </c>
      <c r="M1525" s="6">
        <v>98.62</v>
      </c>
      <c r="N1525" s="6">
        <v>98.46</v>
      </c>
      <c r="O1525" s="6">
        <v>98.28</v>
      </c>
      <c r="P1525" s="6">
        <v>98.52</v>
      </c>
      <c r="Q1525" s="6">
        <v>98.45</v>
      </c>
      <c r="R1525" s="6">
        <v>98.28</v>
      </c>
    </row>
    <row r="1526" spans="2:18">
      <c r="B1526" s="6">
        <v>32737</v>
      </c>
      <c r="C1526" s="6" t="s">
        <v>738</v>
      </c>
      <c r="D1526" s="6">
        <v>0</v>
      </c>
      <c r="E1526" s="6">
        <v>82</v>
      </c>
      <c r="F1526" s="6">
        <v>82</v>
      </c>
      <c r="G1526" s="6">
        <v>98.78</v>
      </c>
      <c r="H1526" s="6">
        <v>98.67</v>
      </c>
      <c r="I1526" s="6">
        <v>98.6</v>
      </c>
      <c r="J1526" s="6">
        <v>98.77</v>
      </c>
      <c r="K1526" s="6">
        <v>98.75</v>
      </c>
      <c r="L1526" s="6">
        <v>98.72</v>
      </c>
      <c r="M1526" s="6">
        <v>98.71</v>
      </c>
      <c r="N1526" s="6">
        <v>98.7</v>
      </c>
      <c r="O1526" s="6">
        <v>98.68</v>
      </c>
      <c r="P1526" s="6">
        <v>98.71</v>
      </c>
      <c r="Q1526" s="6">
        <v>98.7</v>
      </c>
      <c r="R1526" s="6">
        <v>98.68</v>
      </c>
    </row>
    <row r="1527" spans="2:18">
      <c r="B1527" s="6">
        <v>32737</v>
      </c>
      <c r="C1527" s="6" t="s">
        <v>738</v>
      </c>
      <c r="D1527" s="6">
        <v>0</v>
      </c>
      <c r="E1527" s="6">
        <v>98.04</v>
      </c>
      <c r="F1527" s="6">
        <v>98.04</v>
      </c>
      <c r="G1527" s="6">
        <v>97.49</v>
      </c>
      <c r="H1527" s="6">
        <v>97.66</v>
      </c>
      <c r="I1527" s="6">
        <v>97.52</v>
      </c>
      <c r="J1527" s="6">
        <v>97.72</v>
      </c>
      <c r="K1527" s="6">
        <v>97.84</v>
      </c>
      <c r="L1527" s="6">
        <v>97.75</v>
      </c>
      <c r="M1527" s="6">
        <v>97.72</v>
      </c>
      <c r="N1527" s="6">
        <v>97.83</v>
      </c>
      <c r="O1527" s="6">
        <v>97.74</v>
      </c>
      <c r="P1527" s="6">
        <v>97.73</v>
      </c>
      <c r="Q1527" s="6">
        <v>97.84</v>
      </c>
      <c r="R1527" s="6">
        <v>97.75</v>
      </c>
    </row>
    <row r="1528" spans="2:18">
      <c r="B1528" s="6">
        <v>32737</v>
      </c>
      <c r="C1528" s="6" t="s">
        <v>738</v>
      </c>
      <c r="D1528" s="6">
        <v>0</v>
      </c>
      <c r="E1528" s="6">
        <v>89.19</v>
      </c>
      <c r="F1528" s="6">
        <v>89.19</v>
      </c>
      <c r="G1528" s="6">
        <v>98.15</v>
      </c>
      <c r="H1528" s="6">
        <v>97.53</v>
      </c>
      <c r="I1528" s="6">
        <v>97.49</v>
      </c>
      <c r="J1528" s="6">
        <v>98.01</v>
      </c>
      <c r="K1528" s="6">
        <v>97.7</v>
      </c>
      <c r="L1528" s="6">
        <v>97.61</v>
      </c>
      <c r="M1528" s="6">
        <v>98.02</v>
      </c>
      <c r="N1528" s="6">
        <v>97.7</v>
      </c>
      <c r="O1528" s="6">
        <v>97.61</v>
      </c>
      <c r="P1528" s="6">
        <v>98.02</v>
      </c>
      <c r="Q1528" s="6">
        <v>97.7</v>
      </c>
      <c r="R1528" s="6">
        <v>97.61</v>
      </c>
    </row>
    <row r="1529" spans="2:18">
      <c r="B1529" s="6">
        <v>32738</v>
      </c>
      <c r="C1529" s="6" t="s">
        <v>1163</v>
      </c>
      <c r="D1529" s="6">
        <v>0</v>
      </c>
      <c r="E1529" s="6">
        <v>40</v>
      </c>
      <c r="F1529" s="6">
        <v>40</v>
      </c>
      <c r="G1529" s="6">
        <v>0</v>
      </c>
      <c r="H1529" s="6">
        <v>40</v>
      </c>
      <c r="I1529" s="6">
        <v>40</v>
      </c>
      <c r="J1529" s="6">
        <v>0</v>
      </c>
      <c r="K1529" s="6">
        <v>40</v>
      </c>
      <c r="L1529" s="6">
        <v>40</v>
      </c>
      <c r="M1529" s="6">
        <v>0</v>
      </c>
      <c r="N1529" s="6">
        <v>40</v>
      </c>
      <c r="O1529" s="6">
        <v>40</v>
      </c>
      <c r="P1529" s="6">
        <v>0</v>
      </c>
      <c r="Q1529" s="6">
        <v>40</v>
      </c>
      <c r="R1529" s="6">
        <v>40</v>
      </c>
    </row>
    <row r="1530" spans="2:18">
      <c r="B1530" s="6">
        <v>32738</v>
      </c>
      <c r="C1530" s="6" t="s">
        <v>1163</v>
      </c>
      <c r="D1530" s="6">
        <v>0</v>
      </c>
      <c r="E1530" s="6">
        <v>42.19</v>
      </c>
      <c r="F1530" s="6">
        <v>42.19</v>
      </c>
      <c r="G1530" s="6">
        <v>0</v>
      </c>
      <c r="H1530" s="6">
        <v>42.19</v>
      </c>
      <c r="I1530" s="6">
        <v>42.19</v>
      </c>
      <c r="J1530" s="6">
        <v>0</v>
      </c>
      <c r="K1530" s="6">
        <v>42.19</v>
      </c>
      <c r="L1530" s="6">
        <v>42.19</v>
      </c>
      <c r="M1530" s="6">
        <v>0</v>
      </c>
      <c r="N1530" s="6">
        <v>42.19</v>
      </c>
      <c r="O1530" s="6">
        <v>42.19</v>
      </c>
      <c r="P1530" s="6">
        <v>0</v>
      </c>
      <c r="Q1530" s="6">
        <v>42.19</v>
      </c>
      <c r="R1530" s="6">
        <v>42.19</v>
      </c>
    </row>
    <row r="1531" spans="2:18">
      <c r="B1531" s="6">
        <v>32739</v>
      </c>
      <c r="C1531" s="6" t="s">
        <v>912</v>
      </c>
      <c r="D1531" s="6">
        <v>98.97</v>
      </c>
      <c r="E1531" s="6">
        <v>99.09</v>
      </c>
      <c r="F1531" s="6">
        <v>99.09</v>
      </c>
      <c r="G1531" s="6">
        <v>96.77</v>
      </c>
      <c r="H1531" s="6">
        <v>97.74</v>
      </c>
      <c r="I1531" s="6">
        <v>96.78</v>
      </c>
      <c r="J1531" s="6">
        <v>98.23</v>
      </c>
      <c r="K1531" s="6">
        <v>98.19</v>
      </c>
      <c r="L1531" s="6">
        <v>98.1</v>
      </c>
      <c r="M1531" s="6">
        <v>98.23</v>
      </c>
      <c r="N1531" s="6">
        <v>98.19</v>
      </c>
      <c r="O1531" s="6">
        <v>98.1</v>
      </c>
      <c r="P1531" s="6">
        <v>98.04</v>
      </c>
      <c r="Q1531" s="6">
        <v>98.09</v>
      </c>
      <c r="R1531" s="6">
        <v>97.91</v>
      </c>
    </row>
    <row r="1532" spans="2:18">
      <c r="B1532" s="6">
        <v>32739</v>
      </c>
      <c r="C1532" s="6" t="s">
        <v>912</v>
      </c>
      <c r="D1532" s="6">
        <v>99.54</v>
      </c>
      <c r="E1532" s="6">
        <v>99.57</v>
      </c>
      <c r="F1532" s="6">
        <v>99.57</v>
      </c>
      <c r="G1532" s="6">
        <v>99.56</v>
      </c>
      <c r="H1532" s="6">
        <v>99.17</v>
      </c>
      <c r="I1532" s="6">
        <v>99.23</v>
      </c>
      <c r="J1532" s="6">
        <v>99.26</v>
      </c>
      <c r="K1532" s="6">
        <v>99.39</v>
      </c>
      <c r="L1532" s="6">
        <v>99.39</v>
      </c>
      <c r="M1532" s="6">
        <v>99.26</v>
      </c>
      <c r="N1532" s="6">
        <v>99.39</v>
      </c>
      <c r="O1532" s="6">
        <v>99.39</v>
      </c>
      <c r="P1532" s="6">
        <v>99.26</v>
      </c>
      <c r="Q1532" s="6">
        <v>99.39</v>
      </c>
      <c r="R1532" s="6">
        <v>99.39</v>
      </c>
    </row>
    <row r="1533" spans="2:18">
      <c r="B1533" s="6">
        <v>32740</v>
      </c>
      <c r="C1533" s="6" t="s">
        <v>1167</v>
      </c>
      <c r="D1533" s="6">
        <v>86.96</v>
      </c>
      <c r="E1533" s="6">
        <v>73.11</v>
      </c>
      <c r="F1533" s="6">
        <v>73.11</v>
      </c>
      <c r="G1533" s="6">
        <v>80.86</v>
      </c>
      <c r="H1533" s="6">
        <v>83.63</v>
      </c>
      <c r="I1533" s="6">
        <v>83.96</v>
      </c>
      <c r="J1533" s="6">
        <v>80.86</v>
      </c>
      <c r="K1533" s="6">
        <v>83.63</v>
      </c>
      <c r="L1533" s="6">
        <v>83.87</v>
      </c>
      <c r="M1533" s="6">
        <v>80.86</v>
      </c>
      <c r="N1533" s="6">
        <v>83.63</v>
      </c>
      <c r="O1533" s="6">
        <v>83.87</v>
      </c>
      <c r="P1533" s="6">
        <v>80.86</v>
      </c>
      <c r="Q1533" s="6">
        <v>83.63</v>
      </c>
      <c r="R1533" s="6">
        <v>83.87</v>
      </c>
    </row>
    <row r="1534" spans="2:18">
      <c r="B1534" s="6">
        <v>32741</v>
      </c>
      <c r="C1534" s="6" t="s">
        <v>682</v>
      </c>
      <c r="D1534" s="6">
        <v>98.77</v>
      </c>
      <c r="E1534" s="6">
        <v>98.8</v>
      </c>
      <c r="F1534" s="6">
        <v>98.8</v>
      </c>
      <c r="G1534" s="6">
        <v>98.71</v>
      </c>
      <c r="H1534" s="6">
        <v>98.48</v>
      </c>
      <c r="I1534" s="6">
        <v>98.36</v>
      </c>
      <c r="J1534" s="6">
        <v>98.64</v>
      </c>
      <c r="K1534" s="6">
        <v>98.48</v>
      </c>
      <c r="L1534" s="6">
        <v>98.3</v>
      </c>
      <c r="M1534" s="6">
        <v>98.62</v>
      </c>
      <c r="N1534" s="6">
        <v>98.46</v>
      </c>
      <c r="O1534" s="6">
        <v>98.28</v>
      </c>
      <c r="P1534" s="6">
        <v>98.52</v>
      </c>
      <c r="Q1534" s="6">
        <v>98.45</v>
      </c>
      <c r="R1534" s="6">
        <v>98.28</v>
      </c>
    </row>
    <row r="1535" spans="2:18">
      <c r="B1535" s="6">
        <v>32741</v>
      </c>
      <c r="C1535" s="6" t="s">
        <v>682</v>
      </c>
      <c r="D1535" s="6">
        <v>98.79</v>
      </c>
      <c r="E1535" s="6">
        <v>99.07</v>
      </c>
      <c r="F1535" s="6">
        <v>99.07</v>
      </c>
      <c r="G1535" s="6">
        <v>98.99</v>
      </c>
      <c r="H1535" s="6">
        <v>99.06</v>
      </c>
      <c r="I1535" s="6">
        <v>99.02</v>
      </c>
      <c r="J1535" s="6">
        <v>98.77</v>
      </c>
      <c r="K1535" s="6">
        <v>98.75</v>
      </c>
      <c r="L1535" s="6">
        <v>98.72</v>
      </c>
      <c r="M1535" s="6">
        <v>98.71</v>
      </c>
      <c r="N1535" s="6">
        <v>98.7</v>
      </c>
      <c r="O1535" s="6">
        <v>98.68</v>
      </c>
      <c r="P1535" s="6">
        <v>98.71</v>
      </c>
      <c r="Q1535" s="6">
        <v>98.7</v>
      </c>
      <c r="R1535" s="6">
        <v>98.68</v>
      </c>
    </row>
    <row r="1536" spans="2:18">
      <c r="B1536" s="6">
        <v>32741</v>
      </c>
      <c r="C1536" s="6" t="s">
        <v>682</v>
      </c>
      <c r="D1536" s="6">
        <v>97.06</v>
      </c>
      <c r="E1536" s="6">
        <v>97.79</v>
      </c>
      <c r="F1536" s="6">
        <v>97.79</v>
      </c>
      <c r="G1536" s="6">
        <v>98.03</v>
      </c>
      <c r="H1536" s="6">
        <v>98.12</v>
      </c>
      <c r="I1536" s="6">
        <v>98.05</v>
      </c>
      <c r="J1536" s="6">
        <v>97.72</v>
      </c>
      <c r="K1536" s="6">
        <v>97.84</v>
      </c>
      <c r="L1536" s="6">
        <v>97.75</v>
      </c>
      <c r="M1536" s="6">
        <v>97.72</v>
      </c>
      <c r="N1536" s="6">
        <v>97.83</v>
      </c>
      <c r="O1536" s="6">
        <v>97.74</v>
      </c>
      <c r="P1536" s="6">
        <v>97.73</v>
      </c>
      <c r="Q1536" s="6">
        <v>97.84</v>
      </c>
      <c r="R1536" s="6">
        <v>97.75</v>
      </c>
    </row>
    <row r="1537" spans="2:18">
      <c r="B1537" s="6">
        <v>32741</v>
      </c>
      <c r="C1537" s="6" t="s">
        <v>682</v>
      </c>
      <c r="D1537" s="6">
        <v>98.76</v>
      </c>
      <c r="E1537" s="6">
        <v>99.05</v>
      </c>
      <c r="F1537" s="6">
        <v>99.05</v>
      </c>
      <c r="G1537" s="6">
        <v>98.04</v>
      </c>
      <c r="H1537" s="6">
        <v>97.78</v>
      </c>
      <c r="I1537" s="6">
        <v>97.69</v>
      </c>
      <c r="J1537" s="6">
        <v>98.01</v>
      </c>
      <c r="K1537" s="6">
        <v>97.7</v>
      </c>
      <c r="L1537" s="6">
        <v>97.61</v>
      </c>
      <c r="M1537" s="6">
        <v>98.02</v>
      </c>
      <c r="N1537" s="6">
        <v>97.7</v>
      </c>
      <c r="O1537" s="6">
        <v>97.61</v>
      </c>
      <c r="P1537" s="6">
        <v>98.02</v>
      </c>
      <c r="Q1537" s="6">
        <v>97.7</v>
      </c>
      <c r="R1537" s="6">
        <v>97.61</v>
      </c>
    </row>
    <row r="1538" spans="2:18">
      <c r="B1538" s="6">
        <v>32742</v>
      </c>
      <c r="C1538" s="6" t="s">
        <v>721</v>
      </c>
      <c r="D1538" s="6">
        <v>0</v>
      </c>
      <c r="E1538" s="6">
        <v>98.79</v>
      </c>
      <c r="F1538" s="6">
        <v>98.79</v>
      </c>
      <c r="G1538" s="6">
        <v>98.74</v>
      </c>
      <c r="H1538" s="6">
        <v>98.55</v>
      </c>
      <c r="I1538" s="6">
        <v>98.22</v>
      </c>
      <c r="J1538" s="6">
        <v>98.64</v>
      </c>
      <c r="K1538" s="6">
        <v>98.48</v>
      </c>
      <c r="L1538" s="6">
        <v>98.3</v>
      </c>
      <c r="M1538" s="6">
        <v>98.62</v>
      </c>
      <c r="N1538" s="6">
        <v>98.46</v>
      </c>
      <c r="O1538" s="6">
        <v>98.28</v>
      </c>
      <c r="P1538" s="6">
        <v>98.52</v>
      </c>
      <c r="Q1538" s="6">
        <v>98.45</v>
      </c>
      <c r="R1538" s="6">
        <v>98.28</v>
      </c>
    </row>
    <row r="1539" spans="2:18">
      <c r="B1539" s="6">
        <v>32742</v>
      </c>
      <c r="C1539" s="6" t="s">
        <v>721</v>
      </c>
      <c r="D1539" s="6">
        <v>0</v>
      </c>
      <c r="E1539" s="6">
        <v>98.8</v>
      </c>
      <c r="F1539" s="6">
        <v>98.8</v>
      </c>
      <c r="G1539" s="6">
        <v>98.78</v>
      </c>
      <c r="H1539" s="6">
        <v>98.67</v>
      </c>
      <c r="I1539" s="6">
        <v>98.6</v>
      </c>
      <c r="J1539" s="6">
        <v>98.77</v>
      </c>
      <c r="K1539" s="6">
        <v>98.75</v>
      </c>
      <c r="L1539" s="6">
        <v>98.72</v>
      </c>
      <c r="M1539" s="6">
        <v>98.71</v>
      </c>
      <c r="N1539" s="6">
        <v>98.7</v>
      </c>
      <c r="O1539" s="6">
        <v>98.68</v>
      </c>
      <c r="P1539" s="6">
        <v>98.71</v>
      </c>
      <c r="Q1539" s="6">
        <v>98.7</v>
      </c>
      <c r="R1539" s="6">
        <v>98.68</v>
      </c>
    </row>
    <row r="1540" spans="2:18">
      <c r="B1540" s="6">
        <v>32742</v>
      </c>
      <c r="C1540" s="6" t="s">
        <v>721</v>
      </c>
      <c r="D1540" s="6">
        <v>0</v>
      </c>
      <c r="E1540" s="6">
        <v>97.95</v>
      </c>
      <c r="F1540" s="6">
        <v>97.95</v>
      </c>
      <c r="G1540" s="6">
        <v>97.49</v>
      </c>
      <c r="H1540" s="6">
        <v>97.66</v>
      </c>
      <c r="I1540" s="6">
        <v>97.52</v>
      </c>
      <c r="J1540" s="6">
        <v>97.72</v>
      </c>
      <c r="K1540" s="6">
        <v>97.84</v>
      </c>
      <c r="L1540" s="6">
        <v>97.75</v>
      </c>
      <c r="M1540" s="6">
        <v>97.72</v>
      </c>
      <c r="N1540" s="6">
        <v>97.83</v>
      </c>
      <c r="O1540" s="6">
        <v>97.74</v>
      </c>
      <c r="P1540" s="6">
        <v>97.73</v>
      </c>
      <c r="Q1540" s="6">
        <v>97.84</v>
      </c>
      <c r="R1540" s="6">
        <v>97.75</v>
      </c>
    </row>
    <row r="1541" spans="2:18">
      <c r="B1541" s="6">
        <v>32742</v>
      </c>
      <c r="C1541" s="6" t="s">
        <v>721</v>
      </c>
      <c r="D1541" s="6">
        <v>0</v>
      </c>
      <c r="E1541" s="6">
        <v>97.55</v>
      </c>
      <c r="F1541" s="6">
        <v>97.55</v>
      </c>
      <c r="G1541" s="6">
        <v>98.15</v>
      </c>
      <c r="H1541" s="6">
        <v>97.53</v>
      </c>
      <c r="I1541" s="6">
        <v>97.49</v>
      </c>
      <c r="J1541" s="6">
        <v>98.01</v>
      </c>
      <c r="K1541" s="6">
        <v>97.7</v>
      </c>
      <c r="L1541" s="6">
        <v>97.61</v>
      </c>
      <c r="M1541" s="6">
        <v>98.02</v>
      </c>
      <c r="N1541" s="6">
        <v>97.7</v>
      </c>
      <c r="O1541" s="6">
        <v>97.61</v>
      </c>
      <c r="P1541" s="6">
        <v>98.02</v>
      </c>
      <c r="Q1541" s="6">
        <v>97.7</v>
      </c>
      <c r="R1541" s="6">
        <v>97.61</v>
      </c>
    </row>
    <row r="1542" spans="2:18">
      <c r="B1542" s="6">
        <v>32743</v>
      </c>
      <c r="C1542" s="6" t="s">
        <v>489</v>
      </c>
      <c r="D1542" s="6">
        <v>0</v>
      </c>
      <c r="E1542" s="6">
        <v>97.83</v>
      </c>
      <c r="F1542" s="6">
        <v>97.83</v>
      </c>
      <c r="G1542" s="6">
        <v>98.48</v>
      </c>
      <c r="H1542" s="6">
        <v>98.4</v>
      </c>
      <c r="I1542" s="6">
        <v>98.25</v>
      </c>
      <c r="J1542" s="6">
        <v>98.64</v>
      </c>
      <c r="K1542" s="6">
        <v>98.48</v>
      </c>
      <c r="L1542" s="6">
        <v>98.3</v>
      </c>
      <c r="M1542" s="6">
        <v>98.62</v>
      </c>
      <c r="N1542" s="6">
        <v>98.46</v>
      </c>
      <c r="O1542" s="6">
        <v>98.28</v>
      </c>
      <c r="P1542" s="6">
        <v>98.52</v>
      </c>
      <c r="Q1542" s="6">
        <v>98.45</v>
      </c>
      <c r="R1542" s="6">
        <v>98.28</v>
      </c>
    </row>
    <row r="1543" spans="2:18">
      <c r="B1543" s="6">
        <v>32743</v>
      </c>
      <c r="C1543" s="6" t="s">
        <v>489</v>
      </c>
      <c r="D1543" s="6">
        <v>0</v>
      </c>
      <c r="E1543" s="6">
        <v>97.88</v>
      </c>
      <c r="F1543" s="6">
        <v>97.88</v>
      </c>
      <c r="G1543" s="6">
        <v>98.72</v>
      </c>
      <c r="H1543" s="6">
        <v>98.71</v>
      </c>
      <c r="I1543" s="6">
        <v>98.75</v>
      </c>
      <c r="J1543" s="6">
        <v>98.77</v>
      </c>
      <c r="K1543" s="6">
        <v>98.75</v>
      </c>
      <c r="L1543" s="6">
        <v>98.72</v>
      </c>
      <c r="M1543" s="6">
        <v>98.71</v>
      </c>
      <c r="N1543" s="6">
        <v>98.7</v>
      </c>
      <c r="O1543" s="6">
        <v>98.68</v>
      </c>
      <c r="P1543" s="6">
        <v>98.71</v>
      </c>
      <c r="Q1543" s="6">
        <v>98.7</v>
      </c>
      <c r="R1543" s="6">
        <v>98.68</v>
      </c>
    </row>
    <row r="1544" spans="2:18">
      <c r="B1544" s="6">
        <v>32743</v>
      </c>
      <c r="C1544" s="6" t="s">
        <v>489</v>
      </c>
      <c r="D1544" s="6">
        <v>0</v>
      </c>
      <c r="E1544" s="6">
        <v>96.75</v>
      </c>
      <c r="F1544" s="6">
        <v>96.75</v>
      </c>
      <c r="G1544" s="6">
        <v>97.43</v>
      </c>
      <c r="H1544" s="6">
        <v>97.49</v>
      </c>
      <c r="I1544" s="6">
        <v>97.36</v>
      </c>
      <c r="J1544" s="6">
        <v>97.72</v>
      </c>
      <c r="K1544" s="6">
        <v>97.84</v>
      </c>
      <c r="L1544" s="6">
        <v>97.75</v>
      </c>
      <c r="M1544" s="6">
        <v>97.72</v>
      </c>
      <c r="N1544" s="6">
        <v>97.83</v>
      </c>
      <c r="O1544" s="6">
        <v>97.74</v>
      </c>
      <c r="P1544" s="6">
        <v>97.73</v>
      </c>
      <c r="Q1544" s="6">
        <v>97.84</v>
      </c>
      <c r="R1544" s="6">
        <v>97.75</v>
      </c>
    </row>
    <row r="1545" spans="2:18">
      <c r="B1545" s="6">
        <v>32743</v>
      </c>
      <c r="C1545" s="6" t="s">
        <v>489</v>
      </c>
      <c r="D1545" s="6">
        <v>95.83</v>
      </c>
      <c r="E1545" s="6">
        <v>97.63</v>
      </c>
      <c r="F1545" s="6">
        <v>97.63</v>
      </c>
      <c r="G1545" s="6">
        <v>97.88</v>
      </c>
      <c r="H1545" s="6">
        <v>97.7</v>
      </c>
      <c r="I1545" s="6">
        <v>97.56</v>
      </c>
      <c r="J1545" s="6">
        <v>98.01</v>
      </c>
      <c r="K1545" s="6">
        <v>97.7</v>
      </c>
      <c r="L1545" s="6">
        <v>97.61</v>
      </c>
      <c r="M1545" s="6">
        <v>98.02</v>
      </c>
      <c r="N1545" s="6">
        <v>97.7</v>
      </c>
      <c r="O1545" s="6">
        <v>97.61</v>
      </c>
      <c r="P1545" s="6">
        <v>98.02</v>
      </c>
      <c r="Q1545" s="6">
        <v>97.7</v>
      </c>
      <c r="R1545" s="6">
        <v>97.61</v>
      </c>
    </row>
    <row r="1546" spans="2:18">
      <c r="B1546" s="6">
        <v>32744</v>
      </c>
      <c r="C1546" s="6" t="s">
        <v>1206</v>
      </c>
      <c r="D1546" s="6">
        <v>0</v>
      </c>
      <c r="E1546" s="6">
        <v>88.13</v>
      </c>
      <c r="F1546" s="6">
        <v>88.13</v>
      </c>
      <c r="G1546" s="6">
        <v>0</v>
      </c>
      <c r="H1546" s="6">
        <v>88.13</v>
      </c>
      <c r="I1546" s="6">
        <v>88.13</v>
      </c>
      <c r="J1546" s="6">
        <v>0</v>
      </c>
      <c r="K1546" s="6">
        <v>88.13</v>
      </c>
      <c r="L1546" s="6">
        <v>88.13</v>
      </c>
      <c r="M1546" s="6">
        <v>0</v>
      </c>
      <c r="N1546" s="6">
        <v>88.13</v>
      </c>
      <c r="O1546" s="6">
        <v>88.13</v>
      </c>
      <c r="P1546" s="6">
        <v>78.569999999999993</v>
      </c>
      <c r="Q1546" s="6">
        <v>79.319999999999993</v>
      </c>
      <c r="R1546" s="6">
        <v>88.2</v>
      </c>
    </row>
    <row r="1547" spans="2:18">
      <c r="B1547" s="6">
        <v>32744</v>
      </c>
      <c r="C1547" s="6" t="s">
        <v>1206</v>
      </c>
      <c r="D1547" s="6">
        <v>0</v>
      </c>
      <c r="E1547" s="6">
        <v>100</v>
      </c>
      <c r="F1547" s="6">
        <v>100</v>
      </c>
      <c r="G1547" s="6">
        <v>0</v>
      </c>
      <c r="H1547" s="6">
        <v>100</v>
      </c>
      <c r="I1547" s="6">
        <v>100</v>
      </c>
      <c r="J1547" s="6">
        <v>93.33</v>
      </c>
      <c r="K1547" s="6">
        <v>97.98</v>
      </c>
      <c r="L1547" s="6">
        <v>95.96</v>
      </c>
      <c r="M1547" s="6">
        <v>93.33</v>
      </c>
      <c r="N1547" s="6">
        <v>97.98</v>
      </c>
      <c r="O1547" s="6">
        <v>96.04</v>
      </c>
      <c r="P1547" s="6">
        <v>93.33</v>
      </c>
      <c r="Q1547" s="6">
        <v>85.58</v>
      </c>
      <c r="R1547" s="6">
        <v>87.65</v>
      </c>
    </row>
    <row r="1548" spans="2:18">
      <c r="B1548" s="6">
        <v>32744</v>
      </c>
      <c r="C1548" s="6" t="s">
        <v>1206</v>
      </c>
      <c r="D1548" s="6">
        <v>0</v>
      </c>
      <c r="E1548" s="6">
        <v>98</v>
      </c>
      <c r="F1548" s="6">
        <v>98</v>
      </c>
      <c r="G1548" s="6">
        <v>0</v>
      </c>
      <c r="H1548" s="6">
        <v>98</v>
      </c>
      <c r="I1548" s="6">
        <v>98</v>
      </c>
      <c r="J1548" s="6">
        <v>0</v>
      </c>
      <c r="K1548" s="6">
        <v>98</v>
      </c>
      <c r="L1548" s="6">
        <v>98</v>
      </c>
      <c r="M1548" s="6">
        <v>0</v>
      </c>
      <c r="N1548" s="6">
        <v>98</v>
      </c>
      <c r="O1548" s="6">
        <v>98</v>
      </c>
      <c r="P1548" s="6">
        <v>0</v>
      </c>
      <c r="Q1548" s="6">
        <v>98</v>
      </c>
      <c r="R1548" s="6">
        <v>98</v>
      </c>
    </row>
    <row r="1549" spans="2:18">
      <c r="B1549" s="6">
        <v>32744</v>
      </c>
      <c r="C1549" s="6" t="s">
        <v>1206</v>
      </c>
      <c r="D1549" s="6">
        <v>0</v>
      </c>
      <c r="E1549" s="6">
        <v>94.56</v>
      </c>
      <c r="F1549" s="6">
        <v>94.56</v>
      </c>
      <c r="G1549" s="6">
        <v>0</v>
      </c>
      <c r="H1549" s="6">
        <v>94.56</v>
      </c>
      <c r="I1549" s="6">
        <v>94.56</v>
      </c>
      <c r="J1549" s="6">
        <v>0</v>
      </c>
      <c r="K1549" s="6">
        <v>94.56</v>
      </c>
      <c r="L1549" s="6">
        <v>94.56</v>
      </c>
      <c r="M1549" s="6">
        <v>0</v>
      </c>
      <c r="N1549" s="6">
        <v>94.56</v>
      </c>
      <c r="O1549" s="6">
        <v>94.56</v>
      </c>
      <c r="P1549" s="6">
        <v>0</v>
      </c>
      <c r="Q1549" s="6">
        <v>94.56</v>
      </c>
      <c r="R1549" s="6">
        <v>94.56</v>
      </c>
    </row>
    <row r="1550" spans="2:18">
      <c r="B1550" s="6">
        <v>32745</v>
      </c>
      <c r="C1550" s="6" t="s">
        <v>552</v>
      </c>
      <c r="D1550" s="6">
        <v>96.39</v>
      </c>
      <c r="E1550" s="6">
        <v>96.39</v>
      </c>
      <c r="F1550" s="6">
        <v>96.39</v>
      </c>
      <c r="G1550" s="6">
        <v>97.07</v>
      </c>
      <c r="H1550" s="6">
        <v>94.76</v>
      </c>
      <c r="I1550" s="6">
        <v>95.55</v>
      </c>
      <c r="J1550" s="6">
        <v>98.23</v>
      </c>
      <c r="K1550" s="6">
        <v>98.19</v>
      </c>
      <c r="L1550" s="6">
        <v>98.1</v>
      </c>
      <c r="M1550" s="6">
        <v>98.23</v>
      </c>
      <c r="N1550" s="6">
        <v>98.19</v>
      </c>
      <c r="O1550" s="6">
        <v>98.1</v>
      </c>
      <c r="P1550" s="6">
        <v>98.04</v>
      </c>
      <c r="Q1550" s="6">
        <v>98.09</v>
      </c>
      <c r="R1550" s="6">
        <v>97.91</v>
      </c>
    </row>
    <row r="1551" spans="2:18">
      <c r="B1551" s="6">
        <v>32745</v>
      </c>
      <c r="C1551" s="6" t="s">
        <v>552</v>
      </c>
      <c r="D1551" s="6">
        <v>96.62</v>
      </c>
      <c r="E1551" s="6">
        <v>96.62</v>
      </c>
      <c r="F1551" s="6">
        <v>96.62</v>
      </c>
      <c r="G1551" s="6">
        <v>96.62</v>
      </c>
      <c r="H1551" s="6">
        <v>98.65</v>
      </c>
      <c r="I1551" s="6">
        <v>98.32</v>
      </c>
      <c r="J1551" s="6">
        <v>99.33</v>
      </c>
      <c r="K1551" s="6">
        <v>99.31</v>
      </c>
      <c r="L1551" s="6">
        <v>98.87</v>
      </c>
      <c r="M1551" s="6">
        <v>99.33</v>
      </c>
      <c r="N1551" s="6">
        <v>99.31</v>
      </c>
      <c r="O1551" s="6">
        <v>98.87</v>
      </c>
      <c r="P1551" s="6">
        <v>97.69</v>
      </c>
      <c r="Q1551" s="6">
        <v>98.01</v>
      </c>
      <c r="R1551" s="6">
        <v>98.3</v>
      </c>
    </row>
    <row r="1552" spans="2:18">
      <c r="B1552" s="6">
        <v>32745</v>
      </c>
      <c r="C1552" s="6" t="s">
        <v>552</v>
      </c>
      <c r="D1552" s="6">
        <v>96.62</v>
      </c>
      <c r="E1552" s="6">
        <v>96.62</v>
      </c>
      <c r="F1552" s="6">
        <v>96.62</v>
      </c>
      <c r="G1552" s="6">
        <v>96.62</v>
      </c>
      <c r="H1552" s="6">
        <v>98.65</v>
      </c>
      <c r="I1552" s="6">
        <v>98.32</v>
      </c>
      <c r="J1552" s="6">
        <v>99.33</v>
      </c>
      <c r="K1552" s="6">
        <v>99.31</v>
      </c>
      <c r="L1552" s="6">
        <v>98.87</v>
      </c>
      <c r="M1552" s="6">
        <v>99.33</v>
      </c>
      <c r="N1552" s="6">
        <v>99.31</v>
      </c>
      <c r="O1552" s="6">
        <v>98.87</v>
      </c>
      <c r="P1552" s="6">
        <v>97.69</v>
      </c>
      <c r="Q1552" s="6">
        <v>98.01</v>
      </c>
      <c r="R1552" s="6">
        <v>98.3</v>
      </c>
    </row>
    <row r="1553" spans="2:18">
      <c r="B1553" s="6">
        <v>32745</v>
      </c>
      <c r="C1553" s="6" t="s">
        <v>552</v>
      </c>
      <c r="D1553" s="6">
        <v>98.81</v>
      </c>
      <c r="E1553" s="6">
        <v>98.81</v>
      </c>
      <c r="F1553" s="6">
        <v>98.81</v>
      </c>
      <c r="G1553" s="6">
        <v>78.87</v>
      </c>
      <c r="H1553" s="6">
        <v>91.66</v>
      </c>
      <c r="I1553" s="6">
        <v>96.42</v>
      </c>
      <c r="J1553" s="6">
        <v>99.26</v>
      </c>
      <c r="K1553" s="6">
        <v>99.39</v>
      </c>
      <c r="L1553" s="6">
        <v>99.39</v>
      </c>
      <c r="M1553" s="6">
        <v>99.26</v>
      </c>
      <c r="N1553" s="6">
        <v>99.39</v>
      </c>
      <c r="O1553" s="6">
        <v>99.39</v>
      </c>
      <c r="P1553" s="6">
        <v>99.26</v>
      </c>
      <c r="Q1553" s="6">
        <v>99.39</v>
      </c>
      <c r="R1553" s="6">
        <v>99.39</v>
      </c>
    </row>
    <row r="1554" spans="2:18">
      <c r="B1554" s="6">
        <v>32746</v>
      </c>
      <c r="C1554" s="6" t="s">
        <v>331</v>
      </c>
      <c r="D1554" s="6">
        <v>84.75</v>
      </c>
      <c r="E1554" s="6">
        <v>84.75</v>
      </c>
      <c r="F1554" s="6">
        <v>84.75</v>
      </c>
      <c r="G1554" s="6">
        <v>97.07</v>
      </c>
      <c r="H1554" s="6">
        <v>94.76</v>
      </c>
      <c r="I1554" s="6">
        <v>95.55</v>
      </c>
      <c r="J1554" s="6">
        <v>98.23</v>
      </c>
      <c r="K1554" s="6">
        <v>98.19</v>
      </c>
      <c r="L1554" s="6">
        <v>98.1</v>
      </c>
      <c r="M1554" s="6">
        <v>98.23</v>
      </c>
      <c r="N1554" s="6">
        <v>98.19</v>
      </c>
      <c r="O1554" s="6">
        <v>98.1</v>
      </c>
      <c r="P1554" s="6">
        <v>98.04</v>
      </c>
      <c r="Q1554" s="6">
        <v>98.09</v>
      </c>
      <c r="R1554" s="6">
        <v>97.91</v>
      </c>
    </row>
    <row r="1555" spans="2:18">
      <c r="B1555" s="6">
        <v>32746</v>
      </c>
      <c r="C1555" s="6" t="s">
        <v>331</v>
      </c>
      <c r="D1555" s="6">
        <v>95.12</v>
      </c>
      <c r="E1555" s="6">
        <v>95.12</v>
      </c>
      <c r="F1555" s="6">
        <v>95.12</v>
      </c>
      <c r="G1555" s="6">
        <v>89.16</v>
      </c>
      <c r="H1555" s="6">
        <v>90.71</v>
      </c>
      <c r="I1555" s="6">
        <v>96</v>
      </c>
      <c r="J1555" s="6">
        <v>89.16</v>
      </c>
      <c r="K1555" s="6">
        <v>92.29</v>
      </c>
      <c r="L1555" s="6">
        <v>95.48</v>
      </c>
      <c r="M1555" s="6">
        <v>89.16</v>
      </c>
      <c r="N1555" s="6">
        <v>92.29</v>
      </c>
      <c r="O1555" s="6">
        <v>95.48</v>
      </c>
      <c r="P1555" s="6">
        <v>89.16</v>
      </c>
      <c r="Q1555" s="6">
        <v>92.29</v>
      </c>
      <c r="R1555" s="6">
        <v>95.48</v>
      </c>
    </row>
    <row r="1556" spans="2:18">
      <c r="B1556" s="6">
        <v>32746</v>
      </c>
      <c r="C1556" s="6" t="s">
        <v>331</v>
      </c>
      <c r="D1556" s="6">
        <v>50.43</v>
      </c>
      <c r="E1556" s="6">
        <v>50.43</v>
      </c>
      <c r="F1556" s="6">
        <v>50.43</v>
      </c>
      <c r="G1556" s="6">
        <v>78.87</v>
      </c>
      <c r="H1556" s="6">
        <v>91.66</v>
      </c>
      <c r="I1556" s="6">
        <v>96.42</v>
      </c>
      <c r="J1556" s="6">
        <v>99.26</v>
      </c>
      <c r="K1556" s="6">
        <v>99.39</v>
      </c>
      <c r="L1556" s="6">
        <v>99.39</v>
      </c>
      <c r="M1556" s="6">
        <v>99.26</v>
      </c>
      <c r="N1556" s="6">
        <v>99.39</v>
      </c>
      <c r="O1556" s="6">
        <v>99.39</v>
      </c>
      <c r="P1556" s="6">
        <v>99.26</v>
      </c>
      <c r="Q1556" s="6">
        <v>99.39</v>
      </c>
      <c r="R1556" s="6">
        <v>99.39</v>
      </c>
    </row>
    <row r="1557" spans="2:18">
      <c r="B1557" s="6">
        <v>32746</v>
      </c>
      <c r="C1557" s="6" t="s">
        <v>331</v>
      </c>
      <c r="D1557" s="6">
        <v>89.78</v>
      </c>
      <c r="E1557" s="6">
        <v>89.78</v>
      </c>
      <c r="F1557" s="6">
        <v>89.78</v>
      </c>
      <c r="G1557" s="6">
        <v>89.78</v>
      </c>
      <c r="H1557" s="6">
        <v>89.78</v>
      </c>
      <c r="I1557" s="6">
        <v>97.82</v>
      </c>
      <c r="J1557" s="6">
        <v>89.78</v>
      </c>
      <c r="K1557" s="6">
        <v>89.78</v>
      </c>
      <c r="L1557" s="6">
        <v>97.82</v>
      </c>
      <c r="M1557" s="6">
        <v>89.78</v>
      </c>
      <c r="N1557" s="6">
        <v>89.78</v>
      </c>
      <c r="O1557" s="6">
        <v>97.82</v>
      </c>
      <c r="P1557" s="6">
        <v>89.78</v>
      </c>
      <c r="Q1557" s="6">
        <v>89.78</v>
      </c>
      <c r="R1557" s="6">
        <v>97.82</v>
      </c>
    </row>
    <row r="1558" spans="2:18">
      <c r="B1558" s="6">
        <v>32747</v>
      </c>
      <c r="C1558" s="6" t="s">
        <v>1181</v>
      </c>
      <c r="D1558" s="6">
        <v>95</v>
      </c>
      <c r="E1558" s="6">
        <v>95</v>
      </c>
      <c r="F1558" s="6">
        <v>95</v>
      </c>
      <c r="G1558" s="6">
        <v>80.86</v>
      </c>
      <c r="H1558" s="6">
        <v>83.63</v>
      </c>
      <c r="I1558" s="6">
        <v>83.96</v>
      </c>
      <c r="J1558" s="6">
        <v>80.86</v>
      </c>
      <c r="K1558" s="6">
        <v>83.63</v>
      </c>
      <c r="L1558" s="6">
        <v>83.87</v>
      </c>
      <c r="M1558" s="6">
        <v>80.86</v>
      </c>
      <c r="N1558" s="6">
        <v>83.63</v>
      </c>
      <c r="O1558" s="6">
        <v>83.87</v>
      </c>
      <c r="P1558" s="6">
        <v>80.86</v>
      </c>
      <c r="Q1558" s="6">
        <v>83.63</v>
      </c>
      <c r="R1558" s="6">
        <v>83.87</v>
      </c>
    </row>
    <row r="1559" spans="2:18">
      <c r="B1559" s="6">
        <v>32747</v>
      </c>
      <c r="C1559" s="6" t="s">
        <v>1181</v>
      </c>
      <c r="D1559" s="6">
        <v>66.67</v>
      </c>
      <c r="E1559" s="6">
        <v>66.67</v>
      </c>
      <c r="F1559" s="6">
        <v>66.67</v>
      </c>
      <c r="G1559" s="6">
        <v>76.67</v>
      </c>
      <c r="H1559" s="6">
        <v>80.45</v>
      </c>
      <c r="I1559" s="6">
        <v>78.739999999999995</v>
      </c>
      <c r="J1559" s="6">
        <v>76.67</v>
      </c>
      <c r="K1559" s="6">
        <v>80.45</v>
      </c>
      <c r="L1559" s="6">
        <v>78.739999999999995</v>
      </c>
      <c r="M1559" s="6">
        <v>76.67</v>
      </c>
      <c r="N1559" s="6">
        <v>80.45</v>
      </c>
      <c r="O1559" s="6">
        <v>78.739999999999995</v>
      </c>
      <c r="P1559" s="6">
        <v>76.67</v>
      </c>
      <c r="Q1559" s="6">
        <v>80.45</v>
      </c>
      <c r="R1559" s="6">
        <v>78.739999999999995</v>
      </c>
    </row>
    <row r="1560" spans="2:18">
      <c r="B1560" s="6">
        <v>32747</v>
      </c>
      <c r="C1560" s="6" t="s">
        <v>1181</v>
      </c>
      <c r="D1560" s="6">
        <v>81.58</v>
      </c>
      <c r="E1560" s="6">
        <v>81.58</v>
      </c>
      <c r="F1560" s="6">
        <v>81.58</v>
      </c>
      <c r="G1560" s="6">
        <v>82.83</v>
      </c>
      <c r="H1560" s="6">
        <v>82.83</v>
      </c>
      <c r="I1560" s="6">
        <v>82.83</v>
      </c>
      <c r="J1560" s="6">
        <v>82.83</v>
      </c>
      <c r="K1560" s="6">
        <v>82.83</v>
      </c>
      <c r="L1560" s="6">
        <v>82.83</v>
      </c>
      <c r="M1560" s="6">
        <v>82.83</v>
      </c>
      <c r="N1560" s="6">
        <v>82.83</v>
      </c>
      <c r="O1560" s="6">
        <v>82.83</v>
      </c>
      <c r="P1560" s="6">
        <v>82.83</v>
      </c>
      <c r="Q1560" s="6">
        <v>82.83</v>
      </c>
      <c r="R1560" s="6">
        <v>82.83</v>
      </c>
    </row>
    <row r="1561" spans="2:18">
      <c r="B1561" s="6">
        <v>32748</v>
      </c>
      <c r="C1561" s="6" t="s">
        <v>1188</v>
      </c>
      <c r="D1561" s="6">
        <v>90.97</v>
      </c>
      <c r="E1561" s="6">
        <v>90.97</v>
      </c>
      <c r="F1561" s="6">
        <v>90.97</v>
      </c>
      <c r="G1561" s="6">
        <v>80.86</v>
      </c>
      <c r="H1561" s="6">
        <v>83.63</v>
      </c>
      <c r="I1561" s="6">
        <v>83.96</v>
      </c>
      <c r="J1561" s="6">
        <v>80.86</v>
      </c>
      <c r="K1561" s="6">
        <v>83.63</v>
      </c>
      <c r="L1561" s="6">
        <v>83.87</v>
      </c>
      <c r="M1561" s="6">
        <v>80.86</v>
      </c>
      <c r="N1561" s="6">
        <v>83.63</v>
      </c>
      <c r="O1561" s="6">
        <v>83.87</v>
      </c>
      <c r="P1561" s="6">
        <v>80.86</v>
      </c>
      <c r="Q1561" s="6">
        <v>83.63</v>
      </c>
      <c r="R1561" s="6">
        <v>83.87</v>
      </c>
    </row>
    <row r="1562" spans="2:18">
      <c r="B1562" s="6">
        <v>32748</v>
      </c>
      <c r="C1562" s="6" t="s">
        <v>1188</v>
      </c>
      <c r="D1562" s="6">
        <v>90.97</v>
      </c>
      <c r="E1562" s="6">
        <v>90.97</v>
      </c>
      <c r="F1562" s="6">
        <v>90.97</v>
      </c>
      <c r="G1562" s="6">
        <v>80.86</v>
      </c>
      <c r="H1562" s="6">
        <v>83.63</v>
      </c>
      <c r="I1562" s="6">
        <v>83.96</v>
      </c>
      <c r="J1562" s="6">
        <v>80.86</v>
      </c>
      <c r="K1562" s="6">
        <v>83.63</v>
      </c>
      <c r="L1562" s="6">
        <v>83.87</v>
      </c>
      <c r="M1562" s="6">
        <v>80.86</v>
      </c>
      <c r="N1562" s="6">
        <v>83.63</v>
      </c>
      <c r="O1562" s="6">
        <v>83.87</v>
      </c>
      <c r="P1562" s="6">
        <v>80.86</v>
      </c>
      <c r="Q1562" s="6">
        <v>83.63</v>
      </c>
      <c r="R1562" s="6">
        <v>83.87</v>
      </c>
    </row>
    <row r="1563" spans="2:18">
      <c r="B1563" s="6">
        <v>32748</v>
      </c>
      <c r="C1563" s="6" t="s">
        <v>1188</v>
      </c>
      <c r="D1563" s="6">
        <v>68.489999999999995</v>
      </c>
      <c r="E1563" s="6">
        <v>68.489999999999995</v>
      </c>
      <c r="F1563" s="6">
        <v>68.489999999999995</v>
      </c>
      <c r="G1563" s="6">
        <v>82.83</v>
      </c>
      <c r="H1563" s="6">
        <v>82.83</v>
      </c>
      <c r="I1563" s="6">
        <v>82.83</v>
      </c>
      <c r="J1563" s="6">
        <v>82.83</v>
      </c>
      <c r="K1563" s="6">
        <v>82.83</v>
      </c>
      <c r="L1563" s="6">
        <v>82.83</v>
      </c>
      <c r="M1563" s="6">
        <v>82.83</v>
      </c>
      <c r="N1563" s="6">
        <v>82.83</v>
      </c>
      <c r="O1563" s="6">
        <v>82.83</v>
      </c>
      <c r="P1563" s="6">
        <v>82.83</v>
      </c>
      <c r="Q1563" s="6">
        <v>82.83</v>
      </c>
      <c r="R1563" s="6">
        <v>82.83</v>
      </c>
    </row>
    <row r="1564" spans="2:18">
      <c r="B1564" s="6">
        <v>32750</v>
      </c>
      <c r="C1564" s="6" t="s">
        <v>1130</v>
      </c>
      <c r="D1564" s="6">
        <v>87.5</v>
      </c>
      <c r="E1564" s="6">
        <v>87.5</v>
      </c>
      <c r="F1564" s="6">
        <v>87.5</v>
      </c>
      <c r="G1564" s="6">
        <v>87.5</v>
      </c>
      <c r="H1564" s="6">
        <v>87.5</v>
      </c>
      <c r="I1564" s="6">
        <v>87.5</v>
      </c>
      <c r="J1564" s="6">
        <v>87.5</v>
      </c>
      <c r="K1564" s="6">
        <v>87.5</v>
      </c>
      <c r="L1564" s="6">
        <v>87.5</v>
      </c>
      <c r="M1564" s="6">
        <v>87.5</v>
      </c>
      <c r="N1564" s="6">
        <v>87.5</v>
      </c>
      <c r="O1564" s="6">
        <v>87.5</v>
      </c>
      <c r="P1564" s="6">
        <v>98.83</v>
      </c>
      <c r="Q1564" s="6">
        <v>98.81</v>
      </c>
      <c r="R1564" s="6">
        <v>98.73</v>
      </c>
    </row>
    <row r="1565" spans="2:18">
      <c r="B1565" s="6">
        <v>32750</v>
      </c>
      <c r="C1565" s="6" t="s">
        <v>1130</v>
      </c>
      <c r="D1565" s="6">
        <v>97.14</v>
      </c>
      <c r="E1565" s="6">
        <v>97.14</v>
      </c>
      <c r="F1565" s="6">
        <v>97.14</v>
      </c>
      <c r="G1565" s="6">
        <v>96.25</v>
      </c>
      <c r="H1565" s="6">
        <v>96.25</v>
      </c>
      <c r="I1565" s="6">
        <v>96.25</v>
      </c>
      <c r="J1565" s="6">
        <v>96.25</v>
      </c>
      <c r="K1565" s="6">
        <v>96.25</v>
      </c>
      <c r="L1565" s="6">
        <v>96.25</v>
      </c>
      <c r="M1565" s="6">
        <v>96.25</v>
      </c>
      <c r="N1565" s="6">
        <v>96.25</v>
      </c>
      <c r="O1565" s="6">
        <v>96.25</v>
      </c>
      <c r="P1565" s="6">
        <v>96.25</v>
      </c>
      <c r="Q1565" s="6">
        <v>96.25</v>
      </c>
      <c r="R1565" s="6">
        <v>96.25</v>
      </c>
    </row>
    <row r="1566" spans="2:18">
      <c r="B1566" s="6">
        <v>32751</v>
      </c>
      <c r="C1566" s="6" t="s">
        <v>1063</v>
      </c>
      <c r="D1566" s="6">
        <v>95.56</v>
      </c>
      <c r="E1566" s="6">
        <v>95.56</v>
      </c>
      <c r="F1566" s="6">
        <v>95.56</v>
      </c>
      <c r="G1566" s="6">
        <v>96.25</v>
      </c>
      <c r="H1566" s="6">
        <v>96.25</v>
      </c>
      <c r="I1566" s="6">
        <v>96.25</v>
      </c>
      <c r="J1566" s="6">
        <v>96.25</v>
      </c>
      <c r="K1566" s="6">
        <v>96.25</v>
      </c>
      <c r="L1566" s="6">
        <v>96.25</v>
      </c>
      <c r="M1566" s="6">
        <v>96.25</v>
      </c>
      <c r="N1566" s="6">
        <v>96.25</v>
      </c>
      <c r="O1566" s="6">
        <v>96.25</v>
      </c>
      <c r="P1566" s="6">
        <v>96.25</v>
      </c>
      <c r="Q1566" s="6">
        <v>96.25</v>
      </c>
      <c r="R1566" s="6">
        <v>96.25</v>
      </c>
    </row>
    <row r="1567" spans="2:18">
      <c r="B1567" s="6">
        <v>32752</v>
      </c>
      <c r="C1567" s="6" t="s">
        <v>1116</v>
      </c>
      <c r="D1567" s="6">
        <v>98.44</v>
      </c>
      <c r="E1567" s="6">
        <v>98.44</v>
      </c>
      <c r="F1567" s="6">
        <v>98.44</v>
      </c>
      <c r="G1567" s="6">
        <v>98.48</v>
      </c>
      <c r="H1567" s="6">
        <v>98.4</v>
      </c>
      <c r="I1567" s="6">
        <v>98.25</v>
      </c>
      <c r="J1567" s="6">
        <v>98.64</v>
      </c>
      <c r="K1567" s="6">
        <v>98.48</v>
      </c>
      <c r="L1567" s="6">
        <v>98.3</v>
      </c>
      <c r="M1567" s="6">
        <v>98.62</v>
      </c>
      <c r="N1567" s="6">
        <v>98.46</v>
      </c>
      <c r="O1567" s="6">
        <v>98.28</v>
      </c>
      <c r="P1567" s="6">
        <v>98.52</v>
      </c>
      <c r="Q1567" s="6">
        <v>98.45</v>
      </c>
      <c r="R1567" s="6">
        <v>98.28</v>
      </c>
    </row>
    <row r="1568" spans="2:18">
      <c r="B1568" s="6">
        <v>32752</v>
      </c>
      <c r="C1568" s="6" t="s">
        <v>1116</v>
      </c>
      <c r="D1568" s="6">
        <v>98.46</v>
      </c>
      <c r="E1568" s="6">
        <v>98.46</v>
      </c>
      <c r="F1568" s="6">
        <v>98.46</v>
      </c>
      <c r="G1568" s="6">
        <v>97.97</v>
      </c>
      <c r="H1568" s="6">
        <v>98.08</v>
      </c>
      <c r="I1568" s="6">
        <v>98.09</v>
      </c>
      <c r="J1568" s="6">
        <v>98.86</v>
      </c>
      <c r="K1568" s="6">
        <v>98.85</v>
      </c>
      <c r="L1568" s="6">
        <v>98.75</v>
      </c>
      <c r="M1568" s="6">
        <v>98.86</v>
      </c>
      <c r="N1568" s="6">
        <v>98.82</v>
      </c>
      <c r="O1568" s="6">
        <v>98.74</v>
      </c>
      <c r="P1568" s="6">
        <v>98.83</v>
      </c>
      <c r="Q1568" s="6">
        <v>98.81</v>
      </c>
      <c r="R1568" s="6">
        <v>98.73</v>
      </c>
    </row>
    <row r="1569" spans="2:18">
      <c r="B1569" s="6">
        <v>32752</v>
      </c>
      <c r="C1569" s="6" t="s">
        <v>1116</v>
      </c>
      <c r="D1569" s="6">
        <v>96.3</v>
      </c>
      <c r="E1569" s="6">
        <v>96.3</v>
      </c>
      <c r="F1569" s="6">
        <v>96.3</v>
      </c>
      <c r="G1569" s="6">
        <v>97.43</v>
      </c>
      <c r="H1569" s="6">
        <v>97.49</v>
      </c>
      <c r="I1569" s="6">
        <v>97.36</v>
      </c>
      <c r="J1569" s="6">
        <v>97.72</v>
      </c>
      <c r="K1569" s="6">
        <v>97.84</v>
      </c>
      <c r="L1569" s="6">
        <v>97.75</v>
      </c>
      <c r="M1569" s="6">
        <v>97.72</v>
      </c>
      <c r="N1569" s="6">
        <v>97.83</v>
      </c>
      <c r="O1569" s="6">
        <v>97.74</v>
      </c>
      <c r="P1569" s="6">
        <v>97.73</v>
      </c>
      <c r="Q1569" s="6">
        <v>97.84</v>
      </c>
      <c r="R1569" s="6">
        <v>97.75</v>
      </c>
    </row>
    <row r="1570" spans="2:18">
      <c r="B1570" s="6">
        <v>32752</v>
      </c>
      <c r="C1570" s="6" t="s">
        <v>1116</v>
      </c>
      <c r="D1570" s="6">
        <v>98.41</v>
      </c>
      <c r="E1570" s="6">
        <v>98.41</v>
      </c>
      <c r="F1570" s="6">
        <v>98.41</v>
      </c>
      <c r="G1570" s="6">
        <v>97.88</v>
      </c>
      <c r="H1570" s="6">
        <v>97.7</v>
      </c>
      <c r="I1570" s="6">
        <v>97.56</v>
      </c>
      <c r="J1570" s="6">
        <v>98.01</v>
      </c>
      <c r="K1570" s="6">
        <v>97.7</v>
      </c>
      <c r="L1570" s="6">
        <v>97.61</v>
      </c>
      <c r="M1570" s="6">
        <v>98.02</v>
      </c>
      <c r="N1570" s="6">
        <v>97.7</v>
      </c>
      <c r="O1570" s="6">
        <v>97.61</v>
      </c>
      <c r="P1570" s="6">
        <v>98.02</v>
      </c>
      <c r="Q1570" s="6">
        <v>97.7</v>
      </c>
      <c r="R1570" s="6">
        <v>97.61</v>
      </c>
    </row>
    <row r="1571" spans="2:18">
      <c r="B1571" s="6">
        <v>32754</v>
      </c>
      <c r="C1571" s="6" t="s">
        <v>1142</v>
      </c>
      <c r="D1571" s="6">
        <v>99.24</v>
      </c>
      <c r="E1571" s="6">
        <v>99.24</v>
      </c>
      <c r="F1571" s="6">
        <v>99.24</v>
      </c>
      <c r="G1571" s="6">
        <v>98.48</v>
      </c>
      <c r="H1571" s="6">
        <v>98.4</v>
      </c>
      <c r="I1571" s="6">
        <v>98.25</v>
      </c>
      <c r="J1571" s="6">
        <v>98.64</v>
      </c>
      <c r="K1571" s="6">
        <v>98.48</v>
      </c>
      <c r="L1571" s="6">
        <v>98.3</v>
      </c>
      <c r="M1571" s="6">
        <v>98.62</v>
      </c>
      <c r="N1571" s="6">
        <v>98.46</v>
      </c>
      <c r="O1571" s="6">
        <v>98.28</v>
      </c>
      <c r="P1571" s="6">
        <v>98.52</v>
      </c>
      <c r="Q1571" s="6">
        <v>98.45</v>
      </c>
      <c r="R1571" s="6">
        <v>98.28</v>
      </c>
    </row>
    <row r="1572" spans="2:18">
      <c r="B1572" s="6">
        <v>32754</v>
      </c>
      <c r="C1572" s="6" t="s">
        <v>1142</v>
      </c>
      <c r="D1572" s="6">
        <v>99.25</v>
      </c>
      <c r="E1572" s="6">
        <v>99.25</v>
      </c>
      <c r="F1572" s="6">
        <v>99.25</v>
      </c>
      <c r="G1572" s="6">
        <v>98.72</v>
      </c>
      <c r="H1572" s="6">
        <v>98.71</v>
      </c>
      <c r="I1572" s="6">
        <v>98.75</v>
      </c>
      <c r="J1572" s="6">
        <v>98.77</v>
      </c>
      <c r="K1572" s="6">
        <v>98.75</v>
      </c>
      <c r="L1572" s="6">
        <v>98.72</v>
      </c>
      <c r="M1572" s="6">
        <v>98.71</v>
      </c>
      <c r="N1572" s="6">
        <v>98.7</v>
      </c>
      <c r="O1572" s="6">
        <v>98.68</v>
      </c>
      <c r="P1572" s="6">
        <v>98.71</v>
      </c>
      <c r="Q1572" s="6">
        <v>98.7</v>
      </c>
      <c r="R1572" s="6">
        <v>98.68</v>
      </c>
    </row>
    <row r="1573" spans="2:18">
      <c r="B1573" s="6">
        <v>32754</v>
      </c>
      <c r="C1573" s="6" t="s">
        <v>1142</v>
      </c>
      <c r="D1573" s="6">
        <v>98.15</v>
      </c>
      <c r="E1573" s="6">
        <v>98.15</v>
      </c>
      <c r="F1573" s="6">
        <v>98.15</v>
      </c>
      <c r="G1573" s="6">
        <v>97.43</v>
      </c>
      <c r="H1573" s="6">
        <v>97.49</v>
      </c>
      <c r="I1573" s="6">
        <v>97.36</v>
      </c>
      <c r="J1573" s="6">
        <v>97.72</v>
      </c>
      <c r="K1573" s="6">
        <v>97.84</v>
      </c>
      <c r="L1573" s="6">
        <v>97.75</v>
      </c>
      <c r="M1573" s="6">
        <v>97.72</v>
      </c>
      <c r="N1573" s="6">
        <v>97.83</v>
      </c>
      <c r="O1573" s="6">
        <v>97.74</v>
      </c>
      <c r="P1573" s="6">
        <v>97.73</v>
      </c>
      <c r="Q1573" s="6">
        <v>97.84</v>
      </c>
      <c r="R1573" s="6">
        <v>97.75</v>
      </c>
    </row>
    <row r="1574" spans="2:18">
      <c r="B1574" s="6">
        <v>32754</v>
      </c>
      <c r="C1574" s="6" t="s">
        <v>1142</v>
      </c>
      <c r="D1574" s="6">
        <v>98.47</v>
      </c>
      <c r="E1574" s="6">
        <v>98.47</v>
      </c>
      <c r="F1574" s="6">
        <v>98.47</v>
      </c>
      <c r="G1574" s="6">
        <v>97.88</v>
      </c>
      <c r="H1574" s="6">
        <v>97.7</v>
      </c>
      <c r="I1574" s="6">
        <v>97.56</v>
      </c>
      <c r="J1574" s="6">
        <v>98.01</v>
      </c>
      <c r="K1574" s="6">
        <v>97.7</v>
      </c>
      <c r="L1574" s="6">
        <v>97.61</v>
      </c>
      <c r="M1574" s="6">
        <v>98.02</v>
      </c>
      <c r="N1574" s="6">
        <v>97.7</v>
      </c>
      <c r="O1574" s="6">
        <v>97.61</v>
      </c>
      <c r="P1574" s="6">
        <v>98.02</v>
      </c>
      <c r="Q1574" s="6">
        <v>97.7</v>
      </c>
      <c r="R1574" s="6">
        <v>97.61</v>
      </c>
    </row>
    <row r="1575" spans="2:18">
      <c r="B1575" s="6">
        <v>32755</v>
      </c>
      <c r="C1575" s="6" t="s">
        <v>1182</v>
      </c>
      <c r="D1575" s="6">
        <v>98.86</v>
      </c>
      <c r="E1575" s="6">
        <v>98.86</v>
      </c>
      <c r="F1575" s="6">
        <v>98.86</v>
      </c>
      <c r="G1575" s="6">
        <v>98.86</v>
      </c>
      <c r="H1575" s="6">
        <v>98.86</v>
      </c>
      <c r="I1575" s="6">
        <v>98.86</v>
      </c>
      <c r="J1575" s="6">
        <v>98.86</v>
      </c>
      <c r="K1575" s="6">
        <v>98.86</v>
      </c>
      <c r="L1575" s="6">
        <v>98.86</v>
      </c>
      <c r="M1575" s="6">
        <v>98.86</v>
      </c>
      <c r="N1575" s="6">
        <v>98.86</v>
      </c>
      <c r="O1575" s="6">
        <v>98.86</v>
      </c>
      <c r="P1575" s="6">
        <v>98.86</v>
      </c>
      <c r="Q1575" s="6">
        <v>98.86</v>
      </c>
      <c r="R1575" s="6">
        <v>98.86</v>
      </c>
    </row>
    <row r="1576" spans="2:18">
      <c r="B1576" s="6">
        <v>32755</v>
      </c>
      <c r="C1576" s="6" t="s">
        <v>1182</v>
      </c>
      <c r="D1576" s="6">
        <v>98.89</v>
      </c>
      <c r="E1576" s="6">
        <v>98.89</v>
      </c>
      <c r="F1576" s="6">
        <v>98.89</v>
      </c>
      <c r="G1576" s="6">
        <v>80.86</v>
      </c>
      <c r="H1576" s="6">
        <v>83.63</v>
      </c>
      <c r="I1576" s="6">
        <v>83.96</v>
      </c>
      <c r="J1576" s="6">
        <v>80.86</v>
      </c>
      <c r="K1576" s="6">
        <v>83.63</v>
      </c>
      <c r="L1576" s="6">
        <v>83.87</v>
      </c>
      <c r="M1576" s="6">
        <v>80.86</v>
      </c>
      <c r="N1576" s="6">
        <v>83.63</v>
      </c>
      <c r="O1576" s="6">
        <v>83.87</v>
      </c>
      <c r="P1576" s="6">
        <v>80.86</v>
      </c>
      <c r="Q1576" s="6">
        <v>83.63</v>
      </c>
      <c r="R1576" s="6">
        <v>83.87</v>
      </c>
    </row>
    <row r="1577" spans="2:18">
      <c r="B1577" s="6">
        <v>32755</v>
      </c>
      <c r="C1577" s="6" t="s">
        <v>1182</v>
      </c>
      <c r="D1577" s="6">
        <v>100</v>
      </c>
      <c r="E1577" s="6">
        <v>100</v>
      </c>
      <c r="F1577" s="6">
        <v>100</v>
      </c>
      <c r="G1577" s="6">
        <v>76.67</v>
      </c>
      <c r="H1577" s="6">
        <v>80.45</v>
      </c>
      <c r="I1577" s="6">
        <v>78.739999999999995</v>
      </c>
      <c r="J1577" s="6">
        <v>76.67</v>
      </c>
      <c r="K1577" s="6">
        <v>80.45</v>
      </c>
      <c r="L1577" s="6">
        <v>78.739999999999995</v>
      </c>
      <c r="M1577" s="6">
        <v>76.67</v>
      </c>
      <c r="N1577" s="6">
        <v>80.45</v>
      </c>
      <c r="O1577" s="6">
        <v>78.739999999999995</v>
      </c>
      <c r="P1577" s="6">
        <v>76.67</v>
      </c>
      <c r="Q1577" s="6">
        <v>80.45</v>
      </c>
      <c r="R1577" s="6">
        <v>78.739999999999995</v>
      </c>
    </row>
    <row r="1578" spans="2:18">
      <c r="B1578" s="6">
        <v>32755</v>
      </c>
      <c r="C1578" s="6" t="s">
        <v>1182</v>
      </c>
      <c r="D1578" s="6">
        <v>98.88</v>
      </c>
      <c r="E1578" s="6">
        <v>98.88</v>
      </c>
      <c r="F1578" s="6">
        <v>98.88</v>
      </c>
      <c r="G1578" s="6">
        <v>82.83</v>
      </c>
      <c r="H1578" s="6">
        <v>82.83</v>
      </c>
      <c r="I1578" s="6">
        <v>82.83</v>
      </c>
      <c r="J1578" s="6">
        <v>82.83</v>
      </c>
      <c r="K1578" s="6">
        <v>82.83</v>
      </c>
      <c r="L1578" s="6">
        <v>82.83</v>
      </c>
      <c r="M1578" s="6">
        <v>82.83</v>
      </c>
      <c r="N1578" s="6">
        <v>82.83</v>
      </c>
      <c r="O1578" s="6">
        <v>82.83</v>
      </c>
      <c r="P1578" s="6">
        <v>82.83</v>
      </c>
      <c r="Q1578" s="6">
        <v>82.83</v>
      </c>
      <c r="R1578" s="6">
        <v>82.83</v>
      </c>
    </row>
    <row r="1579" spans="2:18">
      <c r="B1579" s="6">
        <v>32756</v>
      </c>
      <c r="C1579" s="6" t="s">
        <v>1100</v>
      </c>
      <c r="D1579" s="6">
        <v>98.99</v>
      </c>
      <c r="E1579" s="6">
        <v>98.99</v>
      </c>
      <c r="F1579" s="6">
        <v>98.99</v>
      </c>
      <c r="G1579" s="6">
        <v>98.74</v>
      </c>
      <c r="H1579" s="6">
        <v>98.55</v>
      </c>
      <c r="I1579" s="6">
        <v>98.22</v>
      </c>
      <c r="J1579" s="6">
        <v>98.64</v>
      </c>
      <c r="K1579" s="6">
        <v>98.48</v>
      </c>
      <c r="L1579" s="6">
        <v>98.3</v>
      </c>
      <c r="M1579" s="6">
        <v>98.62</v>
      </c>
      <c r="N1579" s="6">
        <v>98.46</v>
      </c>
      <c r="O1579" s="6">
        <v>98.28</v>
      </c>
      <c r="P1579" s="6">
        <v>98.52</v>
      </c>
      <c r="Q1579" s="6">
        <v>98.45</v>
      </c>
      <c r="R1579" s="6">
        <v>98.28</v>
      </c>
    </row>
    <row r="1580" spans="2:18">
      <c r="B1580" s="6">
        <v>32756</v>
      </c>
      <c r="C1580" s="6" t="s">
        <v>1100</v>
      </c>
      <c r="D1580" s="6">
        <v>99</v>
      </c>
      <c r="E1580" s="6">
        <v>99</v>
      </c>
      <c r="F1580" s="6">
        <v>99</v>
      </c>
      <c r="G1580" s="6">
        <v>98.78</v>
      </c>
      <c r="H1580" s="6">
        <v>98.67</v>
      </c>
      <c r="I1580" s="6">
        <v>98.6</v>
      </c>
      <c r="J1580" s="6">
        <v>98.77</v>
      </c>
      <c r="K1580" s="6">
        <v>98.75</v>
      </c>
      <c r="L1580" s="6">
        <v>98.72</v>
      </c>
      <c r="M1580" s="6">
        <v>98.71</v>
      </c>
      <c r="N1580" s="6">
        <v>98.7</v>
      </c>
      <c r="O1580" s="6">
        <v>98.68</v>
      </c>
      <c r="P1580" s="6">
        <v>98.71</v>
      </c>
      <c r="Q1580" s="6">
        <v>98.7</v>
      </c>
      <c r="R1580" s="6">
        <v>98.68</v>
      </c>
    </row>
    <row r="1581" spans="2:18">
      <c r="B1581" s="6">
        <v>32756</v>
      </c>
      <c r="C1581" s="6" t="s">
        <v>1100</v>
      </c>
      <c r="D1581" s="6">
        <v>90.91</v>
      </c>
      <c r="E1581" s="6">
        <v>90.91</v>
      </c>
      <c r="F1581" s="6">
        <v>90.91</v>
      </c>
      <c r="G1581" s="6">
        <v>97.49</v>
      </c>
      <c r="H1581" s="6">
        <v>97.66</v>
      </c>
      <c r="I1581" s="6">
        <v>97.52</v>
      </c>
      <c r="J1581" s="6">
        <v>97.72</v>
      </c>
      <c r="K1581" s="6">
        <v>97.84</v>
      </c>
      <c r="L1581" s="6">
        <v>97.75</v>
      </c>
      <c r="M1581" s="6">
        <v>97.72</v>
      </c>
      <c r="N1581" s="6">
        <v>97.83</v>
      </c>
      <c r="O1581" s="6">
        <v>97.74</v>
      </c>
      <c r="P1581" s="6">
        <v>97.73</v>
      </c>
      <c r="Q1581" s="6">
        <v>97.84</v>
      </c>
      <c r="R1581" s="6">
        <v>97.75</v>
      </c>
    </row>
    <row r="1582" spans="2:18">
      <c r="B1582" s="6">
        <v>32756</v>
      </c>
      <c r="C1582" s="6" t="s">
        <v>1100</v>
      </c>
      <c r="D1582" s="6">
        <v>98.98</v>
      </c>
      <c r="E1582" s="6">
        <v>98.98</v>
      </c>
      <c r="F1582" s="6">
        <v>98.98</v>
      </c>
      <c r="G1582" s="6">
        <v>98.15</v>
      </c>
      <c r="H1582" s="6">
        <v>97.53</v>
      </c>
      <c r="I1582" s="6">
        <v>97.49</v>
      </c>
      <c r="J1582" s="6">
        <v>98.01</v>
      </c>
      <c r="K1582" s="6">
        <v>97.7</v>
      </c>
      <c r="L1582" s="6">
        <v>97.61</v>
      </c>
      <c r="M1582" s="6">
        <v>98.02</v>
      </c>
      <c r="N1582" s="6">
        <v>97.7</v>
      </c>
      <c r="O1582" s="6">
        <v>97.61</v>
      </c>
      <c r="P1582" s="6">
        <v>98.02</v>
      </c>
      <c r="Q1582" s="6">
        <v>97.7</v>
      </c>
      <c r="R1582" s="6">
        <v>97.61</v>
      </c>
    </row>
    <row r="1583" spans="2:18">
      <c r="B1583" s="6">
        <v>32758</v>
      </c>
      <c r="C1583" s="6" t="s">
        <v>1141</v>
      </c>
      <c r="D1583" s="6">
        <v>98.53</v>
      </c>
      <c r="E1583" s="6">
        <v>98.53</v>
      </c>
      <c r="F1583" s="6">
        <v>98.53</v>
      </c>
      <c r="G1583" s="6">
        <v>98.74</v>
      </c>
      <c r="H1583" s="6">
        <v>98.55</v>
      </c>
      <c r="I1583" s="6">
        <v>98.22</v>
      </c>
      <c r="J1583" s="6">
        <v>98.64</v>
      </c>
      <c r="K1583" s="6">
        <v>98.48</v>
      </c>
      <c r="L1583" s="6">
        <v>98.3</v>
      </c>
      <c r="M1583" s="6">
        <v>98.62</v>
      </c>
      <c r="N1583" s="6">
        <v>98.46</v>
      </c>
      <c r="O1583" s="6">
        <v>98.28</v>
      </c>
      <c r="P1583" s="6">
        <v>98.52</v>
      </c>
      <c r="Q1583" s="6">
        <v>98.45</v>
      </c>
      <c r="R1583" s="6">
        <v>98.28</v>
      </c>
    </row>
    <row r="1584" spans="2:18">
      <c r="B1584" s="6">
        <v>32758</v>
      </c>
      <c r="C1584" s="6" t="s">
        <v>1141</v>
      </c>
      <c r="D1584" s="6">
        <v>99.27</v>
      </c>
      <c r="E1584" s="6">
        <v>99.27</v>
      </c>
      <c r="F1584" s="6">
        <v>99.27</v>
      </c>
      <c r="G1584" s="6">
        <v>98.78</v>
      </c>
      <c r="H1584" s="6">
        <v>98.67</v>
      </c>
      <c r="I1584" s="6">
        <v>98.6</v>
      </c>
      <c r="J1584" s="6">
        <v>98.77</v>
      </c>
      <c r="K1584" s="6">
        <v>98.75</v>
      </c>
      <c r="L1584" s="6">
        <v>98.72</v>
      </c>
      <c r="M1584" s="6">
        <v>98.71</v>
      </c>
      <c r="N1584" s="6">
        <v>98.7</v>
      </c>
      <c r="O1584" s="6">
        <v>98.68</v>
      </c>
      <c r="P1584" s="6">
        <v>98.71</v>
      </c>
      <c r="Q1584" s="6">
        <v>98.7</v>
      </c>
      <c r="R1584" s="6">
        <v>98.68</v>
      </c>
    </row>
    <row r="1585" spans="2:18">
      <c r="B1585" s="6">
        <v>32758</v>
      </c>
      <c r="C1585" s="6" t="s">
        <v>1141</v>
      </c>
      <c r="D1585" s="6">
        <v>98.21</v>
      </c>
      <c r="E1585" s="6">
        <v>98.21</v>
      </c>
      <c r="F1585" s="6">
        <v>98.21</v>
      </c>
      <c r="G1585" s="6">
        <v>97.49</v>
      </c>
      <c r="H1585" s="6">
        <v>97.66</v>
      </c>
      <c r="I1585" s="6">
        <v>97.52</v>
      </c>
      <c r="J1585" s="6">
        <v>97.72</v>
      </c>
      <c r="K1585" s="6">
        <v>97.84</v>
      </c>
      <c r="L1585" s="6">
        <v>97.75</v>
      </c>
      <c r="M1585" s="6">
        <v>97.72</v>
      </c>
      <c r="N1585" s="6">
        <v>97.83</v>
      </c>
      <c r="O1585" s="6">
        <v>97.74</v>
      </c>
      <c r="P1585" s="6">
        <v>97.73</v>
      </c>
      <c r="Q1585" s="6">
        <v>97.84</v>
      </c>
      <c r="R1585" s="6">
        <v>97.75</v>
      </c>
    </row>
    <row r="1586" spans="2:18">
      <c r="B1586" s="6">
        <v>32758</v>
      </c>
      <c r="C1586" s="6" t="s">
        <v>1141</v>
      </c>
      <c r="D1586" s="6">
        <v>98.88</v>
      </c>
      <c r="E1586" s="6">
        <v>98.88</v>
      </c>
      <c r="F1586" s="6">
        <v>98.88</v>
      </c>
      <c r="G1586" s="6">
        <v>98.15</v>
      </c>
      <c r="H1586" s="6">
        <v>97.53</v>
      </c>
      <c r="I1586" s="6">
        <v>97.49</v>
      </c>
      <c r="J1586" s="6">
        <v>98.01</v>
      </c>
      <c r="K1586" s="6">
        <v>97.7</v>
      </c>
      <c r="L1586" s="6">
        <v>97.61</v>
      </c>
      <c r="M1586" s="6">
        <v>98.02</v>
      </c>
      <c r="N1586" s="6">
        <v>97.7</v>
      </c>
      <c r="O1586" s="6">
        <v>97.61</v>
      </c>
      <c r="P1586" s="6">
        <v>98.02</v>
      </c>
      <c r="Q1586" s="6">
        <v>97.7</v>
      </c>
      <c r="R1586" s="6">
        <v>97.61</v>
      </c>
    </row>
    <row r="1587" spans="2:18">
      <c r="B1587" s="6">
        <v>32760</v>
      </c>
      <c r="C1587" s="6" t="s">
        <v>1047</v>
      </c>
      <c r="D1587" s="6">
        <v>99.19</v>
      </c>
      <c r="E1587" s="6">
        <v>99.19</v>
      </c>
      <c r="F1587" s="6">
        <v>99.19</v>
      </c>
      <c r="G1587" s="6">
        <v>98.74</v>
      </c>
      <c r="H1587" s="6">
        <v>98.55</v>
      </c>
      <c r="I1587" s="6">
        <v>98.22</v>
      </c>
      <c r="J1587" s="6">
        <v>98.64</v>
      </c>
      <c r="K1587" s="6">
        <v>98.48</v>
      </c>
      <c r="L1587" s="6">
        <v>98.3</v>
      </c>
      <c r="M1587" s="6">
        <v>98.62</v>
      </c>
      <c r="N1587" s="6">
        <v>98.46</v>
      </c>
      <c r="O1587" s="6">
        <v>98.28</v>
      </c>
      <c r="P1587" s="6">
        <v>98.52</v>
      </c>
      <c r="Q1587" s="6">
        <v>98.45</v>
      </c>
      <c r="R1587" s="6">
        <v>98.28</v>
      </c>
    </row>
    <row r="1588" spans="2:18">
      <c r="B1588" s="6">
        <v>32760</v>
      </c>
      <c r="C1588" s="6" t="s">
        <v>1047</v>
      </c>
      <c r="D1588" s="6">
        <v>99.2</v>
      </c>
      <c r="E1588" s="6">
        <v>99.2</v>
      </c>
      <c r="F1588" s="6">
        <v>99.2</v>
      </c>
      <c r="G1588" s="6">
        <v>98.78</v>
      </c>
      <c r="H1588" s="6">
        <v>98.67</v>
      </c>
      <c r="I1588" s="6">
        <v>98.6</v>
      </c>
      <c r="J1588" s="6">
        <v>98.77</v>
      </c>
      <c r="K1588" s="6">
        <v>98.75</v>
      </c>
      <c r="L1588" s="6">
        <v>98.72</v>
      </c>
      <c r="M1588" s="6">
        <v>98.71</v>
      </c>
      <c r="N1588" s="6">
        <v>98.7</v>
      </c>
      <c r="O1588" s="6">
        <v>98.68</v>
      </c>
      <c r="P1588" s="6">
        <v>98.71</v>
      </c>
      <c r="Q1588" s="6">
        <v>98.7</v>
      </c>
      <c r="R1588" s="6">
        <v>98.68</v>
      </c>
    </row>
    <row r="1589" spans="2:18">
      <c r="B1589" s="6">
        <v>32760</v>
      </c>
      <c r="C1589" s="6" t="s">
        <v>1047</v>
      </c>
      <c r="D1589" s="6">
        <v>98.04</v>
      </c>
      <c r="E1589" s="6">
        <v>98.04</v>
      </c>
      <c r="F1589" s="6">
        <v>98.04</v>
      </c>
      <c r="G1589" s="6">
        <v>97.49</v>
      </c>
      <c r="H1589" s="6">
        <v>97.66</v>
      </c>
      <c r="I1589" s="6">
        <v>97.52</v>
      </c>
      <c r="J1589" s="6">
        <v>97.72</v>
      </c>
      <c r="K1589" s="6">
        <v>97.84</v>
      </c>
      <c r="L1589" s="6">
        <v>97.75</v>
      </c>
      <c r="M1589" s="6">
        <v>97.72</v>
      </c>
      <c r="N1589" s="6">
        <v>97.83</v>
      </c>
      <c r="O1589" s="6">
        <v>97.74</v>
      </c>
      <c r="P1589" s="6">
        <v>97.73</v>
      </c>
      <c r="Q1589" s="6">
        <v>97.84</v>
      </c>
      <c r="R1589" s="6">
        <v>97.75</v>
      </c>
    </row>
    <row r="1590" spans="2:18">
      <c r="B1590" s="6">
        <v>32760</v>
      </c>
      <c r="C1590" s="6" t="s">
        <v>1047</v>
      </c>
      <c r="D1590" s="6">
        <v>96.75</v>
      </c>
      <c r="E1590" s="6">
        <v>96.75</v>
      </c>
      <c r="F1590" s="6">
        <v>96.75</v>
      </c>
      <c r="G1590" s="6">
        <v>98.15</v>
      </c>
      <c r="H1590" s="6">
        <v>97.53</v>
      </c>
      <c r="I1590" s="6">
        <v>97.49</v>
      </c>
      <c r="J1590" s="6">
        <v>98.01</v>
      </c>
      <c r="K1590" s="6">
        <v>97.7</v>
      </c>
      <c r="L1590" s="6">
        <v>97.61</v>
      </c>
      <c r="M1590" s="6">
        <v>98.02</v>
      </c>
      <c r="N1590" s="6">
        <v>97.7</v>
      </c>
      <c r="O1590" s="6">
        <v>97.61</v>
      </c>
      <c r="P1590" s="6">
        <v>98.02</v>
      </c>
      <c r="Q1590" s="6">
        <v>97.7</v>
      </c>
      <c r="R1590" s="6">
        <v>97.61</v>
      </c>
    </row>
    <row r="1591" spans="2:18">
      <c r="B1591" s="6">
        <v>32762</v>
      </c>
      <c r="C1591" s="6" t="s">
        <v>1081</v>
      </c>
      <c r="D1591" s="6">
        <v>98.03</v>
      </c>
      <c r="E1591" s="6">
        <v>98.03</v>
      </c>
      <c r="F1591" s="6">
        <v>98.03</v>
      </c>
      <c r="G1591" s="6">
        <v>98.48</v>
      </c>
      <c r="H1591" s="6">
        <v>98.4</v>
      </c>
      <c r="I1591" s="6">
        <v>98.25</v>
      </c>
      <c r="J1591" s="6">
        <v>98.64</v>
      </c>
      <c r="K1591" s="6">
        <v>98.48</v>
      </c>
      <c r="L1591" s="6">
        <v>98.3</v>
      </c>
      <c r="M1591" s="6">
        <v>98.62</v>
      </c>
      <c r="N1591" s="6">
        <v>98.46</v>
      </c>
      <c r="O1591" s="6">
        <v>98.28</v>
      </c>
      <c r="P1591" s="6">
        <v>98.52</v>
      </c>
      <c r="Q1591" s="6">
        <v>98.45</v>
      </c>
      <c r="R1591" s="6">
        <v>98.28</v>
      </c>
    </row>
    <row r="1592" spans="2:18">
      <c r="B1592" s="6">
        <v>32762</v>
      </c>
      <c r="C1592" s="6" t="s">
        <v>1081</v>
      </c>
      <c r="D1592" s="6">
        <v>98.07</v>
      </c>
      <c r="E1592" s="6">
        <v>98.07</v>
      </c>
      <c r="F1592" s="6">
        <v>98.07</v>
      </c>
      <c r="G1592" s="6">
        <v>98.72</v>
      </c>
      <c r="H1592" s="6">
        <v>98.71</v>
      </c>
      <c r="I1592" s="6">
        <v>98.75</v>
      </c>
      <c r="J1592" s="6">
        <v>98.77</v>
      </c>
      <c r="K1592" s="6">
        <v>98.75</v>
      </c>
      <c r="L1592" s="6">
        <v>98.72</v>
      </c>
      <c r="M1592" s="6">
        <v>98.71</v>
      </c>
      <c r="N1592" s="6">
        <v>98.7</v>
      </c>
      <c r="O1592" s="6">
        <v>98.68</v>
      </c>
      <c r="P1592" s="6">
        <v>98.71</v>
      </c>
      <c r="Q1592" s="6">
        <v>98.7</v>
      </c>
      <c r="R1592" s="6">
        <v>98.68</v>
      </c>
    </row>
    <row r="1593" spans="2:18">
      <c r="B1593" s="6">
        <v>32762</v>
      </c>
      <c r="C1593" s="6" t="s">
        <v>1081</v>
      </c>
      <c r="D1593" s="6">
        <v>94.95</v>
      </c>
      <c r="E1593" s="6">
        <v>94.95</v>
      </c>
      <c r="F1593" s="6">
        <v>94.95</v>
      </c>
      <c r="G1593" s="6">
        <v>97.43</v>
      </c>
      <c r="H1593" s="6">
        <v>97.49</v>
      </c>
      <c r="I1593" s="6">
        <v>97.36</v>
      </c>
      <c r="J1593" s="6">
        <v>97.72</v>
      </c>
      <c r="K1593" s="6">
        <v>97.84</v>
      </c>
      <c r="L1593" s="6">
        <v>97.75</v>
      </c>
      <c r="M1593" s="6">
        <v>97.72</v>
      </c>
      <c r="N1593" s="6">
        <v>97.83</v>
      </c>
      <c r="O1593" s="6">
        <v>97.74</v>
      </c>
      <c r="P1593" s="6">
        <v>97.73</v>
      </c>
      <c r="Q1593" s="6">
        <v>97.84</v>
      </c>
      <c r="R1593" s="6">
        <v>97.75</v>
      </c>
    </row>
    <row r="1594" spans="2:18">
      <c r="B1594" s="6">
        <v>32762</v>
      </c>
      <c r="C1594" s="6" t="s">
        <v>1081</v>
      </c>
      <c r="D1594" s="6">
        <v>97.74</v>
      </c>
      <c r="E1594" s="6">
        <v>97.74</v>
      </c>
      <c r="F1594" s="6">
        <v>97.74</v>
      </c>
      <c r="G1594" s="6">
        <v>97.88</v>
      </c>
      <c r="H1594" s="6">
        <v>97.7</v>
      </c>
      <c r="I1594" s="6">
        <v>97.56</v>
      </c>
      <c r="J1594" s="6">
        <v>98.01</v>
      </c>
      <c r="K1594" s="6">
        <v>97.7</v>
      </c>
      <c r="L1594" s="6">
        <v>97.61</v>
      </c>
      <c r="M1594" s="6">
        <v>98.02</v>
      </c>
      <c r="N1594" s="6">
        <v>97.7</v>
      </c>
      <c r="O1594" s="6">
        <v>97.61</v>
      </c>
      <c r="P1594" s="6">
        <v>98.02</v>
      </c>
      <c r="Q1594" s="6">
        <v>97.7</v>
      </c>
      <c r="R1594" s="6">
        <v>97.61</v>
      </c>
    </row>
    <row r="1595" spans="2:18">
      <c r="B1595" s="6">
        <v>32763</v>
      </c>
      <c r="C1595" s="6" t="s">
        <v>1090</v>
      </c>
      <c r="D1595" s="6">
        <v>94.44</v>
      </c>
      <c r="E1595" s="6">
        <v>94.44</v>
      </c>
      <c r="F1595" s="6">
        <v>94.44</v>
      </c>
      <c r="G1595" s="6">
        <v>94.59</v>
      </c>
      <c r="H1595" s="6">
        <v>94.59</v>
      </c>
      <c r="I1595" s="6">
        <v>94.59</v>
      </c>
      <c r="J1595" s="6">
        <v>97.54</v>
      </c>
      <c r="K1595" s="6">
        <v>97.47</v>
      </c>
      <c r="L1595" s="6">
        <v>97.49</v>
      </c>
      <c r="M1595" s="6">
        <v>97.54</v>
      </c>
      <c r="N1595" s="6">
        <v>97.47</v>
      </c>
      <c r="O1595" s="6">
        <v>97.49</v>
      </c>
      <c r="P1595" s="6">
        <v>97.54</v>
      </c>
      <c r="Q1595" s="6">
        <v>97.47</v>
      </c>
      <c r="R1595" s="6">
        <v>97.49</v>
      </c>
    </row>
    <row r="1596" spans="2:18">
      <c r="B1596" s="6">
        <v>32763</v>
      </c>
      <c r="C1596" s="6" t="s">
        <v>1090</v>
      </c>
      <c r="D1596" s="6">
        <v>96.47</v>
      </c>
      <c r="E1596" s="6">
        <v>96.47</v>
      </c>
      <c r="F1596" s="6">
        <v>96.47</v>
      </c>
      <c r="G1596" s="6">
        <v>90.86</v>
      </c>
      <c r="H1596" s="6">
        <v>90.86</v>
      </c>
      <c r="I1596" s="6">
        <v>90.86</v>
      </c>
      <c r="J1596" s="6">
        <v>90.86</v>
      </c>
      <c r="K1596" s="6">
        <v>96.97</v>
      </c>
      <c r="L1596" s="6">
        <v>96.91</v>
      </c>
      <c r="M1596" s="6">
        <v>98.71</v>
      </c>
      <c r="N1596" s="6">
        <v>98.7</v>
      </c>
      <c r="O1596" s="6">
        <v>98.68</v>
      </c>
      <c r="P1596" s="6">
        <v>98.71</v>
      </c>
      <c r="Q1596" s="6">
        <v>98.7</v>
      </c>
      <c r="R1596" s="6">
        <v>98.68</v>
      </c>
    </row>
    <row r="1597" spans="2:18">
      <c r="B1597" s="6">
        <v>32763</v>
      </c>
      <c r="C1597" s="6" t="s">
        <v>1090</v>
      </c>
      <c r="D1597" s="6">
        <v>95.12</v>
      </c>
      <c r="E1597" s="6">
        <v>95.12</v>
      </c>
      <c r="F1597" s="6">
        <v>95.12</v>
      </c>
      <c r="G1597" s="6">
        <v>94.97</v>
      </c>
      <c r="H1597" s="6">
        <v>94.97</v>
      </c>
      <c r="I1597" s="6">
        <v>94.97</v>
      </c>
      <c r="J1597" s="6">
        <v>94.97</v>
      </c>
      <c r="K1597" s="6">
        <v>94.84</v>
      </c>
      <c r="L1597" s="6">
        <v>91.34</v>
      </c>
      <c r="M1597" s="6">
        <v>98.29</v>
      </c>
      <c r="N1597" s="6">
        <v>97.91</v>
      </c>
      <c r="O1597" s="6">
        <v>97.88</v>
      </c>
      <c r="P1597" s="6">
        <v>98.29</v>
      </c>
      <c r="Q1597" s="6">
        <v>97.91</v>
      </c>
      <c r="R1597" s="6">
        <v>97.88</v>
      </c>
    </row>
    <row r="1598" spans="2:18">
      <c r="B1598" s="6">
        <v>32764</v>
      </c>
      <c r="C1598" s="6" t="s">
        <v>1091</v>
      </c>
      <c r="D1598" s="6">
        <v>94.74</v>
      </c>
      <c r="E1598" s="6">
        <v>94.74</v>
      </c>
      <c r="F1598" s="6">
        <v>94.74</v>
      </c>
      <c r="G1598" s="6">
        <v>94.59</v>
      </c>
      <c r="H1598" s="6">
        <v>94.59</v>
      </c>
      <c r="I1598" s="6">
        <v>94.59</v>
      </c>
      <c r="J1598" s="6">
        <v>97.54</v>
      </c>
      <c r="K1598" s="6">
        <v>97.47</v>
      </c>
      <c r="L1598" s="6">
        <v>97.49</v>
      </c>
      <c r="M1598" s="6">
        <v>97.54</v>
      </c>
      <c r="N1598" s="6">
        <v>97.47</v>
      </c>
      <c r="O1598" s="6">
        <v>97.49</v>
      </c>
      <c r="P1598" s="6">
        <v>97.54</v>
      </c>
      <c r="Q1598" s="6">
        <v>97.47</v>
      </c>
      <c r="R1598" s="6">
        <v>97.49</v>
      </c>
    </row>
    <row r="1599" spans="2:18">
      <c r="B1599" s="6">
        <v>32764</v>
      </c>
      <c r="C1599" s="6" t="s">
        <v>1091</v>
      </c>
      <c r="D1599" s="6">
        <v>85.56</v>
      </c>
      <c r="E1599" s="6">
        <v>85.56</v>
      </c>
      <c r="F1599" s="6">
        <v>85.56</v>
      </c>
      <c r="G1599" s="6">
        <v>90.86</v>
      </c>
      <c r="H1599" s="6">
        <v>90.86</v>
      </c>
      <c r="I1599" s="6">
        <v>90.86</v>
      </c>
      <c r="J1599" s="6">
        <v>90.86</v>
      </c>
      <c r="K1599" s="6">
        <v>96.97</v>
      </c>
      <c r="L1599" s="6">
        <v>96.91</v>
      </c>
      <c r="M1599" s="6">
        <v>98.71</v>
      </c>
      <c r="N1599" s="6">
        <v>98.7</v>
      </c>
      <c r="O1599" s="6">
        <v>98.68</v>
      </c>
      <c r="P1599" s="6">
        <v>98.71</v>
      </c>
      <c r="Q1599" s="6">
        <v>98.7</v>
      </c>
      <c r="R1599" s="6">
        <v>98.68</v>
      </c>
    </row>
    <row r="1600" spans="2:18">
      <c r="B1600" s="6">
        <v>32764</v>
      </c>
      <c r="C1600" s="6" t="s">
        <v>1091</v>
      </c>
      <c r="D1600" s="6">
        <v>94.81</v>
      </c>
      <c r="E1600" s="6">
        <v>94.81</v>
      </c>
      <c r="F1600" s="6">
        <v>94.81</v>
      </c>
      <c r="G1600" s="6">
        <v>94.97</v>
      </c>
      <c r="H1600" s="6">
        <v>94.97</v>
      </c>
      <c r="I1600" s="6">
        <v>94.97</v>
      </c>
      <c r="J1600" s="6">
        <v>94.97</v>
      </c>
      <c r="K1600" s="6">
        <v>94.84</v>
      </c>
      <c r="L1600" s="6">
        <v>91.34</v>
      </c>
      <c r="M1600" s="6">
        <v>98.29</v>
      </c>
      <c r="N1600" s="6">
        <v>97.91</v>
      </c>
      <c r="O1600" s="6">
        <v>97.88</v>
      </c>
      <c r="P1600" s="6">
        <v>98.29</v>
      </c>
      <c r="Q1600" s="6">
        <v>97.91</v>
      </c>
      <c r="R1600" s="6">
        <v>97.88</v>
      </c>
    </row>
    <row r="1601" spans="2:18">
      <c r="B1601" s="6">
        <v>32598</v>
      </c>
      <c r="C1601" s="6" t="s">
        <v>1107</v>
      </c>
      <c r="D1601" s="6" t="s">
        <v>1147</v>
      </c>
      <c r="E1601" s="6" t="s">
        <v>1147</v>
      </c>
      <c r="F1601" s="6" t="s">
        <v>1147</v>
      </c>
      <c r="G1601" s="6">
        <v>0</v>
      </c>
      <c r="H1601" s="6">
        <v>0</v>
      </c>
      <c r="I1601" s="6">
        <v>0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</row>
    <row r="1602" spans="2:18">
      <c r="B1602" s="6">
        <v>31691</v>
      </c>
      <c r="C1602" s="6" t="s">
        <v>1157</v>
      </c>
      <c r="D1602" s="6" t="s">
        <v>1147</v>
      </c>
      <c r="E1602" s="6" t="s">
        <v>1147</v>
      </c>
      <c r="F1602" s="6" t="s">
        <v>1147</v>
      </c>
      <c r="G1602" s="6">
        <v>0</v>
      </c>
      <c r="H1602" s="6">
        <v>0</v>
      </c>
      <c r="I1602" s="6">
        <v>0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</row>
    <row r="1603" spans="2:18">
      <c r="B1603" s="6">
        <v>31914</v>
      </c>
      <c r="C1603" s="6" t="s">
        <v>1135</v>
      </c>
      <c r="D1603" s="6" t="s">
        <v>1147</v>
      </c>
      <c r="E1603" s="6" t="s">
        <v>1147</v>
      </c>
      <c r="F1603" s="6" t="s">
        <v>1147</v>
      </c>
      <c r="G1603" s="6">
        <v>0</v>
      </c>
      <c r="H1603" s="6">
        <v>0</v>
      </c>
      <c r="I1603" s="6"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</row>
    <row r="1604" spans="2:18">
      <c r="B1604" s="6">
        <v>32600</v>
      </c>
      <c r="C1604" s="6" t="s">
        <v>1121</v>
      </c>
      <c r="D1604" s="6" t="s">
        <v>1147</v>
      </c>
      <c r="E1604" s="6" t="s">
        <v>1147</v>
      </c>
      <c r="F1604" s="6" t="s">
        <v>1147</v>
      </c>
      <c r="G1604" s="6">
        <v>0</v>
      </c>
      <c r="H1604" s="6">
        <v>0</v>
      </c>
      <c r="I1604" s="6">
        <v>0</v>
      </c>
      <c r="J1604" s="6">
        <v>0</v>
      </c>
      <c r="K1604" s="6">
        <v>0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</row>
    <row r="1605" spans="2:18">
      <c r="B1605" s="6">
        <v>32251</v>
      </c>
      <c r="C1605" s="6" t="s">
        <v>1015</v>
      </c>
      <c r="D1605" s="6" t="s">
        <v>1147</v>
      </c>
      <c r="E1605" s="6" t="s">
        <v>1147</v>
      </c>
      <c r="F1605" s="6" t="s">
        <v>1147</v>
      </c>
      <c r="G1605" s="6">
        <v>0</v>
      </c>
      <c r="H1605" s="6">
        <v>0</v>
      </c>
      <c r="I1605" s="6"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</row>
    <row r="1606" spans="2:18">
      <c r="B1606" s="6">
        <v>32597</v>
      </c>
      <c r="C1606" s="6" t="s">
        <v>1070</v>
      </c>
      <c r="D1606" s="6" t="s">
        <v>1147</v>
      </c>
      <c r="E1606" s="6" t="s">
        <v>1147</v>
      </c>
      <c r="F1606" s="6" t="s">
        <v>1147</v>
      </c>
      <c r="G1606" s="6">
        <v>0</v>
      </c>
      <c r="H1606" s="6">
        <v>0</v>
      </c>
      <c r="I1606" s="6"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</row>
    <row r="1607" spans="2:18">
      <c r="B1607" s="6">
        <v>32601</v>
      </c>
      <c r="C1607" s="6" t="s">
        <v>1108</v>
      </c>
      <c r="D1607" s="6" t="s">
        <v>1147</v>
      </c>
      <c r="E1607" s="6" t="s">
        <v>1147</v>
      </c>
      <c r="F1607" s="6" t="s">
        <v>1147</v>
      </c>
      <c r="G1607" s="6">
        <v>0</v>
      </c>
      <c r="H1607" s="6">
        <v>0</v>
      </c>
      <c r="I1607" s="6"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</row>
    <row r="1608" spans="2:18">
      <c r="B1608" s="6">
        <v>32595</v>
      </c>
      <c r="C1608" s="6" t="s">
        <v>1069</v>
      </c>
      <c r="D1608" s="6" t="s">
        <v>1147</v>
      </c>
      <c r="E1608" s="6" t="s">
        <v>1147</v>
      </c>
      <c r="F1608" s="6" t="s">
        <v>1147</v>
      </c>
      <c r="G1608" s="6">
        <v>0</v>
      </c>
      <c r="H1608" s="6">
        <v>0</v>
      </c>
      <c r="I1608" s="6"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</row>
    <row r="1609" spans="2:18">
      <c r="B1609" s="6">
        <v>32251</v>
      </c>
      <c r="C1609" s="6" t="s">
        <v>1015</v>
      </c>
      <c r="D1609" s="6" t="s">
        <v>1147</v>
      </c>
      <c r="E1609" s="6" t="s">
        <v>1147</v>
      </c>
      <c r="F1609" s="6" t="s">
        <v>1147</v>
      </c>
      <c r="G1609" s="6">
        <v>0</v>
      </c>
      <c r="H1609" s="6">
        <v>0</v>
      </c>
      <c r="I1609" s="6"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</row>
    <row r="1610" spans="2:18">
      <c r="B1610" s="6">
        <v>32601</v>
      </c>
      <c r="C1610" s="6" t="s">
        <v>1108</v>
      </c>
      <c r="D1610" s="6" t="s">
        <v>1147</v>
      </c>
      <c r="E1610" s="6" t="s">
        <v>1147</v>
      </c>
      <c r="F1610" s="6" t="s">
        <v>1147</v>
      </c>
      <c r="G1610" s="6">
        <v>0</v>
      </c>
      <c r="H1610" s="6">
        <v>0</v>
      </c>
      <c r="I1610" s="6">
        <v>0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</row>
    <row r="1611" spans="2:18">
      <c r="B1611" s="6">
        <v>31803</v>
      </c>
      <c r="C1611" s="6" t="s">
        <v>1101</v>
      </c>
      <c r="D1611" s="6" t="s">
        <v>1147</v>
      </c>
      <c r="E1611" s="6" t="s">
        <v>1147</v>
      </c>
      <c r="F1611" s="6" t="s">
        <v>1147</v>
      </c>
      <c r="G1611" s="6">
        <v>0</v>
      </c>
      <c r="H1611" s="6">
        <v>0</v>
      </c>
      <c r="I1611" s="6"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</row>
    <row r="1612" spans="2:18">
      <c r="B1612" s="6">
        <v>32577</v>
      </c>
      <c r="C1612" s="6" t="s">
        <v>1153</v>
      </c>
      <c r="D1612" s="6" t="s">
        <v>1147</v>
      </c>
      <c r="E1612" s="6" t="s">
        <v>1147</v>
      </c>
      <c r="F1612" s="6" t="s">
        <v>1147</v>
      </c>
      <c r="G1612" s="6">
        <v>0</v>
      </c>
      <c r="H1612" s="6">
        <v>0</v>
      </c>
      <c r="I1612" s="6">
        <v>0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</row>
    <row r="1613" spans="2:18">
      <c r="B1613" s="6">
        <v>32573</v>
      </c>
      <c r="C1613" s="6" t="s">
        <v>1191</v>
      </c>
      <c r="D1613" s="6" t="s">
        <v>1147</v>
      </c>
      <c r="E1613" s="6" t="s">
        <v>1147</v>
      </c>
      <c r="F1613" s="6" t="s">
        <v>1147</v>
      </c>
      <c r="G1613" s="6">
        <v>0</v>
      </c>
      <c r="H1613" s="6">
        <v>0</v>
      </c>
      <c r="I1613" s="6"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</row>
    <row r="1614" spans="2:18">
      <c r="B1614" s="6">
        <v>32573</v>
      </c>
      <c r="C1614" s="6" t="s">
        <v>1191</v>
      </c>
      <c r="D1614" s="6" t="s">
        <v>1147</v>
      </c>
      <c r="E1614" s="6" t="s">
        <v>1147</v>
      </c>
      <c r="F1614" s="6" t="s">
        <v>1147</v>
      </c>
      <c r="G1614" s="6">
        <v>0</v>
      </c>
      <c r="H1614" s="6">
        <v>0</v>
      </c>
      <c r="I1614" s="6">
        <v>0</v>
      </c>
      <c r="J1614" s="6">
        <v>0</v>
      </c>
      <c r="K1614" s="6">
        <v>0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0</v>
      </c>
      <c r="R1614" s="6">
        <v>0</v>
      </c>
    </row>
    <row r="1615" spans="2:18">
      <c r="B1615" s="6">
        <v>32573</v>
      </c>
      <c r="C1615" s="6" t="s">
        <v>1191</v>
      </c>
      <c r="D1615" s="6" t="s">
        <v>1147</v>
      </c>
      <c r="E1615" s="6" t="s">
        <v>1147</v>
      </c>
      <c r="F1615" s="6" t="s">
        <v>1147</v>
      </c>
      <c r="G1615" s="6">
        <v>0</v>
      </c>
      <c r="H1615" s="6">
        <v>0</v>
      </c>
      <c r="I1615" s="6">
        <v>0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</row>
    <row r="1616" spans="2:18">
      <c r="B1616" s="6">
        <v>32601</v>
      </c>
      <c r="C1616" s="6" t="s">
        <v>1108</v>
      </c>
      <c r="D1616" s="6" t="s">
        <v>1147</v>
      </c>
      <c r="E1616" s="6" t="s">
        <v>1147</v>
      </c>
      <c r="F1616" s="6" t="s">
        <v>1147</v>
      </c>
      <c r="G1616" s="6">
        <v>0</v>
      </c>
      <c r="H1616" s="6">
        <v>0</v>
      </c>
      <c r="I1616" s="6"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</row>
    <row r="1617" spans="2:18">
      <c r="B1617" s="6">
        <v>32601</v>
      </c>
      <c r="C1617" s="6" t="s">
        <v>1108</v>
      </c>
      <c r="D1617" s="6" t="s">
        <v>1147</v>
      </c>
      <c r="E1617" s="6" t="s">
        <v>1147</v>
      </c>
      <c r="F1617" s="6" t="s">
        <v>1147</v>
      </c>
      <c r="G1617" s="6">
        <v>0</v>
      </c>
      <c r="H1617" s="6">
        <v>0</v>
      </c>
      <c r="I1617" s="6">
        <v>0</v>
      </c>
      <c r="J1617" s="6">
        <v>0</v>
      </c>
      <c r="K1617" s="6">
        <v>0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</row>
    <row r="1618" spans="2:18">
      <c r="B1618" s="6">
        <v>32599</v>
      </c>
      <c r="C1618" s="6" t="s">
        <v>1053</v>
      </c>
      <c r="D1618" s="6" t="s">
        <v>1147</v>
      </c>
      <c r="E1618" s="6" t="s">
        <v>1147</v>
      </c>
      <c r="F1618" s="6" t="s">
        <v>1147</v>
      </c>
      <c r="G1618" s="6">
        <v>0</v>
      </c>
      <c r="H1618" s="6">
        <v>0</v>
      </c>
      <c r="I1618" s="6">
        <v>0</v>
      </c>
      <c r="J1618" s="6">
        <v>0</v>
      </c>
      <c r="K1618" s="6">
        <v>0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0</v>
      </c>
      <c r="R1618" s="6">
        <v>0</v>
      </c>
    </row>
    <row r="1619" spans="2:18">
      <c r="B1619" s="6">
        <v>32353</v>
      </c>
      <c r="C1619" s="6" t="s">
        <v>1156</v>
      </c>
      <c r="D1619" s="6" t="s">
        <v>1147</v>
      </c>
      <c r="E1619" s="6" t="s">
        <v>1147</v>
      </c>
      <c r="F1619" s="6" t="s">
        <v>1147</v>
      </c>
      <c r="G1619" s="6">
        <v>0</v>
      </c>
      <c r="H1619" s="6">
        <v>0</v>
      </c>
      <c r="I1619" s="6">
        <v>0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</row>
    <row r="1620" spans="2:18">
      <c r="B1620" s="6">
        <v>31691</v>
      </c>
      <c r="C1620" s="6" t="s">
        <v>1157</v>
      </c>
      <c r="D1620" s="6" t="s">
        <v>1147</v>
      </c>
      <c r="E1620" s="6" t="s">
        <v>1147</v>
      </c>
      <c r="F1620" s="6" t="s">
        <v>1147</v>
      </c>
      <c r="G1620" s="6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</row>
    <row r="1621" spans="2:18">
      <c r="B1621" s="6">
        <v>32499</v>
      </c>
      <c r="C1621" s="6" t="s">
        <v>1016</v>
      </c>
      <c r="D1621" s="6" t="s">
        <v>1147</v>
      </c>
      <c r="E1621" s="6" t="s">
        <v>1147</v>
      </c>
      <c r="F1621" s="6" t="s">
        <v>1147</v>
      </c>
      <c r="G1621" s="6">
        <v>0</v>
      </c>
      <c r="H1621" s="6">
        <v>0</v>
      </c>
      <c r="I1621" s="6">
        <v>0</v>
      </c>
      <c r="J1621" s="6">
        <v>0</v>
      </c>
      <c r="K1621" s="6">
        <v>0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0</v>
      </c>
      <c r="R1621" s="6">
        <v>0</v>
      </c>
    </row>
    <row r="1622" spans="2:18">
      <c r="B1622" s="6">
        <v>32595</v>
      </c>
      <c r="C1622" s="6" t="s">
        <v>1069</v>
      </c>
      <c r="D1622" s="6" t="s">
        <v>1147</v>
      </c>
      <c r="E1622" s="6" t="s">
        <v>1147</v>
      </c>
      <c r="F1622" s="6" t="s">
        <v>1147</v>
      </c>
      <c r="G1622" s="6">
        <v>0</v>
      </c>
      <c r="H1622" s="6">
        <v>0</v>
      </c>
      <c r="I1622" s="6"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</row>
    <row r="1623" spans="2:18">
      <c r="B1623" s="6">
        <v>32599</v>
      </c>
      <c r="C1623" s="6" t="s">
        <v>1053</v>
      </c>
      <c r="D1623" s="6" t="s">
        <v>1147</v>
      </c>
      <c r="E1623" s="6" t="s">
        <v>1147</v>
      </c>
      <c r="F1623" s="6" t="s">
        <v>1147</v>
      </c>
      <c r="G1623" s="6">
        <v>0</v>
      </c>
      <c r="H1623" s="6">
        <v>0</v>
      </c>
      <c r="I1623" s="6"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</row>
    <row r="1624" spans="2:18">
      <c r="B1624" s="6">
        <v>32599</v>
      </c>
      <c r="C1624" s="6" t="s">
        <v>1053</v>
      </c>
      <c r="D1624" s="6" t="s">
        <v>1147</v>
      </c>
      <c r="E1624" s="6" t="s">
        <v>1147</v>
      </c>
      <c r="F1624" s="6" t="s">
        <v>1147</v>
      </c>
      <c r="G1624" s="6">
        <v>0</v>
      </c>
      <c r="H1624" s="6">
        <v>0</v>
      </c>
      <c r="I1624" s="6">
        <v>0</v>
      </c>
      <c r="J1624" s="6">
        <v>0</v>
      </c>
      <c r="K1624" s="6">
        <v>0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</row>
    <row r="1625" spans="2:18">
      <c r="B1625" s="6">
        <v>32600</v>
      </c>
      <c r="C1625" s="6" t="s">
        <v>1121</v>
      </c>
      <c r="D1625" s="6" t="s">
        <v>1147</v>
      </c>
      <c r="E1625" s="6" t="s">
        <v>1147</v>
      </c>
      <c r="F1625" s="6" t="s">
        <v>1147</v>
      </c>
      <c r="G1625" s="6">
        <v>0</v>
      </c>
      <c r="H1625" s="6">
        <v>0</v>
      </c>
      <c r="I1625" s="6">
        <v>0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</row>
    <row r="1626" spans="2:18">
      <c r="B1626" s="6">
        <v>31803</v>
      </c>
      <c r="C1626" s="6" t="s">
        <v>1101</v>
      </c>
      <c r="D1626" s="6" t="s">
        <v>1147</v>
      </c>
      <c r="E1626" s="6" t="s">
        <v>1147</v>
      </c>
      <c r="F1626" s="6" t="s">
        <v>1147</v>
      </c>
      <c r="G1626" s="6">
        <v>0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</row>
    <row r="1627" spans="2:18">
      <c r="B1627" s="6">
        <v>32573</v>
      </c>
      <c r="C1627" s="6" t="s">
        <v>1191</v>
      </c>
      <c r="D1627" s="6" t="s">
        <v>1147</v>
      </c>
      <c r="E1627" s="6" t="s">
        <v>1147</v>
      </c>
      <c r="F1627" s="6" t="s">
        <v>1147</v>
      </c>
      <c r="G1627" s="6">
        <v>0</v>
      </c>
      <c r="H1627" s="6">
        <v>0</v>
      </c>
      <c r="I1627" s="6">
        <v>0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</row>
    <row r="1628" spans="2:18">
      <c r="B1628" s="6">
        <v>32599</v>
      </c>
      <c r="C1628" s="6" t="s">
        <v>1053</v>
      </c>
      <c r="D1628" s="6" t="s">
        <v>1147</v>
      </c>
      <c r="E1628" s="6" t="s">
        <v>1147</v>
      </c>
      <c r="F1628" s="6" t="s">
        <v>1147</v>
      </c>
      <c r="G1628" s="6">
        <v>0</v>
      </c>
      <c r="H1628" s="6">
        <v>0</v>
      </c>
      <c r="I1628" s="6">
        <v>0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</row>
    <row r="1629" spans="2:18">
      <c r="B1629" s="6">
        <v>31803</v>
      </c>
      <c r="C1629" s="6" t="s">
        <v>1101</v>
      </c>
      <c r="D1629" s="6" t="s">
        <v>1147</v>
      </c>
      <c r="E1629" s="6" t="s">
        <v>1147</v>
      </c>
      <c r="F1629" s="6" t="s">
        <v>1147</v>
      </c>
      <c r="G1629" s="6">
        <v>0</v>
      </c>
      <c r="H1629" s="6">
        <v>0</v>
      </c>
      <c r="I1629" s="6">
        <v>0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</row>
    <row r="1630" spans="2:18">
      <c r="B1630" s="6">
        <v>31803</v>
      </c>
      <c r="C1630" s="6" t="s">
        <v>1101</v>
      </c>
      <c r="D1630" s="6" t="s">
        <v>1147</v>
      </c>
      <c r="E1630" s="6" t="s">
        <v>1147</v>
      </c>
      <c r="F1630" s="6" t="s">
        <v>1147</v>
      </c>
      <c r="G1630" s="6">
        <v>0</v>
      </c>
      <c r="H1630" s="6">
        <v>0</v>
      </c>
      <c r="I1630" s="6">
        <v>0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</row>
    <row r="1631" spans="2:18">
      <c r="B1631" s="6">
        <v>32444</v>
      </c>
      <c r="C1631" s="6" t="s">
        <v>1168</v>
      </c>
      <c r="D1631" s="6" t="s">
        <v>1147</v>
      </c>
      <c r="E1631" s="6" t="s">
        <v>1147</v>
      </c>
      <c r="F1631" s="6" t="s">
        <v>1147</v>
      </c>
      <c r="G1631" s="6">
        <v>0</v>
      </c>
      <c r="H1631" s="6">
        <v>0</v>
      </c>
      <c r="I1631" s="6">
        <v>0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</row>
    <row r="1632" spans="2:18">
      <c r="B1632" s="6">
        <v>32600</v>
      </c>
      <c r="C1632" s="6" t="s">
        <v>1121</v>
      </c>
      <c r="D1632" s="6" t="s">
        <v>1147</v>
      </c>
      <c r="E1632" s="6" t="s">
        <v>1147</v>
      </c>
      <c r="F1632" s="6" t="s">
        <v>1147</v>
      </c>
      <c r="G1632" s="6">
        <v>0</v>
      </c>
      <c r="H1632" s="6">
        <v>0</v>
      </c>
      <c r="I1632" s="6">
        <v>0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</row>
    <row r="1633" spans="2:18">
      <c r="B1633" s="6">
        <v>32490</v>
      </c>
      <c r="C1633" s="6" t="s">
        <v>1176</v>
      </c>
      <c r="D1633" s="6" t="s">
        <v>1147</v>
      </c>
      <c r="E1633" s="6" t="s">
        <v>1147</v>
      </c>
      <c r="F1633" s="6" t="s">
        <v>1147</v>
      </c>
      <c r="G1633" s="6">
        <v>0</v>
      </c>
      <c r="H1633" s="6">
        <v>0</v>
      </c>
      <c r="I1633" s="6">
        <v>0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</row>
    <row r="1634" spans="2:18">
      <c r="B1634" s="6">
        <v>32490</v>
      </c>
      <c r="C1634" s="6" t="s">
        <v>1176</v>
      </c>
      <c r="D1634" s="6" t="s">
        <v>1147</v>
      </c>
      <c r="E1634" s="6" t="s">
        <v>1147</v>
      </c>
      <c r="F1634" s="6" t="s">
        <v>1147</v>
      </c>
      <c r="G1634" s="6">
        <v>0</v>
      </c>
      <c r="H1634" s="6">
        <v>0</v>
      </c>
      <c r="I1634" s="6">
        <v>0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</row>
    <row r="1635" spans="2:18">
      <c r="B1635" s="6">
        <v>32581</v>
      </c>
      <c r="C1635" s="6" t="s">
        <v>1210</v>
      </c>
      <c r="D1635" s="6" t="s">
        <v>1147</v>
      </c>
      <c r="E1635" s="6" t="s">
        <v>1147</v>
      </c>
      <c r="F1635" s="6" t="s">
        <v>1147</v>
      </c>
      <c r="G1635" s="6">
        <v>0</v>
      </c>
      <c r="H1635" s="6">
        <v>0</v>
      </c>
      <c r="I1635" s="6">
        <v>0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</row>
    <row r="1636" spans="2:18">
      <c r="B1636" s="6">
        <v>32597</v>
      </c>
      <c r="C1636" s="6" t="s">
        <v>1070</v>
      </c>
      <c r="D1636" s="6" t="s">
        <v>1147</v>
      </c>
      <c r="E1636" s="6" t="s">
        <v>1147</v>
      </c>
      <c r="F1636" s="6" t="s">
        <v>1147</v>
      </c>
      <c r="G1636" s="6">
        <v>0</v>
      </c>
      <c r="H1636" s="6">
        <v>0</v>
      </c>
      <c r="I1636" s="6">
        <v>0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</row>
    <row r="1637" spans="2:18">
      <c r="B1637" s="6">
        <v>32598</v>
      </c>
      <c r="C1637" s="6" t="s">
        <v>1107</v>
      </c>
      <c r="D1637" s="6" t="s">
        <v>1147</v>
      </c>
      <c r="E1637" s="6" t="s">
        <v>1147</v>
      </c>
      <c r="F1637" s="6" t="s">
        <v>1147</v>
      </c>
      <c r="G1637" s="6">
        <v>0</v>
      </c>
      <c r="H1637" s="6">
        <v>0</v>
      </c>
      <c r="I1637" s="6">
        <v>0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</row>
    <row r="1638" spans="2:18">
      <c r="B1638" s="6">
        <v>32598</v>
      </c>
      <c r="C1638" s="6" t="s">
        <v>1107</v>
      </c>
      <c r="D1638" s="6" t="s">
        <v>1147</v>
      </c>
      <c r="E1638" s="6" t="s">
        <v>1147</v>
      </c>
      <c r="F1638" s="6" t="s">
        <v>1147</v>
      </c>
      <c r="G1638" s="6">
        <v>0</v>
      </c>
      <c r="H1638" s="6">
        <v>0</v>
      </c>
      <c r="I1638" s="6"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</row>
    <row r="1639" spans="2:18">
      <c r="B1639" s="6">
        <v>32597</v>
      </c>
      <c r="C1639" s="6" t="s">
        <v>1070</v>
      </c>
      <c r="D1639" s="6" t="s">
        <v>1147</v>
      </c>
      <c r="E1639" s="6" t="s">
        <v>1147</v>
      </c>
      <c r="F1639" s="6" t="s">
        <v>1147</v>
      </c>
      <c r="G1639" s="6">
        <v>0</v>
      </c>
      <c r="H1639" s="6">
        <v>0</v>
      </c>
      <c r="I1639" s="6">
        <v>0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0</v>
      </c>
      <c r="R1639" s="6">
        <v>0</v>
      </c>
    </row>
    <row r="1640" spans="2:18">
      <c r="B1640" s="6">
        <v>32600</v>
      </c>
      <c r="C1640" s="6" t="s">
        <v>1121</v>
      </c>
      <c r="D1640" s="6" t="s">
        <v>1147</v>
      </c>
      <c r="E1640" s="6" t="s">
        <v>1147</v>
      </c>
      <c r="F1640" s="6" t="s">
        <v>1147</v>
      </c>
      <c r="G1640" s="6">
        <v>0</v>
      </c>
      <c r="H1640" s="6">
        <v>0</v>
      </c>
      <c r="I1640" s="6">
        <v>0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</row>
    <row r="1641" spans="2:18">
      <c r="B1641" s="6">
        <v>32251</v>
      </c>
      <c r="C1641" s="6" t="s">
        <v>1015</v>
      </c>
      <c r="D1641" s="6" t="s">
        <v>1147</v>
      </c>
      <c r="E1641" s="6" t="s">
        <v>1147</v>
      </c>
      <c r="F1641" s="6" t="s">
        <v>1147</v>
      </c>
      <c r="G1641" s="6">
        <v>0</v>
      </c>
      <c r="H1641" s="6">
        <v>0</v>
      </c>
      <c r="I1641" s="6">
        <v>0</v>
      </c>
      <c r="J1641" s="6">
        <v>0</v>
      </c>
      <c r="K1641" s="6">
        <v>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</row>
    <row r="1642" spans="2:18">
      <c r="B1642" s="6">
        <v>32597</v>
      </c>
      <c r="C1642" s="6" t="s">
        <v>1070</v>
      </c>
      <c r="D1642" s="6" t="s">
        <v>1147</v>
      </c>
      <c r="E1642" s="6" t="s">
        <v>1147</v>
      </c>
      <c r="F1642" s="6" t="s">
        <v>1147</v>
      </c>
      <c r="G1642" s="6">
        <v>0</v>
      </c>
      <c r="H1642" s="6">
        <v>0</v>
      </c>
      <c r="I1642" s="6">
        <v>0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</row>
    <row r="1643" spans="2:18">
      <c r="B1643" s="6">
        <v>32598</v>
      </c>
      <c r="C1643" s="6" t="s">
        <v>1107</v>
      </c>
      <c r="D1643" s="6" t="s">
        <v>1147</v>
      </c>
      <c r="E1643" s="6" t="s">
        <v>1147</v>
      </c>
      <c r="F1643" s="6" t="s">
        <v>1147</v>
      </c>
      <c r="G1643" s="6">
        <v>0</v>
      </c>
      <c r="H1643" s="6">
        <v>0</v>
      </c>
      <c r="I1643" s="6"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</row>
  </sheetData>
  <autoFilter ref="A1:R1643" xr:uid="{00000000-0001-0000-0500-000000000000}"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</autoFilter>
  <mergeCells count="6">
    <mergeCell ref="P2:R2"/>
    <mergeCell ref="D1:O1"/>
    <mergeCell ref="D2:F2"/>
    <mergeCell ref="G2:I2"/>
    <mergeCell ref="J2:L2"/>
    <mergeCell ref="M2:O2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A1:V1864"/>
  <sheetViews>
    <sheetView workbookViewId="0">
      <selection activeCell="C6" sqref="C6"/>
    </sheetView>
  </sheetViews>
  <sheetFormatPr defaultColWidth="6.375" defaultRowHeight="12"/>
  <cols>
    <col min="1" max="1" width="11" style="5" bestFit="1" customWidth="1"/>
    <col min="2" max="2" width="9.125" style="5" customWidth="1"/>
    <col min="3" max="3" width="11" style="5" bestFit="1" customWidth="1"/>
    <col min="4" max="4" width="10.75" style="5" customWidth="1"/>
    <col min="5" max="5" width="10.25" style="5" customWidth="1"/>
    <col min="6" max="6" width="11.375" style="5" customWidth="1"/>
    <col min="7" max="7" width="13" style="5" bestFit="1" customWidth="1"/>
    <col min="8" max="8" width="7.25" style="5" bestFit="1" customWidth="1"/>
    <col min="9" max="10" width="8" style="5" bestFit="1" customWidth="1"/>
    <col min="11" max="11" width="7.125" style="5" bestFit="1" customWidth="1"/>
    <col min="12" max="13" width="7.875" style="5" bestFit="1" customWidth="1"/>
    <col min="14" max="14" width="7.125" style="5" bestFit="1" customWidth="1"/>
    <col min="15" max="16" width="7.875" style="5" bestFit="1" customWidth="1"/>
    <col min="17" max="17" width="7.125" style="5" bestFit="1" customWidth="1"/>
    <col min="18" max="19" width="7.875" style="5" bestFit="1" customWidth="1"/>
    <col min="20" max="20" width="7" style="5" bestFit="1" customWidth="1"/>
    <col min="21" max="22" width="7.75" style="5" bestFit="1" customWidth="1"/>
    <col min="23" max="16384" width="6.375" style="5"/>
  </cols>
  <sheetData>
    <row r="1" spans="1:22">
      <c r="B1" s="6"/>
      <c r="C1" s="6"/>
      <c r="D1" s="6"/>
      <c r="E1" s="6"/>
      <c r="F1" s="6"/>
      <c r="G1" s="6"/>
      <c r="H1" s="48" t="s">
        <v>3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2">
      <c r="B2" s="6"/>
      <c r="C2" s="6"/>
      <c r="D2" s="6"/>
      <c r="E2" s="6"/>
      <c r="F2" s="6"/>
      <c r="G2" s="6"/>
      <c r="H2" s="48" t="s">
        <v>1254</v>
      </c>
      <c r="I2" s="48"/>
      <c r="J2" s="48"/>
      <c r="K2" s="48" t="s">
        <v>1255</v>
      </c>
      <c r="L2" s="48"/>
      <c r="M2" s="48"/>
      <c r="N2" s="48" t="s">
        <v>1256</v>
      </c>
      <c r="O2" s="48"/>
      <c r="P2" s="48"/>
      <c r="Q2" s="48" t="s">
        <v>1257</v>
      </c>
      <c r="R2" s="48"/>
      <c r="S2" s="48"/>
      <c r="T2" s="48" t="s">
        <v>1258</v>
      </c>
      <c r="U2" s="48"/>
      <c r="V2" s="48"/>
    </row>
    <row r="3" spans="1:22" ht="12" hidden="1" customHeight="1">
      <c r="B3" s="7"/>
      <c r="C3" s="7"/>
      <c r="D3" s="7"/>
      <c r="E3" s="7"/>
      <c r="F3" s="7"/>
      <c r="G3" s="7"/>
      <c r="H3" s="8" t="s">
        <v>289</v>
      </c>
      <c r="I3" s="8" t="s">
        <v>289</v>
      </c>
      <c r="J3" s="8" t="s">
        <v>289</v>
      </c>
      <c r="K3" s="8">
        <v>4</v>
      </c>
      <c r="L3" s="8">
        <v>4</v>
      </c>
      <c r="M3" s="8">
        <v>4</v>
      </c>
      <c r="N3" s="8">
        <v>3</v>
      </c>
      <c r="O3" s="8">
        <v>3</v>
      </c>
      <c r="P3" s="8">
        <v>3</v>
      </c>
      <c r="Q3" s="8">
        <v>2</v>
      </c>
      <c r="R3" s="8">
        <v>2</v>
      </c>
      <c r="S3" s="8">
        <v>2</v>
      </c>
      <c r="T3" s="8">
        <v>2</v>
      </c>
      <c r="U3" s="8">
        <v>2</v>
      </c>
      <c r="V3" s="8">
        <v>2</v>
      </c>
    </row>
    <row r="4" spans="1:22">
      <c r="A4" s="10" t="s">
        <v>291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2</v>
      </c>
      <c r="I4" s="3" t="s">
        <v>1</v>
      </c>
      <c r="J4" s="3" t="s">
        <v>1247</v>
      </c>
      <c r="K4" s="3" t="s">
        <v>2</v>
      </c>
      <c r="L4" s="3" t="s">
        <v>1</v>
      </c>
      <c r="M4" s="3" t="s">
        <v>1247</v>
      </c>
      <c r="N4" s="3" t="s">
        <v>2</v>
      </c>
      <c r="O4" s="3" t="s">
        <v>1</v>
      </c>
      <c r="P4" s="3" t="s">
        <v>1247</v>
      </c>
      <c r="Q4" s="3" t="s">
        <v>0</v>
      </c>
      <c r="R4" s="3" t="s">
        <v>1</v>
      </c>
      <c r="S4" s="3" t="s">
        <v>2</v>
      </c>
      <c r="T4" s="3" t="s">
        <v>0</v>
      </c>
      <c r="U4" s="3" t="s">
        <v>1</v>
      </c>
      <c r="V4" s="3" t="s">
        <v>2</v>
      </c>
    </row>
    <row r="5" spans="1:22" ht="12" hidden="1" customHeight="1">
      <c r="A5" s="10"/>
      <c r="B5" s="9"/>
      <c r="C5" s="9"/>
      <c r="D5" s="9"/>
      <c r="E5" s="9"/>
      <c r="F5" s="9"/>
      <c r="G5" s="9"/>
      <c r="H5" s="3" t="s">
        <v>286</v>
      </c>
      <c r="I5" s="3" t="s">
        <v>287</v>
      </c>
      <c r="J5" s="3" t="s">
        <v>288</v>
      </c>
      <c r="K5" s="3" t="s">
        <v>286</v>
      </c>
      <c r="L5" s="3" t="s">
        <v>287</v>
      </c>
      <c r="M5" s="3" t="s">
        <v>288</v>
      </c>
      <c r="N5" s="3" t="s">
        <v>286</v>
      </c>
      <c r="O5" s="3" t="s">
        <v>287</v>
      </c>
      <c r="P5" s="3" t="s">
        <v>288</v>
      </c>
      <c r="Q5" s="3" t="s">
        <v>286</v>
      </c>
      <c r="R5" s="3" t="s">
        <v>287</v>
      </c>
      <c r="S5" s="3" t="s">
        <v>288</v>
      </c>
      <c r="T5" s="3" t="s">
        <v>286</v>
      </c>
      <c r="U5" s="3" t="s">
        <v>287</v>
      </c>
      <c r="V5" s="3" t="s">
        <v>288</v>
      </c>
    </row>
    <row r="6" spans="1:22">
      <c r="A6" s="10" t="s">
        <v>290</v>
      </c>
      <c r="B6" s="34" t="s">
        <v>1245</v>
      </c>
      <c r="C6" s="34" t="s">
        <v>1672</v>
      </c>
      <c r="D6" s="34" t="s">
        <v>1215</v>
      </c>
      <c r="E6" s="34" t="s">
        <v>1216</v>
      </c>
      <c r="F6" s="34" t="s">
        <v>1290</v>
      </c>
      <c r="G6" s="34" t="s">
        <v>1291</v>
      </c>
      <c r="H6" s="34" t="s">
        <v>1275</v>
      </c>
      <c r="I6" s="34" t="s">
        <v>1276</v>
      </c>
      <c r="J6" s="34" t="s">
        <v>1277</v>
      </c>
      <c r="K6" s="34" t="s">
        <v>1278</v>
      </c>
      <c r="L6" s="34" t="s">
        <v>1279</v>
      </c>
      <c r="M6" s="34" t="s">
        <v>1280</v>
      </c>
      <c r="N6" s="34" t="s">
        <v>1281</v>
      </c>
      <c r="O6" s="34" t="s">
        <v>1282</v>
      </c>
      <c r="P6" s="34" t="s">
        <v>1283</v>
      </c>
      <c r="Q6" s="34" t="s">
        <v>1284</v>
      </c>
      <c r="R6" s="34" t="s">
        <v>1285</v>
      </c>
      <c r="S6" s="34" t="s">
        <v>1286</v>
      </c>
      <c r="T6" s="34" t="s">
        <v>1287</v>
      </c>
      <c r="U6" s="34" t="s">
        <v>1288</v>
      </c>
      <c r="V6" s="34" t="s">
        <v>1289</v>
      </c>
    </row>
    <row r="7" spans="1:22">
      <c r="A7" s="36" t="s">
        <v>292</v>
      </c>
      <c r="B7" s="6">
        <v>25003</v>
      </c>
      <c r="C7" s="6" t="s">
        <v>1030</v>
      </c>
      <c r="D7" s="6">
        <v>20300</v>
      </c>
      <c r="E7" s="6" t="s">
        <v>12</v>
      </c>
      <c r="F7" s="6" t="s">
        <v>13</v>
      </c>
      <c r="G7" s="6" t="s">
        <v>14</v>
      </c>
      <c r="H7" s="6">
        <v>30</v>
      </c>
      <c r="I7" s="6">
        <v>30</v>
      </c>
      <c r="J7" s="6">
        <v>30</v>
      </c>
      <c r="K7" s="6">
        <v>27.651897999999999</v>
      </c>
      <c r="L7" s="6">
        <v>28.025188</v>
      </c>
      <c r="M7" s="6">
        <v>28.089873000000001</v>
      </c>
      <c r="N7" s="6">
        <v>27.651897999999999</v>
      </c>
      <c r="O7" s="6">
        <v>28.025188</v>
      </c>
      <c r="P7" s="6">
        <v>28.089873000000001</v>
      </c>
      <c r="Q7" s="6">
        <v>27.651897999999999</v>
      </c>
      <c r="R7" s="6">
        <v>28.025188</v>
      </c>
      <c r="S7" s="6">
        <v>28.089873000000001</v>
      </c>
      <c r="T7" s="6">
        <v>27.651897999999999</v>
      </c>
      <c r="U7" s="6">
        <v>28.025188</v>
      </c>
      <c r="V7" s="6">
        <v>28.089873000000001</v>
      </c>
    </row>
    <row r="8" spans="1:22">
      <c r="B8" s="6">
        <v>25003</v>
      </c>
      <c r="C8" s="6" t="s">
        <v>1030</v>
      </c>
      <c r="D8" s="6">
        <v>20700</v>
      </c>
      <c r="E8" s="6" t="s">
        <v>15</v>
      </c>
      <c r="F8" s="6" t="s">
        <v>17</v>
      </c>
      <c r="G8" s="6" t="s">
        <v>1294</v>
      </c>
      <c r="H8" s="6">
        <v>40</v>
      </c>
      <c r="I8" s="6">
        <v>40</v>
      </c>
      <c r="J8" s="6">
        <v>40</v>
      </c>
      <c r="K8" s="6">
        <v>40</v>
      </c>
      <c r="L8" s="6">
        <v>40</v>
      </c>
      <c r="M8" s="6">
        <v>40</v>
      </c>
      <c r="N8" s="6">
        <v>40</v>
      </c>
      <c r="O8" s="6">
        <v>40</v>
      </c>
      <c r="P8" s="6">
        <v>40</v>
      </c>
      <c r="Q8" s="6">
        <v>39.560809999999996</v>
      </c>
      <c r="R8" s="6">
        <v>39.612546000000002</v>
      </c>
      <c r="S8" s="6">
        <v>39.702897999999998</v>
      </c>
      <c r="T8" s="6">
        <v>37.594695999999999</v>
      </c>
      <c r="U8" s="6">
        <v>37.122718999999996</v>
      </c>
      <c r="V8" s="6">
        <v>37.548872000000003</v>
      </c>
    </row>
    <row r="9" spans="1:22">
      <c r="B9" s="6">
        <v>25008</v>
      </c>
      <c r="C9" s="6" t="s">
        <v>1039</v>
      </c>
      <c r="D9" s="6">
        <v>20300</v>
      </c>
      <c r="E9" s="6" t="s">
        <v>12</v>
      </c>
      <c r="F9" s="6" t="s">
        <v>16</v>
      </c>
      <c r="G9" s="6" t="s">
        <v>1295</v>
      </c>
      <c r="H9" s="6">
        <v>30</v>
      </c>
      <c r="I9" s="6">
        <v>30</v>
      </c>
      <c r="J9" s="6">
        <v>30</v>
      </c>
      <c r="K9" s="6">
        <v>29.444444000000001</v>
      </c>
      <c r="L9" s="6">
        <v>26.333333</v>
      </c>
      <c r="M9" s="6">
        <v>27.477063999999999</v>
      </c>
      <c r="N9" s="6">
        <v>29.444444000000001</v>
      </c>
      <c r="O9" s="6">
        <v>26.333333</v>
      </c>
      <c r="P9" s="6">
        <v>27.477063999999999</v>
      </c>
      <c r="Q9" s="6">
        <v>29.444444000000001</v>
      </c>
      <c r="R9" s="6">
        <v>26.333333</v>
      </c>
      <c r="S9" s="6">
        <v>27.477063999999999</v>
      </c>
      <c r="T9" s="6">
        <v>29.444444000000001</v>
      </c>
      <c r="U9" s="6">
        <v>26.333333</v>
      </c>
      <c r="V9" s="6">
        <v>27.477063999999999</v>
      </c>
    </row>
    <row r="10" spans="1:22">
      <c r="B10" s="6">
        <v>25008</v>
      </c>
      <c r="C10" s="6" t="s">
        <v>1039</v>
      </c>
      <c r="D10" s="6">
        <v>20700</v>
      </c>
      <c r="E10" s="6" t="s">
        <v>15</v>
      </c>
      <c r="F10" s="6" t="s">
        <v>17</v>
      </c>
      <c r="G10" s="6" t="s">
        <v>1294</v>
      </c>
      <c r="H10" s="6">
        <v>40</v>
      </c>
      <c r="I10" s="6">
        <v>40</v>
      </c>
      <c r="J10" s="6">
        <v>40</v>
      </c>
      <c r="K10" s="6">
        <v>40</v>
      </c>
      <c r="L10" s="6">
        <v>40</v>
      </c>
      <c r="M10" s="6">
        <v>40</v>
      </c>
      <c r="N10" s="6">
        <v>40</v>
      </c>
      <c r="O10" s="6">
        <v>40</v>
      </c>
      <c r="P10" s="6">
        <v>40</v>
      </c>
      <c r="Q10" s="6">
        <v>39.560809999999996</v>
      </c>
      <c r="R10" s="6">
        <v>39.612546000000002</v>
      </c>
      <c r="S10" s="6">
        <v>39.702897999999998</v>
      </c>
      <c r="T10" s="6">
        <v>37.594695999999999</v>
      </c>
      <c r="U10" s="6">
        <v>37.122718999999996</v>
      </c>
      <c r="V10" s="6">
        <v>37.548872000000003</v>
      </c>
    </row>
    <row r="11" spans="1:22">
      <c r="B11" s="6">
        <v>25026</v>
      </c>
      <c r="C11" s="6" t="s">
        <v>11</v>
      </c>
      <c r="D11" s="6">
        <v>20300</v>
      </c>
      <c r="E11" s="6" t="s">
        <v>12</v>
      </c>
      <c r="F11" s="6" t="s">
        <v>16</v>
      </c>
      <c r="G11" s="6" t="s">
        <v>1295</v>
      </c>
      <c r="H11" s="6">
        <v>0</v>
      </c>
      <c r="I11" s="6">
        <v>30</v>
      </c>
      <c r="J11" s="6">
        <v>30</v>
      </c>
      <c r="K11" s="6">
        <v>29.444444000000001</v>
      </c>
      <c r="L11" s="6">
        <v>26.333333</v>
      </c>
      <c r="M11" s="6">
        <v>27.477063999999999</v>
      </c>
      <c r="N11" s="6">
        <v>29.444444000000001</v>
      </c>
      <c r="O11" s="6">
        <v>26.333333</v>
      </c>
      <c r="P11" s="6">
        <v>27.477063999999999</v>
      </c>
      <c r="Q11" s="6">
        <v>29.444444000000001</v>
      </c>
      <c r="R11" s="6">
        <v>26.333333</v>
      </c>
      <c r="S11" s="6">
        <v>27.477063999999999</v>
      </c>
      <c r="T11" s="6">
        <v>29.444444000000001</v>
      </c>
      <c r="U11" s="6">
        <v>26.333333</v>
      </c>
      <c r="V11" s="6">
        <v>27.477063999999999</v>
      </c>
    </row>
    <row r="12" spans="1:22">
      <c r="B12" s="6">
        <v>25026</v>
      </c>
      <c r="C12" s="6" t="s">
        <v>11</v>
      </c>
      <c r="D12" s="6">
        <v>20300</v>
      </c>
      <c r="E12" s="6" t="s">
        <v>12</v>
      </c>
      <c r="F12" s="6" t="s">
        <v>13</v>
      </c>
      <c r="G12" s="6" t="s">
        <v>14</v>
      </c>
      <c r="H12" s="6">
        <v>25.604165999999999</v>
      </c>
      <c r="I12" s="6">
        <v>25.428571000000002</v>
      </c>
      <c r="J12" s="6">
        <v>27.288</v>
      </c>
      <c r="K12" s="6">
        <v>27.651897999999999</v>
      </c>
      <c r="L12" s="6">
        <v>28.025188</v>
      </c>
      <c r="M12" s="6">
        <v>28.089873000000001</v>
      </c>
      <c r="N12" s="6">
        <v>27.651897999999999</v>
      </c>
      <c r="O12" s="6">
        <v>28.025188</v>
      </c>
      <c r="P12" s="6">
        <v>28.089873000000001</v>
      </c>
      <c r="Q12" s="6">
        <v>27.651897999999999</v>
      </c>
      <c r="R12" s="6">
        <v>28.025188</v>
      </c>
      <c r="S12" s="6">
        <v>28.089873000000001</v>
      </c>
      <c r="T12" s="6">
        <v>27.651897999999999</v>
      </c>
      <c r="U12" s="6">
        <v>28.025188</v>
      </c>
      <c r="V12" s="6">
        <v>28.089873000000001</v>
      </c>
    </row>
    <row r="13" spans="1:22">
      <c r="B13" s="6">
        <v>25026</v>
      </c>
      <c r="C13" s="6" t="s">
        <v>11</v>
      </c>
      <c r="D13" s="6">
        <v>20700</v>
      </c>
      <c r="E13" s="6" t="s">
        <v>15</v>
      </c>
      <c r="F13" s="6" t="s">
        <v>16</v>
      </c>
      <c r="G13" s="6" t="s">
        <v>1295</v>
      </c>
      <c r="H13" s="6">
        <v>55</v>
      </c>
      <c r="I13" s="6">
        <v>53.392856999999999</v>
      </c>
      <c r="J13" s="6">
        <v>53.392856999999999</v>
      </c>
      <c r="K13" s="6">
        <v>52.542372</v>
      </c>
      <c r="L13" s="6">
        <v>53.574218000000002</v>
      </c>
      <c r="M13" s="6">
        <v>53.574218000000002</v>
      </c>
      <c r="N13" s="6">
        <v>52.542372</v>
      </c>
      <c r="O13" s="6">
        <v>53.574218000000002</v>
      </c>
      <c r="P13" s="6">
        <v>53.574218000000002</v>
      </c>
      <c r="Q13" s="6">
        <v>51.973683999999999</v>
      </c>
      <c r="R13" s="6">
        <v>53.351647999999997</v>
      </c>
      <c r="S13" s="6">
        <v>53.158844000000002</v>
      </c>
      <c r="T13" s="6">
        <v>51.973683999999999</v>
      </c>
      <c r="U13" s="6">
        <v>53.303249000000001</v>
      </c>
      <c r="V13" s="6">
        <v>52.798012999999997</v>
      </c>
    </row>
    <row r="14" spans="1:22">
      <c r="B14" s="6">
        <v>25026</v>
      </c>
      <c r="C14" s="6" t="s">
        <v>11</v>
      </c>
      <c r="D14" s="6">
        <v>20700</v>
      </c>
      <c r="E14" s="6" t="s">
        <v>15</v>
      </c>
      <c r="F14" s="6" t="s">
        <v>17</v>
      </c>
      <c r="G14" s="6" t="s">
        <v>1294</v>
      </c>
      <c r="H14" s="6">
        <v>40</v>
      </c>
      <c r="I14" s="6">
        <v>40</v>
      </c>
      <c r="J14" s="6">
        <v>40</v>
      </c>
      <c r="K14" s="6">
        <v>40</v>
      </c>
      <c r="L14" s="6">
        <v>40</v>
      </c>
      <c r="M14" s="6">
        <v>40</v>
      </c>
      <c r="N14" s="6">
        <v>40</v>
      </c>
      <c r="O14" s="6">
        <v>40</v>
      </c>
      <c r="P14" s="6">
        <v>40</v>
      </c>
      <c r="Q14" s="6">
        <v>39.560809999999996</v>
      </c>
      <c r="R14" s="6">
        <v>39.612546000000002</v>
      </c>
      <c r="S14" s="6">
        <v>39.702897999999998</v>
      </c>
      <c r="T14" s="6">
        <v>37.594695999999999</v>
      </c>
      <c r="U14" s="6">
        <v>37.122718999999996</v>
      </c>
      <c r="V14" s="6">
        <v>37.548872000000003</v>
      </c>
    </row>
    <row r="15" spans="1:22">
      <c r="B15" s="6">
        <v>25029</v>
      </c>
      <c r="C15" s="6" t="s">
        <v>18</v>
      </c>
      <c r="D15" s="6">
        <v>20300</v>
      </c>
      <c r="E15" s="6" t="s">
        <v>12</v>
      </c>
      <c r="F15" s="6" t="s">
        <v>16</v>
      </c>
      <c r="G15" s="6" t="s">
        <v>1295</v>
      </c>
      <c r="H15" s="6">
        <v>30</v>
      </c>
      <c r="I15" s="6">
        <v>30</v>
      </c>
      <c r="J15" s="6">
        <v>30</v>
      </c>
      <c r="K15" s="6">
        <v>29.444444000000001</v>
      </c>
      <c r="L15" s="6">
        <v>26.333333</v>
      </c>
      <c r="M15" s="6">
        <v>27.477063999999999</v>
      </c>
      <c r="N15" s="6">
        <v>29.444444000000001</v>
      </c>
      <c r="O15" s="6">
        <v>26.333333</v>
      </c>
      <c r="P15" s="6">
        <v>27.477063999999999</v>
      </c>
      <c r="Q15" s="6">
        <v>29.444444000000001</v>
      </c>
      <c r="R15" s="6">
        <v>26.333333</v>
      </c>
      <c r="S15" s="6">
        <v>27.477063999999999</v>
      </c>
      <c r="T15" s="6">
        <v>29.444444000000001</v>
      </c>
      <c r="U15" s="6">
        <v>26.333333</v>
      </c>
      <c r="V15" s="6">
        <v>27.477063999999999</v>
      </c>
    </row>
    <row r="16" spans="1:22">
      <c r="B16" s="6">
        <v>25029</v>
      </c>
      <c r="C16" s="6" t="s">
        <v>18</v>
      </c>
      <c r="D16" s="6">
        <v>20300</v>
      </c>
      <c r="E16" s="6" t="s">
        <v>12</v>
      </c>
      <c r="F16" s="6" t="s">
        <v>13</v>
      </c>
      <c r="G16" s="6" t="s">
        <v>14</v>
      </c>
      <c r="H16" s="6">
        <v>30</v>
      </c>
      <c r="I16" s="6">
        <v>30</v>
      </c>
      <c r="J16" s="6">
        <v>29.762844999999999</v>
      </c>
      <c r="K16" s="6">
        <v>27.651897999999999</v>
      </c>
      <c r="L16" s="6">
        <v>28.025188</v>
      </c>
      <c r="M16" s="6">
        <v>28.089873000000001</v>
      </c>
      <c r="N16" s="6">
        <v>27.651897999999999</v>
      </c>
      <c r="O16" s="6">
        <v>28.025188</v>
      </c>
      <c r="P16" s="6">
        <v>28.089873000000001</v>
      </c>
      <c r="Q16" s="6">
        <v>27.651897999999999</v>
      </c>
      <c r="R16" s="6">
        <v>28.025188</v>
      </c>
      <c r="S16" s="6">
        <v>28.089873000000001</v>
      </c>
      <c r="T16" s="6">
        <v>27.651897999999999</v>
      </c>
      <c r="U16" s="6">
        <v>28.025188</v>
      </c>
      <c r="V16" s="6">
        <v>28.089873000000001</v>
      </c>
    </row>
    <row r="17" spans="2:22">
      <c r="B17" s="6">
        <v>25029</v>
      </c>
      <c r="C17" s="6" t="s">
        <v>18</v>
      </c>
      <c r="D17" s="6">
        <v>20700</v>
      </c>
      <c r="E17" s="6" t="s">
        <v>15</v>
      </c>
      <c r="F17" s="6" t="s">
        <v>16</v>
      </c>
      <c r="G17" s="6" t="s">
        <v>1295</v>
      </c>
      <c r="H17" s="6">
        <v>55</v>
      </c>
      <c r="I17" s="6">
        <v>54.180326999999998</v>
      </c>
      <c r="J17" s="6">
        <v>54.180326999999998</v>
      </c>
      <c r="K17" s="6">
        <v>52.542372</v>
      </c>
      <c r="L17" s="6">
        <v>53.574218000000002</v>
      </c>
      <c r="M17" s="6">
        <v>53.574218000000002</v>
      </c>
      <c r="N17" s="6">
        <v>52.542372</v>
      </c>
      <c r="O17" s="6">
        <v>53.574218000000002</v>
      </c>
      <c r="P17" s="6">
        <v>53.574218000000002</v>
      </c>
      <c r="Q17" s="6">
        <v>51.973683999999999</v>
      </c>
      <c r="R17" s="6">
        <v>53.351647999999997</v>
      </c>
      <c r="S17" s="6">
        <v>53.158844000000002</v>
      </c>
      <c r="T17" s="6">
        <v>51.973683999999999</v>
      </c>
      <c r="U17" s="6">
        <v>53.303249000000001</v>
      </c>
      <c r="V17" s="6">
        <v>52.798012999999997</v>
      </c>
    </row>
    <row r="18" spans="2:22">
      <c r="B18" s="6">
        <v>25029</v>
      </c>
      <c r="C18" s="6" t="s">
        <v>18</v>
      </c>
      <c r="D18" s="6">
        <v>20700</v>
      </c>
      <c r="E18" s="6" t="s">
        <v>15</v>
      </c>
      <c r="F18" s="6" t="s">
        <v>17</v>
      </c>
      <c r="G18" s="6" t="s">
        <v>1294</v>
      </c>
      <c r="H18" s="6">
        <v>40</v>
      </c>
      <c r="I18" s="6">
        <v>40</v>
      </c>
      <c r="J18" s="6">
        <v>40</v>
      </c>
      <c r="K18" s="6">
        <v>40</v>
      </c>
      <c r="L18" s="6">
        <v>40</v>
      </c>
      <c r="M18" s="6">
        <v>40</v>
      </c>
      <c r="N18" s="6">
        <v>40</v>
      </c>
      <c r="O18" s="6">
        <v>40</v>
      </c>
      <c r="P18" s="6">
        <v>40</v>
      </c>
      <c r="Q18" s="6">
        <v>39.560809999999996</v>
      </c>
      <c r="R18" s="6">
        <v>39.612546000000002</v>
      </c>
      <c r="S18" s="6">
        <v>39.702897999999998</v>
      </c>
      <c r="T18" s="6">
        <v>37.594695999999999</v>
      </c>
      <c r="U18" s="6">
        <v>37.122718999999996</v>
      </c>
      <c r="V18" s="6">
        <v>37.548872000000003</v>
      </c>
    </row>
    <row r="19" spans="2:22">
      <c r="B19" s="6">
        <v>25030</v>
      </c>
      <c r="C19" s="6" t="s">
        <v>19</v>
      </c>
      <c r="D19" s="6">
        <v>20300</v>
      </c>
      <c r="E19" s="6" t="s">
        <v>12</v>
      </c>
      <c r="F19" s="6" t="s">
        <v>16</v>
      </c>
      <c r="G19" s="6" t="s">
        <v>1295</v>
      </c>
      <c r="H19" s="6">
        <v>30</v>
      </c>
      <c r="I19" s="6">
        <v>30</v>
      </c>
      <c r="J19" s="6">
        <v>30</v>
      </c>
      <c r="K19" s="6">
        <v>29.444444000000001</v>
      </c>
      <c r="L19" s="6">
        <v>26.333333</v>
      </c>
      <c r="M19" s="6">
        <v>27.477063999999999</v>
      </c>
      <c r="N19" s="6">
        <v>29.444444000000001</v>
      </c>
      <c r="O19" s="6">
        <v>26.333333</v>
      </c>
      <c r="P19" s="6">
        <v>27.477063999999999</v>
      </c>
      <c r="Q19" s="6">
        <v>29.444444000000001</v>
      </c>
      <c r="R19" s="6">
        <v>26.333333</v>
      </c>
      <c r="S19" s="6">
        <v>27.477063999999999</v>
      </c>
      <c r="T19" s="6">
        <v>29.444444000000001</v>
      </c>
      <c r="U19" s="6">
        <v>26.333333</v>
      </c>
      <c r="V19" s="6">
        <v>27.477063999999999</v>
      </c>
    </row>
    <row r="20" spans="2:22">
      <c r="B20" s="6">
        <v>25030</v>
      </c>
      <c r="C20" s="6" t="s">
        <v>19</v>
      </c>
      <c r="D20" s="6">
        <v>20300</v>
      </c>
      <c r="E20" s="6" t="s">
        <v>12</v>
      </c>
      <c r="F20" s="6" t="s">
        <v>13</v>
      </c>
      <c r="G20" s="6" t="s">
        <v>14</v>
      </c>
      <c r="H20" s="6">
        <v>30</v>
      </c>
      <c r="I20" s="6">
        <v>30</v>
      </c>
      <c r="J20" s="6">
        <v>29.642856999999999</v>
      </c>
      <c r="K20" s="6">
        <v>27.651897999999999</v>
      </c>
      <c r="L20" s="6">
        <v>28.025188</v>
      </c>
      <c r="M20" s="6">
        <v>28.089873000000001</v>
      </c>
      <c r="N20" s="6">
        <v>27.651897999999999</v>
      </c>
      <c r="O20" s="6">
        <v>28.025188</v>
      </c>
      <c r="P20" s="6">
        <v>28.089873000000001</v>
      </c>
      <c r="Q20" s="6">
        <v>27.651897999999999</v>
      </c>
      <c r="R20" s="6">
        <v>28.025188</v>
      </c>
      <c r="S20" s="6">
        <v>28.089873000000001</v>
      </c>
      <c r="T20" s="6">
        <v>27.651897999999999</v>
      </c>
      <c r="U20" s="6">
        <v>28.025188</v>
      </c>
      <c r="V20" s="6">
        <v>28.089873000000001</v>
      </c>
    </row>
    <row r="21" spans="2:22">
      <c r="B21" s="6">
        <v>25030</v>
      </c>
      <c r="C21" s="6" t="s">
        <v>19</v>
      </c>
      <c r="D21" s="6">
        <v>20700</v>
      </c>
      <c r="E21" s="6" t="s">
        <v>15</v>
      </c>
      <c r="F21" s="6" t="s">
        <v>16</v>
      </c>
      <c r="G21" s="6" t="s">
        <v>1295</v>
      </c>
      <c r="H21" s="6">
        <v>0</v>
      </c>
      <c r="I21" s="6">
        <v>54.659089999999999</v>
      </c>
      <c r="J21" s="6">
        <v>54.659089999999999</v>
      </c>
      <c r="K21" s="6">
        <v>52.542372</v>
      </c>
      <c r="L21" s="6">
        <v>53.574218000000002</v>
      </c>
      <c r="M21" s="6">
        <v>53.574218000000002</v>
      </c>
      <c r="N21" s="6">
        <v>52.542372</v>
      </c>
      <c r="O21" s="6">
        <v>53.574218000000002</v>
      </c>
      <c r="P21" s="6">
        <v>53.574218000000002</v>
      </c>
      <c r="Q21" s="6">
        <v>51.973683999999999</v>
      </c>
      <c r="R21" s="6">
        <v>53.351647999999997</v>
      </c>
      <c r="S21" s="6">
        <v>53.158844000000002</v>
      </c>
      <c r="T21" s="6">
        <v>51.973683999999999</v>
      </c>
      <c r="U21" s="6">
        <v>53.303249000000001</v>
      </c>
      <c r="V21" s="6">
        <v>52.798012999999997</v>
      </c>
    </row>
    <row r="22" spans="2:22">
      <c r="B22" s="6">
        <v>25030</v>
      </c>
      <c r="C22" s="6" t="s">
        <v>19</v>
      </c>
      <c r="D22" s="6">
        <v>20700</v>
      </c>
      <c r="E22" s="6" t="s">
        <v>15</v>
      </c>
      <c r="F22" s="6" t="s">
        <v>17</v>
      </c>
      <c r="G22" s="6" t="s">
        <v>1294</v>
      </c>
      <c r="H22" s="6">
        <v>40</v>
      </c>
      <c r="I22" s="6">
        <v>40</v>
      </c>
      <c r="J22" s="6">
        <v>40</v>
      </c>
      <c r="K22" s="6">
        <v>40</v>
      </c>
      <c r="L22" s="6">
        <v>40</v>
      </c>
      <c r="M22" s="6">
        <v>40</v>
      </c>
      <c r="N22" s="6">
        <v>40</v>
      </c>
      <c r="O22" s="6">
        <v>40</v>
      </c>
      <c r="P22" s="6">
        <v>40</v>
      </c>
      <c r="Q22" s="6">
        <v>39.560809999999996</v>
      </c>
      <c r="R22" s="6">
        <v>39.612546000000002</v>
      </c>
      <c r="S22" s="6">
        <v>39.702897999999998</v>
      </c>
      <c r="T22" s="6">
        <v>37.594695999999999</v>
      </c>
      <c r="U22" s="6">
        <v>37.122718999999996</v>
      </c>
      <c r="V22" s="6">
        <v>37.548872000000003</v>
      </c>
    </row>
    <row r="23" spans="2:22">
      <c r="B23" s="6">
        <v>25032</v>
      </c>
      <c r="C23" s="6" t="s">
        <v>20</v>
      </c>
      <c r="D23" s="6">
        <v>20300</v>
      </c>
      <c r="E23" s="6" t="s">
        <v>12</v>
      </c>
      <c r="F23" s="6" t="s">
        <v>13</v>
      </c>
      <c r="G23" s="6" t="s">
        <v>14</v>
      </c>
      <c r="H23" s="6">
        <v>30</v>
      </c>
      <c r="I23" s="6">
        <v>30</v>
      </c>
      <c r="J23" s="6">
        <v>26.578946999999999</v>
      </c>
      <c r="K23" s="6">
        <v>27.651897999999999</v>
      </c>
      <c r="L23" s="6">
        <v>28.025188</v>
      </c>
      <c r="M23" s="6">
        <v>28.089873000000001</v>
      </c>
      <c r="N23" s="6">
        <v>27.651897999999999</v>
      </c>
      <c r="O23" s="6">
        <v>28.025188</v>
      </c>
      <c r="P23" s="6">
        <v>28.089873000000001</v>
      </c>
      <c r="Q23" s="6">
        <v>27.651897999999999</v>
      </c>
      <c r="R23" s="6">
        <v>28.025188</v>
      </c>
      <c r="S23" s="6">
        <v>28.089873000000001</v>
      </c>
      <c r="T23" s="6">
        <v>27.651897999999999</v>
      </c>
      <c r="U23" s="6">
        <v>28.025188</v>
      </c>
      <c r="V23" s="6">
        <v>28.089873000000001</v>
      </c>
    </row>
    <row r="24" spans="2:22">
      <c r="B24" s="6">
        <v>25032</v>
      </c>
      <c r="C24" s="6" t="s">
        <v>20</v>
      </c>
      <c r="D24" s="6">
        <v>20700</v>
      </c>
      <c r="E24" s="6" t="s">
        <v>15</v>
      </c>
      <c r="F24" s="6" t="s">
        <v>17</v>
      </c>
      <c r="G24" s="6" t="s">
        <v>1294</v>
      </c>
      <c r="H24" s="6">
        <v>40</v>
      </c>
      <c r="I24" s="6">
        <v>40</v>
      </c>
      <c r="J24" s="6">
        <v>40</v>
      </c>
      <c r="K24" s="6">
        <v>40</v>
      </c>
      <c r="L24" s="6">
        <v>40</v>
      </c>
      <c r="M24" s="6">
        <v>40</v>
      </c>
      <c r="N24" s="6">
        <v>40</v>
      </c>
      <c r="O24" s="6">
        <v>40</v>
      </c>
      <c r="P24" s="6">
        <v>40</v>
      </c>
      <c r="Q24" s="6">
        <v>39.560809999999996</v>
      </c>
      <c r="R24" s="6">
        <v>39.612546000000002</v>
      </c>
      <c r="S24" s="6">
        <v>39.702897999999998</v>
      </c>
      <c r="T24" s="6">
        <v>37.594695999999999</v>
      </c>
      <c r="U24" s="6">
        <v>37.122718999999996</v>
      </c>
      <c r="V24" s="6">
        <v>37.548872000000003</v>
      </c>
    </row>
    <row r="25" spans="2:22">
      <c r="B25" s="6">
        <v>25033</v>
      </c>
      <c r="C25" s="6" t="s">
        <v>21</v>
      </c>
      <c r="D25" s="6">
        <v>20300</v>
      </c>
      <c r="E25" s="6" t="s">
        <v>12</v>
      </c>
      <c r="F25" s="6" t="s">
        <v>16</v>
      </c>
      <c r="G25" s="6" t="s">
        <v>1295</v>
      </c>
      <c r="H25" s="6">
        <v>30</v>
      </c>
      <c r="I25" s="6">
        <v>24.375</v>
      </c>
      <c r="J25" s="6">
        <v>24.375</v>
      </c>
      <c r="K25" s="6">
        <v>29.444444000000001</v>
      </c>
      <c r="L25" s="6">
        <v>26.333333</v>
      </c>
      <c r="M25" s="6">
        <v>27.477063999999999</v>
      </c>
      <c r="N25" s="6">
        <v>29.444444000000001</v>
      </c>
      <c r="O25" s="6">
        <v>26.333333</v>
      </c>
      <c r="P25" s="6">
        <v>27.477063999999999</v>
      </c>
      <c r="Q25" s="6">
        <v>29.444444000000001</v>
      </c>
      <c r="R25" s="6">
        <v>26.333333</v>
      </c>
      <c r="S25" s="6">
        <v>27.477063999999999</v>
      </c>
      <c r="T25" s="6">
        <v>29.444444000000001</v>
      </c>
      <c r="U25" s="6">
        <v>26.333333</v>
      </c>
      <c r="V25" s="6">
        <v>27.477063999999999</v>
      </c>
    </row>
    <row r="26" spans="2:22">
      <c r="B26" s="6">
        <v>25033</v>
      </c>
      <c r="C26" s="6" t="s">
        <v>21</v>
      </c>
      <c r="D26" s="6">
        <v>20300</v>
      </c>
      <c r="E26" s="6" t="s">
        <v>12</v>
      </c>
      <c r="F26" s="6" t="s">
        <v>13</v>
      </c>
      <c r="G26" s="6" t="s">
        <v>14</v>
      </c>
      <c r="H26" s="6">
        <v>23.5</v>
      </c>
      <c r="I26" s="6">
        <v>23.5</v>
      </c>
      <c r="J26" s="6">
        <v>23.75</v>
      </c>
      <c r="K26" s="6">
        <v>27.651897999999999</v>
      </c>
      <c r="L26" s="6">
        <v>28.025188</v>
      </c>
      <c r="M26" s="6">
        <v>28.089873000000001</v>
      </c>
      <c r="N26" s="6">
        <v>27.651897999999999</v>
      </c>
      <c r="O26" s="6">
        <v>28.025188</v>
      </c>
      <c r="P26" s="6">
        <v>28.089873000000001</v>
      </c>
      <c r="Q26" s="6">
        <v>27.651897999999999</v>
      </c>
      <c r="R26" s="6">
        <v>28.025188</v>
      </c>
      <c r="S26" s="6">
        <v>28.089873000000001</v>
      </c>
      <c r="T26" s="6">
        <v>27.651897999999999</v>
      </c>
      <c r="U26" s="6">
        <v>28.025188</v>
      </c>
      <c r="V26" s="6">
        <v>28.089873000000001</v>
      </c>
    </row>
    <row r="27" spans="2:22">
      <c r="B27" s="6">
        <v>25033</v>
      </c>
      <c r="C27" s="6" t="s">
        <v>21</v>
      </c>
      <c r="D27" s="6">
        <v>20700</v>
      </c>
      <c r="E27" s="6" t="s">
        <v>15</v>
      </c>
      <c r="F27" s="6" t="s">
        <v>16</v>
      </c>
      <c r="G27" s="6" t="s">
        <v>1295</v>
      </c>
      <c r="H27" s="6">
        <v>55</v>
      </c>
      <c r="I27" s="6">
        <v>51.25</v>
      </c>
      <c r="J27" s="6">
        <v>51.25</v>
      </c>
      <c r="K27" s="6">
        <v>52.542372</v>
      </c>
      <c r="L27" s="6">
        <v>53.574218000000002</v>
      </c>
      <c r="M27" s="6">
        <v>53.574218000000002</v>
      </c>
      <c r="N27" s="6">
        <v>52.542372</v>
      </c>
      <c r="O27" s="6">
        <v>53.574218000000002</v>
      </c>
      <c r="P27" s="6">
        <v>53.574218000000002</v>
      </c>
      <c r="Q27" s="6">
        <v>51.973683999999999</v>
      </c>
      <c r="R27" s="6">
        <v>53.351647999999997</v>
      </c>
      <c r="S27" s="6">
        <v>53.158844000000002</v>
      </c>
      <c r="T27" s="6">
        <v>51.973683999999999</v>
      </c>
      <c r="U27" s="6">
        <v>53.303249000000001</v>
      </c>
      <c r="V27" s="6">
        <v>52.798012999999997</v>
      </c>
    </row>
    <row r="28" spans="2:22">
      <c r="B28" s="6">
        <v>25033</v>
      </c>
      <c r="C28" s="6" t="s">
        <v>21</v>
      </c>
      <c r="D28" s="6">
        <v>20700</v>
      </c>
      <c r="E28" s="6" t="s">
        <v>15</v>
      </c>
      <c r="F28" s="6" t="s">
        <v>17</v>
      </c>
      <c r="G28" s="6" t="s">
        <v>1294</v>
      </c>
      <c r="H28" s="6">
        <v>40</v>
      </c>
      <c r="I28" s="6">
        <v>40</v>
      </c>
      <c r="J28" s="6">
        <v>40</v>
      </c>
      <c r="K28" s="6">
        <v>40</v>
      </c>
      <c r="L28" s="6">
        <v>40</v>
      </c>
      <c r="M28" s="6">
        <v>40</v>
      </c>
      <c r="N28" s="6">
        <v>40</v>
      </c>
      <c r="O28" s="6">
        <v>40</v>
      </c>
      <c r="P28" s="6">
        <v>40</v>
      </c>
      <c r="Q28" s="6">
        <v>39.560809999999996</v>
      </c>
      <c r="R28" s="6">
        <v>39.612546000000002</v>
      </c>
      <c r="S28" s="6">
        <v>39.702897999999998</v>
      </c>
      <c r="T28" s="6">
        <v>37.594695999999999</v>
      </c>
      <c r="U28" s="6">
        <v>37.122718999999996</v>
      </c>
      <c r="V28" s="6">
        <v>37.548872000000003</v>
      </c>
    </row>
    <row r="29" spans="2:22">
      <c r="B29" s="6">
        <v>25034</v>
      </c>
      <c r="C29" s="6" t="s">
        <v>1031</v>
      </c>
      <c r="D29" s="6">
        <v>20300</v>
      </c>
      <c r="E29" s="6" t="s">
        <v>12</v>
      </c>
      <c r="F29" s="6" t="s">
        <v>16</v>
      </c>
      <c r="G29" s="6" t="s">
        <v>1295</v>
      </c>
      <c r="H29" s="6">
        <v>20</v>
      </c>
      <c r="I29" s="6">
        <v>20</v>
      </c>
      <c r="J29" s="6">
        <v>20</v>
      </c>
      <c r="K29" s="6">
        <v>29.444444000000001</v>
      </c>
      <c r="L29" s="6">
        <v>26.333333</v>
      </c>
      <c r="M29" s="6">
        <v>27.477063999999999</v>
      </c>
      <c r="N29" s="6">
        <v>29.444444000000001</v>
      </c>
      <c r="O29" s="6">
        <v>26.333333</v>
      </c>
      <c r="P29" s="6">
        <v>27.477063999999999</v>
      </c>
      <c r="Q29" s="6">
        <v>29.444444000000001</v>
      </c>
      <c r="R29" s="6">
        <v>26.333333</v>
      </c>
      <c r="S29" s="6">
        <v>27.477063999999999</v>
      </c>
      <c r="T29" s="6">
        <v>29.444444000000001</v>
      </c>
      <c r="U29" s="6">
        <v>26.333333</v>
      </c>
      <c r="V29" s="6">
        <v>27.477063999999999</v>
      </c>
    </row>
    <row r="30" spans="2:22">
      <c r="B30" s="6">
        <v>25034</v>
      </c>
      <c r="C30" s="6" t="s">
        <v>1031</v>
      </c>
      <c r="D30" s="6">
        <v>20700</v>
      </c>
      <c r="E30" s="6" t="s">
        <v>15</v>
      </c>
      <c r="F30" s="6" t="s">
        <v>17</v>
      </c>
      <c r="G30" s="6" t="s">
        <v>1294</v>
      </c>
      <c r="H30" s="6">
        <v>40</v>
      </c>
      <c r="I30" s="6">
        <v>40</v>
      </c>
      <c r="J30" s="6">
        <v>40</v>
      </c>
      <c r="K30" s="6">
        <v>40</v>
      </c>
      <c r="L30" s="6">
        <v>40</v>
      </c>
      <c r="M30" s="6">
        <v>40</v>
      </c>
      <c r="N30" s="6">
        <v>40</v>
      </c>
      <c r="O30" s="6">
        <v>40</v>
      </c>
      <c r="P30" s="6">
        <v>40</v>
      </c>
      <c r="Q30" s="6">
        <v>39.560809999999996</v>
      </c>
      <c r="R30" s="6">
        <v>39.612546000000002</v>
      </c>
      <c r="S30" s="6">
        <v>39.702897999999998</v>
      </c>
      <c r="T30" s="6">
        <v>37.594695999999999</v>
      </c>
      <c r="U30" s="6">
        <v>37.122718999999996</v>
      </c>
      <c r="V30" s="6">
        <v>37.548872000000003</v>
      </c>
    </row>
    <row r="31" spans="2:22">
      <c r="B31" s="6">
        <v>25035</v>
      </c>
      <c r="C31" s="6" t="s">
        <v>22</v>
      </c>
      <c r="D31" s="6">
        <v>20300</v>
      </c>
      <c r="E31" s="6" t="s">
        <v>12</v>
      </c>
      <c r="F31" s="6" t="s">
        <v>16</v>
      </c>
      <c r="G31" s="6" t="s">
        <v>1295</v>
      </c>
      <c r="H31" s="6">
        <v>30</v>
      </c>
      <c r="I31" s="6">
        <v>30</v>
      </c>
      <c r="J31" s="6">
        <v>30</v>
      </c>
      <c r="K31" s="6">
        <v>29.444444000000001</v>
      </c>
      <c r="L31" s="6">
        <v>26.333333</v>
      </c>
      <c r="M31" s="6">
        <v>27.477063999999999</v>
      </c>
      <c r="N31" s="6">
        <v>29.444444000000001</v>
      </c>
      <c r="O31" s="6">
        <v>26.333333</v>
      </c>
      <c r="P31" s="6">
        <v>27.477063999999999</v>
      </c>
      <c r="Q31" s="6">
        <v>29.444444000000001</v>
      </c>
      <c r="R31" s="6">
        <v>26.333333</v>
      </c>
      <c r="S31" s="6">
        <v>27.477063999999999</v>
      </c>
      <c r="T31" s="6">
        <v>29.444444000000001</v>
      </c>
      <c r="U31" s="6">
        <v>26.333333</v>
      </c>
      <c r="V31" s="6">
        <v>27.477063999999999</v>
      </c>
    </row>
    <row r="32" spans="2:22">
      <c r="B32" s="6">
        <v>25035</v>
      </c>
      <c r="C32" s="6" t="s">
        <v>22</v>
      </c>
      <c r="D32" s="6">
        <v>20300</v>
      </c>
      <c r="E32" s="6" t="s">
        <v>12</v>
      </c>
      <c r="F32" s="6" t="s">
        <v>13</v>
      </c>
      <c r="G32" s="6" t="s">
        <v>14</v>
      </c>
      <c r="H32" s="6">
        <v>0</v>
      </c>
      <c r="I32" s="6">
        <v>30</v>
      </c>
      <c r="J32" s="6">
        <v>30</v>
      </c>
      <c r="K32" s="6">
        <v>27.651897999999999</v>
      </c>
      <c r="L32" s="6">
        <v>28.025188</v>
      </c>
      <c r="M32" s="6">
        <v>28.089873000000001</v>
      </c>
      <c r="N32" s="6">
        <v>27.651897999999999</v>
      </c>
      <c r="O32" s="6">
        <v>28.025188</v>
      </c>
      <c r="P32" s="6">
        <v>28.089873000000001</v>
      </c>
      <c r="Q32" s="6">
        <v>27.651897999999999</v>
      </c>
      <c r="R32" s="6">
        <v>28.025188</v>
      </c>
      <c r="S32" s="6">
        <v>28.089873000000001</v>
      </c>
      <c r="T32" s="6">
        <v>27.651897999999999</v>
      </c>
      <c r="U32" s="6">
        <v>28.025188</v>
      </c>
      <c r="V32" s="6">
        <v>28.089873000000001</v>
      </c>
    </row>
    <row r="33" spans="2:22">
      <c r="B33" s="6">
        <v>25035</v>
      </c>
      <c r="C33" s="6" t="s">
        <v>22</v>
      </c>
      <c r="D33" s="6">
        <v>20700</v>
      </c>
      <c r="E33" s="6" t="s">
        <v>15</v>
      </c>
      <c r="F33" s="6" t="s">
        <v>16</v>
      </c>
      <c r="G33" s="6" t="s">
        <v>1295</v>
      </c>
      <c r="H33" s="6">
        <v>50</v>
      </c>
      <c r="I33" s="6">
        <v>50</v>
      </c>
      <c r="J33" s="6">
        <v>50</v>
      </c>
      <c r="K33" s="6">
        <v>52.542372</v>
      </c>
      <c r="L33" s="6">
        <v>53.574218000000002</v>
      </c>
      <c r="M33" s="6">
        <v>53.574218000000002</v>
      </c>
      <c r="N33" s="6">
        <v>52.542372</v>
      </c>
      <c r="O33" s="6">
        <v>53.574218000000002</v>
      </c>
      <c r="P33" s="6">
        <v>53.574218000000002</v>
      </c>
      <c r="Q33" s="6">
        <v>51.973683999999999</v>
      </c>
      <c r="R33" s="6">
        <v>53.351647999999997</v>
      </c>
      <c r="S33" s="6">
        <v>53.158844000000002</v>
      </c>
      <c r="T33" s="6">
        <v>51.973683999999999</v>
      </c>
      <c r="U33" s="6">
        <v>53.303249000000001</v>
      </c>
      <c r="V33" s="6">
        <v>52.798012999999997</v>
      </c>
    </row>
    <row r="34" spans="2:22">
      <c r="B34" s="6">
        <v>25035</v>
      </c>
      <c r="C34" s="6" t="s">
        <v>22</v>
      </c>
      <c r="D34" s="6">
        <v>20700</v>
      </c>
      <c r="E34" s="6" t="s">
        <v>15</v>
      </c>
      <c r="F34" s="6" t="s">
        <v>17</v>
      </c>
      <c r="G34" s="6" t="s">
        <v>1294</v>
      </c>
      <c r="H34" s="6">
        <v>0</v>
      </c>
      <c r="I34" s="6">
        <v>40</v>
      </c>
      <c r="J34" s="6">
        <v>40</v>
      </c>
      <c r="K34" s="6">
        <v>40</v>
      </c>
      <c r="L34" s="6">
        <v>40</v>
      </c>
      <c r="M34" s="6">
        <v>40</v>
      </c>
      <c r="N34" s="6">
        <v>40</v>
      </c>
      <c r="O34" s="6">
        <v>40</v>
      </c>
      <c r="P34" s="6">
        <v>40</v>
      </c>
      <c r="Q34" s="6">
        <v>39.560809999999996</v>
      </c>
      <c r="R34" s="6">
        <v>39.612546000000002</v>
      </c>
      <c r="S34" s="6">
        <v>39.702897999999998</v>
      </c>
      <c r="T34" s="6">
        <v>37.594695999999999</v>
      </c>
      <c r="U34" s="6">
        <v>37.122718999999996</v>
      </c>
      <c r="V34" s="6">
        <v>37.548872000000003</v>
      </c>
    </row>
    <row r="35" spans="2:22">
      <c r="B35" s="6">
        <v>25036</v>
      </c>
      <c r="C35" s="6" t="s">
        <v>23</v>
      </c>
      <c r="D35" s="6">
        <v>20300</v>
      </c>
      <c r="E35" s="6" t="s">
        <v>12</v>
      </c>
      <c r="F35" s="6" t="s">
        <v>13</v>
      </c>
      <c r="G35" s="6" t="s">
        <v>14</v>
      </c>
      <c r="H35" s="6">
        <v>30</v>
      </c>
      <c r="I35" s="6">
        <v>30</v>
      </c>
      <c r="J35" s="6">
        <v>30</v>
      </c>
      <c r="K35" s="6">
        <v>27.651897999999999</v>
      </c>
      <c r="L35" s="6">
        <v>28.025188</v>
      </c>
      <c r="M35" s="6">
        <v>28.089873000000001</v>
      </c>
      <c r="N35" s="6">
        <v>27.651897999999999</v>
      </c>
      <c r="O35" s="6">
        <v>28.025188</v>
      </c>
      <c r="P35" s="6">
        <v>28.089873000000001</v>
      </c>
      <c r="Q35" s="6">
        <v>27.651897999999999</v>
      </c>
      <c r="R35" s="6">
        <v>28.025188</v>
      </c>
      <c r="S35" s="6">
        <v>28.089873000000001</v>
      </c>
      <c r="T35" s="6">
        <v>27.651897999999999</v>
      </c>
      <c r="U35" s="6">
        <v>28.025188</v>
      </c>
      <c r="V35" s="6">
        <v>28.089873000000001</v>
      </c>
    </row>
    <row r="36" spans="2:22">
      <c r="B36" s="6">
        <v>25036</v>
      </c>
      <c r="C36" s="6" t="s">
        <v>23</v>
      </c>
      <c r="D36" s="6">
        <v>20700</v>
      </c>
      <c r="E36" s="6" t="s">
        <v>15</v>
      </c>
      <c r="F36" s="6" t="s">
        <v>17</v>
      </c>
      <c r="G36" s="6" t="s">
        <v>1294</v>
      </c>
      <c r="H36" s="6">
        <v>40</v>
      </c>
      <c r="I36" s="6">
        <v>40</v>
      </c>
      <c r="J36" s="6">
        <v>40</v>
      </c>
      <c r="K36" s="6">
        <v>40</v>
      </c>
      <c r="L36" s="6">
        <v>40</v>
      </c>
      <c r="M36" s="6">
        <v>40</v>
      </c>
      <c r="N36" s="6">
        <v>40</v>
      </c>
      <c r="O36" s="6">
        <v>40</v>
      </c>
      <c r="P36" s="6">
        <v>40</v>
      </c>
      <c r="Q36" s="6">
        <v>39.560809999999996</v>
      </c>
      <c r="R36" s="6">
        <v>39.612546000000002</v>
      </c>
      <c r="S36" s="6">
        <v>39.702897999999998</v>
      </c>
      <c r="T36" s="6">
        <v>37.594695999999999</v>
      </c>
      <c r="U36" s="6">
        <v>37.122718999999996</v>
      </c>
      <c r="V36" s="6">
        <v>37.548872000000003</v>
      </c>
    </row>
    <row r="37" spans="2:22">
      <c r="B37" s="6">
        <v>25037</v>
      </c>
      <c r="C37" s="6" t="s">
        <v>24</v>
      </c>
      <c r="D37" s="6">
        <v>20300</v>
      </c>
      <c r="E37" s="6" t="s">
        <v>12</v>
      </c>
      <c r="F37" s="6" t="s">
        <v>13</v>
      </c>
      <c r="G37" s="6" t="s">
        <v>14</v>
      </c>
      <c r="H37" s="6">
        <v>30</v>
      </c>
      <c r="I37" s="6">
        <v>30</v>
      </c>
      <c r="J37" s="6">
        <v>30</v>
      </c>
      <c r="K37" s="6">
        <v>27.651897999999999</v>
      </c>
      <c r="L37" s="6">
        <v>28.025188</v>
      </c>
      <c r="M37" s="6">
        <v>28.089873000000001</v>
      </c>
      <c r="N37" s="6">
        <v>27.651897999999999</v>
      </c>
      <c r="O37" s="6">
        <v>28.025188</v>
      </c>
      <c r="P37" s="6">
        <v>28.089873000000001</v>
      </c>
      <c r="Q37" s="6">
        <v>27.651897999999999</v>
      </c>
      <c r="R37" s="6">
        <v>28.025188</v>
      </c>
      <c r="S37" s="6">
        <v>28.089873000000001</v>
      </c>
      <c r="T37" s="6">
        <v>27.651897999999999</v>
      </c>
      <c r="U37" s="6">
        <v>28.025188</v>
      </c>
      <c r="V37" s="6">
        <v>28.089873000000001</v>
      </c>
    </row>
    <row r="38" spans="2:22">
      <c r="B38" s="6">
        <v>25037</v>
      </c>
      <c r="C38" s="6" t="s">
        <v>24</v>
      </c>
      <c r="D38" s="6">
        <v>20700</v>
      </c>
      <c r="E38" s="6" t="s">
        <v>15</v>
      </c>
      <c r="F38" s="6" t="s">
        <v>17</v>
      </c>
      <c r="G38" s="6" t="s">
        <v>1294</v>
      </c>
      <c r="H38" s="6">
        <v>40</v>
      </c>
      <c r="I38" s="6">
        <v>40</v>
      </c>
      <c r="J38" s="6">
        <v>40</v>
      </c>
      <c r="K38" s="6">
        <v>40</v>
      </c>
      <c r="L38" s="6">
        <v>40</v>
      </c>
      <c r="M38" s="6">
        <v>40</v>
      </c>
      <c r="N38" s="6">
        <v>40</v>
      </c>
      <c r="O38" s="6">
        <v>40</v>
      </c>
      <c r="P38" s="6">
        <v>40</v>
      </c>
      <c r="Q38" s="6">
        <v>39.560809999999996</v>
      </c>
      <c r="R38" s="6">
        <v>39.612546000000002</v>
      </c>
      <c r="S38" s="6">
        <v>39.702897999999998</v>
      </c>
      <c r="T38" s="6">
        <v>37.594695999999999</v>
      </c>
      <c r="U38" s="6">
        <v>37.122718999999996</v>
      </c>
      <c r="V38" s="6">
        <v>37.548872000000003</v>
      </c>
    </row>
    <row r="39" spans="2:22">
      <c r="B39" s="6">
        <v>25038</v>
      </c>
      <c r="C39" s="6" t="s">
        <v>864</v>
      </c>
      <c r="D39" s="6">
        <v>20300</v>
      </c>
      <c r="E39" s="6" t="s">
        <v>12</v>
      </c>
      <c r="F39" s="6" t="s">
        <v>13</v>
      </c>
      <c r="G39" s="6" t="s">
        <v>14</v>
      </c>
      <c r="H39" s="6">
        <v>0</v>
      </c>
      <c r="I39" s="6">
        <v>30</v>
      </c>
      <c r="J39" s="6">
        <v>30</v>
      </c>
      <c r="K39" s="6">
        <v>27.651897999999999</v>
      </c>
      <c r="L39" s="6">
        <v>28.025188</v>
      </c>
      <c r="M39" s="6">
        <v>28.089873000000001</v>
      </c>
      <c r="N39" s="6">
        <v>27.651897999999999</v>
      </c>
      <c r="O39" s="6">
        <v>28.025188</v>
      </c>
      <c r="P39" s="6">
        <v>28.089873000000001</v>
      </c>
      <c r="Q39" s="6">
        <v>27.651897999999999</v>
      </c>
      <c r="R39" s="6">
        <v>28.025188</v>
      </c>
      <c r="S39" s="6">
        <v>28.089873000000001</v>
      </c>
      <c r="T39" s="6">
        <v>27.651897999999999</v>
      </c>
      <c r="U39" s="6">
        <v>28.025188</v>
      </c>
      <c r="V39" s="6">
        <v>28.089873000000001</v>
      </c>
    </row>
    <row r="40" spans="2:22">
      <c r="B40" s="6">
        <v>25038</v>
      </c>
      <c r="C40" s="6" t="s">
        <v>864</v>
      </c>
      <c r="D40" s="6">
        <v>20700</v>
      </c>
      <c r="E40" s="6" t="s">
        <v>15</v>
      </c>
      <c r="F40" s="6" t="s">
        <v>17</v>
      </c>
      <c r="G40" s="6" t="s">
        <v>1294</v>
      </c>
      <c r="H40" s="6">
        <v>0</v>
      </c>
      <c r="I40" s="6">
        <v>40</v>
      </c>
      <c r="J40" s="6">
        <v>40</v>
      </c>
      <c r="K40" s="6">
        <v>40</v>
      </c>
      <c r="L40" s="6">
        <v>40</v>
      </c>
      <c r="M40" s="6">
        <v>40</v>
      </c>
      <c r="N40" s="6">
        <v>40</v>
      </c>
      <c r="O40" s="6">
        <v>40</v>
      </c>
      <c r="P40" s="6">
        <v>40</v>
      </c>
      <c r="Q40" s="6">
        <v>39.560809999999996</v>
      </c>
      <c r="R40" s="6">
        <v>39.612546000000002</v>
      </c>
      <c r="S40" s="6">
        <v>39.702897999999998</v>
      </c>
      <c r="T40" s="6">
        <v>37.594695999999999</v>
      </c>
      <c r="U40" s="6">
        <v>37.122718999999996</v>
      </c>
      <c r="V40" s="6">
        <v>37.548872000000003</v>
      </c>
    </row>
    <row r="41" spans="2:22">
      <c r="B41" s="6">
        <v>25096</v>
      </c>
      <c r="C41" s="6" t="s">
        <v>1037</v>
      </c>
      <c r="D41" s="6">
        <v>20400</v>
      </c>
      <c r="E41" s="6" t="s">
        <v>34</v>
      </c>
      <c r="F41" s="6" t="s">
        <v>16</v>
      </c>
      <c r="G41" s="6" t="s">
        <v>1295</v>
      </c>
      <c r="H41" s="6">
        <v>30</v>
      </c>
      <c r="I41" s="6">
        <v>30</v>
      </c>
      <c r="J41" s="6">
        <v>30</v>
      </c>
      <c r="K41" s="6">
        <v>30</v>
      </c>
      <c r="L41" s="6">
        <v>30</v>
      </c>
      <c r="M41" s="6">
        <v>30</v>
      </c>
      <c r="N41" s="6">
        <v>30</v>
      </c>
      <c r="O41" s="6">
        <v>30</v>
      </c>
      <c r="P41" s="6">
        <v>30</v>
      </c>
      <c r="Q41" s="6">
        <v>30</v>
      </c>
      <c r="R41" s="6">
        <v>30</v>
      </c>
      <c r="S41" s="6">
        <v>30</v>
      </c>
      <c r="T41" s="6">
        <v>30</v>
      </c>
      <c r="U41" s="6">
        <v>30</v>
      </c>
      <c r="V41" s="6">
        <v>30</v>
      </c>
    </row>
    <row r="42" spans="2:22">
      <c r="B42" s="6">
        <v>25096</v>
      </c>
      <c r="C42" s="6" t="s">
        <v>1037</v>
      </c>
      <c r="D42" s="6">
        <v>20500</v>
      </c>
      <c r="E42" s="6" t="s">
        <v>31</v>
      </c>
      <c r="F42" s="6" t="s">
        <v>16</v>
      </c>
      <c r="G42" s="6" t="s">
        <v>1295</v>
      </c>
      <c r="H42" s="6">
        <v>30</v>
      </c>
      <c r="I42" s="6">
        <v>30</v>
      </c>
      <c r="J42" s="6">
        <v>30</v>
      </c>
      <c r="K42" s="6">
        <v>30</v>
      </c>
      <c r="L42" s="6">
        <v>30</v>
      </c>
      <c r="M42" s="6">
        <v>30</v>
      </c>
      <c r="N42" s="6">
        <v>30</v>
      </c>
      <c r="O42" s="6">
        <v>30</v>
      </c>
      <c r="P42" s="6">
        <v>32.666665999999999</v>
      </c>
      <c r="Q42" s="6">
        <v>32.142856999999999</v>
      </c>
      <c r="R42" s="6">
        <v>32.142856999999999</v>
      </c>
      <c r="S42" s="6">
        <v>35</v>
      </c>
      <c r="T42" s="6">
        <v>16.909089999999999</v>
      </c>
      <c r="U42" s="6">
        <v>13.130081000000001</v>
      </c>
      <c r="V42" s="6">
        <v>12.707865</v>
      </c>
    </row>
    <row r="43" spans="2:22">
      <c r="B43" s="6">
        <v>25096</v>
      </c>
      <c r="C43" s="6" t="s">
        <v>1037</v>
      </c>
      <c r="D43" s="6">
        <v>20700</v>
      </c>
      <c r="E43" s="6" t="s">
        <v>15</v>
      </c>
      <c r="F43" s="6" t="s">
        <v>17</v>
      </c>
      <c r="G43" s="6" t="s">
        <v>1294</v>
      </c>
      <c r="H43" s="6">
        <v>40</v>
      </c>
      <c r="I43" s="6">
        <v>40</v>
      </c>
      <c r="J43" s="6">
        <v>40</v>
      </c>
      <c r="K43" s="6">
        <v>40</v>
      </c>
      <c r="L43" s="6">
        <v>40</v>
      </c>
      <c r="M43" s="6">
        <v>40</v>
      </c>
      <c r="N43" s="6">
        <v>35</v>
      </c>
      <c r="O43" s="6">
        <v>35</v>
      </c>
      <c r="P43" s="6">
        <v>35.192307</v>
      </c>
      <c r="Q43" s="6">
        <v>39.560809999999996</v>
      </c>
      <c r="R43" s="6">
        <v>39.612546000000002</v>
      </c>
      <c r="S43" s="6">
        <v>39.702897999999998</v>
      </c>
      <c r="T43" s="6">
        <v>37.594695999999999</v>
      </c>
      <c r="U43" s="6">
        <v>37.122718999999996</v>
      </c>
      <c r="V43" s="6">
        <v>37.548872000000003</v>
      </c>
    </row>
    <row r="44" spans="2:22">
      <c r="B44" s="6">
        <v>25115</v>
      </c>
      <c r="C44" s="6" t="s">
        <v>1082</v>
      </c>
      <c r="D44" s="6">
        <v>20400</v>
      </c>
      <c r="E44" s="6" t="s">
        <v>34</v>
      </c>
      <c r="F44" s="6" t="s">
        <v>13</v>
      </c>
      <c r="G44" s="6" t="s">
        <v>14</v>
      </c>
      <c r="H44" s="6">
        <v>30</v>
      </c>
      <c r="I44" s="6">
        <v>30</v>
      </c>
      <c r="J44" s="6">
        <v>30</v>
      </c>
      <c r="K44" s="6">
        <v>27.058823</v>
      </c>
      <c r="L44" s="6">
        <v>27.058823</v>
      </c>
      <c r="M44" s="6">
        <v>27.058823</v>
      </c>
      <c r="N44" s="6">
        <v>27.058823</v>
      </c>
      <c r="O44" s="6">
        <v>27.368421000000001</v>
      </c>
      <c r="P44" s="6">
        <v>27.368421000000001</v>
      </c>
      <c r="Q44" s="6">
        <v>27.058823</v>
      </c>
      <c r="R44" s="6">
        <v>27.368421000000001</v>
      </c>
      <c r="S44" s="6">
        <v>27.368421000000001</v>
      </c>
      <c r="T44" s="6">
        <v>27.058823</v>
      </c>
      <c r="U44" s="6">
        <v>27.619046999999998</v>
      </c>
      <c r="V44" s="6">
        <v>27.619046999999998</v>
      </c>
    </row>
    <row r="45" spans="2:22">
      <c r="B45" s="6">
        <v>25115</v>
      </c>
      <c r="C45" s="6" t="s">
        <v>1082</v>
      </c>
      <c r="D45" s="6">
        <v>20500</v>
      </c>
      <c r="E45" s="6" t="s">
        <v>31</v>
      </c>
      <c r="F45" s="6" t="s">
        <v>13</v>
      </c>
      <c r="G45" s="6" t="s">
        <v>14</v>
      </c>
      <c r="H45" s="6">
        <v>30</v>
      </c>
      <c r="I45" s="6">
        <v>30</v>
      </c>
      <c r="J45" s="6">
        <v>30</v>
      </c>
      <c r="K45" s="6">
        <v>30</v>
      </c>
      <c r="L45" s="6">
        <v>30</v>
      </c>
      <c r="M45" s="6">
        <v>30</v>
      </c>
      <c r="N45" s="6">
        <v>28.947368000000001</v>
      </c>
      <c r="O45" s="6">
        <v>29.047619000000001</v>
      </c>
      <c r="P45" s="6">
        <v>29.230768999999999</v>
      </c>
      <c r="Q45" s="6">
        <v>28.947368000000001</v>
      </c>
      <c r="R45" s="6">
        <v>29.285713999999999</v>
      </c>
      <c r="S45" s="6">
        <v>29.393939</v>
      </c>
      <c r="T45" s="6">
        <v>28.409089999999999</v>
      </c>
      <c r="U45" s="6">
        <v>28.088235000000001</v>
      </c>
      <c r="V45" s="6">
        <v>22.096774</v>
      </c>
    </row>
    <row r="46" spans="2:22">
      <c r="B46" s="6">
        <v>25115</v>
      </c>
      <c r="C46" s="6" t="s">
        <v>1082</v>
      </c>
      <c r="D46" s="6">
        <v>20700</v>
      </c>
      <c r="E46" s="6" t="s">
        <v>15</v>
      </c>
      <c r="F46" s="6" t="s">
        <v>16</v>
      </c>
      <c r="G46" s="6" t="s">
        <v>1295</v>
      </c>
      <c r="H46" s="6">
        <v>50</v>
      </c>
      <c r="I46" s="6">
        <v>50</v>
      </c>
      <c r="J46" s="6">
        <v>50</v>
      </c>
      <c r="K46" s="6">
        <v>50</v>
      </c>
      <c r="L46" s="6">
        <v>50</v>
      </c>
      <c r="M46" s="6">
        <v>50</v>
      </c>
      <c r="N46" s="6">
        <v>50</v>
      </c>
      <c r="O46" s="6">
        <v>50</v>
      </c>
      <c r="P46" s="6">
        <v>48.095238000000002</v>
      </c>
      <c r="Q46" s="6">
        <v>51.973683999999999</v>
      </c>
      <c r="R46" s="6">
        <v>53.351647999999997</v>
      </c>
      <c r="S46" s="6">
        <v>53.158844000000002</v>
      </c>
      <c r="T46" s="6">
        <v>51.973683999999999</v>
      </c>
      <c r="U46" s="6">
        <v>53.303249000000001</v>
      </c>
      <c r="V46" s="6">
        <v>52.798012999999997</v>
      </c>
    </row>
    <row r="47" spans="2:22">
      <c r="B47" s="6">
        <v>25118</v>
      </c>
      <c r="C47" s="6" t="s">
        <v>1034</v>
      </c>
      <c r="D47" s="6">
        <v>20400</v>
      </c>
      <c r="E47" s="6" t="s">
        <v>34</v>
      </c>
      <c r="F47" s="6" t="s">
        <v>16</v>
      </c>
      <c r="G47" s="6" t="s">
        <v>1295</v>
      </c>
      <c r="H47" s="6">
        <v>30</v>
      </c>
      <c r="I47" s="6">
        <v>30</v>
      </c>
      <c r="J47" s="6">
        <v>30</v>
      </c>
      <c r="K47" s="6">
        <v>30</v>
      </c>
      <c r="L47" s="6">
        <v>30</v>
      </c>
      <c r="M47" s="6">
        <v>30</v>
      </c>
      <c r="N47" s="6">
        <v>30</v>
      </c>
      <c r="O47" s="6">
        <v>30</v>
      </c>
      <c r="P47" s="6">
        <v>30</v>
      </c>
      <c r="Q47" s="6">
        <v>30</v>
      </c>
      <c r="R47" s="6">
        <v>30</v>
      </c>
      <c r="S47" s="6">
        <v>30</v>
      </c>
      <c r="T47" s="6">
        <v>30</v>
      </c>
      <c r="U47" s="6">
        <v>30</v>
      </c>
      <c r="V47" s="6">
        <v>30</v>
      </c>
    </row>
    <row r="48" spans="2:22">
      <c r="B48" s="6">
        <v>25118</v>
      </c>
      <c r="C48" s="6" t="s">
        <v>1034</v>
      </c>
      <c r="D48" s="6">
        <v>20500</v>
      </c>
      <c r="E48" s="6" t="s">
        <v>31</v>
      </c>
      <c r="F48" s="6" t="s">
        <v>16</v>
      </c>
      <c r="G48" s="6" t="s">
        <v>1295</v>
      </c>
      <c r="H48" s="6">
        <v>30</v>
      </c>
      <c r="I48" s="6">
        <v>30</v>
      </c>
      <c r="J48" s="6">
        <v>30</v>
      </c>
      <c r="K48" s="6">
        <v>30</v>
      </c>
      <c r="L48" s="6">
        <v>30</v>
      </c>
      <c r="M48" s="6">
        <v>30</v>
      </c>
      <c r="N48" s="6">
        <v>30</v>
      </c>
      <c r="O48" s="6">
        <v>30</v>
      </c>
      <c r="P48" s="6">
        <v>32.666665999999999</v>
      </c>
      <c r="Q48" s="6">
        <v>32.142856999999999</v>
      </c>
      <c r="R48" s="6">
        <v>32.142856999999999</v>
      </c>
      <c r="S48" s="6">
        <v>35</v>
      </c>
      <c r="T48" s="6">
        <v>16.909089999999999</v>
      </c>
      <c r="U48" s="6">
        <v>13.130081000000001</v>
      </c>
      <c r="V48" s="6">
        <v>12.707865</v>
      </c>
    </row>
    <row r="49" spans="2:22">
      <c r="B49" s="6">
        <v>25118</v>
      </c>
      <c r="C49" s="6" t="s">
        <v>1034</v>
      </c>
      <c r="D49" s="6">
        <v>20700</v>
      </c>
      <c r="E49" s="6" t="s">
        <v>15</v>
      </c>
      <c r="F49" s="6" t="s">
        <v>17</v>
      </c>
      <c r="G49" s="6" t="s">
        <v>1294</v>
      </c>
      <c r="H49" s="6">
        <v>40</v>
      </c>
      <c r="I49" s="6">
        <v>40</v>
      </c>
      <c r="J49" s="6">
        <v>40</v>
      </c>
      <c r="K49" s="6">
        <v>40</v>
      </c>
      <c r="L49" s="6">
        <v>40</v>
      </c>
      <c r="M49" s="6">
        <v>40</v>
      </c>
      <c r="N49" s="6">
        <v>35</v>
      </c>
      <c r="O49" s="6">
        <v>35</v>
      </c>
      <c r="P49" s="6">
        <v>35.192307</v>
      </c>
      <c r="Q49" s="6">
        <v>39.560809999999996</v>
      </c>
      <c r="R49" s="6">
        <v>39.612546000000002</v>
      </c>
      <c r="S49" s="6">
        <v>39.702897999999998</v>
      </c>
      <c r="T49" s="6">
        <v>37.594695999999999</v>
      </c>
      <c r="U49" s="6">
        <v>37.122718999999996</v>
      </c>
      <c r="V49" s="6">
        <v>37.548872000000003</v>
      </c>
    </row>
    <row r="50" spans="2:22">
      <c r="B50" s="6">
        <v>25166</v>
      </c>
      <c r="C50" s="6" t="s">
        <v>1094</v>
      </c>
      <c r="D50" s="6">
        <v>20400</v>
      </c>
      <c r="E50" s="6" t="s">
        <v>34</v>
      </c>
      <c r="F50" s="6" t="s">
        <v>16</v>
      </c>
      <c r="G50" s="6" t="s">
        <v>1295</v>
      </c>
      <c r="H50" s="6">
        <v>30</v>
      </c>
      <c r="I50" s="6">
        <v>30</v>
      </c>
      <c r="J50" s="6">
        <v>30</v>
      </c>
      <c r="K50" s="6">
        <v>30</v>
      </c>
      <c r="L50" s="6">
        <v>30</v>
      </c>
      <c r="M50" s="6">
        <v>30</v>
      </c>
      <c r="N50" s="6">
        <v>30</v>
      </c>
      <c r="O50" s="6">
        <v>30</v>
      </c>
      <c r="P50" s="6">
        <v>30</v>
      </c>
      <c r="Q50" s="6">
        <v>30</v>
      </c>
      <c r="R50" s="6">
        <v>30</v>
      </c>
      <c r="S50" s="6">
        <v>30</v>
      </c>
      <c r="T50" s="6">
        <v>30</v>
      </c>
      <c r="U50" s="6">
        <v>30</v>
      </c>
      <c r="V50" s="6">
        <v>30</v>
      </c>
    </row>
    <row r="51" spans="2:22">
      <c r="B51" s="6">
        <v>25166</v>
      </c>
      <c r="C51" s="6" t="s">
        <v>1094</v>
      </c>
      <c r="D51" s="6">
        <v>20500</v>
      </c>
      <c r="E51" s="6" t="s">
        <v>31</v>
      </c>
      <c r="F51" s="6" t="s">
        <v>16</v>
      </c>
      <c r="G51" s="6" t="s">
        <v>1295</v>
      </c>
      <c r="H51" s="6">
        <v>30</v>
      </c>
      <c r="I51" s="6">
        <v>30</v>
      </c>
      <c r="J51" s="6">
        <v>30</v>
      </c>
      <c r="K51" s="6">
        <v>30</v>
      </c>
      <c r="L51" s="6">
        <v>30</v>
      </c>
      <c r="M51" s="6">
        <v>33.636363000000003</v>
      </c>
      <c r="N51" s="6">
        <v>30</v>
      </c>
      <c r="O51" s="6">
        <v>30</v>
      </c>
      <c r="P51" s="6">
        <v>32.666665999999999</v>
      </c>
      <c r="Q51" s="6">
        <v>32.142856999999999</v>
      </c>
      <c r="R51" s="6">
        <v>32.142856999999999</v>
      </c>
      <c r="S51" s="6">
        <v>35</v>
      </c>
      <c r="T51" s="6">
        <v>16.909089999999999</v>
      </c>
      <c r="U51" s="6">
        <v>13.130081000000001</v>
      </c>
      <c r="V51" s="6">
        <v>12.707865</v>
      </c>
    </row>
    <row r="52" spans="2:22">
      <c r="B52" s="6">
        <v>25166</v>
      </c>
      <c r="C52" s="6" t="s">
        <v>1094</v>
      </c>
      <c r="D52" s="6">
        <v>20700</v>
      </c>
      <c r="E52" s="6" t="s">
        <v>15</v>
      </c>
      <c r="F52" s="6" t="s">
        <v>17</v>
      </c>
      <c r="G52" s="6" t="s">
        <v>1294</v>
      </c>
      <c r="H52" s="6">
        <v>35</v>
      </c>
      <c r="I52" s="6">
        <v>35</v>
      </c>
      <c r="J52" s="6">
        <v>35</v>
      </c>
      <c r="K52" s="6">
        <v>32.777777</v>
      </c>
      <c r="L52" s="6">
        <v>33.823529000000001</v>
      </c>
      <c r="M52" s="6">
        <v>34.318181000000003</v>
      </c>
      <c r="N52" s="6">
        <v>35</v>
      </c>
      <c r="O52" s="6">
        <v>35</v>
      </c>
      <c r="P52" s="6">
        <v>35.192307</v>
      </c>
      <c r="Q52" s="6">
        <v>39.560809999999996</v>
      </c>
      <c r="R52" s="6">
        <v>39.612546000000002</v>
      </c>
      <c r="S52" s="6">
        <v>39.702897999999998</v>
      </c>
      <c r="T52" s="6">
        <v>37.594695999999999</v>
      </c>
      <c r="U52" s="6">
        <v>37.122718999999996</v>
      </c>
      <c r="V52" s="6">
        <v>37.548872000000003</v>
      </c>
    </row>
    <row r="53" spans="2:22">
      <c r="B53" s="6">
        <v>25181</v>
      </c>
      <c r="C53" s="6" t="s">
        <v>777</v>
      </c>
      <c r="D53" s="6">
        <v>20500</v>
      </c>
      <c r="E53" s="6" t="s">
        <v>31</v>
      </c>
      <c r="F53" s="6" t="s">
        <v>17</v>
      </c>
      <c r="G53" s="6" t="s">
        <v>1294</v>
      </c>
      <c r="H53" s="6">
        <v>0</v>
      </c>
      <c r="I53" s="6">
        <v>27</v>
      </c>
      <c r="J53" s="6">
        <v>27</v>
      </c>
      <c r="K53" s="6">
        <v>0</v>
      </c>
      <c r="L53" s="6">
        <v>27</v>
      </c>
      <c r="M53" s="6">
        <v>26.714285</v>
      </c>
      <c r="N53" s="6">
        <v>0</v>
      </c>
      <c r="O53" s="6">
        <v>27</v>
      </c>
      <c r="P53" s="6">
        <v>26.714285</v>
      </c>
      <c r="Q53" s="6">
        <v>16</v>
      </c>
      <c r="R53" s="6">
        <v>16.289473000000001</v>
      </c>
      <c r="S53" s="6">
        <v>16.174417999999999</v>
      </c>
      <c r="T53" s="6">
        <v>25.645997000000001</v>
      </c>
      <c r="U53" s="6">
        <v>25.223958</v>
      </c>
      <c r="V53" s="6">
        <v>24.770192999999999</v>
      </c>
    </row>
    <row r="54" spans="2:22">
      <c r="B54" s="6">
        <v>25181</v>
      </c>
      <c r="C54" s="6" t="s">
        <v>777</v>
      </c>
      <c r="D54" s="6">
        <v>20600</v>
      </c>
      <c r="E54" s="6" t="s">
        <v>32</v>
      </c>
      <c r="F54" s="6" t="s">
        <v>13</v>
      </c>
      <c r="G54" s="6" t="s">
        <v>14</v>
      </c>
      <c r="H54" s="6">
        <v>0</v>
      </c>
      <c r="I54" s="6">
        <v>20</v>
      </c>
      <c r="J54" s="6">
        <v>20</v>
      </c>
      <c r="K54" s="6">
        <v>20</v>
      </c>
      <c r="L54" s="6">
        <v>22.5</v>
      </c>
      <c r="M54" s="6">
        <v>25.384615</v>
      </c>
      <c r="N54" s="6">
        <v>20</v>
      </c>
      <c r="O54" s="6">
        <v>22.5</v>
      </c>
      <c r="P54" s="6">
        <v>25.384615</v>
      </c>
      <c r="Q54" s="6">
        <v>20</v>
      </c>
      <c r="R54" s="6">
        <v>22.5</v>
      </c>
      <c r="S54" s="6">
        <v>25.384615</v>
      </c>
      <c r="T54" s="6">
        <v>20</v>
      </c>
      <c r="U54" s="6">
        <v>18.75</v>
      </c>
      <c r="V54" s="6">
        <v>21.428571000000002</v>
      </c>
    </row>
    <row r="55" spans="2:22">
      <c r="B55" s="6">
        <v>25181</v>
      </c>
      <c r="C55" s="6" t="s">
        <v>777</v>
      </c>
      <c r="D55" s="6">
        <v>20700</v>
      </c>
      <c r="E55" s="6" t="s">
        <v>15</v>
      </c>
      <c r="F55" s="6" t="s">
        <v>17</v>
      </c>
      <c r="G55" s="6" t="s">
        <v>1294</v>
      </c>
      <c r="H55" s="6">
        <v>0</v>
      </c>
      <c r="I55" s="6">
        <v>40</v>
      </c>
      <c r="J55" s="6">
        <v>40</v>
      </c>
      <c r="K55" s="6">
        <v>32.777777</v>
      </c>
      <c r="L55" s="6">
        <v>33.823529000000001</v>
      </c>
      <c r="M55" s="6">
        <v>34.318181000000003</v>
      </c>
      <c r="N55" s="6">
        <v>35</v>
      </c>
      <c r="O55" s="6">
        <v>35</v>
      </c>
      <c r="P55" s="6">
        <v>35.192307</v>
      </c>
      <c r="Q55" s="6">
        <v>39.560809999999996</v>
      </c>
      <c r="R55" s="6">
        <v>39.612546000000002</v>
      </c>
      <c r="S55" s="6">
        <v>39.702897999999998</v>
      </c>
      <c r="T55" s="6">
        <v>37.594695999999999</v>
      </c>
      <c r="U55" s="6">
        <v>37.122718999999996</v>
      </c>
      <c r="V55" s="6">
        <v>37.548872000000003</v>
      </c>
    </row>
    <row r="56" spans="2:22">
      <c r="B56" s="6">
        <v>25207</v>
      </c>
      <c r="C56" s="6" t="s">
        <v>1062</v>
      </c>
      <c r="D56" s="6">
        <v>20400</v>
      </c>
      <c r="E56" s="6" t="s">
        <v>34</v>
      </c>
      <c r="F56" s="6" t="s">
        <v>16</v>
      </c>
      <c r="G56" s="6" t="s">
        <v>1295</v>
      </c>
      <c r="H56" s="6">
        <v>30</v>
      </c>
      <c r="I56" s="6">
        <v>30</v>
      </c>
      <c r="J56" s="6">
        <v>30</v>
      </c>
      <c r="K56" s="6">
        <v>30</v>
      </c>
      <c r="L56" s="6">
        <v>30</v>
      </c>
      <c r="M56" s="6">
        <v>30</v>
      </c>
      <c r="N56" s="6">
        <v>30</v>
      </c>
      <c r="O56" s="6">
        <v>30</v>
      </c>
      <c r="P56" s="6">
        <v>30</v>
      </c>
      <c r="Q56" s="6">
        <v>30</v>
      </c>
      <c r="R56" s="6">
        <v>30</v>
      </c>
      <c r="S56" s="6">
        <v>30</v>
      </c>
      <c r="T56" s="6">
        <v>30</v>
      </c>
      <c r="U56" s="6">
        <v>30</v>
      </c>
      <c r="V56" s="6">
        <v>30</v>
      </c>
    </row>
    <row r="57" spans="2:22">
      <c r="B57" s="6">
        <v>25207</v>
      </c>
      <c r="C57" s="6" t="s">
        <v>1062</v>
      </c>
      <c r="D57" s="6">
        <v>20500</v>
      </c>
      <c r="E57" s="6" t="s">
        <v>31</v>
      </c>
      <c r="F57" s="6" t="s">
        <v>16</v>
      </c>
      <c r="G57" s="6" t="s">
        <v>1295</v>
      </c>
      <c r="H57" s="6">
        <v>30</v>
      </c>
      <c r="I57" s="6">
        <v>30</v>
      </c>
      <c r="J57" s="6">
        <v>30</v>
      </c>
      <c r="K57" s="6">
        <v>30</v>
      </c>
      <c r="L57" s="6">
        <v>30</v>
      </c>
      <c r="M57" s="6">
        <v>33.636363000000003</v>
      </c>
      <c r="N57" s="6">
        <v>30</v>
      </c>
      <c r="O57" s="6">
        <v>30</v>
      </c>
      <c r="P57" s="6">
        <v>32.666665999999999</v>
      </c>
      <c r="Q57" s="6">
        <v>32.142856999999999</v>
      </c>
      <c r="R57" s="6">
        <v>32.142856999999999</v>
      </c>
      <c r="S57" s="6">
        <v>35</v>
      </c>
      <c r="T57" s="6">
        <v>16.909089999999999</v>
      </c>
      <c r="U57" s="6">
        <v>13.130081000000001</v>
      </c>
      <c r="V57" s="6">
        <v>12.707865</v>
      </c>
    </row>
    <row r="58" spans="2:22">
      <c r="B58" s="6">
        <v>25207</v>
      </c>
      <c r="C58" s="6" t="s">
        <v>1062</v>
      </c>
      <c r="D58" s="6">
        <v>20700</v>
      </c>
      <c r="E58" s="6" t="s">
        <v>15</v>
      </c>
      <c r="F58" s="6" t="s">
        <v>17</v>
      </c>
      <c r="G58" s="6" t="s">
        <v>1294</v>
      </c>
      <c r="H58" s="6">
        <v>35</v>
      </c>
      <c r="I58" s="6">
        <v>35</v>
      </c>
      <c r="J58" s="6">
        <v>35</v>
      </c>
      <c r="K58" s="6">
        <v>32.777777</v>
      </c>
      <c r="L58" s="6">
        <v>33.823529000000001</v>
      </c>
      <c r="M58" s="6">
        <v>34.318181000000003</v>
      </c>
      <c r="N58" s="6">
        <v>35</v>
      </c>
      <c r="O58" s="6">
        <v>35</v>
      </c>
      <c r="P58" s="6">
        <v>35.192307</v>
      </c>
      <c r="Q58" s="6">
        <v>39.560809999999996</v>
      </c>
      <c r="R58" s="6">
        <v>39.612546000000002</v>
      </c>
      <c r="S58" s="6">
        <v>39.702897999999998</v>
      </c>
      <c r="T58" s="6">
        <v>37.594695999999999</v>
      </c>
      <c r="U58" s="6">
        <v>37.122718999999996</v>
      </c>
      <c r="V58" s="6">
        <v>37.548872000000003</v>
      </c>
    </row>
    <row r="59" spans="2:22">
      <c r="B59" s="6">
        <v>25277</v>
      </c>
      <c r="C59" s="6" t="s">
        <v>60</v>
      </c>
      <c r="D59" s="6">
        <v>20700</v>
      </c>
      <c r="E59" s="6" t="s">
        <v>15</v>
      </c>
      <c r="F59" s="6" t="s">
        <v>17</v>
      </c>
      <c r="G59" s="6" t="s">
        <v>1294</v>
      </c>
      <c r="H59" s="6">
        <v>35</v>
      </c>
      <c r="I59" s="6">
        <v>35</v>
      </c>
      <c r="J59" s="6">
        <v>35</v>
      </c>
      <c r="K59" s="6">
        <v>35</v>
      </c>
      <c r="L59" s="6">
        <v>35</v>
      </c>
      <c r="M59" s="6">
        <v>35</v>
      </c>
      <c r="N59" s="6">
        <v>35</v>
      </c>
      <c r="O59" s="6">
        <v>35.032466999999997</v>
      </c>
      <c r="P59" s="6">
        <v>35.15748</v>
      </c>
      <c r="Q59" s="6">
        <v>35.125</v>
      </c>
      <c r="R59" s="6">
        <v>35.188679</v>
      </c>
      <c r="S59" s="6">
        <v>35.358490000000003</v>
      </c>
      <c r="T59" s="6">
        <v>37.594695999999999</v>
      </c>
      <c r="U59" s="6">
        <v>37.122718999999996</v>
      </c>
      <c r="V59" s="6">
        <v>37.548872000000003</v>
      </c>
    </row>
    <row r="60" spans="2:22">
      <c r="B60" s="6">
        <v>25277</v>
      </c>
      <c r="C60" s="6" t="s">
        <v>60</v>
      </c>
      <c r="D60" s="6">
        <v>23100</v>
      </c>
      <c r="E60" s="6" t="s">
        <v>54</v>
      </c>
      <c r="F60" s="6" t="s">
        <v>16</v>
      </c>
      <c r="G60" s="6" t="s">
        <v>1295</v>
      </c>
      <c r="H60" s="6">
        <v>20</v>
      </c>
      <c r="I60" s="6">
        <v>20</v>
      </c>
      <c r="J60" s="6">
        <v>20</v>
      </c>
      <c r="K60" s="6">
        <v>20</v>
      </c>
      <c r="L60" s="6">
        <v>20</v>
      </c>
      <c r="M60" s="6">
        <v>20</v>
      </c>
      <c r="N60" s="6">
        <v>19.069766999999999</v>
      </c>
      <c r="O60" s="6">
        <v>18.208955</v>
      </c>
      <c r="P60" s="6">
        <v>18.689516000000001</v>
      </c>
      <c r="Q60" s="6">
        <v>17.533783</v>
      </c>
      <c r="R60" s="6">
        <v>16.700679999999998</v>
      </c>
      <c r="S60" s="6">
        <v>17.127882</v>
      </c>
      <c r="T60" s="6">
        <v>17.533783</v>
      </c>
      <c r="U60" s="6">
        <v>16.700679999999998</v>
      </c>
      <c r="V60" s="6">
        <v>17.127882</v>
      </c>
    </row>
    <row r="61" spans="2:22">
      <c r="B61" s="6">
        <v>25278</v>
      </c>
      <c r="C61" s="6" t="s">
        <v>61</v>
      </c>
      <c r="D61" s="6">
        <v>20700</v>
      </c>
      <c r="E61" s="6" t="s">
        <v>15</v>
      </c>
      <c r="F61" s="6" t="s">
        <v>16</v>
      </c>
      <c r="G61" s="6" t="s">
        <v>1295</v>
      </c>
      <c r="H61" s="6">
        <v>0</v>
      </c>
      <c r="I61" s="6">
        <v>0</v>
      </c>
      <c r="J61" s="6">
        <v>47.5</v>
      </c>
      <c r="K61" s="6">
        <v>0</v>
      </c>
      <c r="L61" s="6">
        <v>0</v>
      </c>
      <c r="M61" s="6">
        <v>48.571427999999997</v>
      </c>
      <c r="N61" s="6">
        <v>0</v>
      </c>
      <c r="O61" s="6">
        <v>50</v>
      </c>
      <c r="P61" s="6">
        <v>48.8</v>
      </c>
      <c r="Q61" s="6">
        <v>0</v>
      </c>
      <c r="R61" s="6">
        <v>50</v>
      </c>
      <c r="S61" s="6">
        <v>48.8</v>
      </c>
      <c r="T61" s="6">
        <v>51.973683999999999</v>
      </c>
      <c r="U61" s="6">
        <v>53.303249000000001</v>
      </c>
      <c r="V61" s="6">
        <v>52.798012999999997</v>
      </c>
    </row>
    <row r="62" spans="2:22">
      <c r="B62" s="6">
        <v>25278</v>
      </c>
      <c r="C62" s="6" t="s">
        <v>61</v>
      </c>
      <c r="D62" s="6">
        <v>20700</v>
      </c>
      <c r="E62" s="6" t="s">
        <v>15</v>
      </c>
      <c r="F62" s="6" t="s">
        <v>17</v>
      </c>
      <c r="G62" s="6" t="s">
        <v>1294</v>
      </c>
      <c r="H62" s="6">
        <v>35</v>
      </c>
      <c r="I62" s="6">
        <v>35</v>
      </c>
      <c r="J62" s="6">
        <v>35.652172999999998</v>
      </c>
      <c r="K62" s="6">
        <v>35</v>
      </c>
      <c r="L62" s="6">
        <v>35.072462999999999</v>
      </c>
      <c r="M62" s="6">
        <v>35.325203000000002</v>
      </c>
      <c r="N62" s="6">
        <v>35</v>
      </c>
      <c r="O62" s="6">
        <v>35.032466999999997</v>
      </c>
      <c r="P62" s="6">
        <v>35.15748</v>
      </c>
      <c r="Q62" s="6">
        <v>35.125</v>
      </c>
      <c r="R62" s="6">
        <v>35.188679</v>
      </c>
      <c r="S62" s="6">
        <v>35.358490000000003</v>
      </c>
      <c r="T62" s="6">
        <v>37.594695999999999</v>
      </c>
      <c r="U62" s="6">
        <v>37.122718999999996</v>
      </c>
      <c r="V62" s="6">
        <v>37.548872000000003</v>
      </c>
    </row>
    <row r="63" spans="2:22">
      <c r="B63" s="6">
        <v>25278</v>
      </c>
      <c r="C63" s="6" t="s">
        <v>61</v>
      </c>
      <c r="D63" s="6">
        <v>23100</v>
      </c>
      <c r="E63" s="6" t="s">
        <v>54</v>
      </c>
      <c r="F63" s="6" t="s">
        <v>16</v>
      </c>
      <c r="G63" s="6" t="s">
        <v>1295</v>
      </c>
      <c r="H63" s="6">
        <v>0</v>
      </c>
      <c r="I63" s="6">
        <v>0</v>
      </c>
      <c r="J63" s="6">
        <v>20</v>
      </c>
      <c r="K63" s="6">
        <v>15</v>
      </c>
      <c r="L63" s="6">
        <v>15</v>
      </c>
      <c r="M63" s="6">
        <v>16.617647000000002</v>
      </c>
      <c r="N63" s="6">
        <v>19.069766999999999</v>
      </c>
      <c r="O63" s="6">
        <v>18.208955</v>
      </c>
      <c r="P63" s="6">
        <v>18.689516000000001</v>
      </c>
      <c r="Q63" s="6">
        <v>17.533783</v>
      </c>
      <c r="R63" s="6">
        <v>16.700679999999998</v>
      </c>
      <c r="S63" s="6">
        <v>17.127882</v>
      </c>
      <c r="T63" s="6">
        <v>17.533783</v>
      </c>
      <c r="U63" s="6">
        <v>16.700679999999998</v>
      </c>
      <c r="V63" s="6">
        <v>17.127882</v>
      </c>
    </row>
    <row r="64" spans="2:22">
      <c r="B64" s="6">
        <v>25278</v>
      </c>
      <c r="C64" s="6" t="s">
        <v>61</v>
      </c>
      <c r="D64" s="6">
        <v>23100</v>
      </c>
      <c r="E64" s="6" t="s">
        <v>54</v>
      </c>
      <c r="F64" s="6" t="s">
        <v>13</v>
      </c>
      <c r="G64" s="6" t="s">
        <v>14</v>
      </c>
      <c r="H64" s="6">
        <v>15</v>
      </c>
      <c r="I64" s="6">
        <v>15</v>
      </c>
      <c r="J64" s="6">
        <v>15</v>
      </c>
      <c r="K64" s="6">
        <v>15</v>
      </c>
      <c r="L64" s="6">
        <v>15</v>
      </c>
      <c r="M64" s="6">
        <v>15</v>
      </c>
      <c r="N64" s="6">
        <v>15</v>
      </c>
      <c r="O64" s="6">
        <v>15</v>
      </c>
      <c r="P64" s="6">
        <v>15</v>
      </c>
      <c r="Q64" s="6">
        <v>15</v>
      </c>
      <c r="R64" s="6">
        <v>15</v>
      </c>
      <c r="S64" s="6">
        <v>15</v>
      </c>
      <c r="T64" s="6">
        <v>15</v>
      </c>
      <c r="U64" s="6">
        <v>15</v>
      </c>
      <c r="V64" s="6">
        <v>15</v>
      </c>
    </row>
    <row r="65" spans="2:22">
      <c r="B65" s="6">
        <v>25279</v>
      </c>
      <c r="C65" s="6" t="s">
        <v>62</v>
      </c>
      <c r="D65" s="6">
        <v>23100</v>
      </c>
      <c r="E65" s="6" t="s">
        <v>54</v>
      </c>
      <c r="F65" s="6" t="s">
        <v>16</v>
      </c>
      <c r="G65" s="6" t="s">
        <v>1295</v>
      </c>
      <c r="H65" s="6">
        <v>0</v>
      </c>
      <c r="I65" s="6">
        <v>0</v>
      </c>
      <c r="J65" s="6">
        <v>20</v>
      </c>
      <c r="K65" s="6">
        <v>0</v>
      </c>
      <c r="L65" s="6">
        <v>0</v>
      </c>
      <c r="M65" s="6">
        <v>20</v>
      </c>
      <c r="N65" s="6">
        <v>19.069766999999999</v>
      </c>
      <c r="O65" s="6">
        <v>18.208955</v>
      </c>
      <c r="P65" s="6">
        <v>18.689516000000001</v>
      </c>
      <c r="Q65" s="6">
        <v>17.533783</v>
      </c>
      <c r="R65" s="6">
        <v>16.700679999999998</v>
      </c>
      <c r="S65" s="6">
        <v>17.127882</v>
      </c>
      <c r="T65" s="6">
        <v>17.533783</v>
      </c>
      <c r="U65" s="6">
        <v>16.700679999999998</v>
      </c>
      <c r="V65" s="6">
        <v>17.127882</v>
      </c>
    </row>
    <row r="66" spans="2:22">
      <c r="B66" s="6">
        <v>25279</v>
      </c>
      <c r="C66" s="6" t="s">
        <v>62</v>
      </c>
      <c r="D66" s="6">
        <v>23100</v>
      </c>
      <c r="E66" s="6" t="s">
        <v>54</v>
      </c>
      <c r="F66" s="6" t="s">
        <v>13</v>
      </c>
      <c r="G66" s="6" t="s">
        <v>14</v>
      </c>
      <c r="H66" s="6">
        <v>15</v>
      </c>
      <c r="I66" s="6">
        <v>15</v>
      </c>
      <c r="J66" s="6">
        <v>15</v>
      </c>
      <c r="K66" s="6">
        <v>15</v>
      </c>
      <c r="L66" s="6">
        <v>15</v>
      </c>
      <c r="M66" s="6">
        <v>15</v>
      </c>
      <c r="N66" s="6">
        <v>15</v>
      </c>
      <c r="O66" s="6">
        <v>15</v>
      </c>
      <c r="P66" s="6">
        <v>15</v>
      </c>
      <c r="Q66" s="6">
        <v>15</v>
      </c>
      <c r="R66" s="6">
        <v>15</v>
      </c>
      <c r="S66" s="6">
        <v>15</v>
      </c>
      <c r="T66" s="6">
        <v>15</v>
      </c>
      <c r="U66" s="6">
        <v>15</v>
      </c>
      <c r="V66" s="6">
        <v>15</v>
      </c>
    </row>
    <row r="67" spans="2:22">
      <c r="B67" s="6">
        <v>25279</v>
      </c>
      <c r="C67" s="6" t="s">
        <v>62</v>
      </c>
      <c r="D67" s="6">
        <v>23200</v>
      </c>
      <c r="E67" s="6" t="s">
        <v>63</v>
      </c>
      <c r="F67" s="6" t="s">
        <v>16</v>
      </c>
      <c r="G67" s="6" t="s">
        <v>1295</v>
      </c>
      <c r="H67" s="6">
        <v>0</v>
      </c>
      <c r="I67" s="6">
        <v>0</v>
      </c>
      <c r="J67" s="6">
        <v>20</v>
      </c>
      <c r="K67" s="6">
        <v>0</v>
      </c>
      <c r="L67" s="6">
        <v>0</v>
      </c>
      <c r="M67" s="6">
        <v>20</v>
      </c>
      <c r="N67" s="6">
        <v>20</v>
      </c>
      <c r="O67" s="6">
        <v>20</v>
      </c>
      <c r="P67" s="6">
        <v>20</v>
      </c>
      <c r="Q67" s="6">
        <v>20</v>
      </c>
      <c r="R67" s="6">
        <v>20</v>
      </c>
      <c r="S67" s="6">
        <v>20</v>
      </c>
      <c r="T67" s="6">
        <v>20</v>
      </c>
      <c r="U67" s="6">
        <v>20</v>
      </c>
      <c r="V67" s="6">
        <v>20</v>
      </c>
    </row>
    <row r="68" spans="2:22">
      <c r="B68" s="6">
        <v>25279</v>
      </c>
      <c r="C68" s="6" t="s">
        <v>62</v>
      </c>
      <c r="D68" s="6">
        <v>23200</v>
      </c>
      <c r="E68" s="6" t="s">
        <v>63</v>
      </c>
      <c r="F68" s="6" t="s">
        <v>13</v>
      </c>
      <c r="G68" s="6" t="s">
        <v>14</v>
      </c>
      <c r="H68" s="6">
        <v>15</v>
      </c>
      <c r="I68" s="6">
        <v>15</v>
      </c>
      <c r="J68" s="6">
        <v>15</v>
      </c>
      <c r="K68" s="6">
        <v>15</v>
      </c>
      <c r="L68" s="6">
        <v>15</v>
      </c>
      <c r="M68" s="6">
        <v>15</v>
      </c>
      <c r="N68" s="6">
        <v>15</v>
      </c>
      <c r="O68" s="6">
        <v>15</v>
      </c>
      <c r="P68" s="6">
        <v>15</v>
      </c>
      <c r="Q68" s="6">
        <v>15</v>
      </c>
      <c r="R68" s="6">
        <v>15</v>
      </c>
      <c r="S68" s="6">
        <v>15</v>
      </c>
      <c r="T68" s="6">
        <v>15</v>
      </c>
      <c r="U68" s="6">
        <v>15</v>
      </c>
      <c r="V68" s="6">
        <v>15</v>
      </c>
    </row>
    <row r="69" spans="2:22">
      <c r="B69" s="6">
        <v>25280</v>
      </c>
      <c r="C69" s="6" t="s">
        <v>64</v>
      </c>
      <c r="D69" s="6">
        <v>23100</v>
      </c>
      <c r="E69" s="6" t="s">
        <v>54</v>
      </c>
      <c r="F69" s="6" t="s">
        <v>16</v>
      </c>
      <c r="G69" s="6" t="s">
        <v>1295</v>
      </c>
      <c r="H69" s="6">
        <v>20</v>
      </c>
      <c r="I69" s="6">
        <v>20</v>
      </c>
      <c r="J69" s="6">
        <v>20</v>
      </c>
      <c r="K69" s="6">
        <v>20</v>
      </c>
      <c r="L69" s="6">
        <v>20</v>
      </c>
      <c r="M69" s="6">
        <v>20</v>
      </c>
      <c r="N69" s="6">
        <v>19.069766999999999</v>
      </c>
      <c r="O69" s="6">
        <v>18.208955</v>
      </c>
      <c r="P69" s="6">
        <v>18.689516000000001</v>
      </c>
      <c r="Q69" s="6">
        <v>17.533783</v>
      </c>
      <c r="R69" s="6">
        <v>16.700679999999998</v>
      </c>
      <c r="S69" s="6">
        <v>17.127882</v>
      </c>
      <c r="T69" s="6">
        <v>17.533783</v>
      </c>
      <c r="U69" s="6">
        <v>16.700679999999998</v>
      </c>
      <c r="V69" s="6">
        <v>17.127882</v>
      </c>
    </row>
    <row r="70" spans="2:22">
      <c r="B70" s="6">
        <v>25280</v>
      </c>
      <c r="C70" s="6" t="s">
        <v>64</v>
      </c>
      <c r="D70" s="6">
        <v>23100</v>
      </c>
      <c r="E70" s="6" t="s">
        <v>54</v>
      </c>
      <c r="F70" s="6" t="s">
        <v>13</v>
      </c>
      <c r="G70" s="6" t="s">
        <v>14</v>
      </c>
      <c r="H70" s="6">
        <v>0</v>
      </c>
      <c r="I70" s="6">
        <v>15</v>
      </c>
      <c r="J70" s="6">
        <v>15</v>
      </c>
      <c r="K70" s="6">
        <v>0</v>
      </c>
      <c r="L70" s="6">
        <v>15</v>
      </c>
      <c r="M70" s="6">
        <v>15</v>
      </c>
      <c r="N70" s="6">
        <v>15</v>
      </c>
      <c r="O70" s="6">
        <v>15</v>
      </c>
      <c r="P70" s="6">
        <v>15</v>
      </c>
      <c r="Q70" s="6">
        <v>15</v>
      </c>
      <c r="R70" s="6">
        <v>15</v>
      </c>
      <c r="S70" s="6">
        <v>15</v>
      </c>
      <c r="T70" s="6">
        <v>15</v>
      </c>
      <c r="U70" s="6">
        <v>15</v>
      </c>
      <c r="V70" s="6">
        <v>15</v>
      </c>
    </row>
    <row r="71" spans="2:22">
      <c r="B71" s="6">
        <v>25280</v>
      </c>
      <c r="C71" s="6" t="s">
        <v>64</v>
      </c>
      <c r="D71" s="6">
        <v>23200</v>
      </c>
      <c r="E71" s="6" t="s">
        <v>63</v>
      </c>
      <c r="F71" s="6" t="s">
        <v>16</v>
      </c>
      <c r="G71" s="6" t="s">
        <v>1295</v>
      </c>
      <c r="H71" s="6">
        <v>20</v>
      </c>
      <c r="I71" s="6">
        <v>20</v>
      </c>
      <c r="J71" s="6">
        <v>20</v>
      </c>
      <c r="K71" s="6">
        <v>20</v>
      </c>
      <c r="L71" s="6">
        <v>20</v>
      </c>
      <c r="M71" s="6">
        <v>20</v>
      </c>
      <c r="N71" s="6">
        <v>20</v>
      </c>
      <c r="O71" s="6">
        <v>20</v>
      </c>
      <c r="P71" s="6">
        <v>20</v>
      </c>
      <c r="Q71" s="6">
        <v>20</v>
      </c>
      <c r="R71" s="6">
        <v>20</v>
      </c>
      <c r="S71" s="6">
        <v>20</v>
      </c>
      <c r="T71" s="6">
        <v>20</v>
      </c>
      <c r="U71" s="6">
        <v>20</v>
      </c>
      <c r="V71" s="6">
        <v>20</v>
      </c>
    </row>
    <row r="72" spans="2:22">
      <c r="B72" s="6">
        <v>25280</v>
      </c>
      <c r="C72" s="6" t="s">
        <v>64</v>
      </c>
      <c r="D72" s="6">
        <v>23200</v>
      </c>
      <c r="E72" s="6" t="s">
        <v>63</v>
      </c>
      <c r="F72" s="6" t="s">
        <v>13</v>
      </c>
      <c r="G72" s="6" t="s">
        <v>14</v>
      </c>
      <c r="H72" s="6">
        <v>0</v>
      </c>
      <c r="I72" s="6">
        <v>15</v>
      </c>
      <c r="J72" s="6">
        <v>15</v>
      </c>
      <c r="K72" s="6">
        <v>0</v>
      </c>
      <c r="L72" s="6">
        <v>15</v>
      </c>
      <c r="M72" s="6">
        <v>15</v>
      </c>
      <c r="N72" s="6">
        <v>15</v>
      </c>
      <c r="O72" s="6">
        <v>15</v>
      </c>
      <c r="P72" s="6">
        <v>15</v>
      </c>
      <c r="Q72" s="6">
        <v>15</v>
      </c>
      <c r="R72" s="6">
        <v>15</v>
      </c>
      <c r="S72" s="6">
        <v>15</v>
      </c>
      <c r="T72" s="6">
        <v>15</v>
      </c>
      <c r="U72" s="6">
        <v>15</v>
      </c>
      <c r="V72" s="6">
        <v>15</v>
      </c>
    </row>
    <row r="73" spans="2:22">
      <c r="B73" s="6">
        <v>25280</v>
      </c>
      <c r="C73" s="6" t="s">
        <v>64</v>
      </c>
      <c r="D73" s="6">
        <v>23300</v>
      </c>
      <c r="E73" s="6" t="s">
        <v>65</v>
      </c>
      <c r="F73" s="6" t="s">
        <v>16</v>
      </c>
      <c r="G73" s="6" t="s">
        <v>1295</v>
      </c>
      <c r="H73" s="6">
        <v>20</v>
      </c>
      <c r="I73" s="6">
        <v>20</v>
      </c>
      <c r="J73" s="6">
        <v>20</v>
      </c>
      <c r="K73" s="6">
        <v>20</v>
      </c>
      <c r="L73" s="6">
        <v>20</v>
      </c>
      <c r="M73" s="6">
        <v>20</v>
      </c>
      <c r="N73" s="6">
        <v>20</v>
      </c>
      <c r="O73" s="6">
        <v>20</v>
      </c>
      <c r="P73" s="6">
        <v>20</v>
      </c>
      <c r="Q73" s="6">
        <v>20</v>
      </c>
      <c r="R73" s="6">
        <v>20</v>
      </c>
      <c r="S73" s="6">
        <v>20</v>
      </c>
      <c r="T73" s="6">
        <v>20</v>
      </c>
      <c r="U73" s="6">
        <v>20</v>
      </c>
      <c r="V73" s="6">
        <v>20</v>
      </c>
    </row>
    <row r="74" spans="2:22">
      <c r="B74" s="6">
        <v>25280</v>
      </c>
      <c r="C74" s="6" t="s">
        <v>64</v>
      </c>
      <c r="D74" s="6">
        <v>23300</v>
      </c>
      <c r="E74" s="6" t="s">
        <v>65</v>
      </c>
      <c r="F74" s="6" t="s">
        <v>13</v>
      </c>
      <c r="G74" s="6" t="s">
        <v>14</v>
      </c>
      <c r="H74" s="6">
        <v>0</v>
      </c>
      <c r="I74" s="6">
        <v>15</v>
      </c>
      <c r="J74" s="6">
        <v>15</v>
      </c>
      <c r="K74" s="6">
        <v>0</v>
      </c>
      <c r="L74" s="6">
        <v>15</v>
      </c>
      <c r="M74" s="6">
        <v>15</v>
      </c>
      <c r="N74" s="6">
        <v>0</v>
      </c>
      <c r="O74" s="6">
        <v>15</v>
      </c>
      <c r="P74" s="6">
        <v>15</v>
      </c>
      <c r="Q74" s="6">
        <v>0</v>
      </c>
      <c r="R74" s="6">
        <v>15</v>
      </c>
      <c r="S74" s="6">
        <v>15</v>
      </c>
      <c r="T74" s="6">
        <v>0</v>
      </c>
      <c r="U74" s="6">
        <v>15</v>
      </c>
      <c r="V74" s="6">
        <v>15</v>
      </c>
    </row>
    <row r="75" spans="2:22">
      <c r="B75" s="6">
        <v>25293</v>
      </c>
      <c r="C75" s="6" t="s">
        <v>1035</v>
      </c>
      <c r="D75" s="6">
        <v>20300</v>
      </c>
      <c r="E75" s="6" t="s">
        <v>12</v>
      </c>
      <c r="F75" s="6" t="s">
        <v>13</v>
      </c>
      <c r="G75" s="6" t="s">
        <v>14</v>
      </c>
      <c r="H75" s="6">
        <v>30</v>
      </c>
      <c r="I75" s="6">
        <v>30</v>
      </c>
      <c r="J75" s="6">
        <v>30</v>
      </c>
      <c r="K75" s="6">
        <v>27.651897999999999</v>
      </c>
      <c r="L75" s="6">
        <v>28.025188</v>
      </c>
      <c r="M75" s="6">
        <v>28.089873000000001</v>
      </c>
      <c r="N75" s="6">
        <v>27.651897999999999</v>
      </c>
      <c r="O75" s="6">
        <v>28.025188</v>
      </c>
      <c r="P75" s="6">
        <v>28.089873000000001</v>
      </c>
      <c r="Q75" s="6">
        <v>27.651897999999999</v>
      </c>
      <c r="R75" s="6">
        <v>28.025188</v>
      </c>
      <c r="S75" s="6">
        <v>28.089873000000001</v>
      </c>
      <c r="T75" s="6">
        <v>27.651897999999999</v>
      </c>
      <c r="U75" s="6">
        <v>28.025188</v>
      </c>
      <c r="V75" s="6">
        <v>28.089873000000001</v>
      </c>
    </row>
    <row r="76" spans="2:22">
      <c r="B76" s="6">
        <v>25293</v>
      </c>
      <c r="C76" s="6" t="s">
        <v>1035</v>
      </c>
      <c r="D76" s="6">
        <v>20700</v>
      </c>
      <c r="E76" s="6" t="s">
        <v>15</v>
      </c>
      <c r="F76" s="6" t="s">
        <v>17</v>
      </c>
      <c r="G76" s="6" t="s">
        <v>1294</v>
      </c>
      <c r="H76" s="6">
        <v>40</v>
      </c>
      <c r="I76" s="6">
        <v>40</v>
      </c>
      <c r="J76" s="6">
        <v>40</v>
      </c>
      <c r="K76" s="6">
        <v>40</v>
      </c>
      <c r="L76" s="6">
        <v>40</v>
      </c>
      <c r="M76" s="6">
        <v>40</v>
      </c>
      <c r="N76" s="6">
        <v>40</v>
      </c>
      <c r="O76" s="6">
        <v>40</v>
      </c>
      <c r="P76" s="6">
        <v>40</v>
      </c>
      <c r="Q76" s="6">
        <v>39.560809999999996</v>
      </c>
      <c r="R76" s="6">
        <v>39.612546000000002</v>
      </c>
      <c r="S76" s="6">
        <v>39.702897999999998</v>
      </c>
      <c r="T76" s="6">
        <v>37.594695999999999</v>
      </c>
      <c r="U76" s="6">
        <v>37.122718999999996</v>
      </c>
      <c r="V76" s="6">
        <v>37.548872000000003</v>
      </c>
    </row>
    <row r="77" spans="2:22">
      <c r="B77" s="6">
        <v>25299</v>
      </c>
      <c r="C77" s="6" t="s">
        <v>1057</v>
      </c>
      <c r="D77" s="6">
        <v>20300</v>
      </c>
      <c r="E77" s="6" t="s">
        <v>12</v>
      </c>
      <c r="F77" s="6" t="s">
        <v>16</v>
      </c>
      <c r="G77" s="6" t="s">
        <v>1295</v>
      </c>
      <c r="H77" s="6">
        <v>30</v>
      </c>
      <c r="I77" s="6">
        <v>30</v>
      </c>
      <c r="J77" s="6">
        <v>30</v>
      </c>
      <c r="K77" s="6">
        <v>29.444444000000001</v>
      </c>
      <c r="L77" s="6">
        <v>26.333333</v>
      </c>
      <c r="M77" s="6">
        <v>27.477063999999999</v>
      </c>
      <c r="N77" s="6">
        <v>29.444444000000001</v>
      </c>
      <c r="O77" s="6">
        <v>26.333333</v>
      </c>
      <c r="P77" s="6">
        <v>27.477063999999999</v>
      </c>
      <c r="Q77" s="6">
        <v>29.444444000000001</v>
      </c>
      <c r="R77" s="6">
        <v>26.333333</v>
      </c>
      <c r="S77" s="6">
        <v>27.477063999999999</v>
      </c>
      <c r="T77" s="6">
        <v>29.444444000000001</v>
      </c>
      <c r="U77" s="6">
        <v>26.333333</v>
      </c>
      <c r="V77" s="6">
        <v>27.477063999999999</v>
      </c>
    </row>
    <row r="78" spans="2:22">
      <c r="B78" s="6">
        <v>25299</v>
      </c>
      <c r="C78" s="6" t="s">
        <v>1057</v>
      </c>
      <c r="D78" s="6">
        <v>20700</v>
      </c>
      <c r="E78" s="6" t="s">
        <v>15</v>
      </c>
      <c r="F78" s="6" t="s">
        <v>17</v>
      </c>
      <c r="G78" s="6" t="s">
        <v>1294</v>
      </c>
      <c r="H78" s="6">
        <v>40</v>
      </c>
      <c r="I78" s="6">
        <v>40</v>
      </c>
      <c r="J78" s="6">
        <v>40</v>
      </c>
      <c r="K78" s="6">
        <v>40</v>
      </c>
      <c r="L78" s="6">
        <v>40</v>
      </c>
      <c r="M78" s="6">
        <v>40</v>
      </c>
      <c r="N78" s="6">
        <v>40</v>
      </c>
      <c r="O78" s="6">
        <v>40</v>
      </c>
      <c r="P78" s="6">
        <v>40</v>
      </c>
      <c r="Q78" s="6">
        <v>39.560809999999996</v>
      </c>
      <c r="R78" s="6">
        <v>39.612546000000002</v>
      </c>
      <c r="S78" s="6">
        <v>39.702897999999998</v>
      </c>
      <c r="T78" s="6">
        <v>37.594695999999999</v>
      </c>
      <c r="U78" s="6">
        <v>37.122718999999996</v>
      </c>
      <c r="V78" s="6">
        <v>37.548872000000003</v>
      </c>
    </row>
    <row r="79" spans="2:22">
      <c r="B79" s="6">
        <v>25435</v>
      </c>
      <c r="C79" s="6" t="s">
        <v>1033</v>
      </c>
      <c r="D79" s="6">
        <v>20300</v>
      </c>
      <c r="E79" s="6" t="s">
        <v>12</v>
      </c>
      <c r="F79" s="6" t="s">
        <v>16</v>
      </c>
      <c r="G79" s="6" t="s">
        <v>1295</v>
      </c>
      <c r="H79" s="6">
        <v>30</v>
      </c>
      <c r="I79" s="6">
        <v>30</v>
      </c>
      <c r="J79" s="6">
        <v>30</v>
      </c>
      <c r="K79" s="6">
        <v>29.444444000000001</v>
      </c>
      <c r="L79" s="6">
        <v>26.333333</v>
      </c>
      <c r="M79" s="6">
        <v>27.477063999999999</v>
      </c>
      <c r="N79" s="6">
        <v>29.444444000000001</v>
      </c>
      <c r="O79" s="6">
        <v>26.333333</v>
      </c>
      <c r="P79" s="6">
        <v>27.477063999999999</v>
      </c>
      <c r="Q79" s="6">
        <v>29.444444000000001</v>
      </c>
      <c r="R79" s="6">
        <v>26.333333</v>
      </c>
      <c r="S79" s="6">
        <v>27.477063999999999</v>
      </c>
      <c r="T79" s="6">
        <v>29.444444000000001</v>
      </c>
      <c r="U79" s="6">
        <v>26.333333</v>
      </c>
      <c r="V79" s="6">
        <v>27.477063999999999</v>
      </c>
    </row>
    <row r="80" spans="2:22">
      <c r="B80" s="6">
        <v>25435</v>
      </c>
      <c r="C80" s="6" t="s">
        <v>1033</v>
      </c>
      <c r="D80" s="6">
        <v>20700</v>
      </c>
      <c r="E80" s="6" t="s">
        <v>15</v>
      </c>
      <c r="F80" s="6" t="s">
        <v>16</v>
      </c>
      <c r="G80" s="6" t="s">
        <v>1295</v>
      </c>
      <c r="H80" s="6">
        <v>50</v>
      </c>
      <c r="I80" s="6">
        <v>50</v>
      </c>
      <c r="J80" s="6">
        <v>50</v>
      </c>
      <c r="K80" s="6">
        <v>52.542372</v>
      </c>
      <c r="L80" s="6">
        <v>53.574218000000002</v>
      </c>
      <c r="M80" s="6">
        <v>53.574218000000002</v>
      </c>
      <c r="N80" s="6">
        <v>52.542372</v>
      </c>
      <c r="O80" s="6">
        <v>53.574218000000002</v>
      </c>
      <c r="P80" s="6">
        <v>53.574218000000002</v>
      </c>
      <c r="Q80" s="6">
        <v>51.973683999999999</v>
      </c>
      <c r="R80" s="6">
        <v>53.351647999999997</v>
      </c>
      <c r="S80" s="6">
        <v>53.158844000000002</v>
      </c>
      <c r="T80" s="6">
        <v>51.973683999999999</v>
      </c>
      <c r="U80" s="6">
        <v>53.303249000000001</v>
      </c>
      <c r="V80" s="6">
        <v>52.798012999999997</v>
      </c>
    </row>
    <row r="81" spans="2:22">
      <c r="B81" s="6">
        <v>25439</v>
      </c>
      <c r="C81" s="6" t="s">
        <v>1061</v>
      </c>
      <c r="D81" s="6">
        <v>20400</v>
      </c>
      <c r="E81" s="6" t="s">
        <v>34</v>
      </c>
      <c r="F81" s="6" t="s">
        <v>13</v>
      </c>
      <c r="G81" s="6" t="s">
        <v>14</v>
      </c>
      <c r="H81" s="6">
        <v>30</v>
      </c>
      <c r="I81" s="6">
        <v>30</v>
      </c>
      <c r="J81" s="6">
        <v>30</v>
      </c>
      <c r="K81" s="6">
        <v>27.058823</v>
      </c>
      <c r="L81" s="6">
        <v>27.058823</v>
      </c>
      <c r="M81" s="6">
        <v>27.058823</v>
      </c>
      <c r="N81" s="6">
        <v>27.058823</v>
      </c>
      <c r="O81" s="6">
        <v>27.368421000000001</v>
      </c>
      <c r="P81" s="6">
        <v>27.368421000000001</v>
      </c>
      <c r="Q81" s="6">
        <v>27.058823</v>
      </c>
      <c r="R81" s="6">
        <v>27.368421000000001</v>
      </c>
      <c r="S81" s="6">
        <v>27.368421000000001</v>
      </c>
      <c r="T81" s="6">
        <v>27.058823</v>
      </c>
      <c r="U81" s="6">
        <v>27.619046999999998</v>
      </c>
      <c r="V81" s="6">
        <v>27.619046999999998</v>
      </c>
    </row>
    <row r="82" spans="2:22">
      <c r="B82" s="6">
        <v>25439</v>
      </c>
      <c r="C82" s="6" t="s">
        <v>1061</v>
      </c>
      <c r="D82" s="6">
        <v>20500</v>
      </c>
      <c r="E82" s="6" t="s">
        <v>31</v>
      </c>
      <c r="F82" s="6" t="s">
        <v>13</v>
      </c>
      <c r="G82" s="6" t="s">
        <v>14</v>
      </c>
      <c r="H82" s="6">
        <v>30</v>
      </c>
      <c r="I82" s="6">
        <v>30</v>
      </c>
      <c r="J82" s="6">
        <v>30</v>
      </c>
      <c r="K82" s="6">
        <v>30</v>
      </c>
      <c r="L82" s="6">
        <v>30</v>
      </c>
      <c r="M82" s="6">
        <v>30</v>
      </c>
      <c r="N82" s="6">
        <v>28.947368000000001</v>
      </c>
      <c r="O82" s="6">
        <v>29.047619000000001</v>
      </c>
      <c r="P82" s="6">
        <v>29.230768999999999</v>
      </c>
      <c r="Q82" s="6">
        <v>28.947368000000001</v>
      </c>
      <c r="R82" s="6">
        <v>29.285713999999999</v>
      </c>
      <c r="S82" s="6">
        <v>29.393939</v>
      </c>
      <c r="T82" s="6">
        <v>28.409089999999999</v>
      </c>
      <c r="U82" s="6">
        <v>28.088235000000001</v>
      </c>
      <c r="V82" s="6">
        <v>22.096774</v>
      </c>
    </row>
    <row r="83" spans="2:22">
      <c r="B83" s="6">
        <v>25439</v>
      </c>
      <c r="C83" s="6" t="s">
        <v>1061</v>
      </c>
      <c r="D83" s="6">
        <v>20700</v>
      </c>
      <c r="E83" s="6" t="s">
        <v>15</v>
      </c>
      <c r="F83" s="6" t="s">
        <v>16</v>
      </c>
      <c r="G83" s="6" t="s">
        <v>1295</v>
      </c>
      <c r="H83" s="6">
        <v>50</v>
      </c>
      <c r="I83" s="6">
        <v>50</v>
      </c>
      <c r="J83" s="6">
        <v>50</v>
      </c>
      <c r="K83" s="6">
        <v>50</v>
      </c>
      <c r="L83" s="6">
        <v>50</v>
      </c>
      <c r="M83" s="6">
        <v>50</v>
      </c>
      <c r="N83" s="6">
        <v>50</v>
      </c>
      <c r="O83" s="6">
        <v>50</v>
      </c>
      <c r="P83" s="6">
        <v>48.095238000000002</v>
      </c>
      <c r="Q83" s="6">
        <v>51.973683999999999</v>
      </c>
      <c r="R83" s="6">
        <v>53.351647999999997</v>
      </c>
      <c r="S83" s="6">
        <v>53.158844000000002</v>
      </c>
      <c r="T83" s="6">
        <v>51.973683999999999</v>
      </c>
      <c r="U83" s="6">
        <v>53.303249000000001</v>
      </c>
      <c r="V83" s="6">
        <v>52.798012999999997</v>
      </c>
    </row>
    <row r="84" spans="2:22">
      <c r="B84" s="6">
        <v>25441</v>
      </c>
      <c r="C84" s="6" t="s">
        <v>1029</v>
      </c>
      <c r="D84" s="6">
        <v>20300</v>
      </c>
      <c r="E84" s="6" t="s">
        <v>12</v>
      </c>
      <c r="F84" s="6" t="s">
        <v>13</v>
      </c>
      <c r="G84" s="6" t="s">
        <v>14</v>
      </c>
      <c r="H84" s="6">
        <v>30</v>
      </c>
      <c r="I84" s="6">
        <v>30</v>
      </c>
      <c r="J84" s="6">
        <v>30</v>
      </c>
      <c r="K84" s="6">
        <v>27.651897999999999</v>
      </c>
      <c r="L84" s="6">
        <v>28.025188</v>
      </c>
      <c r="M84" s="6">
        <v>28.089873000000001</v>
      </c>
      <c r="N84" s="6">
        <v>27.651897999999999</v>
      </c>
      <c r="O84" s="6">
        <v>28.025188</v>
      </c>
      <c r="P84" s="6">
        <v>28.089873000000001</v>
      </c>
      <c r="Q84" s="6">
        <v>27.651897999999999</v>
      </c>
      <c r="R84" s="6">
        <v>28.025188</v>
      </c>
      <c r="S84" s="6">
        <v>28.089873000000001</v>
      </c>
      <c r="T84" s="6">
        <v>27.651897999999999</v>
      </c>
      <c r="U84" s="6">
        <v>28.025188</v>
      </c>
      <c r="V84" s="6">
        <v>28.089873000000001</v>
      </c>
    </row>
    <row r="85" spans="2:22">
      <c r="B85" s="6">
        <v>25441</v>
      </c>
      <c r="C85" s="6" t="s">
        <v>1029</v>
      </c>
      <c r="D85" s="6">
        <v>20700</v>
      </c>
      <c r="E85" s="6" t="s">
        <v>15</v>
      </c>
      <c r="F85" s="6" t="s">
        <v>16</v>
      </c>
      <c r="G85" s="6" t="s">
        <v>1295</v>
      </c>
      <c r="H85" s="6">
        <v>50</v>
      </c>
      <c r="I85" s="6">
        <v>50</v>
      </c>
      <c r="J85" s="6">
        <v>50</v>
      </c>
      <c r="K85" s="6">
        <v>52.542372</v>
      </c>
      <c r="L85" s="6">
        <v>53.574218000000002</v>
      </c>
      <c r="M85" s="6">
        <v>53.574218000000002</v>
      </c>
      <c r="N85" s="6">
        <v>52.542372</v>
      </c>
      <c r="O85" s="6">
        <v>53.574218000000002</v>
      </c>
      <c r="P85" s="6">
        <v>53.574218000000002</v>
      </c>
      <c r="Q85" s="6">
        <v>51.973683999999999</v>
      </c>
      <c r="R85" s="6">
        <v>53.351647999999997</v>
      </c>
      <c r="S85" s="6">
        <v>53.158844000000002</v>
      </c>
      <c r="T85" s="6">
        <v>51.973683999999999</v>
      </c>
      <c r="U85" s="6">
        <v>53.303249000000001</v>
      </c>
      <c r="V85" s="6">
        <v>52.798012999999997</v>
      </c>
    </row>
    <row r="86" spans="2:22">
      <c r="B86" s="6">
        <v>25442</v>
      </c>
      <c r="C86" s="6" t="s">
        <v>1032</v>
      </c>
      <c r="D86" s="6">
        <v>20400</v>
      </c>
      <c r="E86" s="6" t="s">
        <v>34</v>
      </c>
      <c r="F86" s="6" t="s">
        <v>13</v>
      </c>
      <c r="G86" s="6" t="s">
        <v>14</v>
      </c>
      <c r="H86" s="6">
        <v>30</v>
      </c>
      <c r="I86" s="6">
        <v>30</v>
      </c>
      <c r="J86" s="6">
        <v>30</v>
      </c>
      <c r="K86" s="6">
        <v>27.058823</v>
      </c>
      <c r="L86" s="6">
        <v>27.058823</v>
      </c>
      <c r="M86" s="6">
        <v>27.058823</v>
      </c>
      <c r="N86" s="6">
        <v>27.058823</v>
      </c>
      <c r="O86" s="6">
        <v>27.368421000000001</v>
      </c>
      <c r="P86" s="6">
        <v>27.368421000000001</v>
      </c>
      <c r="Q86" s="6">
        <v>27.058823</v>
      </c>
      <c r="R86" s="6">
        <v>27.368421000000001</v>
      </c>
      <c r="S86" s="6">
        <v>27.368421000000001</v>
      </c>
      <c r="T86" s="6">
        <v>27.058823</v>
      </c>
      <c r="U86" s="6">
        <v>27.619046999999998</v>
      </c>
      <c r="V86" s="6">
        <v>27.619046999999998</v>
      </c>
    </row>
    <row r="87" spans="2:22">
      <c r="B87" s="6">
        <v>25442</v>
      </c>
      <c r="C87" s="6" t="s">
        <v>1032</v>
      </c>
      <c r="D87" s="6">
        <v>20500</v>
      </c>
      <c r="E87" s="6" t="s">
        <v>31</v>
      </c>
      <c r="F87" s="6" t="s">
        <v>13</v>
      </c>
      <c r="G87" s="6" t="s">
        <v>14</v>
      </c>
      <c r="H87" s="6">
        <v>30</v>
      </c>
      <c r="I87" s="6">
        <v>30</v>
      </c>
      <c r="J87" s="6">
        <v>30</v>
      </c>
      <c r="K87" s="6">
        <v>30</v>
      </c>
      <c r="L87" s="6">
        <v>30</v>
      </c>
      <c r="M87" s="6">
        <v>30</v>
      </c>
      <c r="N87" s="6">
        <v>28.947368000000001</v>
      </c>
      <c r="O87" s="6">
        <v>29.047619000000001</v>
      </c>
      <c r="P87" s="6">
        <v>29.230768999999999</v>
      </c>
      <c r="Q87" s="6">
        <v>28.947368000000001</v>
      </c>
      <c r="R87" s="6">
        <v>29.285713999999999</v>
      </c>
      <c r="S87" s="6">
        <v>29.393939</v>
      </c>
      <c r="T87" s="6">
        <v>28.409089999999999</v>
      </c>
      <c r="U87" s="6">
        <v>28.088235000000001</v>
      </c>
      <c r="V87" s="6">
        <v>22.096774</v>
      </c>
    </row>
    <row r="88" spans="2:22">
      <c r="B88" s="6">
        <v>25442</v>
      </c>
      <c r="C88" s="6" t="s">
        <v>1032</v>
      </c>
      <c r="D88" s="6">
        <v>20700</v>
      </c>
      <c r="E88" s="6" t="s">
        <v>15</v>
      </c>
      <c r="F88" s="6" t="s">
        <v>16</v>
      </c>
      <c r="G88" s="6" t="s">
        <v>1295</v>
      </c>
      <c r="H88" s="6">
        <v>50</v>
      </c>
      <c r="I88" s="6">
        <v>50</v>
      </c>
      <c r="J88" s="6">
        <v>50</v>
      </c>
      <c r="K88" s="6">
        <v>50</v>
      </c>
      <c r="L88" s="6">
        <v>50</v>
      </c>
      <c r="M88" s="6">
        <v>50</v>
      </c>
      <c r="N88" s="6">
        <v>50</v>
      </c>
      <c r="O88" s="6">
        <v>50</v>
      </c>
      <c r="P88" s="6">
        <v>48.095238000000002</v>
      </c>
      <c r="Q88" s="6">
        <v>51.973683999999999</v>
      </c>
      <c r="R88" s="6">
        <v>53.351647999999997</v>
      </c>
      <c r="S88" s="6">
        <v>53.158844000000002</v>
      </c>
      <c r="T88" s="6">
        <v>51.973683999999999</v>
      </c>
      <c r="U88" s="6">
        <v>53.303249000000001</v>
      </c>
      <c r="V88" s="6">
        <v>52.798012999999997</v>
      </c>
    </row>
    <row r="89" spans="2:22">
      <c r="B89" s="6">
        <v>25495</v>
      </c>
      <c r="C89" s="6" t="s">
        <v>66</v>
      </c>
      <c r="D89" s="6">
        <v>20700</v>
      </c>
      <c r="E89" s="6" t="s">
        <v>15</v>
      </c>
      <c r="F89" s="6" t="s">
        <v>16</v>
      </c>
      <c r="G89" s="6" t="s">
        <v>1295</v>
      </c>
      <c r="H89" s="6">
        <v>0</v>
      </c>
      <c r="I89" s="6">
        <v>0</v>
      </c>
      <c r="J89" s="6">
        <v>50</v>
      </c>
      <c r="K89" s="6">
        <v>0</v>
      </c>
      <c r="L89" s="6">
        <v>0</v>
      </c>
      <c r="M89" s="6">
        <v>48.571427999999997</v>
      </c>
      <c r="N89" s="6">
        <v>0</v>
      </c>
      <c r="O89" s="6">
        <v>50</v>
      </c>
      <c r="P89" s="6">
        <v>48.8</v>
      </c>
      <c r="Q89" s="6">
        <v>0</v>
      </c>
      <c r="R89" s="6">
        <v>50</v>
      </c>
      <c r="S89" s="6">
        <v>48.8</v>
      </c>
      <c r="T89" s="6">
        <v>51.973683999999999</v>
      </c>
      <c r="U89" s="6">
        <v>53.303249000000001</v>
      </c>
      <c r="V89" s="6">
        <v>52.798012999999997</v>
      </c>
    </row>
    <row r="90" spans="2:22">
      <c r="B90" s="6">
        <v>25495</v>
      </c>
      <c r="C90" s="6" t="s">
        <v>66</v>
      </c>
      <c r="D90" s="6">
        <v>20700</v>
      </c>
      <c r="E90" s="6" t="s">
        <v>15</v>
      </c>
      <c r="F90" s="6" t="s">
        <v>17</v>
      </c>
      <c r="G90" s="6" t="s">
        <v>1294</v>
      </c>
      <c r="H90" s="6">
        <v>35</v>
      </c>
      <c r="I90" s="6">
        <v>35</v>
      </c>
      <c r="J90" s="6">
        <v>35</v>
      </c>
      <c r="K90" s="6">
        <v>35</v>
      </c>
      <c r="L90" s="6">
        <v>35.072462999999999</v>
      </c>
      <c r="M90" s="6">
        <v>35.325203000000002</v>
      </c>
      <c r="N90" s="6">
        <v>35</v>
      </c>
      <c r="O90" s="6">
        <v>35.032466999999997</v>
      </c>
      <c r="P90" s="6">
        <v>35.15748</v>
      </c>
      <c r="Q90" s="6">
        <v>35.125</v>
      </c>
      <c r="R90" s="6">
        <v>35.188679</v>
      </c>
      <c r="S90" s="6">
        <v>35.358490000000003</v>
      </c>
      <c r="T90" s="6">
        <v>37.594695999999999</v>
      </c>
      <c r="U90" s="6">
        <v>37.122718999999996</v>
      </c>
      <c r="V90" s="6">
        <v>37.548872000000003</v>
      </c>
    </row>
    <row r="91" spans="2:22">
      <c r="B91" s="6">
        <v>26030</v>
      </c>
      <c r="C91" s="6" t="s">
        <v>1040</v>
      </c>
      <c r="D91" s="6">
        <v>20300</v>
      </c>
      <c r="E91" s="6" t="s">
        <v>12</v>
      </c>
      <c r="F91" s="6" t="s">
        <v>16</v>
      </c>
      <c r="G91" s="6" t="s">
        <v>1295</v>
      </c>
      <c r="H91" s="6">
        <v>30</v>
      </c>
      <c r="I91" s="6">
        <v>30</v>
      </c>
      <c r="J91" s="6">
        <v>30</v>
      </c>
      <c r="K91" s="6">
        <v>29.444444000000001</v>
      </c>
      <c r="L91" s="6">
        <v>26.333333</v>
      </c>
      <c r="M91" s="6">
        <v>27.477063999999999</v>
      </c>
      <c r="N91" s="6">
        <v>29.444444000000001</v>
      </c>
      <c r="O91" s="6">
        <v>26.333333</v>
      </c>
      <c r="P91" s="6">
        <v>27.477063999999999</v>
      </c>
      <c r="Q91" s="6">
        <v>29.444444000000001</v>
      </c>
      <c r="R91" s="6">
        <v>26.333333</v>
      </c>
      <c r="S91" s="6">
        <v>27.477063999999999</v>
      </c>
      <c r="T91" s="6">
        <v>29.444444000000001</v>
      </c>
      <c r="U91" s="6">
        <v>26.333333</v>
      </c>
      <c r="V91" s="6">
        <v>27.477063999999999</v>
      </c>
    </row>
    <row r="92" spans="2:22">
      <c r="B92" s="6">
        <v>26030</v>
      </c>
      <c r="C92" s="6" t="s">
        <v>1040</v>
      </c>
      <c r="D92" s="6">
        <v>20300</v>
      </c>
      <c r="E92" s="6" t="s">
        <v>12</v>
      </c>
      <c r="F92" s="6" t="s">
        <v>13</v>
      </c>
      <c r="G92" s="6" t="s">
        <v>14</v>
      </c>
      <c r="H92" s="6">
        <v>20</v>
      </c>
      <c r="I92" s="6">
        <v>20</v>
      </c>
      <c r="J92" s="6">
        <v>20</v>
      </c>
      <c r="K92" s="6">
        <v>27.651897999999999</v>
      </c>
      <c r="L92" s="6">
        <v>28.025188</v>
      </c>
      <c r="M92" s="6">
        <v>28.089873000000001</v>
      </c>
      <c r="N92" s="6">
        <v>27.651897999999999</v>
      </c>
      <c r="O92" s="6">
        <v>28.025188</v>
      </c>
      <c r="P92" s="6">
        <v>28.089873000000001</v>
      </c>
      <c r="Q92" s="6">
        <v>27.651897999999999</v>
      </c>
      <c r="R92" s="6">
        <v>28.025188</v>
      </c>
      <c r="S92" s="6">
        <v>28.089873000000001</v>
      </c>
      <c r="T92" s="6">
        <v>27.651897999999999</v>
      </c>
      <c r="U92" s="6">
        <v>28.025188</v>
      </c>
      <c r="V92" s="6">
        <v>28.089873000000001</v>
      </c>
    </row>
    <row r="93" spans="2:22">
      <c r="B93" s="6">
        <v>26030</v>
      </c>
      <c r="C93" s="6" t="s">
        <v>1040</v>
      </c>
      <c r="D93" s="6">
        <v>20700</v>
      </c>
      <c r="E93" s="6" t="s">
        <v>15</v>
      </c>
      <c r="F93" s="6" t="s">
        <v>16</v>
      </c>
      <c r="G93" s="6" t="s">
        <v>1295</v>
      </c>
      <c r="H93" s="6">
        <v>55</v>
      </c>
      <c r="I93" s="6">
        <v>55</v>
      </c>
      <c r="J93" s="6">
        <v>55</v>
      </c>
      <c r="K93" s="6">
        <v>52.542372</v>
      </c>
      <c r="L93" s="6">
        <v>53.574218000000002</v>
      </c>
      <c r="M93" s="6">
        <v>53.574218000000002</v>
      </c>
      <c r="N93" s="6">
        <v>52.542372</v>
      </c>
      <c r="O93" s="6">
        <v>53.574218000000002</v>
      </c>
      <c r="P93" s="6">
        <v>53.574218000000002</v>
      </c>
      <c r="Q93" s="6">
        <v>51.973683999999999</v>
      </c>
      <c r="R93" s="6">
        <v>53.351647999999997</v>
      </c>
      <c r="S93" s="6">
        <v>53.158844000000002</v>
      </c>
      <c r="T93" s="6">
        <v>51.973683999999999</v>
      </c>
      <c r="U93" s="6">
        <v>53.303249000000001</v>
      </c>
      <c r="V93" s="6">
        <v>52.798012999999997</v>
      </c>
    </row>
    <row r="94" spans="2:22">
      <c r="B94" s="6">
        <v>26030</v>
      </c>
      <c r="C94" s="6" t="s">
        <v>1040</v>
      </c>
      <c r="D94" s="6">
        <v>20700</v>
      </c>
      <c r="E94" s="6" t="s">
        <v>15</v>
      </c>
      <c r="F94" s="6" t="s">
        <v>17</v>
      </c>
      <c r="G94" s="6" t="s">
        <v>1294</v>
      </c>
      <c r="H94" s="6">
        <v>40</v>
      </c>
      <c r="I94" s="6">
        <v>40</v>
      </c>
      <c r="J94" s="6">
        <v>40</v>
      </c>
      <c r="K94" s="6">
        <v>40</v>
      </c>
      <c r="L94" s="6">
        <v>40</v>
      </c>
      <c r="M94" s="6">
        <v>40</v>
      </c>
      <c r="N94" s="6">
        <v>40</v>
      </c>
      <c r="O94" s="6">
        <v>40</v>
      </c>
      <c r="P94" s="6">
        <v>40</v>
      </c>
      <c r="Q94" s="6">
        <v>39.560809999999996</v>
      </c>
      <c r="R94" s="6">
        <v>39.612546000000002</v>
      </c>
      <c r="S94" s="6">
        <v>39.702897999999998</v>
      </c>
      <c r="T94" s="6">
        <v>37.594695999999999</v>
      </c>
      <c r="U94" s="6">
        <v>37.122718999999996</v>
      </c>
      <c r="V94" s="6">
        <v>37.548872000000003</v>
      </c>
    </row>
    <row r="95" spans="2:22">
      <c r="B95" s="6">
        <v>26193</v>
      </c>
      <c r="C95" s="6" t="s">
        <v>35</v>
      </c>
      <c r="D95" s="6">
        <v>20500</v>
      </c>
      <c r="E95" s="6" t="s">
        <v>31</v>
      </c>
      <c r="F95" s="6" t="s">
        <v>16</v>
      </c>
      <c r="G95" s="6" t="s">
        <v>1295</v>
      </c>
      <c r="H95" s="6">
        <v>40</v>
      </c>
      <c r="I95" s="6">
        <v>40</v>
      </c>
      <c r="J95" s="6">
        <v>40</v>
      </c>
      <c r="K95" s="6">
        <v>40</v>
      </c>
      <c r="L95" s="6">
        <v>40</v>
      </c>
      <c r="M95" s="6">
        <v>40</v>
      </c>
      <c r="N95" s="6">
        <v>40</v>
      </c>
      <c r="O95" s="6">
        <v>40</v>
      </c>
      <c r="P95" s="6">
        <v>40</v>
      </c>
      <c r="Q95" s="6">
        <v>32.142856999999999</v>
      </c>
      <c r="R95" s="6">
        <v>32.142856999999999</v>
      </c>
      <c r="S95" s="6">
        <v>35</v>
      </c>
      <c r="T95" s="6">
        <v>16.909089999999999</v>
      </c>
      <c r="U95" s="6">
        <v>13.130081000000001</v>
      </c>
      <c r="V95" s="6">
        <v>12.707865</v>
      </c>
    </row>
    <row r="96" spans="2:22">
      <c r="B96" s="6">
        <v>26193</v>
      </c>
      <c r="C96" s="6" t="s">
        <v>35</v>
      </c>
      <c r="D96" s="6">
        <v>20500</v>
      </c>
      <c r="E96" s="6" t="s">
        <v>31</v>
      </c>
      <c r="F96" s="6" t="s">
        <v>13</v>
      </c>
      <c r="G96" s="6" t="s">
        <v>14</v>
      </c>
      <c r="H96" s="6">
        <v>0</v>
      </c>
      <c r="I96" s="6">
        <v>30</v>
      </c>
      <c r="J96" s="6">
        <v>30</v>
      </c>
      <c r="K96" s="6">
        <v>0</v>
      </c>
      <c r="L96" s="6">
        <v>30</v>
      </c>
      <c r="M96" s="6">
        <v>30</v>
      </c>
      <c r="N96" s="6">
        <v>0</v>
      </c>
      <c r="O96" s="6">
        <v>30</v>
      </c>
      <c r="P96" s="6">
        <v>30</v>
      </c>
      <c r="Q96" s="6">
        <v>28.947368000000001</v>
      </c>
      <c r="R96" s="6">
        <v>29.285713999999999</v>
      </c>
      <c r="S96" s="6">
        <v>29.393939</v>
      </c>
      <c r="T96" s="6">
        <v>28.409089999999999</v>
      </c>
      <c r="U96" s="6">
        <v>28.088235000000001</v>
      </c>
      <c r="V96" s="6">
        <v>22.096774</v>
      </c>
    </row>
    <row r="97" spans="2:22">
      <c r="B97" s="6">
        <v>26299</v>
      </c>
      <c r="C97" s="6" t="s">
        <v>1095</v>
      </c>
      <c r="D97" s="6">
        <v>20300</v>
      </c>
      <c r="E97" s="6" t="s">
        <v>12</v>
      </c>
      <c r="F97" s="6" t="s">
        <v>13</v>
      </c>
      <c r="G97" s="6" t="s">
        <v>14</v>
      </c>
      <c r="H97" s="6">
        <v>30</v>
      </c>
      <c r="I97" s="6">
        <v>30</v>
      </c>
      <c r="J97" s="6">
        <v>30</v>
      </c>
      <c r="K97" s="6">
        <v>27.651897999999999</v>
      </c>
      <c r="L97" s="6">
        <v>28.025188</v>
      </c>
      <c r="M97" s="6">
        <v>28.089873000000001</v>
      </c>
      <c r="N97" s="6">
        <v>27.651897999999999</v>
      </c>
      <c r="O97" s="6">
        <v>28.025188</v>
      </c>
      <c r="P97" s="6">
        <v>28.089873000000001</v>
      </c>
      <c r="Q97" s="6">
        <v>27.651897999999999</v>
      </c>
      <c r="R97" s="6">
        <v>28.025188</v>
      </c>
      <c r="S97" s="6">
        <v>28.089873000000001</v>
      </c>
      <c r="T97" s="6">
        <v>27.651897999999999</v>
      </c>
      <c r="U97" s="6">
        <v>28.025188</v>
      </c>
      <c r="V97" s="6">
        <v>28.089873000000001</v>
      </c>
    </row>
    <row r="98" spans="2:22">
      <c r="B98" s="6">
        <v>26299</v>
      </c>
      <c r="C98" s="6" t="s">
        <v>1095</v>
      </c>
      <c r="D98" s="6">
        <v>20700</v>
      </c>
      <c r="E98" s="6" t="s">
        <v>15</v>
      </c>
      <c r="F98" s="6" t="s">
        <v>16</v>
      </c>
      <c r="G98" s="6" t="s">
        <v>1295</v>
      </c>
      <c r="H98" s="6">
        <v>48</v>
      </c>
      <c r="I98" s="6">
        <v>48</v>
      </c>
      <c r="J98" s="6">
        <v>48</v>
      </c>
      <c r="K98" s="6">
        <v>52.542372</v>
      </c>
      <c r="L98" s="6">
        <v>53.574218000000002</v>
      </c>
      <c r="M98" s="6">
        <v>53.574218000000002</v>
      </c>
      <c r="N98" s="6">
        <v>52.542372</v>
      </c>
      <c r="O98" s="6">
        <v>53.574218000000002</v>
      </c>
      <c r="P98" s="6">
        <v>53.574218000000002</v>
      </c>
      <c r="Q98" s="6">
        <v>51.973683999999999</v>
      </c>
      <c r="R98" s="6">
        <v>53.351647999999997</v>
      </c>
      <c r="S98" s="6">
        <v>53.158844000000002</v>
      </c>
      <c r="T98" s="6">
        <v>51.973683999999999</v>
      </c>
      <c r="U98" s="6">
        <v>53.303249000000001</v>
      </c>
      <c r="V98" s="6">
        <v>52.798012999999997</v>
      </c>
    </row>
    <row r="99" spans="2:22">
      <c r="B99" s="6">
        <v>26300</v>
      </c>
      <c r="C99" s="6" t="s">
        <v>1036</v>
      </c>
      <c r="D99" s="6">
        <v>20300</v>
      </c>
      <c r="E99" s="6" t="s">
        <v>12</v>
      </c>
      <c r="F99" s="6" t="s">
        <v>13</v>
      </c>
      <c r="G99" s="6" t="s">
        <v>14</v>
      </c>
      <c r="H99" s="6">
        <v>30</v>
      </c>
      <c r="I99" s="6">
        <v>30</v>
      </c>
      <c r="J99" s="6">
        <v>30</v>
      </c>
      <c r="K99" s="6">
        <v>27.651897999999999</v>
      </c>
      <c r="L99" s="6">
        <v>28.025188</v>
      </c>
      <c r="M99" s="6">
        <v>28.089873000000001</v>
      </c>
      <c r="N99" s="6">
        <v>27.651897999999999</v>
      </c>
      <c r="O99" s="6">
        <v>28.025188</v>
      </c>
      <c r="P99" s="6">
        <v>28.089873000000001</v>
      </c>
      <c r="Q99" s="6">
        <v>27.651897999999999</v>
      </c>
      <c r="R99" s="6">
        <v>28.025188</v>
      </c>
      <c r="S99" s="6">
        <v>28.089873000000001</v>
      </c>
      <c r="T99" s="6">
        <v>27.651897999999999</v>
      </c>
      <c r="U99" s="6">
        <v>28.025188</v>
      </c>
      <c r="V99" s="6">
        <v>28.089873000000001</v>
      </c>
    </row>
    <row r="100" spans="2:22">
      <c r="B100" s="6">
        <v>26300</v>
      </c>
      <c r="C100" s="6" t="s">
        <v>1036</v>
      </c>
      <c r="D100" s="6">
        <v>20700</v>
      </c>
      <c r="E100" s="6" t="s">
        <v>15</v>
      </c>
      <c r="F100" s="6" t="s">
        <v>16</v>
      </c>
      <c r="G100" s="6" t="s">
        <v>1295</v>
      </c>
      <c r="H100" s="6">
        <v>50</v>
      </c>
      <c r="I100" s="6">
        <v>50</v>
      </c>
      <c r="J100" s="6">
        <v>50</v>
      </c>
      <c r="K100" s="6">
        <v>52.542372</v>
      </c>
      <c r="L100" s="6">
        <v>53.574218000000002</v>
      </c>
      <c r="M100" s="6">
        <v>53.574218000000002</v>
      </c>
      <c r="N100" s="6">
        <v>52.542372</v>
      </c>
      <c r="O100" s="6">
        <v>53.574218000000002</v>
      </c>
      <c r="P100" s="6">
        <v>53.574218000000002</v>
      </c>
      <c r="Q100" s="6">
        <v>51.973683999999999</v>
      </c>
      <c r="R100" s="6">
        <v>53.351647999999997</v>
      </c>
      <c r="S100" s="6">
        <v>53.158844000000002</v>
      </c>
      <c r="T100" s="6">
        <v>51.973683999999999</v>
      </c>
      <c r="U100" s="6">
        <v>53.303249000000001</v>
      </c>
      <c r="V100" s="6">
        <v>52.798012999999997</v>
      </c>
    </row>
    <row r="101" spans="2:22">
      <c r="B101" s="6">
        <v>26301</v>
      </c>
      <c r="C101" s="6" t="s">
        <v>1038</v>
      </c>
      <c r="D101" s="6">
        <v>20300</v>
      </c>
      <c r="E101" s="6" t="s">
        <v>12</v>
      </c>
      <c r="F101" s="6" t="s">
        <v>16</v>
      </c>
      <c r="G101" s="6" t="s">
        <v>1295</v>
      </c>
      <c r="H101" s="6">
        <v>30</v>
      </c>
      <c r="I101" s="6">
        <v>30</v>
      </c>
      <c r="J101" s="6">
        <v>30</v>
      </c>
      <c r="K101" s="6">
        <v>29.444444000000001</v>
      </c>
      <c r="L101" s="6">
        <v>26.333333</v>
      </c>
      <c r="M101" s="6">
        <v>27.477063999999999</v>
      </c>
      <c r="N101" s="6">
        <v>29.444444000000001</v>
      </c>
      <c r="O101" s="6">
        <v>26.333333</v>
      </c>
      <c r="P101" s="6">
        <v>27.477063999999999</v>
      </c>
      <c r="Q101" s="6">
        <v>29.444444000000001</v>
      </c>
      <c r="R101" s="6">
        <v>26.333333</v>
      </c>
      <c r="S101" s="6">
        <v>27.477063999999999</v>
      </c>
      <c r="T101" s="6">
        <v>29.444444000000001</v>
      </c>
      <c r="U101" s="6">
        <v>26.333333</v>
      </c>
      <c r="V101" s="6">
        <v>27.477063999999999</v>
      </c>
    </row>
    <row r="102" spans="2:22">
      <c r="B102" s="6">
        <v>26301</v>
      </c>
      <c r="C102" s="6" t="s">
        <v>1038</v>
      </c>
      <c r="D102" s="6">
        <v>20700</v>
      </c>
      <c r="E102" s="6" t="s">
        <v>15</v>
      </c>
      <c r="F102" s="6" t="s">
        <v>17</v>
      </c>
      <c r="G102" s="6" t="s">
        <v>1294</v>
      </c>
      <c r="H102" s="6">
        <v>40</v>
      </c>
      <c r="I102" s="6">
        <v>40</v>
      </c>
      <c r="J102" s="6">
        <v>40</v>
      </c>
      <c r="K102" s="6">
        <v>40</v>
      </c>
      <c r="L102" s="6">
        <v>40</v>
      </c>
      <c r="M102" s="6">
        <v>40</v>
      </c>
      <c r="N102" s="6">
        <v>40</v>
      </c>
      <c r="O102" s="6">
        <v>40</v>
      </c>
      <c r="P102" s="6">
        <v>40</v>
      </c>
      <c r="Q102" s="6">
        <v>39.560809999999996</v>
      </c>
      <c r="R102" s="6">
        <v>39.612546000000002</v>
      </c>
      <c r="S102" s="6">
        <v>39.702897999999998</v>
      </c>
      <c r="T102" s="6">
        <v>37.594695999999999</v>
      </c>
      <c r="U102" s="6">
        <v>37.122718999999996</v>
      </c>
      <c r="V102" s="6">
        <v>37.548872000000003</v>
      </c>
    </row>
    <row r="103" spans="2:22">
      <c r="B103" s="6">
        <v>26572</v>
      </c>
      <c r="C103" s="6" t="s">
        <v>67</v>
      </c>
      <c r="D103" s="6">
        <v>20700</v>
      </c>
      <c r="E103" s="6" t="s">
        <v>15</v>
      </c>
      <c r="F103" s="6" t="s">
        <v>16</v>
      </c>
      <c r="G103" s="6" t="s">
        <v>1295</v>
      </c>
      <c r="H103" s="6">
        <v>0</v>
      </c>
      <c r="I103" s="6">
        <v>50</v>
      </c>
      <c r="J103" s="6">
        <v>50</v>
      </c>
      <c r="K103" s="6">
        <v>0</v>
      </c>
      <c r="L103" s="6">
        <v>50</v>
      </c>
      <c r="M103" s="6">
        <v>50</v>
      </c>
      <c r="N103" s="6">
        <v>0</v>
      </c>
      <c r="O103" s="6">
        <v>50</v>
      </c>
      <c r="P103" s="6">
        <v>48.8</v>
      </c>
      <c r="Q103" s="6">
        <v>0</v>
      </c>
      <c r="R103" s="6">
        <v>50</v>
      </c>
      <c r="S103" s="6">
        <v>48.8</v>
      </c>
      <c r="T103" s="6">
        <v>51.973683999999999</v>
      </c>
      <c r="U103" s="6">
        <v>53.303249000000001</v>
      </c>
      <c r="V103" s="6">
        <v>52.798012999999997</v>
      </c>
    </row>
    <row r="104" spans="2:22">
      <c r="B104" s="6">
        <v>26572</v>
      </c>
      <c r="C104" s="6" t="s">
        <v>67</v>
      </c>
      <c r="D104" s="6">
        <v>20700</v>
      </c>
      <c r="E104" s="6" t="s">
        <v>15</v>
      </c>
      <c r="F104" s="6" t="s">
        <v>17</v>
      </c>
      <c r="G104" s="6" t="s">
        <v>1294</v>
      </c>
      <c r="H104" s="6">
        <v>35</v>
      </c>
      <c r="I104" s="6">
        <v>35</v>
      </c>
      <c r="J104" s="6">
        <v>35</v>
      </c>
      <c r="K104" s="6">
        <v>35</v>
      </c>
      <c r="L104" s="6">
        <v>35</v>
      </c>
      <c r="M104" s="6">
        <v>35</v>
      </c>
      <c r="N104" s="6">
        <v>35</v>
      </c>
      <c r="O104" s="6">
        <v>35.032466999999997</v>
      </c>
      <c r="P104" s="6">
        <v>35.15748</v>
      </c>
      <c r="Q104" s="6">
        <v>35.125</v>
      </c>
      <c r="R104" s="6">
        <v>35.188679</v>
      </c>
      <c r="S104" s="6">
        <v>35.358490000000003</v>
      </c>
      <c r="T104" s="6">
        <v>37.594695999999999</v>
      </c>
      <c r="U104" s="6">
        <v>37.122718999999996</v>
      </c>
      <c r="V104" s="6">
        <v>37.548872000000003</v>
      </c>
    </row>
    <row r="105" spans="2:22">
      <c r="B105" s="6">
        <v>26572</v>
      </c>
      <c r="C105" s="6" t="s">
        <v>67</v>
      </c>
      <c r="D105" s="6">
        <v>23100</v>
      </c>
      <c r="E105" s="6" t="s">
        <v>54</v>
      </c>
      <c r="F105" s="6" t="s">
        <v>16</v>
      </c>
      <c r="G105" s="6" t="s">
        <v>1295</v>
      </c>
      <c r="H105" s="6">
        <v>20</v>
      </c>
      <c r="I105" s="6">
        <v>20</v>
      </c>
      <c r="J105" s="6">
        <v>20</v>
      </c>
      <c r="K105" s="6">
        <v>20</v>
      </c>
      <c r="L105" s="6">
        <v>20</v>
      </c>
      <c r="M105" s="6">
        <v>20</v>
      </c>
      <c r="N105" s="6">
        <v>19.069766999999999</v>
      </c>
      <c r="O105" s="6">
        <v>18.208955</v>
      </c>
      <c r="P105" s="6">
        <v>18.689516000000001</v>
      </c>
      <c r="Q105" s="6">
        <v>17.533783</v>
      </c>
      <c r="R105" s="6">
        <v>16.700679999999998</v>
      </c>
      <c r="S105" s="6">
        <v>17.127882</v>
      </c>
      <c r="T105" s="6">
        <v>17.533783</v>
      </c>
      <c r="U105" s="6">
        <v>16.700679999999998</v>
      </c>
      <c r="V105" s="6">
        <v>17.127882</v>
      </c>
    </row>
    <row r="106" spans="2:22">
      <c r="B106" s="6">
        <v>26572</v>
      </c>
      <c r="C106" s="6" t="s">
        <v>67</v>
      </c>
      <c r="D106" s="6">
        <v>23100</v>
      </c>
      <c r="E106" s="6" t="s">
        <v>54</v>
      </c>
      <c r="F106" s="6" t="s">
        <v>13</v>
      </c>
      <c r="G106" s="6" t="s">
        <v>14</v>
      </c>
      <c r="H106" s="6">
        <v>0</v>
      </c>
      <c r="I106" s="6">
        <v>15</v>
      </c>
      <c r="J106" s="6">
        <v>15</v>
      </c>
      <c r="K106" s="6">
        <v>0</v>
      </c>
      <c r="L106" s="6">
        <v>15</v>
      </c>
      <c r="M106" s="6">
        <v>15</v>
      </c>
      <c r="N106" s="6">
        <v>15</v>
      </c>
      <c r="O106" s="6">
        <v>15</v>
      </c>
      <c r="P106" s="6">
        <v>15</v>
      </c>
      <c r="Q106" s="6">
        <v>15</v>
      </c>
      <c r="R106" s="6">
        <v>15</v>
      </c>
      <c r="S106" s="6">
        <v>15</v>
      </c>
      <c r="T106" s="6">
        <v>15</v>
      </c>
      <c r="U106" s="6">
        <v>15</v>
      </c>
      <c r="V106" s="6">
        <v>15</v>
      </c>
    </row>
    <row r="107" spans="2:22">
      <c r="B107" s="6">
        <v>27217</v>
      </c>
      <c r="C107" s="6" t="s">
        <v>25</v>
      </c>
      <c r="D107" s="6">
        <v>20300</v>
      </c>
      <c r="E107" s="6" t="s">
        <v>12</v>
      </c>
      <c r="F107" s="6" t="s">
        <v>13</v>
      </c>
      <c r="G107" s="6" t="s">
        <v>14</v>
      </c>
      <c r="H107" s="6">
        <v>0</v>
      </c>
      <c r="I107" s="6">
        <v>0</v>
      </c>
      <c r="J107" s="6">
        <v>30</v>
      </c>
      <c r="K107" s="6">
        <v>27.651897999999999</v>
      </c>
      <c r="L107" s="6">
        <v>28.025188</v>
      </c>
      <c r="M107" s="6">
        <v>28.089873000000001</v>
      </c>
      <c r="N107" s="6">
        <v>27.651897999999999</v>
      </c>
      <c r="O107" s="6">
        <v>28.025188</v>
      </c>
      <c r="P107" s="6">
        <v>28.089873000000001</v>
      </c>
      <c r="Q107" s="6">
        <v>27.651897999999999</v>
      </c>
      <c r="R107" s="6">
        <v>28.025188</v>
      </c>
      <c r="S107" s="6">
        <v>28.089873000000001</v>
      </c>
      <c r="T107" s="6">
        <v>27.651897999999999</v>
      </c>
      <c r="U107" s="6">
        <v>28.025188</v>
      </c>
      <c r="V107" s="6">
        <v>28.089873000000001</v>
      </c>
    </row>
    <row r="108" spans="2:22">
      <c r="B108" s="6">
        <v>27217</v>
      </c>
      <c r="C108" s="6" t="s">
        <v>25</v>
      </c>
      <c r="D108" s="6">
        <v>20700</v>
      </c>
      <c r="E108" s="6" t="s">
        <v>15</v>
      </c>
      <c r="F108" s="6" t="s">
        <v>17</v>
      </c>
      <c r="G108" s="6" t="s">
        <v>1294</v>
      </c>
      <c r="H108" s="6">
        <v>0</v>
      </c>
      <c r="I108" s="6">
        <v>0</v>
      </c>
      <c r="J108" s="6">
        <v>40</v>
      </c>
      <c r="K108" s="6">
        <v>40</v>
      </c>
      <c r="L108" s="6">
        <v>40</v>
      </c>
      <c r="M108" s="6">
        <v>40</v>
      </c>
      <c r="N108" s="6">
        <v>40</v>
      </c>
      <c r="O108" s="6">
        <v>40</v>
      </c>
      <c r="P108" s="6">
        <v>40</v>
      </c>
      <c r="Q108" s="6">
        <v>39.560809999999996</v>
      </c>
      <c r="R108" s="6">
        <v>39.612546000000002</v>
      </c>
      <c r="S108" s="6">
        <v>39.702897999999998</v>
      </c>
      <c r="T108" s="6">
        <v>37.594695999999999</v>
      </c>
      <c r="U108" s="6">
        <v>37.122718999999996</v>
      </c>
      <c r="V108" s="6">
        <v>37.548872000000003</v>
      </c>
    </row>
    <row r="109" spans="2:22">
      <c r="B109" s="6">
        <v>28065</v>
      </c>
      <c r="C109" s="6" t="s">
        <v>1042</v>
      </c>
      <c r="D109" s="6">
        <v>20300</v>
      </c>
      <c r="E109" s="6" t="s">
        <v>12</v>
      </c>
      <c r="F109" s="6" t="s">
        <v>13</v>
      </c>
      <c r="G109" s="6" t="s">
        <v>14</v>
      </c>
      <c r="H109" s="6">
        <v>20</v>
      </c>
      <c r="I109" s="6">
        <v>20</v>
      </c>
      <c r="J109" s="6">
        <v>20</v>
      </c>
      <c r="K109" s="6">
        <v>27.651897999999999</v>
      </c>
      <c r="L109" s="6">
        <v>28.025188</v>
      </c>
      <c r="M109" s="6">
        <v>28.089873000000001</v>
      </c>
      <c r="N109" s="6">
        <v>27.651897999999999</v>
      </c>
      <c r="O109" s="6">
        <v>28.025188</v>
      </c>
      <c r="P109" s="6">
        <v>28.089873000000001</v>
      </c>
      <c r="Q109" s="6">
        <v>27.651897999999999</v>
      </c>
      <c r="R109" s="6">
        <v>28.025188</v>
      </c>
      <c r="S109" s="6">
        <v>28.089873000000001</v>
      </c>
      <c r="T109" s="6">
        <v>27.651897999999999</v>
      </c>
      <c r="U109" s="6">
        <v>28.025188</v>
      </c>
      <c r="V109" s="6">
        <v>28.089873000000001</v>
      </c>
    </row>
    <row r="110" spans="2:22">
      <c r="B110" s="6">
        <v>28065</v>
      </c>
      <c r="C110" s="6" t="s">
        <v>1042</v>
      </c>
      <c r="D110" s="6">
        <v>20700</v>
      </c>
      <c r="E110" s="6" t="s">
        <v>15</v>
      </c>
      <c r="F110" s="6" t="s">
        <v>16</v>
      </c>
      <c r="G110" s="6" t="s">
        <v>1295</v>
      </c>
      <c r="H110" s="6">
        <v>51.666665999999999</v>
      </c>
      <c r="I110" s="6">
        <v>51.666665999999999</v>
      </c>
      <c r="J110" s="6">
        <v>51.666665999999999</v>
      </c>
      <c r="K110" s="6">
        <v>52.542372</v>
      </c>
      <c r="L110" s="6">
        <v>53.574218000000002</v>
      </c>
      <c r="M110" s="6">
        <v>53.574218000000002</v>
      </c>
      <c r="N110" s="6">
        <v>52.542372</v>
      </c>
      <c r="O110" s="6">
        <v>53.574218000000002</v>
      </c>
      <c r="P110" s="6">
        <v>53.574218000000002</v>
      </c>
      <c r="Q110" s="6">
        <v>51.973683999999999</v>
      </c>
      <c r="R110" s="6">
        <v>53.351647999999997</v>
      </c>
      <c r="S110" s="6">
        <v>53.158844000000002</v>
      </c>
      <c r="T110" s="6">
        <v>51.973683999999999</v>
      </c>
      <c r="U110" s="6">
        <v>53.303249000000001</v>
      </c>
      <c r="V110" s="6">
        <v>52.798012999999997</v>
      </c>
    </row>
    <row r="111" spans="2:22">
      <c r="B111" s="6">
        <v>28308</v>
      </c>
      <c r="C111" s="6" t="s">
        <v>1041</v>
      </c>
      <c r="D111" s="6">
        <v>20400</v>
      </c>
      <c r="E111" s="6" t="s">
        <v>34</v>
      </c>
      <c r="F111" s="6" t="s">
        <v>13</v>
      </c>
      <c r="G111" s="6" t="s">
        <v>14</v>
      </c>
      <c r="H111" s="6">
        <v>20</v>
      </c>
      <c r="I111" s="6">
        <v>20</v>
      </c>
      <c r="J111" s="6">
        <v>20</v>
      </c>
      <c r="K111" s="6">
        <v>27.058823</v>
      </c>
      <c r="L111" s="6">
        <v>27.058823</v>
      </c>
      <c r="M111" s="6">
        <v>27.058823</v>
      </c>
      <c r="N111" s="6">
        <v>27.058823</v>
      </c>
      <c r="O111" s="6">
        <v>27.368421000000001</v>
      </c>
      <c r="P111" s="6">
        <v>27.368421000000001</v>
      </c>
      <c r="Q111" s="6">
        <v>27.058823</v>
      </c>
      <c r="R111" s="6">
        <v>27.368421000000001</v>
      </c>
      <c r="S111" s="6">
        <v>27.368421000000001</v>
      </c>
      <c r="T111" s="6">
        <v>27.058823</v>
      </c>
      <c r="U111" s="6">
        <v>27.619046999999998</v>
      </c>
      <c r="V111" s="6">
        <v>27.619046999999998</v>
      </c>
    </row>
    <row r="112" spans="2:22">
      <c r="B112" s="6">
        <v>28308</v>
      </c>
      <c r="C112" s="6" t="s">
        <v>1041</v>
      </c>
      <c r="D112" s="6">
        <v>20500</v>
      </c>
      <c r="E112" s="6" t="s">
        <v>31</v>
      </c>
      <c r="F112" s="6" t="s">
        <v>13</v>
      </c>
      <c r="G112" s="6" t="s">
        <v>14</v>
      </c>
      <c r="H112" s="6">
        <v>30</v>
      </c>
      <c r="I112" s="6">
        <v>30</v>
      </c>
      <c r="J112" s="6">
        <v>30</v>
      </c>
      <c r="K112" s="6">
        <v>30</v>
      </c>
      <c r="L112" s="6">
        <v>30</v>
      </c>
      <c r="M112" s="6">
        <v>30</v>
      </c>
      <c r="N112" s="6">
        <v>28.947368000000001</v>
      </c>
      <c r="O112" s="6">
        <v>29.047619000000001</v>
      </c>
      <c r="P112" s="6">
        <v>29.230768999999999</v>
      </c>
      <c r="Q112" s="6">
        <v>28.947368000000001</v>
      </c>
      <c r="R112" s="6">
        <v>29.285713999999999</v>
      </c>
      <c r="S112" s="6">
        <v>29.393939</v>
      </c>
      <c r="T112" s="6">
        <v>28.409089999999999</v>
      </c>
      <c r="U112" s="6">
        <v>28.088235000000001</v>
      </c>
      <c r="V112" s="6">
        <v>22.096774</v>
      </c>
    </row>
    <row r="113" spans="2:22">
      <c r="B113" s="6">
        <v>28308</v>
      </c>
      <c r="C113" s="6" t="s">
        <v>1041</v>
      </c>
      <c r="D113" s="6">
        <v>20700</v>
      </c>
      <c r="E113" s="6" t="s">
        <v>15</v>
      </c>
      <c r="F113" s="6" t="s">
        <v>16</v>
      </c>
      <c r="G113" s="6" t="s">
        <v>1295</v>
      </c>
      <c r="H113" s="6">
        <v>50</v>
      </c>
      <c r="I113" s="6">
        <v>50</v>
      </c>
      <c r="J113" s="6">
        <v>50</v>
      </c>
      <c r="K113" s="6">
        <v>50</v>
      </c>
      <c r="L113" s="6">
        <v>50</v>
      </c>
      <c r="M113" s="6">
        <v>50</v>
      </c>
      <c r="N113" s="6">
        <v>50</v>
      </c>
      <c r="O113" s="6">
        <v>50</v>
      </c>
      <c r="P113" s="6">
        <v>48.095238000000002</v>
      </c>
      <c r="Q113" s="6">
        <v>51.973683999999999</v>
      </c>
      <c r="R113" s="6">
        <v>53.351647999999997</v>
      </c>
      <c r="S113" s="6">
        <v>53.158844000000002</v>
      </c>
      <c r="T113" s="6">
        <v>51.973683999999999</v>
      </c>
      <c r="U113" s="6">
        <v>53.303249000000001</v>
      </c>
      <c r="V113" s="6">
        <v>52.798012999999997</v>
      </c>
    </row>
    <row r="114" spans="2:22">
      <c r="B114" s="6">
        <v>28555</v>
      </c>
      <c r="C114" s="6" t="s">
        <v>1129</v>
      </c>
      <c r="D114" s="6">
        <v>20400</v>
      </c>
      <c r="E114" s="6" t="s">
        <v>34</v>
      </c>
      <c r="F114" s="6" t="s">
        <v>13</v>
      </c>
      <c r="G114" s="6" t="s">
        <v>14</v>
      </c>
      <c r="H114" s="6">
        <v>0</v>
      </c>
      <c r="I114" s="6">
        <v>30</v>
      </c>
      <c r="J114" s="6">
        <v>30</v>
      </c>
      <c r="K114" s="6">
        <v>0</v>
      </c>
      <c r="L114" s="6">
        <v>30</v>
      </c>
      <c r="M114" s="6">
        <v>30</v>
      </c>
      <c r="N114" s="6">
        <v>0</v>
      </c>
      <c r="O114" s="6">
        <v>30</v>
      </c>
      <c r="P114" s="6">
        <v>30</v>
      </c>
      <c r="Q114" s="6">
        <v>0</v>
      </c>
      <c r="R114" s="6">
        <v>30</v>
      </c>
      <c r="S114" s="6">
        <v>30</v>
      </c>
      <c r="T114" s="6">
        <v>27.058823</v>
      </c>
      <c r="U114" s="6">
        <v>27.619046999999998</v>
      </c>
      <c r="V114" s="6">
        <v>27.619046999999998</v>
      </c>
    </row>
    <row r="115" spans="2:22">
      <c r="B115" s="6">
        <v>28555</v>
      </c>
      <c r="C115" s="6" t="s">
        <v>1129</v>
      </c>
      <c r="D115" s="6">
        <v>20700</v>
      </c>
      <c r="E115" s="6" t="s">
        <v>15</v>
      </c>
      <c r="F115" s="6" t="s">
        <v>17</v>
      </c>
      <c r="G115" s="6" t="s">
        <v>1294</v>
      </c>
      <c r="H115" s="6">
        <v>0</v>
      </c>
      <c r="I115" s="6">
        <v>35</v>
      </c>
      <c r="J115" s="6">
        <v>35</v>
      </c>
      <c r="K115" s="6">
        <v>35</v>
      </c>
      <c r="L115" s="6">
        <v>35.072462999999999</v>
      </c>
      <c r="M115" s="6">
        <v>35.325203000000002</v>
      </c>
      <c r="N115" s="6">
        <v>35</v>
      </c>
      <c r="O115" s="6">
        <v>35.032466999999997</v>
      </c>
      <c r="P115" s="6">
        <v>35.15748</v>
      </c>
      <c r="Q115" s="6">
        <v>35.125</v>
      </c>
      <c r="R115" s="6">
        <v>35.188679</v>
      </c>
      <c r="S115" s="6">
        <v>35.358490000000003</v>
      </c>
      <c r="T115" s="6">
        <v>37.594695999999999</v>
      </c>
      <c r="U115" s="6">
        <v>37.122718999999996</v>
      </c>
      <c r="V115" s="6">
        <v>37.548872000000003</v>
      </c>
    </row>
    <row r="116" spans="2:22">
      <c r="B116" s="6">
        <v>28555</v>
      </c>
      <c r="C116" s="6" t="s">
        <v>1129</v>
      </c>
      <c r="D116" s="6">
        <v>23100</v>
      </c>
      <c r="E116" s="6" t="s">
        <v>54</v>
      </c>
      <c r="F116" s="6" t="s">
        <v>13</v>
      </c>
      <c r="G116" s="6" t="s">
        <v>14</v>
      </c>
      <c r="H116" s="6">
        <v>0</v>
      </c>
      <c r="I116" s="6">
        <v>15</v>
      </c>
      <c r="J116" s="6">
        <v>15</v>
      </c>
      <c r="K116" s="6">
        <v>15</v>
      </c>
      <c r="L116" s="6">
        <v>15</v>
      </c>
      <c r="M116" s="6">
        <v>15</v>
      </c>
      <c r="N116" s="6">
        <v>15</v>
      </c>
      <c r="O116" s="6">
        <v>15</v>
      </c>
      <c r="P116" s="6">
        <v>15</v>
      </c>
      <c r="Q116" s="6">
        <v>15</v>
      </c>
      <c r="R116" s="6">
        <v>15</v>
      </c>
      <c r="S116" s="6">
        <v>15</v>
      </c>
      <c r="T116" s="6">
        <v>15</v>
      </c>
      <c r="U116" s="6">
        <v>15</v>
      </c>
      <c r="V116" s="6">
        <v>15</v>
      </c>
    </row>
    <row r="117" spans="2:22">
      <c r="B117" s="6">
        <v>28731</v>
      </c>
      <c r="C117" s="6" t="s">
        <v>30</v>
      </c>
      <c r="D117" s="6">
        <v>20500</v>
      </c>
      <c r="E117" s="6" t="s">
        <v>31</v>
      </c>
      <c r="F117" s="6" t="s">
        <v>16</v>
      </c>
      <c r="G117" s="6" t="s">
        <v>1295</v>
      </c>
      <c r="H117" s="6">
        <v>0</v>
      </c>
      <c r="I117" s="6">
        <v>0</v>
      </c>
      <c r="J117" s="6">
        <v>40</v>
      </c>
      <c r="K117" s="6">
        <v>30</v>
      </c>
      <c r="L117" s="6">
        <v>30</v>
      </c>
      <c r="M117" s="6">
        <v>33.636363000000003</v>
      </c>
      <c r="N117" s="6">
        <v>30</v>
      </c>
      <c r="O117" s="6">
        <v>30</v>
      </c>
      <c r="P117" s="6">
        <v>32.666665999999999</v>
      </c>
      <c r="Q117" s="6">
        <v>32.142856999999999</v>
      </c>
      <c r="R117" s="6">
        <v>32.142856999999999</v>
      </c>
      <c r="S117" s="6">
        <v>35</v>
      </c>
      <c r="T117" s="6">
        <v>16.909089999999999</v>
      </c>
      <c r="U117" s="6">
        <v>13.130081000000001</v>
      </c>
      <c r="V117" s="6">
        <v>12.707865</v>
      </c>
    </row>
    <row r="118" spans="2:22">
      <c r="B118" s="6">
        <v>28731</v>
      </c>
      <c r="C118" s="6" t="s">
        <v>30</v>
      </c>
      <c r="D118" s="6">
        <v>20500</v>
      </c>
      <c r="E118" s="6" t="s">
        <v>31</v>
      </c>
      <c r="F118" s="6" t="s">
        <v>13</v>
      </c>
      <c r="G118" s="6" t="s">
        <v>14</v>
      </c>
      <c r="H118" s="6">
        <v>20</v>
      </c>
      <c r="I118" s="6">
        <v>20</v>
      </c>
      <c r="J118" s="6">
        <v>25</v>
      </c>
      <c r="K118" s="6">
        <v>20</v>
      </c>
      <c r="L118" s="6">
        <v>25</v>
      </c>
      <c r="M118" s="6">
        <v>27.777777</v>
      </c>
      <c r="N118" s="6">
        <v>28.947368000000001</v>
      </c>
      <c r="O118" s="6">
        <v>29.047619000000001</v>
      </c>
      <c r="P118" s="6">
        <v>29.230768999999999</v>
      </c>
      <c r="Q118" s="6">
        <v>28.947368000000001</v>
      </c>
      <c r="R118" s="6">
        <v>29.285713999999999</v>
      </c>
      <c r="S118" s="6">
        <v>29.393939</v>
      </c>
      <c r="T118" s="6">
        <v>28.409089999999999</v>
      </c>
      <c r="U118" s="6">
        <v>28.088235000000001</v>
      </c>
      <c r="V118" s="6">
        <v>22.096774</v>
      </c>
    </row>
    <row r="119" spans="2:22">
      <c r="B119" s="6">
        <v>28731</v>
      </c>
      <c r="C119" s="6" t="s">
        <v>30</v>
      </c>
      <c r="D119" s="6">
        <v>20500</v>
      </c>
      <c r="E119" s="6" t="s">
        <v>31</v>
      </c>
      <c r="F119" s="6" t="s">
        <v>17</v>
      </c>
      <c r="G119" s="6" t="s">
        <v>1294</v>
      </c>
      <c r="H119" s="6">
        <v>0</v>
      </c>
      <c r="I119" s="6">
        <v>0</v>
      </c>
      <c r="J119" s="6">
        <v>25</v>
      </c>
      <c r="K119" s="6">
        <v>0</v>
      </c>
      <c r="L119" s="6">
        <v>27</v>
      </c>
      <c r="M119" s="6">
        <v>26.714285</v>
      </c>
      <c r="N119" s="6">
        <v>0</v>
      </c>
      <c r="O119" s="6">
        <v>27</v>
      </c>
      <c r="P119" s="6">
        <v>26.714285</v>
      </c>
      <c r="Q119" s="6">
        <v>16</v>
      </c>
      <c r="R119" s="6">
        <v>16.289473000000001</v>
      </c>
      <c r="S119" s="6">
        <v>16.174417999999999</v>
      </c>
      <c r="T119" s="6">
        <v>25.645997000000001</v>
      </c>
      <c r="U119" s="6">
        <v>25.223958</v>
      </c>
      <c r="V119" s="6">
        <v>24.770192999999999</v>
      </c>
    </row>
    <row r="120" spans="2:22">
      <c r="B120" s="6">
        <v>28731</v>
      </c>
      <c r="C120" s="6" t="s">
        <v>30</v>
      </c>
      <c r="D120" s="6">
        <v>20600</v>
      </c>
      <c r="E120" s="6" t="s">
        <v>32</v>
      </c>
      <c r="F120" s="6" t="s">
        <v>16</v>
      </c>
      <c r="G120" s="6" t="s">
        <v>1295</v>
      </c>
      <c r="H120" s="6">
        <v>0</v>
      </c>
      <c r="I120" s="6">
        <v>0</v>
      </c>
      <c r="J120" s="6">
        <v>30</v>
      </c>
      <c r="K120" s="6">
        <v>0</v>
      </c>
      <c r="L120" s="6">
        <v>0</v>
      </c>
      <c r="M120" s="6">
        <v>30</v>
      </c>
      <c r="N120" s="6">
        <v>0</v>
      </c>
      <c r="O120" s="6">
        <v>0</v>
      </c>
      <c r="P120" s="6">
        <v>30</v>
      </c>
      <c r="Q120" s="6">
        <v>50</v>
      </c>
      <c r="R120" s="6">
        <v>50</v>
      </c>
      <c r="S120" s="6">
        <v>48.507461999999997</v>
      </c>
      <c r="T120" s="6">
        <v>37.272727000000003</v>
      </c>
      <c r="U120" s="6">
        <v>35.853658000000003</v>
      </c>
      <c r="V120" s="6">
        <v>40.728476000000001</v>
      </c>
    </row>
    <row r="121" spans="2:22">
      <c r="B121" s="6">
        <v>28731</v>
      </c>
      <c r="C121" s="6" t="s">
        <v>30</v>
      </c>
      <c r="D121" s="6">
        <v>20600</v>
      </c>
      <c r="E121" s="6" t="s">
        <v>32</v>
      </c>
      <c r="F121" s="6" t="s">
        <v>13</v>
      </c>
      <c r="G121" s="6" t="s">
        <v>14</v>
      </c>
      <c r="H121" s="6">
        <v>20</v>
      </c>
      <c r="I121" s="6">
        <v>20</v>
      </c>
      <c r="J121" s="6">
        <v>25</v>
      </c>
      <c r="K121" s="6">
        <v>20</v>
      </c>
      <c r="L121" s="6">
        <v>22.5</v>
      </c>
      <c r="M121" s="6">
        <v>25.384615</v>
      </c>
      <c r="N121" s="6">
        <v>20</v>
      </c>
      <c r="O121" s="6">
        <v>22.5</v>
      </c>
      <c r="P121" s="6">
        <v>25.384615</v>
      </c>
      <c r="Q121" s="6">
        <v>20</v>
      </c>
      <c r="R121" s="6">
        <v>22.5</v>
      </c>
      <c r="S121" s="6">
        <v>25.384615</v>
      </c>
      <c r="T121" s="6">
        <v>20</v>
      </c>
      <c r="U121" s="6">
        <v>18.75</v>
      </c>
      <c r="V121" s="6">
        <v>21.428571000000002</v>
      </c>
    </row>
    <row r="122" spans="2:22">
      <c r="B122" s="6">
        <v>28731</v>
      </c>
      <c r="C122" s="6" t="s">
        <v>30</v>
      </c>
      <c r="D122" s="6">
        <v>20700</v>
      </c>
      <c r="E122" s="6" t="s">
        <v>15</v>
      </c>
      <c r="F122" s="6" t="s">
        <v>16</v>
      </c>
      <c r="G122" s="6" t="s">
        <v>1295</v>
      </c>
      <c r="H122" s="6">
        <v>0</v>
      </c>
      <c r="I122" s="6">
        <v>0</v>
      </c>
      <c r="J122" s="6">
        <v>40</v>
      </c>
      <c r="K122" s="6">
        <v>0</v>
      </c>
      <c r="L122" s="6">
        <v>0</v>
      </c>
      <c r="M122" s="6">
        <v>40</v>
      </c>
      <c r="N122" s="6">
        <v>50</v>
      </c>
      <c r="O122" s="6">
        <v>50</v>
      </c>
      <c r="P122" s="6">
        <v>48.095238000000002</v>
      </c>
      <c r="Q122" s="6">
        <v>51.973683999999999</v>
      </c>
      <c r="R122" s="6">
        <v>53.351647999999997</v>
      </c>
      <c r="S122" s="6">
        <v>53.158844000000002</v>
      </c>
      <c r="T122" s="6">
        <v>51.973683999999999</v>
      </c>
      <c r="U122" s="6">
        <v>53.303249000000001</v>
      </c>
      <c r="V122" s="6">
        <v>52.798012999999997</v>
      </c>
    </row>
    <row r="123" spans="2:22">
      <c r="B123" s="6">
        <v>28731</v>
      </c>
      <c r="C123" s="6" t="s">
        <v>30</v>
      </c>
      <c r="D123" s="6">
        <v>20700</v>
      </c>
      <c r="E123" s="6" t="s">
        <v>15</v>
      </c>
      <c r="F123" s="6" t="s">
        <v>17</v>
      </c>
      <c r="G123" s="6" t="s">
        <v>1294</v>
      </c>
      <c r="H123" s="6">
        <v>25</v>
      </c>
      <c r="I123" s="6">
        <v>25</v>
      </c>
      <c r="J123" s="6">
        <v>32</v>
      </c>
      <c r="K123" s="6">
        <v>32.777777</v>
      </c>
      <c r="L123" s="6">
        <v>33.823529000000001</v>
      </c>
      <c r="M123" s="6">
        <v>34.318181000000003</v>
      </c>
      <c r="N123" s="6">
        <v>35</v>
      </c>
      <c r="O123" s="6">
        <v>35</v>
      </c>
      <c r="P123" s="6">
        <v>35.192307</v>
      </c>
      <c r="Q123" s="6">
        <v>39.560809999999996</v>
      </c>
      <c r="R123" s="6">
        <v>39.612546000000002</v>
      </c>
      <c r="S123" s="6">
        <v>39.702897999999998</v>
      </c>
      <c r="T123" s="6">
        <v>37.594695999999999</v>
      </c>
      <c r="U123" s="6">
        <v>37.122718999999996</v>
      </c>
      <c r="V123" s="6">
        <v>37.548872000000003</v>
      </c>
    </row>
    <row r="124" spans="2:22">
      <c r="B124" s="6">
        <v>28732</v>
      </c>
      <c r="C124" s="6" t="s">
        <v>33</v>
      </c>
      <c r="D124" s="6">
        <v>20500</v>
      </c>
      <c r="E124" s="6" t="s">
        <v>31</v>
      </c>
      <c r="F124" s="6" t="s">
        <v>16</v>
      </c>
      <c r="G124" s="6" t="s">
        <v>1295</v>
      </c>
      <c r="H124" s="6">
        <v>0</v>
      </c>
      <c r="I124" s="6">
        <v>0</v>
      </c>
      <c r="J124" s="6">
        <v>40</v>
      </c>
      <c r="K124" s="6">
        <v>30</v>
      </c>
      <c r="L124" s="6">
        <v>30</v>
      </c>
      <c r="M124" s="6">
        <v>33.636363000000003</v>
      </c>
      <c r="N124" s="6">
        <v>30</v>
      </c>
      <c r="O124" s="6">
        <v>30</v>
      </c>
      <c r="P124" s="6">
        <v>32.666665999999999</v>
      </c>
      <c r="Q124" s="6">
        <v>32.142856999999999</v>
      </c>
      <c r="R124" s="6">
        <v>32.142856999999999</v>
      </c>
      <c r="S124" s="6">
        <v>35</v>
      </c>
      <c r="T124" s="6">
        <v>16.909089999999999</v>
      </c>
      <c r="U124" s="6">
        <v>13.130081000000001</v>
      </c>
      <c r="V124" s="6">
        <v>12.707865</v>
      </c>
    </row>
    <row r="125" spans="2:22">
      <c r="B125" s="6">
        <v>28732</v>
      </c>
      <c r="C125" s="6" t="s">
        <v>33</v>
      </c>
      <c r="D125" s="6">
        <v>20500</v>
      </c>
      <c r="E125" s="6" t="s">
        <v>31</v>
      </c>
      <c r="F125" s="6" t="s">
        <v>13</v>
      </c>
      <c r="G125" s="6" t="s">
        <v>14</v>
      </c>
      <c r="H125" s="6">
        <v>0</v>
      </c>
      <c r="I125" s="6">
        <v>30</v>
      </c>
      <c r="J125" s="6">
        <v>30</v>
      </c>
      <c r="K125" s="6">
        <v>20</v>
      </c>
      <c r="L125" s="6">
        <v>25</v>
      </c>
      <c r="M125" s="6">
        <v>27.777777</v>
      </c>
      <c r="N125" s="6">
        <v>28.947368000000001</v>
      </c>
      <c r="O125" s="6">
        <v>29.047619000000001</v>
      </c>
      <c r="P125" s="6">
        <v>29.230768999999999</v>
      </c>
      <c r="Q125" s="6">
        <v>28.947368000000001</v>
      </c>
      <c r="R125" s="6">
        <v>29.285713999999999</v>
      </c>
      <c r="S125" s="6">
        <v>29.393939</v>
      </c>
      <c r="T125" s="6">
        <v>28.409089999999999</v>
      </c>
      <c r="U125" s="6">
        <v>28.088235000000001</v>
      </c>
      <c r="V125" s="6">
        <v>22.096774</v>
      </c>
    </row>
    <row r="126" spans="2:22">
      <c r="B126" s="6">
        <v>28732</v>
      </c>
      <c r="C126" s="6" t="s">
        <v>33</v>
      </c>
      <c r="D126" s="6">
        <v>20600</v>
      </c>
      <c r="E126" s="6" t="s">
        <v>32</v>
      </c>
      <c r="F126" s="6" t="s">
        <v>16</v>
      </c>
      <c r="G126" s="6" t="s">
        <v>1295</v>
      </c>
      <c r="H126" s="6">
        <v>0</v>
      </c>
      <c r="I126" s="6">
        <v>0</v>
      </c>
      <c r="J126" s="6">
        <v>30</v>
      </c>
      <c r="K126" s="6">
        <v>0</v>
      </c>
      <c r="L126" s="6">
        <v>0</v>
      </c>
      <c r="M126" s="6">
        <v>30</v>
      </c>
      <c r="N126" s="6">
        <v>0</v>
      </c>
      <c r="O126" s="6">
        <v>0</v>
      </c>
      <c r="P126" s="6">
        <v>30</v>
      </c>
      <c r="Q126" s="6">
        <v>50</v>
      </c>
      <c r="R126" s="6">
        <v>50</v>
      </c>
      <c r="S126" s="6">
        <v>48.507461999999997</v>
      </c>
      <c r="T126" s="6">
        <v>37.272727000000003</v>
      </c>
      <c r="U126" s="6">
        <v>35.853658000000003</v>
      </c>
      <c r="V126" s="6">
        <v>40.728476000000001</v>
      </c>
    </row>
    <row r="127" spans="2:22">
      <c r="B127" s="6">
        <v>28732</v>
      </c>
      <c r="C127" s="6" t="s">
        <v>33</v>
      </c>
      <c r="D127" s="6">
        <v>20600</v>
      </c>
      <c r="E127" s="6" t="s">
        <v>32</v>
      </c>
      <c r="F127" s="6" t="s">
        <v>13</v>
      </c>
      <c r="G127" s="6" t="s">
        <v>14</v>
      </c>
      <c r="H127" s="6">
        <v>0</v>
      </c>
      <c r="I127" s="6">
        <v>30</v>
      </c>
      <c r="J127" s="6">
        <v>30</v>
      </c>
      <c r="K127" s="6">
        <v>20</v>
      </c>
      <c r="L127" s="6">
        <v>22.5</v>
      </c>
      <c r="M127" s="6">
        <v>25.384615</v>
      </c>
      <c r="N127" s="6">
        <v>20</v>
      </c>
      <c r="O127" s="6">
        <v>22.5</v>
      </c>
      <c r="P127" s="6">
        <v>25.384615</v>
      </c>
      <c r="Q127" s="6">
        <v>20</v>
      </c>
      <c r="R127" s="6">
        <v>22.5</v>
      </c>
      <c r="S127" s="6">
        <v>25.384615</v>
      </c>
      <c r="T127" s="6">
        <v>20</v>
      </c>
      <c r="U127" s="6">
        <v>18.75</v>
      </c>
      <c r="V127" s="6">
        <v>21.428571000000002</v>
      </c>
    </row>
    <row r="128" spans="2:22">
      <c r="B128" s="6">
        <v>28732</v>
      </c>
      <c r="C128" s="6" t="s">
        <v>33</v>
      </c>
      <c r="D128" s="6">
        <v>20700</v>
      </c>
      <c r="E128" s="6" t="s">
        <v>15</v>
      </c>
      <c r="F128" s="6" t="s">
        <v>16</v>
      </c>
      <c r="G128" s="6" t="s">
        <v>1295</v>
      </c>
      <c r="H128" s="6">
        <v>0</v>
      </c>
      <c r="I128" s="6">
        <v>0</v>
      </c>
      <c r="J128" s="6">
        <v>40</v>
      </c>
      <c r="K128" s="6">
        <v>0</v>
      </c>
      <c r="L128" s="6">
        <v>0</v>
      </c>
      <c r="M128" s="6">
        <v>40</v>
      </c>
      <c r="N128" s="6">
        <v>50</v>
      </c>
      <c r="O128" s="6">
        <v>50</v>
      </c>
      <c r="P128" s="6">
        <v>48.095238000000002</v>
      </c>
      <c r="Q128" s="6">
        <v>51.973683999999999</v>
      </c>
      <c r="R128" s="6">
        <v>53.351647999999997</v>
      </c>
      <c r="S128" s="6">
        <v>53.158844000000002</v>
      </c>
      <c r="T128" s="6">
        <v>51.973683999999999</v>
      </c>
      <c r="U128" s="6">
        <v>53.303249000000001</v>
      </c>
      <c r="V128" s="6">
        <v>52.798012999999997</v>
      </c>
    </row>
    <row r="129" spans="2:22">
      <c r="B129" s="6">
        <v>28732</v>
      </c>
      <c r="C129" s="6" t="s">
        <v>33</v>
      </c>
      <c r="D129" s="6">
        <v>20700</v>
      </c>
      <c r="E129" s="6" t="s">
        <v>15</v>
      </c>
      <c r="F129" s="6" t="s">
        <v>17</v>
      </c>
      <c r="G129" s="6" t="s">
        <v>1294</v>
      </c>
      <c r="H129" s="6">
        <v>0</v>
      </c>
      <c r="I129" s="6">
        <v>35</v>
      </c>
      <c r="J129" s="6">
        <v>35</v>
      </c>
      <c r="K129" s="6">
        <v>32.777777</v>
      </c>
      <c r="L129" s="6">
        <v>33.823529000000001</v>
      </c>
      <c r="M129" s="6">
        <v>34.318181000000003</v>
      </c>
      <c r="N129" s="6">
        <v>35</v>
      </c>
      <c r="O129" s="6">
        <v>35</v>
      </c>
      <c r="P129" s="6">
        <v>35.192307</v>
      </c>
      <c r="Q129" s="6">
        <v>39.560809999999996</v>
      </c>
      <c r="R129" s="6">
        <v>39.612546000000002</v>
      </c>
      <c r="S129" s="6">
        <v>39.702897999999998</v>
      </c>
      <c r="T129" s="6">
        <v>37.594695999999999</v>
      </c>
      <c r="U129" s="6">
        <v>37.122718999999996</v>
      </c>
      <c r="V129" s="6">
        <v>37.548872000000003</v>
      </c>
    </row>
    <row r="130" spans="2:22">
      <c r="B130" s="6">
        <v>29059</v>
      </c>
      <c r="C130" s="6" t="s">
        <v>68</v>
      </c>
      <c r="D130" s="6">
        <v>20700</v>
      </c>
      <c r="E130" s="6" t="s">
        <v>15</v>
      </c>
      <c r="F130" s="6" t="s">
        <v>17</v>
      </c>
      <c r="G130" s="6" t="s">
        <v>1294</v>
      </c>
      <c r="H130" s="6">
        <v>35</v>
      </c>
      <c r="I130" s="6">
        <v>35</v>
      </c>
      <c r="J130" s="6">
        <v>35</v>
      </c>
      <c r="K130" s="6">
        <v>35</v>
      </c>
      <c r="L130" s="6">
        <v>35</v>
      </c>
      <c r="M130" s="6">
        <v>35</v>
      </c>
      <c r="N130" s="6">
        <v>35</v>
      </c>
      <c r="O130" s="6">
        <v>35.032466999999997</v>
      </c>
      <c r="P130" s="6">
        <v>35.15748</v>
      </c>
      <c r="Q130" s="6">
        <v>35.125</v>
      </c>
      <c r="R130" s="6">
        <v>35.188679</v>
      </c>
      <c r="S130" s="6">
        <v>35.358490000000003</v>
      </c>
      <c r="T130" s="6">
        <v>37.594695999999999</v>
      </c>
      <c r="U130" s="6">
        <v>37.122718999999996</v>
      </c>
      <c r="V130" s="6">
        <v>37.548872000000003</v>
      </c>
    </row>
    <row r="131" spans="2:22">
      <c r="B131" s="6">
        <v>29059</v>
      </c>
      <c r="C131" s="6" t="s">
        <v>68</v>
      </c>
      <c r="D131" s="6">
        <v>23100</v>
      </c>
      <c r="E131" s="6" t="s">
        <v>54</v>
      </c>
      <c r="F131" s="6" t="s">
        <v>16</v>
      </c>
      <c r="G131" s="6" t="s">
        <v>1295</v>
      </c>
      <c r="H131" s="6">
        <v>20</v>
      </c>
      <c r="I131" s="6">
        <v>20</v>
      </c>
      <c r="J131" s="6">
        <v>20</v>
      </c>
      <c r="K131" s="6">
        <v>20</v>
      </c>
      <c r="L131" s="6">
        <v>20</v>
      </c>
      <c r="M131" s="6">
        <v>20</v>
      </c>
      <c r="N131" s="6">
        <v>19.069766999999999</v>
      </c>
      <c r="O131" s="6">
        <v>18.208955</v>
      </c>
      <c r="P131" s="6">
        <v>18.689516000000001</v>
      </c>
      <c r="Q131" s="6">
        <v>17.533783</v>
      </c>
      <c r="R131" s="6">
        <v>16.700679999999998</v>
      </c>
      <c r="S131" s="6">
        <v>17.127882</v>
      </c>
      <c r="T131" s="6">
        <v>17.533783</v>
      </c>
      <c r="U131" s="6">
        <v>16.700679999999998</v>
      </c>
      <c r="V131" s="6">
        <v>17.127882</v>
      </c>
    </row>
    <row r="132" spans="2:22">
      <c r="B132" s="6">
        <v>30026</v>
      </c>
      <c r="C132" s="6" t="s">
        <v>75</v>
      </c>
      <c r="D132" s="6">
        <v>20500</v>
      </c>
      <c r="E132" s="6" t="s">
        <v>31</v>
      </c>
      <c r="F132" s="6" t="s">
        <v>13</v>
      </c>
      <c r="G132" s="6" t="s">
        <v>14</v>
      </c>
      <c r="H132" s="6">
        <v>0</v>
      </c>
      <c r="I132" s="6">
        <v>0</v>
      </c>
      <c r="J132" s="6">
        <v>20</v>
      </c>
      <c r="K132" s="6">
        <v>0</v>
      </c>
      <c r="L132" s="6">
        <v>0</v>
      </c>
      <c r="M132" s="6">
        <v>20</v>
      </c>
      <c r="N132" s="6">
        <v>25</v>
      </c>
      <c r="O132" s="6">
        <v>22.5</v>
      </c>
      <c r="P132" s="6">
        <v>20.123965999999999</v>
      </c>
      <c r="Q132" s="6">
        <v>25</v>
      </c>
      <c r="R132" s="6">
        <v>22.5</v>
      </c>
      <c r="S132" s="6">
        <v>20.122949999999999</v>
      </c>
      <c r="T132" s="6">
        <v>28.409089999999999</v>
      </c>
      <c r="U132" s="6">
        <v>28.088235000000001</v>
      </c>
      <c r="V132" s="6">
        <v>22.096774</v>
      </c>
    </row>
    <row r="133" spans="2:22">
      <c r="B133" s="6">
        <v>30026</v>
      </c>
      <c r="C133" s="6" t="s">
        <v>75</v>
      </c>
      <c r="D133" s="6">
        <v>20500</v>
      </c>
      <c r="E133" s="6" t="s">
        <v>31</v>
      </c>
      <c r="F133" s="6" t="s">
        <v>17</v>
      </c>
      <c r="G133" s="6" t="s">
        <v>1294</v>
      </c>
      <c r="H133" s="6">
        <v>27</v>
      </c>
      <c r="I133" s="6">
        <v>27</v>
      </c>
      <c r="J133" s="6">
        <v>27</v>
      </c>
      <c r="K133" s="6">
        <v>26.046875</v>
      </c>
      <c r="L133" s="6">
        <v>26.199541</v>
      </c>
      <c r="M133" s="6">
        <v>26.109717</v>
      </c>
      <c r="N133" s="6">
        <v>26.108958000000001</v>
      </c>
      <c r="O133" s="6">
        <v>26.328648000000001</v>
      </c>
      <c r="P133" s="6">
        <v>26.003786000000002</v>
      </c>
      <c r="Q133" s="6">
        <v>26.101534000000001</v>
      </c>
      <c r="R133" s="6">
        <v>26.316153</v>
      </c>
      <c r="S133" s="6">
        <v>25.991613999999998</v>
      </c>
      <c r="T133" s="6">
        <v>25.645997000000001</v>
      </c>
      <c r="U133" s="6">
        <v>25.223958</v>
      </c>
      <c r="V133" s="6">
        <v>24.770192999999999</v>
      </c>
    </row>
    <row r="134" spans="2:22">
      <c r="B134" s="6">
        <v>30026</v>
      </c>
      <c r="C134" s="6" t="s">
        <v>75</v>
      </c>
      <c r="D134" s="6">
        <v>20702</v>
      </c>
      <c r="E134" s="6" t="s">
        <v>44</v>
      </c>
      <c r="F134" s="6" t="s">
        <v>17</v>
      </c>
      <c r="G134" s="6" t="s">
        <v>1294</v>
      </c>
      <c r="H134" s="6">
        <v>35</v>
      </c>
      <c r="I134" s="6">
        <v>35</v>
      </c>
      <c r="J134" s="6">
        <v>35</v>
      </c>
      <c r="K134" s="6">
        <v>34.851851000000003</v>
      </c>
      <c r="L134" s="6">
        <v>34.933332999999998</v>
      </c>
      <c r="M134" s="6">
        <v>34.897097000000002</v>
      </c>
      <c r="N134" s="6">
        <v>34.893103000000004</v>
      </c>
      <c r="O134" s="6">
        <v>34.949179999999998</v>
      </c>
      <c r="P134" s="6">
        <v>34.926701000000001</v>
      </c>
      <c r="Q134" s="6">
        <v>34.894556999999999</v>
      </c>
      <c r="R134" s="6">
        <v>34.950949000000001</v>
      </c>
      <c r="S134" s="6">
        <v>34.883485</v>
      </c>
      <c r="T134" s="6">
        <v>34.894556999999999</v>
      </c>
      <c r="U134" s="6">
        <v>34.950949000000001</v>
      </c>
      <c r="V134" s="6">
        <v>34.883485</v>
      </c>
    </row>
    <row r="135" spans="2:22">
      <c r="B135" s="6">
        <v>30026</v>
      </c>
      <c r="C135" s="6" t="s">
        <v>75</v>
      </c>
      <c r="D135" s="6">
        <v>20902</v>
      </c>
      <c r="E135" s="6" t="s">
        <v>53</v>
      </c>
      <c r="F135" s="6" t="s">
        <v>13</v>
      </c>
      <c r="G135" s="6" t="s">
        <v>14</v>
      </c>
      <c r="H135" s="6">
        <v>20</v>
      </c>
      <c r="I135" s="6">
        <v>20</v>
      </c>
      <c r="J135" s="6">
        <v>20</v>
      </c>
      <c r="K135" s="6">
        <v>18.622046999999998</v>
      </c>
      <c r="L135" s="6">
        <v>18.557046</v>
      </c>
      <c r="M135" s="6">
        <v>18.643459</v>
      </c>
      <c r="N135" s="6">
        <v>19.181818</v>
      </c>
      <c r="O135" s="6">
        <v>19.119288999999998</v>
      </c>
      <c r="P135" s="6">
        <v>18.784502</v>
      </c>
      <c r="Q135" s="6">
        <v>19.181818</v>
      </c>
      <c r="R135" s="6">
        <v>19.101835999999999</v>
      </c>
      <c r="S135" s="6">
        <v>18.763134000000001</v>
      </c>
      <c r="T135" s="6">
        <v>19.181818</v>
      </c>
      <c r="U135" s="6">
        <v>19.101835999999999</v>
      </c>
      <c r="V135" s="6">
        <v>18.763134000000001</v>
      </c>
    </row>
    <row r="136" spans="2:22">
      <c r="B136" s="6">
        <v>30026</v>
      </c>
      <c r="C136" s="6" t="s">
        <v>75</v>
      </c>
      <c r="D136" s="6">
        <v>20906</v>
      </c>
      <c r="E136" s="6" t="s">
        <v>48</v>
      </c>
      <c r="F136" s="6" t="s">
        <v>49</v>
      </c>
      <c r="G136" s="6" t="s">
        <v>1296</v>
      </c>
      <c r="H136" s="6">
        <v>17</v>
      </c>
      <c r="I136" s="6">
        <v>17</v>
      </c>
      <c r="J136" s="6">
        <v>17.333333</v>
      </c>
      <c r="K136" s="6">
        <v>17.229590999999999</v>
      </c>
      <c r="L136" s="6">
        <v>17.052391</v>
      </c>
      <c r="M136" s="6">
        <v>17.431988</v>
      </c>
      <c r="N136" s="6">
        <v>17.016705999999999</v>
      </c>
      <c r="O136" s="6">
        <v>16.954350000000002</v>
      </c>
      <c r="P136" s="6">
        <v>17.537869000000001</v>
      </c>
      <c r="Q136" s="6">
        <v>17.016335999999999</v>
      </c>
      <c r="R136" s="6">
        <v>16.958155999999999</v>
      </c>
      <c r="S136" s="6">
        <v>17.538882000000001</v>
      </c>
      <c r="T136" s="6">
        <v>17.016335999999999</v>
      </c>
      <c r="U136" s="6">
        <v>16.958155999999999</v>
      </c>
      <c r="V136" s="6">
        <v>17.538882000000001</v>
      </c>
    </row>
    <row r="137" spans="2:22">
      <c r="B137" s="6">
        <v>30027</v>
      </c>
      <c r="C137" s="6" t="s">
        <v>76</v>
      </c>
      <c r="D137" s="6">
        <v>20500</v>
      </c>
      <c r="E137" s="6" t="s">
        <v>31</v>
      </c>
      <c r="F137" s="6" t="s">
        <v>13</v>
      </c>
      <c r="G137" s="6" t="s">
        <v>14</v>
      </c>
      <c r="H137" s="6">
        <v>0</v>
      </c>
      <c r="I137" s="6">
        <v>0</v>
      </c>
      <c r="J137" s="6">
        <v>20</v>
      </c>
      <c r="K137" s="6">
        <v>25</v>
      </c>
      <c r="L137" s="6">
        <v>21.25</v>
      </c>
      <c r="M137" s="6">
        <v>20.070422000000001</v>
      </c>
      <c r="N137" s="6">
        <v>25</v>
      </c>
      <c r="O137" s="6">
        <v>22.5</v>
      </c>
      <c r="P137" s="6">
        <v>20.123965999999999</v>
      </c>
      <c r="Q137" s="6">
        <v>25</v>
      </c>
      <c r="R137" s="6">
        <v>22.5</v>
      </c>
      <c r="S137" s="6">
        <v>20.122949999999999</v>
      </c>
      <c r="T137" s="6">
        <v>28.409089999999999</v>
      </c>
      <c r="U137" s="6">
        <v>28.088235000000001</v>
      </c>
      <c r="V137" s="6">
        <v>22.096774</v>
      </c>
    </row>
    <row r="138" spans="2:22">
      <c r="B138" s="6">
        <v>30027</v>
      </c>
      <c r="C138" s="6" t="s">
        <v>76</v>
      </c>
      <c r="D138" s="6">
        <v>20500</v>
      </c>
      <c r="E138" s="6" t="s">
        <v>31</v>
      </c>
      <c r="F138" s="6" t="s">
        <v>17</v>
      </c>
      <c r="G138" s="6" t="s">
        <v>1294</v>
      </c>
      <c r="H138" s="6">
        <v>30</v>
      </c>
      <c r="I138" s="6">
        <v>28</v>
      </c>
      <c r="J138" s="6">
        <v>28</v>
      </c>
      <c r="K138" s="6">
        <v>26.093993999999999</v>
      </c>
      <c r="L138" s="6">
        <v>26.469746000000001</v>
      </c>
      <c r="M138" s="6">
        <v>26.000619</v>
      </c>
      <c r="N138" s="6">
        <v>26.108958000000001</v>
      </c>
      <c r="O138" s="6">
        <v>26.328648000000001</v>
      </c>
      <c r="P138" s="6">
        <v>26.003786000000002</v>
      </c>
      <c r="Q138" s="6">
        <v>26.101534000000001</v>
      </c>
      <c r="R138" s="6">
        <v>26.316153</v>
      </c>
      <c r="S138" s="6">
        <v>25.991613999999998</v>
      </c>
      <c r="T138" s="6">
        <v>25.645997000000001</v>
      </c>
      <c r="U138" s="6">
        <v>25.223958</v>
      </c>
      <c r="V138" s="6">
        <v>24.770192999999999</v>
      </c>
    </row>
    <row r="139" spans="2:22">
      <c r="B139" s="6">
        <v>30027</v>
      </c>
      <c r="C139" s="6" t="s">
        <v>76</v>
      </c>
      <c r="D139" s="6">
        <v>20702</v>
      </c>
      <c r="E139" s="6" t="s">
        <v>44</v>
      </c>
      <c r="F139" s="6" t="s">
        <v>17</v>
      </c>
      <c r="G139" s="6" t="s">
        <v>1294</v>
      </c>
      <c r="H139" s="6">
        <v>35</v>
      </c>
      <c r="I139" s="6">
        <v>35</v>
      </c>
      <c r="J139" s="6">
        <v>35</v>
      </c>
      <c r="K139" s="6">
        <v>35</v>
      </c>
      <c r="L139" s="6">
        <v>35</v>
      </c>
      <c r="M139" s="6">
        <v>35</v>
      </c>
      <c r="N139" s="6">
        <v>34.893103000000004</v>
      </c>
      <c r="O139" s="6">
        <v>34.949179999999998</v>
      </c>
      <c r="P139" s="6">
        <v>34.926701000000001</v>
      </c>
      <c r="Q139" s="6">
        <v>34.894556999999999</v>
      </c>
      <c r="R139" s="6">
        <v>34.950949000000001</v>
      </c>
      <c r="S139" s="6">
        <v>34.883485</v>
      </c>
      <c r="T139" s="6">
        <v>34.894556999999999</v>
      </c>
      <c r="U139" s="6">
        <v>34.950949000000001</v>
      </c>
      <c r="V139" s="6">
        <v>34.883485</v>
      </c>
    </row>
    <row r="140" spans="2:22">
      <c r="B140" s="6">
        <v>30027</v>
      </c>
      <c r="C140" s="6" t="s">
        <v>76</v>
      </c>
      <c r="D140" s="6">
        <v>20902</v>
      </c>
      <c r="E140" s="6" t="s">
        <v>53</v>
      </c>
      <c r="F140" s="6" t="s">
        <v>16</v>
      </c>
      <c r="G140" s="6" t="s">
        <v>1295</v>
      </c>
      <c r="H140" s="6">
        <v>0</v>
      </c>
      <c r="I140" s="6">
        <v>0</v>
      </c>
      <c r="J140" s="6">
        <v>30</v>
      </c>
      <c r="K140" s="6">
        <v>27.235294</v>
      </c>
      <c r="L140" s="6">
        <v>26.730157999999999</v>
      </c>
      <c r="M140" s="6">
        <v>28.302752000000002</v>
      </c>
      <c r="N140" s="6">
        <v>27.102803000000002</v>
      </c>
      <c r="O140" s="6">
        <v>26.100322999999999</v>
      </c>
      <c r="P140" s="6">
        <v>27.578899</v>
      </c>
      <c r="Q140" s="6">
        <v>27.102803000000002</v>
      </c>
      <c r="R140" s="6">
        <v>26.100322999999999</v>
      </c>
      <c r="S140" s="6">
        <v>27.558453</v>
      </c>
      <c r="T140" s="6">
        <v>26.737159999999999</v>
      </c>
      <c r="U140" s="6">
        <v>25.752351000000001</v>
      </c>
      <c r="V140" s="6">
        <v>27.323633000000001</v>
      </c>
    </row>
    <row r="141" spans="2:22">
      <c r="B141" s="6">
        <v>30027</v>
      </c>
      <c r="C141" s="6" t="s">
        <v>76</v>
      </c>
      <c r="D141" s="6">
        <v>20902</v>
      </c>
      <c r="E141" s="6" t="s">
        <v>53</v>
      </c>
      <c r="F141" s="6" t="s">
        <v>13</v>
      </c>
      <c r="G141" s="6" t="s">
        <v>14</v>
      </c>
      <c r="H141" s="6">
        <v>20</v>
      </c>
      <c r="I141" s="6">
        <v>17.5</v>
      </c>
      <c r="J141" s="6">
        <v>17</v>
      </c>
      <c r="K141" s="6">
        <v>19.956309999999998</v>
      </c>
      <c r="L141" s="6">
        <v>19.965827000000001</v>
      </c>
      <c r="M141" s="6">
        <v>19.613216000000001</v>
      </c>
      <c r="N141" s="6">
        <v>19.181818</v>
      </c>
      <c r="O141" s="6">
        <v>19.119288999999998</v>
      </c>
      <c r="P141" s="6">
        <v>18.784502</v>
      </c>
      <c r="Q141" s="6">
        <v>19.181818</v>
      </c>
      <c r="R141" s="6">
        <v>19.101835999999999</v>
      </c>
      <c r="S141" s="6">
        <v>18.763134000000001</v>
      </c>
      <c r="T141" s="6">
        <v>19.181818</v>
      </c>
      <c r="U141" s="6">
        <v>19.101835999999999</v>
      </c>
      <c r="V141" s="6">
        <v>18.763134000000001</v>
      </c>
    </row>
    <row r="142" spans="2:22">
      <c r="B142" s="6">
        <v>30027</v>
      </c>
      <c r="C142" s="6" t="s">
        <v>76</v>
      </c>
      <c r="D142" s="6">
        <v>20906</v>
      </c>
      <c r="E142" s="6" t="s">
        <v>48</v>
      </c>
      <c r="F142" s="6" t="s">
        <v>49</v>
      </c>
      <c r="G142" s="6" t="s">
        <v>1296</v>
      </c>
      <c r="H142" s="6">
        <v>17</v>
      </c>
      <c r="I142" s="6">
        <v>17</v>
      </c>
      <c r="J142" s="6">
        <v>17.428571000000002</v>
      </c>
      <c r="K142" s="6">
        <v>16.923482</v>
      </c>
      <c r="L142" s="6">
        <v>16.908185</v>
      </c>
      <c r="M142" s="6">
        <v>17.652851999999999</v>
      </c>
      <c r="N142" s="6">
        <v>17.016705999999999</v>
      </c>
      <c r="O142" s="6">
        <v>16.954350000000002</v>
      </c>
      <c r="P142" s="6">
        <v>17.537869000000001</v>
      </c>
      <c r="Q142" s="6">
        <v>17.016335999999999</v>
      </c>
      <c r="R142" s="6">
        <v>16.958155999999999</v>
      </c>
      <c r="S142" s="6">
        <v>17.538882000000001</v>
      </c>
      <c r="T142" s="6">
        <v>17.016335999999999</v>
      </c>
      <c r="U142" s="6">
        <v>16.958155999999999</v>
      </c>
      <c r="V142" s="6">
        <v>17.538882000000001</v>
      </c>
    </row>
    <row r="143" spans="2:22">
      <c r="B143" s="6">
        <v>30063</v>
      </c>
      <c r="C143" s="6" t="s">
        <v>1083</v>
      </c>
      <c r="D143" s="6">
        <v>20300</v>
      </c>
      <c r="E143" s="6" t="s">
        <v>12</v>
      </c>
      <c r="F143" s="6" t="s">
        <v>16</v>
      </c>
      <c r="G143" s="6" t="s">
        <v>1295</v>
      </c>
      <c r="H143" s="6">
        <v>30</v>
      </c>
      <c r="I143" s="6">
        <v>30</v>
      </c>
      <c r="J143" s="6">
        <v>30</v>
      </c>
      <c r="K143" s="6">
        <v>29.444444000000001</v>
      </c>
      <c r="L143" s="6">
        <v>26.333333</v>
      </c>
      <c r="M143" s="6">
        <v>27.477063999999999</v>
      </c>
      <c r="N143" s="6">
        <v>29.444444000000001</v>
      </c>
      <c r="O143" s="6">
        <v>26.333333</v>
      </c>
      <c r="P143" s="6">
        <v>27.477063999999999</v>
      </c>
      <c r="Q143" s="6">
        <v>29.444444000000001</v>
      </c>
      <c r="R143" s="6">
        <v>26.333333</v>
      </c>
      <c r="S143" s="6">
        <v>27.477063999999999</v>
      </c>
      <c r="T143" s="6">
        <v>29.444444000000001</v>
      </c>
      <c r="U143" s="6">
        <v>26.333333</v>
      </c>
      <c r="V143" s="6">
        <v>27.477063999999999</v>
      </c>
    </row>
    <row r="144" spans="2:22">
      <c r="B144" s="6">
        <v>30063</v>
      </c>
      <c r="C144" s="6" t="s">
        <v>1083</v>
      </c>
      <c r="D144" s="6">
        <v>20300</v>
      </c>
      <c r="E144" s="6" t="s">
        <v>12</v>
      </c>
      <c r="F144" s="6" t="s">
        <v>13</v>
      </c>
      <c r="G144" s="6" t="s">
        <v>14</v>
      </c>
      <c r="H144" s="6">
        <v>25</v>
      </c>
      <c r="I144" s="6">
        <v>25</v>
      </c>
      <c r="J144" s="6">
        <v>25</v>
      </c>
      <c r="K144" s="6">
        <v>27.651897999999999</v>
      </c>
      <c r="L144" s="6">
        <v>28.025188</v>
      </c>
      <c r="M144" s="6">
        <v>28.089873000000001</v>
      </c>
      <c r="N144" s="6">
        <v>27.651897999999999</v>
      </c>
      <c r="O144" s="6">
        <v>28.025188</v>
      </c>
      <c r="P144" s="6">
        <v>28.089873000000001</v>
      </c>
      <c r="Q144" s="6">
        <v>27.651897999999999</v>
      </c>
      <c r="R144" s="6">
        <v>28.025188</v>
      </c>
      <c r="S144" s="6">
        <v>28.089873000000001</v>
      </c>
      <c r="T144" s="6">
        <v>27.651897999999999</v>
      </c>
      <c r="U144" s="6">
        <v>28.025188</v>
      </c>
      <c r="V144" s="6">
        <v>28.089873000000001</v>
      </c>
    </row>
    <row r="145" spans="2:22">
      <c r="B145" s="6">
        <v>30063</v>
      </c>
      <c r="C145" s="6" t="s">
        <v>1083</v>
      </c>
      <c r="D145" s="6">
        <v>20700</v>
      </c>
      <c r="E145" s="6" t="s">
        <v>15</v>
      </c>
      <c r="F145" s="6" t="s">
        <v>17</v>
      </c>
      <c r="G145" s="6" t="s">
        <v>1294</v>
      </c>
      <c r="H145" s="6">
        <v>40</v>
      </c>
      <c r="I145" s="6">
        <v>40</v>
      </c>
      <c r="J145" s="6">
        <v>40</v>
      </c>
      <c r="K145" s="6">
        <v>40</v>
      </c>
      <c r="L145" s="6">
        <v>40</v>
      </c>
      <c r="M145" s="6">
        <v>40</v>
      </c>
      <c r="N145" s="6">
        <v>40</v>
      </c>
      <c r="O145" s="6">
        <v>40</v>
      </c>
      <c r="P145" s="6">
        <v>40</v>
      </c>
      <c r="Q145" s="6">
        <v>39.560809999999996</v>
      </c>
      <c r="R145" s="6">
        <v>39.612546000000002</v>
      </c>
      <c r="S145" s="6">
        <v>39.702897999999998</v>
      </c>
      <c r="T145" s="6">
        <v>37.594695999999999</v>
      </c>
      <c r="U145" s="6">
        <v>37.122718999999996</v>
      </c>
      <c r="V145" s="6">
        <v>37.548872000000003</v>
      </c>
    </row>
    <row r="146" spans="2:22">
      <c r="B146" s="6">
        <v>30148</v>
      </c>
      <c r="C146" s="6" t="s">
        <v>45</v>
      </c>
      <c r="D146" s="6">
        <v>20500</v>
      </c>
      <c r="E146" s="6" t="s">
        <v>31</v>
      </c>
      <c r="F146" s="6" t="s">
        <v>17</v>
      </c>
      <c r="G146" s="6" t="s">
        <v>1294</v>
      </c>
      <c r="H146" s="6">
        <v>0</v>
      </c>
      <c r="I146" s="6">
        <v>27</v>
      </c>
      <c r="J146" s="6">
        <v>27</v>
      </c>
      <c r="K146" s="6">
        <v>27</v>
      </c>
      <c r="L146" s="6">
        <v>27</v>
      </c>
      <c r="M146" s="6">
        <v>27</v>
      </c>
      <c r="N146" s="6">
        <v>25.809522999999999</v>
      </c>
      <c r="O146" s="6">
        <v>25.59375</v>
      </c>
      <c r="P146" s="6">
        <v>25.235294</v>
      </c>
      <c r="Q146" s="6">
        <v>26.101534000000001</v>
      </c>
      <c r="R146" s="6">
        <v>26.316153</v>
      </c>
      <c r="S146" s="6">
        <v>25.991613999999998</v>
      </c>
      <c r="T146" s="6">
        <v>25.645997000000001</v>
      </c>
      <c r="U146" s="6">
        <v>25.223958</v>
      </c>
      <c r="V146" s="6">
        <v>24.770192999999999</v>
      </c>
    </row>
    <row r="147" spans="2:22">
      <c r="B147" s="6">
        <v>30148</v>
      </c>
      <c r="C147" s="6" t="s">
        <v>45</v>
      </c>
      <c r="D147" s="6">
        <v>20601</v>
      </c>
      <c r="E147" s="6" t="s">
        <v>43</v>
      </c>
      <c r="F147" s="6" t="s">
        <v>13</v>
      </c>
      <c r="G147" s="6" t="s">
        <v>14</v>
      </c>
      <c r="H147" s="6">
        <v>0</v>
      </c>
      <c r="I147" s="6">
        <v>20</v>
      </c>
      <c r="J147" s="6">
        <v>20</v>
      </c>
      <c r="K147" s="6">
        <v>20</v>
      </c>
      <c r="L147" s="6">
        <v>20</v>
      </c>
      <c r="M147" s="6">
        <v>20</v>
      </c>
      <c r="N147" s="6">
        <v>19.047619000000001</v>
      </c>
      <c r="O147" s="6">
        <v>18.378378000000001</v>
      </c>
      <c r="P147" s="6">
        <v>18.8</v>
      </c>
      <c r="Q147" s="6">
        <v>19.047619000000001</v>
      </c>
      <c r="R147" s="6">
        <v>18.378378000000001</v>
      </c>
      <c r="S147" s="6">
        <v>18.8</v>
      </c>
      <c r="T147" s="6">
        <v>19.047619000000001</v>
      </c>
      <c r="U147" s="6">
        <v>18.378378000000001</v>
      </c>
      <c r="V147" s="6">
        <v>18.8</v>
      </c>
    </row>
    <row r="148" spans="2:22">
      <c r="B148" s="6">
        <v>30148</v>
      </c>
      <c r="C148" s="6" t="s">
        <v>45</v>
      </c>
      <c r="D148" s="6">
        <v>20702</v>
      </c>
      <c r="E148" s="6" t="s">
        <v>44</v>
      </c>
      <c r="F148" s="6" t="s">
        <v>17</v>
      </c>
      <c r="G148" s="6" t="s">
        <v>1294</v>
      </c>
      <c r="H148" s="6">
        <v>0</v>
      </c>
      <c r="I148" s="6">
        <v>35</v>
      </c>
      <c r="J148" s="6">
        <v>35</v>
      </c>
      <c r="K148" s="6">
        <v>0</v>
      </c>
      <c r="L148" s="6">
        <v>35</v>
      </c>
      <c r="M148" s="6">
        <v>35</v>
      </c>
      <c r="N148" s="6">
        <v>35</v>
      </c>
      <c r="O148" s="6">
        <v>35</v>
      </c>
      <c r="P148" s="6">
        <v>33.5</v>
      </c>
      <c r="Q148" s="6">
        <v>34.894556999999999</v>
      </c>
      <c r="R148" s="6">
        <v>34.950949000000001</v>
      </c>
      <c r="S148" s="6">
        <v>34.883485</v>
      </c>
      <c r="T148" s="6">
        <v>34.894556999999999</v>
      </c>
      <c r="U148" s="6">
        <v>34.950949000000001</v>
      </c>
      <c r="V148" s="6">
        <v>34.883485</v>
      </c>
    </row>
    <row r="149" spans="2:22">
      <c r="B149" s="6">
        <v>30150</v>
      </c>
      <c r="C149" s="6" t="s">
        <v>77</v>
      </c>
      <c r="D149" s="6">
        <v>20500</v>
      </c>
      <c r="E149" s="6" t="s">
        <v>31</v>
      </c>
      <c r="F149" s="6" t="s">
        <v>13</v>
      </c>
      <c r="G149" s="6" t="s">
        <v>14</v>
      </c>
      <c r="H149" s="6">
        <v>0</v>
      </c>
      <c r="I149" s="6">
        <v>0</v>
      </c>
      <c r="J149" s="6">
        <v>20</v>
      </c>
      <c r="K149" s="6">
        <v>25</v>
      </c>
      <c r="L149" s="6">
        <v>21.25</v>
      </c>
      <c r="M149" s="6">
        <v>20.070422000000001</v>
      </c>
      <c r="N149" s="6">
        <v>25</v>
      </c>
      <c r="O149" s="6">
        <v>22.5</v>
      </c>
      <c r="P149" s="6">
        <v>20.123965999999999</v>
      </c>
      <c r="Q149" s="6">
        <v>25</v>
      </c>
      <c r="R149" s="6">
        <v>22.5</v>
      </c>
      <c r="S149" s="6">
        <v>20.122949999999999</v>
      </c>
      <c r="T149" s="6">
        <v>28.409089999999999</v>
      </c>
      <c r="U149" s="6">
        <v>28.088235000000001</v>
      </c>
      <c r="V149" s="6">
        <v>22.096774</v>
      </c>
    </row>
    <row r="150" spans="2:22">
      <c r="B150" s="6">
        <v>30150</v>
      </c>
      <c r="C150" s="6" t="s">
        <v>77</v>
      </c>
      <c r="D150" s="6">
        <v>20500</v>
      </c>
      <c r="E150" s="6" t="s">
        <v>31</v>
      </c>
      <c r="F150" s="6" t="s">
        <v>17</v>
      </c>
      <c r="G150" s="6" t="s">
        <v>1294</v>
      </c>
      <c r="H150" s="6">
        <v>24.567567</v>
      </c>
      <c r="I150" s="6">
        <v>24.613636</v>
      </c>
      <c r="J150" s="6">
        <v>24</v>
      </c>
      <c r="K150" s="6">
        <v>26.093993999999999</v>
      </c>
      <c r="L150" s="6">
        <v>26.469746000000001</v>
      </c>
      <c r="M150" s="6">
        <v>26.000619</v>
      </c>
      <c r="N150" s="6">
        <v>26.108958000000001</v>
      </c>
      <c r="O150" s="6">
        <v>26.328648000000001</v>
      </c>
      <c r="P150" s="6">
        <v>26.003786000000002</v>
      </c>
      <c r="Q150" s="6">
        <v>26.101534000000001</v>
      </c>
      <c r="R150" s="6">
        <v>26.316153</v>
      </c>
      <c r="S150" s="6">
        <v>25.991613999999998</v>
      </c>
      <c r="T150" s="6">
        <v>25.645997000000001</v>
      </c>
      <c r="U150" s="6">
        <v>25.223958</v>
      </c>
      <c r="V150" s="6">
        <v>24.770192999999999</v>
      </c>
    </row>
    <row r="151" spans="2:22">
      <c r="B151" s="6">
        <v>30150</v>
      </c>
      <c r="C151" s="6" t="s">
        <v>77</v>
      </c>
      <c r="D151" s="6">
        <v>20706</v>
      </c>
      <c r="E151" s="6" t="s">
        <v>52</v>
      </c>
      <c r="F151" s="6" t="s">
        <v>17</v>
      </c>
      <c r="G151" s="6" t="s">
        <v>1294</v>
      </c>
      <c r="H151" s="6">
        <v>40</v>
      </c>
      <c r="I151" s="6">
        <v>40</v>
      </c>
      <c r="J151" s="6">
        <v>40</v>
      </c>
      <c r="K151" s="6">
        <v>40</v>
      </c>
      <c r="L151" s="6">
        <v>39.985993999999998</v>
      </c>
      <c r="M151" s="6">
        <v>39.981146000000003</v>
      </c>
      <c r="N151" s="6">
        <v>39.962778999999998</v>
      </c>
      <c r="O151" s="6">
        <v>39.971750999999998</v>
      </c>
      <c r="P151" s="6">
        <v>39.969020999999998</v>
      </c>
      <c r="Q151" s="6">
        <v>39.963768000000002</v>
      </c>
      <c r="R151" s="6">
        <v>39.972496999999997</v>
      </c>
      <c r="S151" s="6">
        <v>39.969659999999998</v>
      </c>
      <c r="T151" s="6">
        <v>39.867787999999997</v>
      </c>
      <c r="U151" s="6">
        <v>39.928649</v>
      </c>
      <c r="V151" s="6">
        <v>39.945453999999998</v>
      </c>
    </row>
    <row r="152" spans="2:22">
      <c r="B152" s="6">
        <v>30150</v>
      </c>
      <c r="C152" s="6" t="s">
        <v>77</v>
      </c>
      <c r="D152" s="6">
        <v>20902</v>
      </c>
      <c r="E152" s="6" t="s">
        <v>53</v>
      </c>
      <c r="F152" s="6" t="s">
        <v>16</v>
      </c>
      <c r="G152" s="6" t="s">
        <v>1295</v>
      </c>
      <c r="H152" s="6">
        <v>30</v>
      </c>
      <c r="I152" s="6">
        <v>30</v>
      </c>
      <c r="J152" s="6">
        <v>30</v>
      </c>
      <c r="K152" s="6">
        <v>27.235294</v>
      </c>
      <c r="L152" s="6">
        <v>26.730157999999999</v>
      </c>
      <c r="M152" s="6">
        <v>28.302752000000002</v>
      </c>
      <c r="N152" s="6">
        <v>27.102803000000002</v>
      </c>
      <c r="O152" s="6">
        <v>26.100322999999999</v>
      </c>
      <c r="P152" s="6">
        <v>27.578899</v>
      </c>
      <c r="Q152" s="6">
        <v>27.102803000000002</v>
      </c>
      <c r="R152" s="6">
        <v>26.100322999999999</v>
      </c>
      <c r="S152" s="6">
        <v>27.558453</v>
      </c>
      <c r="T152" s="6">
        <v>26.737159999999999</v>
      </c>
      <c r="U152" s="6">
        <v>25.752351000000001</v>
      </c>
      <c r="V152" s="6">
        <v>27.323633000000001</v>
      </c>
    </row>
    <row r="153" spans="2:22">
      <c r="B153" s="6">
        <v>30150</v>
      </c>
      <c r="C153" s="6" t="s">
        <v>77</v>
      </c>
      <c r="D153" s="6">
        <v>20902</v>
      </c>
      <c r="E153" s="6" t="s">
        <v>53</v>
      </c>
      <c r="F153" s="6" t="s">
        <v>13</v>
      </c>
      <c r="G153" s="6" t="s">
        <v>14</v>
      </c>
      <c r="H153" s="6">
        <v>20</v>
      </c>
      <c r="I153" s="6">
        <v>20</v>
      </c>
      <c r="J153" s="6">
        <v>20</v>
      </c>
      <c r="K153" s="6">
        <v>19.956309999999998</v>
      </c>
      <c r="L153" s="6">
        <v>19.965827000000001</v>
      </c>
      <c r="M153" s="6">
        <v>19.613216000000001</v>
      </c>
      <c r="N153" s="6">
        <v>19.181818</v>
      </c>
      <c r="O153" s="6">
        <v>19.119288999999998</v>
      </c>
      <c r="P153" s="6">
        <v>18.784502</v>
      </c>
      <c r="Q153" s="6">
        <v>19.181818</v>
      </c>
      <c r="R153" s="6">
        <v>19.101835999999999</v>
      </c>
      <c r="S153" s="6">
        <v>18.763134000000001</v>
      </c>
      <c r="T153" s="6">
        <v>19.181818</v>
      </c>
      <c r="U153" s="6">
        <v>19.101835999999999</v>
      </c>
      <c r="V153" s="6">
        <v>18.763134000000001</v>
      </c>
    </row>
    <row r="154" spans="2:22">
      <c r="B154" s="6">
        <v>30150</v>
      </c>
      <c r="C154" s="6" t="s">
        <v>77</v>
      </c>
      <c r="D154" s="6">
        <v>20906</v>
      </c>
      <c r="E154" s="6" t="s">
        <v>48</v>
      </c>
      <c r="F154" s="6" t="s">
        <v>49</v>
      </c>
      <c r="G154" s="6" t="s">
        <v>1296</v>
      </c>
      <c r="H154" s="6">
        <v>17</v>
      </c>
      <c r="I154" s="6">
        <v>17</v>
      </c>
      <c r="J154" s="6">
        <v>17.341463000000001</v>
      </c>
      <c r="K154" s="6">
        <v>16.923482</v>
      </c>
      <c r="L154" s="6">
        <v>16.908185</v>
      </c>
      <c r="M154" s="6">
        <v>17.652851999999999</v>
      </c>
      <c r="N154" s="6">
        <v>17.016705999999999</v>
      </c>
      <c r="O154" s="6">
        <v>16.954350000000002</v>
      </c>
      <c r="P154" s="6">
        <v>17.537869000000001</v>
      </c>
      <c r="Q154" s="6">
        <v>17.016335999999999</v>
      </c>
      <c r="R154" s="6">
        <v>16.958155999999999</v>
      </c>
      <c r="S154" s="6">
        <v>17.538882000000001</v>
      </c>
      <c r="T154" s="6">
        <v>17.016335999999999</v>
      </c>
      <c r="U154" s="6">
        <v>16.958155999999999</v>
      </c>
      <c r="V154" s="6">
        <v>17.538882000000001</v>
      </c>
    </row>
    <row r="155" spans="2:22">
      <c r="B155" s="6">
        <v>30151</v>
      </c>
      <c r="C155" s="6" t="s">
        <v>78</v>
      </c>
      <c r="D155" s="6">
        <v>20500</v>
      </c>
      <c r="E155" s="6" t="s">
        <v>31</v>
      </c>
      <c r="F155" s="6" t="s">
        <v>17</v>
      </c>
      <c r="G155" s="6" t="s">
        <v>1294</v>
      </c>
      <c r="H155" s="6">
        <v>22</v>
      </c>
      <c r="I155" s="6">
        <v>22</v>
      </c>
      <c r="J155" s="6">
        <v>22</v>
      </c>
      <c r="K155" s="6">
        <v>26.093993999999999</v>
      </c>
      <c r="L155" s="6">
        <v>26.469746000000001</v>
      </c>
      <c r="M155" s="6">
        <v>26.000619</v>
      </c>
      <c r="N155" s="6">
        <v>26.108958000000001</v>
      </c>
      <c r="O155" s="6">
        <v>26.328648000000001</v>
      </c>
      <c r="P155" s="6">
        <v>26.003786000000002</v>
      </c>
      <c r="Q155" s="6">
        <v>26.101534000000001</v>
      </c>
      <c r="R155" s="6">
        <v>26.316153</v>
      </c>
      <c r="S155" s="6">
        <v>25.991613999999998</v>
      </c>
      <c r="T155" s="6">
        <v>25.645997000000001</v>
      </c>
      <c r="U155" s="6">
        <v>25.223958</v>
      </c>
      <c r="V155" s="6">
        <v>24.770192999999999</v>
      </c>
    </row>
    <row r="156" spans="2:22">
      <c r="B156" s="6">
        <v>30151</v>
      </c>
      <c r="C156" s="6" t="s">
        <v>78</v>
      </c>
      <c r="D156" s="6">
        <v>20706</v>
      </c>
      <c r="E156" s="6" t="s">
        <v>52</v>
      </c>
      <c r="F156" s="6" t="s">
        <v>17</v>
      </c>
      <c r="G156" s="6" t="s">
        <v>1294</v>
      </c>
      <c r="H156" s="6">
        <v>40</v>
      </c>
      <c r="I156" s="6">
        <v>40</v>
      </c>
      <c r="J156" s="6">
        <v>40</v>
      </c>
      <c r="K156" s="6">
        <v>40</v>
      </c>
      <c r="L156" s="6">
        <v>39.985993999999998</v>
      </c>
      <c r="M156" s="6">
        <v>39.981146000000003</v>
      </c>
      <c r="N156" s="6">
        <v>39.962778999999998</v>
      </c>
      <c r="O156" s="6">
        <v>39.971750999999998</v>
      </c>
      <c r="P156" s="6">
        <v>39.969020999999998</v>
      </c>
      <c r="Q156" s="6">
        <v>39.963768000000002</v>
      </c>
      <c r="R156" s="6">
        <v>39.972496999999997</v>
      </c>
      <c r="S156" s="6">
        <v>39.969659999999998</v>
      </c>
      <c r="T156" s="6">
        <v>39.867787999999997</v>
      </c>
      <c r="U156" s="6">
        <v>39.928649</v>
      </c>
      <c r="V156" s="6">
        <v>39.945453999999998</v>
      </c>
    </row>
    <row r="157" spans="2:22">
      <c r="B157" s="6">
        <v>30151</v>
      </c>
      <c r="C157" s="6" t="s">
        <v>78</v>
      </c>
      <c r="D157" s="6">
        <v>20902</v>
      </c>
      <c r="E157" s="6" t="s">
        <v>53</v>
      </c>
      <c r="F157" s="6" t="s">
        <v>16</v>
      </c>
      <c r="G157" s="6" t="s">
        <v>1295</v>
      </c>
      <c r="H157" s="6">
        <v>30</v>
      </c>
      <c r="I157" s="6">
        <v>30</v>
      </c>
      <c r="J157" s="6">
        <v>30</v>
      </c>
      <c r="K157" s="6">
        <v>27.235294</v>
      </c>
      <c r="L157" s="6">
        <v>26.730157999999999</v>
      </c>
      <c r="M157" s="6">
        <v>28.302752000000002</v>
      </c>
      <c r="N157" s="6">
        <v>27.102803000000002</v>
      </c>
      <c r="O157" s="6">
        <v>26.100322999999999</v>
      </c>
      <c r="P157" s="6">
        <v>27.578899</v>
      </c>
      <c r="Q157" s="6">
        <v>27.102803000000002</v>
      </c>
      <c r="R157" s="6">
        <v>26.100322999999999</v>
      </c>
      <c r="S157" s="6">
        <v>27.558453</v>
      </c>
      <c r="T157" s="6">
        <v>26.737159999999999</v>
      </c>
      <c r="U157" s="6">
        <v>25.752351000000001</v>
      </c>
      <c r="V157" s="6">
        <v>27.323633000000001</v>
      </c>
    </row>
    <row r="158" spans="2:22">
      <c r="B158" s="6">
        <v>30151</v>
      </c>
      <c r="C158" s="6" t="s">
        <v>78</v>
      </c>
      <c r="D158" s="6">
        <v>20902</v>
      </c>
      <c r="E158" s="6" t="s">
        <v>53</v>
      </c>
      <c r="F158" s="6" t="s">
        <v>13</v>
      </c>
      <c r="G158" s="6" t="s">
        <v>14</v>
      </c>
      <c r="H158" s="6">
        <v>20</v>
      </c>
      <c r="I158" s="6">
        <v>20</v>
      </c>
      <c r="J158" s="6">
        <v>20</v>
      </c>
      <c r="K158" s="6">
        <v>19.956309999999998</v>
      </c>
      <c r="L158" s="6">
        <v>19.965827000000001</v>
      </c>
      <c r="M158" s="6">
        <v>19.613216000000001</v>
      </c>
      <c r="N158" s="6">
        <v>19.181818</v>
      </c>
      <c r="O158" s="6">
        <v>19.119288999999998</v>
      </c>
      <c r="P158" s="6">
        <v>18.784502</v>
      </c>
      <c r="Q158" s="6">
        <v>19.181818</v>
      </c>
      <c r="R158" s="6">
        <v>19.101835999999999</v>
      </c>
      <c r="S158" s="6">
        <v>18.763134000000001</v>
      </c>
      <c r="T158" s="6">
        <v>19.181818</v>
      </c>
      <c r="U158" s="6">
        <v>19.101835999999999</v>
      </c>
      <c r="V158" s="6">
        <v>18.763134000000001</v>
      </c>
    </row>
    <row r="159" spans="2:22">
      <c r="B159" s="6">
        <v>30151</v>
      </c>
      <c r="C159" s="6" t="s">
        <v>78</v>
      </c>
      <c r="D159" s="6">
        <v>20906</v>
      </c>
      <c r="E159" s="6" t="s">
        <v>48</v>
      </c>
      <c r="F159" s="6" t="s">
        <v>49</v>
      </c>
      <c r="G159" s="6" t="s">
        <v>1296</v>
      </c>
      <c r="H159" s="6">
        <v>17</v>
      </c>
      <c r="I159" s="6">
        <v>17</v>
      </c>
      <c r="J159" s="6">
        <v>17.399999999999999</v>
      </c>
      <c r="K159" s="6">
        <v>16.923482</v>
      </c>
      <c r="L159" s="6">
        <v>16.908185</v>
      </c>
      <c r="M159" s="6">
        <v>17.652851999999999</v>
      </c>
      <c r="N159" s="6">
        <v>17.016705999999999</v>
      </c>
      <c r="O159" s="6">
        <v>16.954350000000002</v>
      </c>
      <c r="P159" s="6">
        <v>17.537869000000001</v>
      </c>
      <c r="Q159" s="6">
        <v>17.016335999999999</v>
      </c>
      <c r="R159" s="6">
        <v>16.958155999999999</v>
      </c>
      <c r="S159" s="6">
        <v>17.538882000000001</v>
      </c>
      <c r="T159" s="6">
        <v>17.016335999999999</v>
      </c>
      <c r="U159" s="6">
        <v>16.958155999999999</v>
      </c>
      <c r="V159" s="6">
        <v>17.538882000000001</v>
      </c>
    </row>
    <row r="160" spans="2:22">
      <c r="B160" s="6">
        <v>30152</v>
      </c>
      <c r="C160" s="6" t="s">
        <v>79</v>
      </c>
      <c r="D160" s="6">
        <v>20500</v>
      </c>
      <c r="E160" s="6" t="s">
        <v>31</v>
      </c>
      <c r="F160" s="6" t="s">
        <v>13</v>
      </c>
      <c r="G160" s="6" t="s">
        <v>14</v>
      </c>
      <c r="H160" s="6">
        <v>0</v>
      </c>
      <c r="I160" s="6">
        <v>0</v>
      </c>
      <c r="J160" s="6">
        <v>20</v>
      </c>
      <c r="K160" s="6">
        <v>25</v>
      </c>
      <c r="L160" s="6">
        <v>21.25</v>
      </c>
      <c r="M160" s="6">
        <v>20.070422000000001</v>
      </c>
      <c r="N160" s="6">
        <v>25</v>
      </c>
      <c r="O160" s="6">
        <v>22.5</v>
      </c>
      <c r="P160" s="6">
        <v>20.123965999999999</v>
      </c>
      <c r="Q160" s="6">
        <v>25</v>
      </c>
      <c r="R160" s="6">
        <v>22.5</v>
      </c>
      <c r="S160" s="6">
        <v>20.122949999999999</v>
      </c>
      <c r="T160" s="6">
        <v>28.409089999999999</v>
      </c>
      <c r="U160" s="6">
        <v>28.088235000000001</v>
      </c>
      <c r="V160" s="6">
        <v>22.096774</v>
      </c>
    </row>
    <row r="161" spans="2:22">
      <c r="B161" s="6">
        <v>30152</v>
      </c>
      <c r="C161" s="6" t="s">
        <v>79</v>
      </c>
      <c r="D161" s="6">
        <v>20500</v>
      </c>
      <c r="E161" s="6" t="s">
        <v>31</v>
      </c>
      <c r="F161" s="6" t="s">
        <v>17</v>
      </c>
      <c r="G161" s="6" t="s">
        <v>1294</v>
      </c>
      <c r="H161" s="6">
        <v>25.333333</v>
      </c>
      <c r="I161" s="6">
        <v>25.5</v>
      </c>
      <c r="J161" s="6">
        <v>25.260869</v>
      </c>
      <c r="K161" s="6">
        <v>26.093993999999999</v>
      </c>
      <c r="L161" s="6">
        <v>26.469746000000001</v>
      </c>
      <c r="M161" s="6">
        <v>26.000619</v>
      </c>
      <c r="N161" s="6">
        <v>26.108958000000001</v>
      </c>
      <c r="O161" s="6">
        <v>26.328648000000001</v>
      </c>
      <c r="P161" s="6">
        <v>26.003786000000002</v>
      </c>
      <c r="Q161" s="6">
        <v>26.101534000000001</v>
      </c>
      <c r="R161" s="6">
        <v>26.316153</v>
      </c>
      <c r="S161" s="6">
        <v>25.991613999999998</v>
      </c>
      <c r="T161" s="6">
        <v>25.645997000000001</v>
      </c>
      <c r="U161" s="6">
        <v>25.223958</v>
      </c>
      <c r="V161" s="6">
        <v>24.770192999999999</v>
      </c>
    </row>
    <row r="162" spans="2:22">
      <c r="B162" s="6">
        <v>30152</v>
      </c>
      <c r="C162" s="6" t="s">
        <v>79</v>
      </c>
      <c r="D162" s="6">
        <v>20706</v>
      </c>
      <c r="E162" s="6" t="s">
        <v>52</v>
      </c>
      <c r="F162" s="6" t="s">
        <v>17</v>
      </c>
      <c r="G162" s="6" t="s">
        <v>1294</v>
      </c>
      <c r="H162" s="6">
        <v>40</v>
      </c>
      <c r="I162" s="6">
        <v>40</v>
      </c>
      <c r="J162" s="6">
        <v>40</v>
      </c>
      <c r="K162" s="6">
        <v>40</v>
      </c>
      <c r="L162" s="6">
        <v>39.985993999999998</v>
      </c>
      <c r="M162" s="6">
        <v>39.981146000000003</v>
      </c>
      <c r="N162" s="6">
        <v>39.962778999999998</v>
      </c>
      <c r="O162" s="6">
        <v>39.971750999999998</v>
      </c>
      <c r="P162" s="6">
        <v>39.969020999999998</v>
      </c>
      <c r="Q162" s="6">
        <v>39.963768000000002</v>
      </c>
      <c r="R162" s="6">
        <v>39.972496999999997</v>
      </c>
      <c r="S162" s="6">
        <v>39.969659999999998</v>
      </c>
      <c r="T162" s="6">
        <v>39.867787999999997</v>
      </c>
      <c r="U162" s="6">
        <v>39.928649</v>
      </c>
      <c r="V162" s="6">
        <v>39.945453999999998</v>
      </c>
    </row>
    <row r="163" spans="2:22">
      <c r="B163" s="6">
        <v>30152</v>
      </c>
      <c r="C163" s="6" t="s">
        <v>79</v>
      </c>
      <c r="D163" s="6">
        <v>20902</v>
      </c>
      <c r="E163" s="6" t="s">
        <v>53</v>
      </c>
      <c r="F163" s="6" t="s">
        <v>16</v>
      </c>
      <c r="G163" s="6" t="s">
        <v>1295</v>
      </c>
      <c r="H163" s="6">
        <v>30</v>
      </c>
      <c r="I163" s="6">
        <v>30</v>
      </c>
      <c r="J163" s="6">
        <v>30</v>
      </c>
      <c r="K163" s="6">
        <v>27.235294</v>
      </c>
      <c r="L163" s="6">
        <v>26.730157999999999</v>
      </c>
      <c r="M163" s="6">
        <v>28.302752000000002</v>
      </c>
      <c r="N163" s="6">
        <v>27.102803000000002</v>
      </c>
      <c r="O163" s="6">
        <v>26.100322999999999</v>
      </c>
      <c r="P163" s="6">
        <v>27.578899</v>
      </c>
      <c r="Q163" s="6">
        <v>27.102803000000002</v>
      </c>
      <c r="R163" s="6">
        <v>26.100322999999999</v>
      </c>
      <c r="S163" s="6">
        <v>27.558453</v>
      </c>
      <c r="T163" s="6">
        <v>26.737159999999999</v>
      </c>
      <c r="U163" s="6">
        <v>25.752351000000001</v>
      </c>
      <c r="V163" s="6">
        <v>27.323633000000001</v>
      </c>
    </row>
    <row r="164" spans="2:22">
      <c r="B164" s="6">
        <v>30152</v>
      </c>
      <c r="C164" s="6" t="s">
        <v>79</v>
      </c>
      <c r="D164" s="6">
        <v>20902</v>
      </c>
      <c r="E164" s="6" t="s">
        <v>53</v>
      </c>
      <c r="F164" s="6" t="s">
        <v>13</v>
      </c>
      <c r="G164" s="6" t="s">
        <v>14</v>
      </c>
      <c r="H164" s="6">
        <v>20</v>
      </c>
      <c r="I164" s="6">
        <v>20</v>
      </c>
      <c r="J164" s="6">
        <v>20</v>
      </c>
      <c r="K164" s="6">
        <v>19.956309999999998</v>
      </c>
      <c r="L164" s="6">
        <v>19.965827000000001</v>
      </c>
      <c r="M164" s="6">
        <v>19.613216000000001</v>
      </c>
      <c r="N164" s="6">
        <v>19.181818</v>
      </c>
      <c r="O164" s="6">
        <v>19.119288999999998</v>
      </c>
      <c r="P164" s="6">
        <v>18.784502</v>
      </c>
      <c r="Q164" s="6">
        <v>19.181818</v>
      </c>
      <c r="R164" s="6">
        <v>19.101835999999999</v>
      </c>
      <c r="S164" s="6">
        <v>18.763134000000001</v>
      </c>
      <c r="T164" s="6">
        <v>19.181818</v>
      </c>
      <c r="U164" s="6">
        <v>19.101835999999999</v>
      </c>
      <c r="V164" s="6">
        <v>18.763134000000001</v>
      </c>
    </row>
    <row r="165" spans="2:22">
      <c r="B165" s="6">
        <v>30152</v>
      </c>
      <c r="C165" s="6" t="s">
        <v>79</v>
      </c>
      <c r="D165" s="6">
        <v>20906</v>
      </c>
      <c r="E165" s="6" t="s">
        <v>48</v>
      </c>
      <c r="F165" s="6" t="s">
        <v>49</v>
      </c>
      <c r="G165" s="6" t="s">
        <v>1296</v>
      </c>
      <c r="H165" s="6">
        <v>17</v>
      </c>
      <c r="I165" s="6">
        <v>17</v>
      </c>
      <c r="J165" s="6">
        <v>18.619046999999998</v>
      </c>
      <c r="K165" s="6">
        <v>16.923482</v>
      </c>
      <c r="L165" s="6">
        <v>16.908185</v>
      </c>
      <c r="M165" s="6">
        <v>17.652851999999999</v>
      </c>
      <c r="N165" s="6">
        <v>17.016705999999999</v>
      </c>
      <c r="O165" s="6">
        <v>16.954350000000002</v>
      </c>
      <c r="P165" s="6">
        <v>17.537869000000001</v>
      </c>
      <c r="Q165" s="6">
        <v>17.016335999999999</v>
      </c>
      <c r="R165" s="6">
        <v>16.958155999999999</v>
      </c>
      <c r="S165" s="6">
        <v>17.538882000000001</v>
      </c>
      <c r="T165" s="6">
        <v>17.016335999999999</v>
      </c>
      <c r="U165" s="6">
        <v>16.958155999999999</v>
      </c>
      <c r="V165" s="6">
        <v>17.538882000000001</v>
      </c>
    </row>
    <row r="166" spans="2:22">
      <c r="B166" s="6">
        <v>30152</v>
      </c>
      <c r="C166" s="6" t="s">
        <v>79</v>
      </c>
      <c r="D166" s="6">
        <v>20906</v>
      </c>
      <c r="E166" s="6" t="s">
        <v>48</v>
      </c>
      <c r="F166" s="6" t="s">
        <v>1297</v>
      </c>
      <c r="G166" s="6" t="s">
        <v>1298</v>
      </c>
      <c r="H166" s="6">
        <v>17</v>
      </c>
      <c r="I166" s="6">
        <v>17</v>
      </c>
      <c r="J166" s="6">
        <v>17</v>
      </c>
      <c r="K166" s="6">
        <v>17</v>
      </c>
      <c r="L166" s="6">
        <v>17</v>
      </c>
      <c r="M166" s="6">
        <v>17</v>
      </c>
      <c r="N166" s="6">
        <v>17</v>
      </c>
      <c r="O166" s="6">
        <v>17</v>
      </c>
      <c r="P166" s="6">
        <v>17</v>
      </c>
      <c r="Q166" s="6">
        <v>17</v>
      </c>
      <c r="R166" s="6">
        <v>17</v>
      </c>
      <c r="S166" s="6">
        <v>17</v>
      </c>
      <c r="T166" s="6">
        <v>17</v>
      </c>
      <c r="U166" s="6">
        <v>17</v>
      </c>
      <c r="V166" s="6">
        <v>17</v>
      </c>
    </row>
    <row r="167" spans="2:22">
      <c r="B167" s="6">
        <v>30233</v>
      </c>
      <c r="C167" s="6" t="s">
        <v>80</v>
      </c>
      <c r="D167" s="6">
        <v>20500</v>
      </c>
      <c r="E167" s="6" t="s">
        <v>31</v>
      </c>
      <c r="F167" s="6" t="s">
        <v>13</v>
      </c>
      <c r="G167" s="6" t="s">
        <v>14</v>
      </c>
      <c r="H167" s="6">
        <v>0</v>
      </c>
      <c r="I167" s="6">
        <v>0</v>
      </c>
      <c r="J167" s="6">
        <v>20</v>
      </c>
      <c r="K167" s="6">
        <v>0</v>
      </c>
      <c r="L167" s="6">
        <v>0</v>
      </c>
      <c r="M167" s="6">
        <v>20</v>
      </c>
      <c r="N167" s="6">
        <v>25</v>
      </c>
      <c r="O167" s="6">
        <v>22.5</v>
      </c>
      <c r="P167" s="6">
        <v>20.123965999999999</v>
      </c>
      <c r="Q167" s="6">
        <v>25</v>
      </c>
      <c r="R167" s="6">
        <v>22.5</v>
      </c>
      <c r="S167" s="6">
        <v>20.122949999999999</v>
      </c>
      <c r="T167" s="6">
        <v>28.409089999999999</v>
      </c>
      <c r="U167" s="6">
        <v>28.088235000000001</v>
      </c>
      <c r="V167" s="6">
        <v>22.096774</v>
      </c>
    </row>
    <row r="168" spans="2:22">
      <c r="B168" s="6">
        <v>30233</v>
      </c>
      <c r="C168" s="6" t="s">
        <v>80</v>
      </c>
      <c r="D168" s="6">
        <v>20500</v>
      </c>
      <c r="E168" s="6" t="s">
        <v>31</v>
      </c>
      <c r="F168" s="6" t="s">
        <v>17</v>
      </c>
      <c r="G168" s="6" t="s">
        <v>1294</v>
      </c>
      <c r="H168" s="6">
        <v>24.142856999999999</v>
      </c>
      <c r="I168" s="6">
        <v>24.777777</v>
      </c>
      <c r="J168" s="6">
        <v>24.272727</v>
      </c>
      <c r="K168" s="6">
        <v>26.046875</v>
      </c>
      <c r="L168" s="6">
        <v>26.199541</v>
      </c>
      <c r="M168" s="6">
        <v>26.109717</v>
      </c>
      <c r="N168" s="6">
        <v>26.108958000000001</v>
      </c>
      <c r="O168" s="6">
        <v>26.328648000000001</v>
      </c>
      <c r="P168" s="6">
        <v>26.003786000000002</v>
      </c>
      <c r="Q168" s="6">
        <v>26.101534000000001</v>
      </c>
      <c r="R168" s="6">
        <v>26.316153</v>
      </c>
      <c r="S168" s="6">
        <v>25.991613999999998</v>
      </c>
      <c r="T168" s="6">
        <v>25.645997000000001</v>
      </c>
      <c r="U168" s="6">
        <v>25.223958</v>
      </c>
      <c r="V168" s="6">
        <v>24.770192999999999</v>
      </c>
    </row>
    <row r="169" spans="2:22">
      <c r="B169" s="6">
        <v>30233</v>
      </c>
      <c r="C169" s="6" t="s">
        <v>80</v>
      </c>
      <c r="D169" s="6">
        <v>20702</v>
      </c>
      <c r="E169" s="6" t="s">
        <v>44</v>
      </c>
      <c r="F169" s="6" t="s">
        <v>17</v>
      </c>
      <c r="G169" s="6" t="s">
        <v>1294</v>
      </c>
      <c r="H169" s="6">
        <v>35</v>
      </c>
      <c r="I169" s="6">
        <v>35</v>
      </c>
      <c r="J169" s="6">
        <v>35</v>
      </c>
      <c r="K169" s="6">
        <v>34.851851000000003</v>
      </c>
      <c r="L169" s="6">
        <v>34.933332999999998</v>
      </c>
      <c r="M169" s="6">
        <v>34.897097000000002</v>
      </c>
      <c r="N169" s="6">
        <v>34.893103000000004</v>
      </c>
      <c r="O169" s="6">
        <v>34.949179999999998</v>
      </c>
      <c r="P169" s="6">
        <v>34.926701000000001</v>
      </c>
      <c r="Q169" s="6">
        <v>34.894556999999999</v>
      </c>
      <c r="R169" s="6">
        <v>34.950949000000001</v>
      </c>
      <c r="S169" s="6">
        <v>34.883485</v>
      </c>
      <c r="T169" s="6">
        <v>34.894556999999999</v>
      </c>
      <c r="U169" s="6">
        <v>34.950949000000001</v>
      </c>
      <c r="V169" s="6">
        <v>34.883485</v>
      </c>
    </row>
    <row r="170" spans="2:22">
      <c r="B170" s="6">
        <v>30233</v>
      </c>
      <c r="C170" s="6" t="s">
        <v>80</v>
      </c>
      <c r="D170" s="6">
        <v>20902</v>
      </c>
      <c r="E170" s="6" t="s">
        <v>53</v>
      </c>
      <c r="F170" s="6" t="s">
        <v>16</v>
      </c>
      <c r="G170" s="6" t="s">
        <v>1295</v>
      </c>
      <c r="H170" s="6">
        <v>30</v>
      </c>
      <c r="I170" s="6">
        <v>30</v>
      </c>
      <c r="J170" s="6">
        <v>30</v>
      </c>
      <c r="K170" s="6">
        <v>26.721311</v>
      </c>
      <c r="L170" s="6">
        <v>25.932835000000001</v>
      </c>
      <c r="M170" s="6">
        <v>26.507536999999999</v>
      </c>
      <c r="N170" s="6">
        <v>27.102803000000002</v>
      </c>
      <c r="O170" s="6">
        <v>26.100322999999999</v>
      </c>
      <c r="P170" s="6">
        <v>27.578899</v>
      </c>
      <c r="Q170" s="6">
        <v>27.102803000000002</v>
      </c>
      <c r="R170" s="6">
        <v>26.100322999999999</v>
      </c>
      <c r="S170" s="6">
        <v>27.558453</v>
      </c>
      <c r="T170" s="6">
        <v>26.737159999999999</v>
      </c>
      <c r="U170" s="6">
        <v>25.752351000000001</v>
      </c>
      <c r="V170" s="6">
        <v>27.323633000000001</v>
      </c>
    </row>
    <row r="171" spans="2:22">
      <c r="B171" s="6">
        <v>30233</v>
      </c>
      <c r="C171" s="6" t="s">
        <v>80</v>
      </c>
      <c r="D171" s="6">
        <v>20902</v>
      </c>
      <c r="E171" s="6" t="s">
        <v>53</v>
      </c>
      <c r="F171" s="6" t="s">
        <v>13</v>
      </c>
      <c r="G171" s="6" t="s">
        <v>14</v>
      </c>
      <c r="H171" s="6">
        <v>0</v>
      </c>
      <c r="I171" s="6">
        <v>20</v>
      </c>
      <c r="J171" s="6">
        <v>20</v>
      </c>
      <c r="K171" s="6">
        <v>18.622046999999998</v>
      </c>
      <c r="L171" s="6">
        <v>18.557046</v>
      </c>
      <c r="M171" s="6">
        <v>18.643459</v>
      </c>
      <c r="N171" s="6">
        <v>19.181818</v>
      </c>
      <c r="O171" s="6">
        <v>19.119288999999998</v>
      </c>
      <c r="P171" s="6">
        <v>18.784502</v>
      </c>
      <c r="Q171" s="6">
        <v>19.181818</v>
      </c>
      <c r="R171" s="6">
        <v>19.101835999999999</v>
      </c>
      <c r="S171" s="6">
        <v>18.763134000000001</v>
      </c>
      <c r="T171" s="6">
        <v>19.181818</v>
      </c>
      <c r="U171" s="6">
        <v>19.101835999999999</v>
      </c>
      <c r="V171" s="6">
        <v>18.763134000000001</v>
      </c>
    </row>
    <row r="172" spans="2:22">
      <c r="B172" s="6">
        <v>30233</v>
      </c>
      <c r="C172" s="6" t="s">
        <v>80</v>
      </c>
      <c r="D172" s="6">
        <v>20906</v>
      </c>
      <c r="E172" s="6" t="s">
        <v>48</v>
      </c>
      <c r="F172" s="6" t="s">
        <v>49</v>
      </c>
      <c r="G172" s="6" t="s">
        <v>1296</v>
      </c>
      <c r="H172" s="6">
        <v>18.714285</v>
      </c>
      <c r="I172" s="6">
        <v>18.333333</v>
      </c>
      <c r="J172" s="6">
        <v>18.416665999999999</v>
      </c>
      <c r="K172" s="6">
        <v>17.229590999999999</v>
      </c>
      <c r="L172" s="6">
        <v>17.052391</v>
      </c>
      <c r="M172" s="6">
        <v>17.431988</v>
      </c>
      <c r="N172" s="6">
        <v>17.016705999999999</v>
      </c>
      <c r="O172" s="6">
        <v>16.954350000000002</v>
      </c>
      <c r="P172" s="6">
        <v>17.537869000000001</v>
      </c>
      <c r="Q172" s="6">
        <v>17.016335999999999</v>
      </c>
      <c r="R172" s="6">
        <v>16.958155999999999</v>
      </c>
      <c r="S172" s="6">
        <v>17.538882000000001</v>
      </c>
      <c r="T172" s="6">
        <v>17.016335999999999</v>
      </c>
      <c r="U172" s="6">
        <v>16.958155999999999</v>
      </c>
      <c r="V172" s="6">
        <v>17.538882000000001</v>
      </c>
    </row>
    <row r="173" spans="2:22">
      <c r="B173" s="6">
        <v>30234</v>
      </c>
      <c r="C173" s="6" t="s">
        <v>81</v>
      </c>
      <c r="D173" s="6">
        <v>20500</v>
      </c>
      <c r="E173" s="6" t="s">
        <v>31</v>
      </c>
      <c r="F173" s="6" t="s">
        <v>17</v>
      </c>
      <c r="G173" s="6" t="s">
        <v>1294</v>
      </c>
      <c r="H173" s="6">
        <v>22</v>
      </c>
      <c r="I173" s="6">
        <v>22</v>
      </c>
      <c r="J173" s="6">
        <v>22</v>
      </c>
      <c r="K173" s="6">
        <v>26.046875</v>
      </c>
      <c r="L173" s="6">
        <v>26.199541</v>
      </c>
      <c r="M173" s="6">
        <v>26.109717</v>
      </c>
      <c r="N173" s="6">
        <v>26.108958000000001</v>
      </c>
      <c r="O173" s="6">
        <v>26.328648000000001</v>
      </c>
      <c r="P173" s="6">
        <v>26.003786000000002</v>
      </c>
      <c r="Q173" s="6">
        <v>26.101534000000001</v>
      </c>
      <c r="R173" s="6">
        <v>26.316153</v>
      </c>
      <c r="S173" s="6">
        <v>25.991613999999998</v>
      </c>
      <c r="T173" s="6">
        <v>25.645997000000001</v>
      </c>
      <c r="U173" s="6">
        <v>25.223958</v>
      </c>
      <c r="V173" s="6">
        <v>24.770192999999999</v>
      </c>
    </row>
    <row r="174" spans="2:22">
      <c r="B174" s="6">
        <v>30234</v>
      </c>
      <c r="C174" s="6" t="s">
        <v>81</v>
      </c>
      <c r="D174" s="6">
        <v>20702</v>
      </c>
      <c r="E174" s="6" t="s">
        <v>44</v>
      </c>
      <c r="F174" s="6" t="s">
        <v>17</v>
      </c>
      <c r="G174" s="6" t="s">
        <v>1294</v>
      </c>
      <c r="H174" s="6">
        <v>35</v>
      </c>
      <c r="I174" s="6">
        <v>35</v>
      </c>
      <c r="J174" s="6">
        <v>35</v>
      </c>
      <c r="K174" s="6">
        <v>34.851851000000003</v>
      </c>
      <c r="L174" s="6">
        <v>34.933332999999998</v>
      </c>
      <c r="M174" s="6">
        <v>34.897097000000002</v>
      </c>
      <c r="N174" s="6">
        <v>34.893103000000004</v>
      </c>
      <c r="O174" s="6">
        <v>34.949179999999998</v>
      </c>
      <c r="P174" s="6">
        <v>34.926701000000001</v>
      </c>
      <c r="Q174" s="6">
        <v>34.894556999999999</v>
      </c>
      <c r="R174" s="6">
        <v>34.950949000000001</v>
      </c>
      <c r="S174" s="6">
        <v>34.883485</v>
      </c>
      <c r="T174" s="6">
        <v>34.894556999999999</v>
      </c>
      <c r="U174" s="6">
        <v>34.950949000000001</v>
      </c>
      <c r="V174" s="6">
        <v>34.883485</v>
      </c>
    </row>
    <row r="175" spans="2:22">
      <c r="B175" s="6">
        <v>30234</v>
      </c>
      <c r="C175" s="6" t="s">
        <v>81</v>
      </c>
      <c r="D175" s="6">
        <v>20902</v>
      </c>
      <c r="E175" s="6" t="s">
        <v>53</v>
      </c>
      <c r="F175" s="6" t="s">
        <v>16</v>
      </c>
      <c r="G175" s="6" t="s">
        <v>1295</v>
      </c>
      <c r="H175" s="6">
        <v>30</v>
      </c>
      <c r="I175" s="6">
        <v>30</v>
      </c>
      <c r="J175" s="6">
        <v>30</v>
      </c>
      <c r="K175" s="6">
        <v>26.721311</v>
      </c>
      <c r="L175" s="6">
        <v>25.932835000000001</v>
      </c>
      <c r="M175" s="6">
        <v>26.507536999999999</v>
      </c>
      <c r="N175" s="6">
        <v>27.102803000000002</v>
      </c>
      <c r="O175" s="6">
        <v>26.100322999999999</v>
      </c>
      <c r="P175" s="6">
        <v>27.578899</v>
      </c>
      <c r="Q175" s="6">
        <v>27.102803000000002</v>
      </c>
      <c r="R175" s="6">
        <v>26.100322999999999</v>
      </c>
      <c r="S175" s="6">
        <v>27.558453</v>
      </c>
      <c r="T175" s="6">
        <v>26.737159999999999</v>
      </c>
      <c r="U175" s="6">
        <v>25.752351000000001</v>
      </c>
      <c r="V175" s="6">
        <v>27.323633000000001</v>
      </c>
    </row>
    <row r="176" spans="2:22">
      <c r="B176" s="6">
        <v>30234</v>
      </c>
      <c r="C176" s="6" t="s">
        <v>81</v>
      </c>
      <c r="D176" s="6">
        <v>20902</v>
      </c>
      <c r="E176" s="6" t="s">
        <v>53</v>
      </c>
      <c r="F176" s="6" t="s">
        <v>13</v>
      </c>
      <c r="G176" s="6" t="s">
        <v>14</v>
      </c>
      <c r="H176" s="6">
        <v>20</v>
      </c>
      <c r="I176" s="6">
        <v>20</v>
      </c>
      <c r="J176" s="6">
        <v>20</v>
      </c>
      <c r="K176" s="6">
        <v>18.622046999999998</v>
      </c>
      <c r="L176" s="6">
        <v>18.557046</v>
      </c>
      <c r="M176" s="6">
        <v>18.643459</v>
      </c>
      <c r="N176" s="6">
        <v>19.181818</v>
      </c>
      <c r="O176" s="6">
        <v>19.119288999999998</v>
      </c>
      <c r="P176" s="6">
        <v>18.784502</v>
      </c>
      <c r="Q176" s="6">
        <v>19.181818</v>
      </c>
      <c r="R176" s="6">
        <v>19.101835999999999</v>
      </c>
      <c r="S176" s="6">
        <v>18.763134000000001</v>
      </c>
      <c r="T176" s="6">
        <v>19.181818</v>
      </c>
      <c r="U176" s="6">
        <v>19.101835999999999</v>
      </c>
      <c r="V176" s="6">
        <v>18.763134000000001</v>
      </c>
    </row>
    <row r="177" spans="2:22">
      <c r="B177" s="6">
        <v>30234</v>
      </c>
      <c r="C177" s="6" t="s">
        <v>81</v>
      </c>
      <c r="D177" s="6">
        <v>20906</v>
      </c>
      <c r="E177" s="6" t="s">
        <v>48</v>
      </c>
      <c r="F177" s="6" t="s">
        <v>49</v>
      </c>
      <c r="G177" s="6" t="s">
        <v>1296</v>
      </c>
      <c r="H177" s="6">
        <v>17</v>
      </c>
      <c r="I177" s="6">
        <v>17</v>
      </c>
      <c r="J177" s="6">
        <v>17</v>
      </c>
      <c r="K177" s="6">
        <v>17.229590999999999</v>
      </c>
      <c r="L177" s="6">
        <v>17.052391</v>
      </c>
      <c r="M177" s="6">
        <v>17.431988</v>
      </c>
      <c r="N177" s="6">
        <v>17.016705999999999</v>
      </c>
      <c r="O177" s="6">
        <v>16.954350000000002</v>
      </c>
      <c r="P177" s="6">
        <v>17.537869000000001</v>
      </c>
      <c r="Q177" s="6">
        <v>17.016335999999999</v>
      </c>
      <c r="R177" s="6">
        <v>16.958155999999999</v>
      </c>
      <c r="S177" s="6">
        <v>17.538882000000001</v>
      </c>
      <c r="T177" s="6">
        <v>17.016335999999999</v>
      </c>
      <c r="U177" s="6">
        <v>16.958155999999999</v>
      </c>
      <c r="V177" s="6">
        <v>17.538882000000001</v>
      </c>
    </row>
    <row r="178" spans="2:22">
      <c r="B178" s="6">
        <v>30235</v>
      </c>
      <c r="C178" s="6" t="s">
        <v>82</v>
      </c>
      <c r="D178" s="6">
        <v>20500</v>
      </c>
      <c r="E178" s="6" t="s">
        <v>31</v>
      </c>
      <c r="F178" s="6" t="s">
        <v>17</v>
      </c>
      <c r="G178" s="6" t="s">
        <v>1294</v>
      </c>
      <c r="H178" s="6">
        <v>22</v>
      </c>
      <c r="I178" s="6">
        <v>22</v>
      </c>
      <c r="J178" s="6">
        <v>22</v>
      </c>
      <c r="K178" s="6">
        <v>26.046875</v>
      </c>
      <c r="L178" s="6">
        <v>26.199541</v>
      </c>
      <c r="M178" s="6">
        <v>26.109717</v>
      </c>
      <c r="N178" s="6">
        <v>26.108958000000001</v>
      </c>
      <c r="O178" s="6">
        <v>26.328648000000001</v>
      </c>
      <c r="P178" s="6">
        <v>26.003786000000002</v>
      </c>
      <c r="Q178" s="6">
        <v>26.101534000000001</v>
      </c>
      <c r="R178" s="6">
        <v>26.316153</v>
      </c>
      <c r="S178" s="6">
        <v>25.991613999999998</v>
      </c>
      <c r="T178" s="6">
        <v>25.645997000000001</v>
      </c>
      <c r="U178" s="6">
        <v>25.223958</v>
      </c>
      <c r="V178" s="6">
        <v>24.770192999999999</v>
      </c>
    </row>
    <row r="179" spans="2:22">
      <c r="B179" s="6">
        <v>30235</v>
      </c>
      <c r="C179" s="6" t="s">
        <v>82</v>
      </c>
      <c r="D179" s="6">
        <v>20702</v>
      </c>
      <c r="E179" s="6" t="s">
        <v>44</v>
      </c>
      <c r="F179" s="6" t="s">
        <v>17</v>
      </c>
      <c r="G179" s="6" t="s">
        <v>1294</v>
      </c>
      <c r="H179" s="6">
        <v>35</v>
      </c>
      <c r="I179" s="6">
        <v>35</v>
      </c>
      <c r="J179" s="6">
        <v>35</v>
      </c>
      <c r="K179" s="6">
        <v>34.851851000000003</v>
      </c>
      <c r="L179" s="6">
        <v>34.933332999999998</v>
      </c>
      <c r="M179" s="6">
        <v>34.897097000000002</v>
      </c>
      <c r="N179" s="6">
        <v>34.893103000000004</v>
      </c>
      <c r="O179" s="6">
        <v>34.949179999999998</v>
      </c>
      <c r="P179" s="6">
        <v>34.926701000000001</v>
      </c>
      <c r="Q179" s="6">
        <v>34.894556999999999</v>
      </c>
      <c r="R179" s="6">
        <v>34.950949000000001</v>
      </c>
      <c r="S179" s="6">
        <v>34.883485</v>
      </c>
      <c r="T179" s="6">
        <v>34.894556999999999</v>
      </c>
      <c r="U179" s="6">
        <v>34.950949000000001</v>
      </c>
      <c r="V179" s="6">
        <v>34.883485</v>
      </c>
    </row>
    <row r="180" spans="2:22">
      <c r="B180" s="6">
        <v>30235</v>
      </c>
      <c r="C180" s="6" t="s">
        <v>82</v>
      </c>
      <c r="D180" s="6">
        <v>20902</v>
      </c>
      <c r="E180" s="6" t="s">
        <v>53</v>
      </c>
      <c r="F180" s="6" t="s">
        <v>16</v>
      </c>
      <c r="G180" s="6" t="s">
        <v>1295</v>
      </c>
      <c r="H180" s="6">
        <v>30</v>
      </c>
      <c r="I180" s="6">
        <v>30</v>
      </c>
      <c r="J180" s="6">
        <v>30</v>
      </c>
      <c r="K180" s="6">
        <v>26.721311</v>
      </c>
      <c r="L180" s="6">
        <v>25.932835000000001</v>
      </c>
      <c r="M180" s="6">
        <v>26.507536999999999</v>
      </c>
      <c r="N180" s="6">
        <v>27.102803000000002</v>
      </c>
      <c r="O180" s="6">
        <v>26.100322999999999</v>
      </c>
      <c r="P180" s="6">
        <v>27.578899</v>
      </c>
      <c r="Q180" s="6">
        <v>27.102803000000002</v>
      </c>
      <c r="R180" s="6">
        <v>26.100322999999999</v>
      </c>
      <c r="S180" s="6">
        <v>27.558453</v>
      </c>
      <c r="T180" s="6">
        <v>26.737159999999999</v>
      </c>
      <c r="U180" s="6">
        <v>25.752351000000001</v>
      </c>
      <c r="V180" s="6">
        <v>27.323633000000001</v>
      </c>
    </row>
    <row r="181" spans="2:22">
      <c r="B181" s="6">
        <v>30235</v>
      </c>
      <c r="C181" s="6" t="s">
        <v>82</v>
      </c>
      <c r="D181" s="6">
        <v>20902</v>
      </c>
      <c r="E181" s="6" t="s">
        <v>53</v>
      </c>
      <c r="F181" s="6" t="s">
        <v>13</v>
      </c>
      <c r="G181" s="6" t="s">
        <v>14</v>
      </c>
      <c r="H181" s="6">
        <v>20</v>
      </c>
      <c r="I181" s="6">
        <v>20</v>
      </c>
      <c r="J181" s="6">
        <v>20</v>
      </c>
      <c r="K181" s="6">
        <v>18.622046999999998</v>
      </c>
      <c r="L181" s="6">
        <v>18.557046</v>
      </c>
      <c r="M181" s="6">
        <v>18.643459</v>
      </c>
      <c r="N181" s="6">
        <v>19.181818</v>
      </c>
      <c r="O181" s="6">
        <v>19.119288999999998</v>
      </c>
      <c r="P181" s="6">
        <v>18.784502</v>
      </c>
      <c r="Q181" s="6">
        <v>19.181818</v>
      </c>
      <c r="R181" s="6">
        <v>19.101835999999999</v>
      </c>
      <c r="S181" s="6">
        <v>18.763134000000001</v>
      </c>
      <c r="T181" s="6">
        <v>19.181818</v>
      </c>
      <c r="U181" s="6">
        <v>19.101835999999999</v>
      </c>
      <c r="V181" s="6">
        <v>18.763134000000001</v>
      </c>
    </row>
    <row r="182" spans="2:22">
      <c r="B182" s="6">
        <v>30235</v>
      </c>
      <c r="C182" s="6" t="s">
        <v>82</v>
      </c>
      <c r="D182" s="6">
        <v>20906</v>
      </c>
      <c r="E182" s="6" t="s">
        <v>48</v>
      </c>
      <c r="F182" s="6" t="s">
        <v>49</v>
      </c>
      <c r="G182" s="6" t="s">
        <v>1296</v>
      </c>
      <c r="H182" s="6">
        <v>17</v>
      </c>
      <c r="I182" s="6">
        <v>17</v>
      </c>
      <c r="J182" s="6">
        <v>17</v>
      </c>
      <c r="K182" s="6">
        <v>17.229590999999999</v>
      </c>
      <c r="L182" s="6">
        <v>17.052391</v>
      </c>
      <c r="M182" s="6">
        <v>17.431988</v>
      </c>
      <c r="N182" s="6">
        <v>17.016705999999999</v>
      </c>
      <c r="O182" s="6">
        <v>16.954350000000002</v>
      </c>
      <c r="P182" s="6">
        <v>17.537869000000001</v>
      </c>
      <c r="Q182" s="6">
        <v>17.016335999999999</v>
      </c>
      <c r="R182" s="6">
        <v>16.958155999999999</v>
      </c>
      <c r="S182" s="6">
        <v>17.538882000000001</v>
      </c>
      <c r="T182" s="6">
        <v>17.016335999999999</v>
      </c>
      <c r="U182" s="6">
        <v>16.958155999999999</v>
      </c>
      <c r="V182" s="6">
        <v>17.538882000000001</v>
      </c>
    </row>
    <row r="183" spans="2:22">
      <c r="B183" s="6">
        <v>30260</v>
      </c>
      <c r="C183" s="6" t="s">
        <v>83</v>
      </c>
      <c r="D183" s="6">
        <v>20500</v>
      </c>
      <c r="E183" s="6" t="s">
        <v>31</v>
      </c>
      <c r="F183" s="6" t="s">
        <v>17</v>
      </c>
      <c r="G183" s="6" t="s">
        <v>1294</v>
      </c>
      <c r="H183" s="6">
        <v>24</v>
      </c>
      <c r="I183" s="6">
        <v>24.857142</v>
      </c>
      <c r="J183" s="6">
        <v>24.083333</v>
      </c>
      <c r="K183" s="6">
        <v>26.179282000000001</v>
      </c>
      <c r="L183" s="6">
        <v>26.186138</v>
      </c>
      <c r="M183" s="6">
        <v>25.935728999999998</v>
      </c>
      <c r="N183" s="6">
        <v>26.108958000000001</v>
      </c>
      <c r="O183" s="6">
        <v>26.328648000000001</v>
      </c>
      <c r="P183" s="6">
        <v>26.003786000000002</v>
      </c>
      <c r="Q183" s="6">
        <v>26.101534000000001</v>
      </c>
      <c r="R183" s="6">
        <v>26.316153</v>
      </c>
      <c r="S183" s="6">
        <v>25.991613999999998</v>
      </c>
      <c r="T183" s="6">
        <v>25.645997000000001</v>
      </c>
      <c r="U183" s="6">
        <v>25.223958</v>
      </c>
      <c r="V183" s="6">
        <v>24.770192999999999</v>
      </c>
    </row>
    <row r="184" spans="2:22">
      <c r="B184" s="6">
        <v>30260</v>
      </c>
      <c r="C184" s="6" t="s">
        <v>83</v>
      </c>
      <c r="D184" s="6">
        <v>20702</v>
      </c>
      <c r="E184" s="6" t="s">
        <v>44</v>
      </c>
      <c r="F184" s="6" t="s">
        <v>17</v>
      </c>
      <c r="G184" s="6" t="s">
        <v>1294</v>
      </c>
      <c r="H184" s="6">
        <v>35</v>
      </c>
      <c r="I184" s="6">
        <v>35</v>
      </c>
      <c r="J184" s="6">
        <v>35</v>
      </c>
      <c r="K184" s="6">
        <v>34.902597</v>
      </c>
      <c r="L184" s="6">
        <v>34.946427999999997</v>
      </c>
      <c r="M184" s="6">
        <v>34.934041999999998</v>
      </c>
      <c r="N184" s="6">
        <v>34.893103000000004</v>
      </c>
      <c r="O184" s="6">
        <v>34.949179999999998</v>
      </c>
      <c r="P184" s="6">
        <v>34.926701000000001</v>
      </c>
      <c r="Q184" s="6">
        <v>34.894556999999999</v>
      </c>
      <c r="R184" s="6">
        <v>34.950949000000001</v>
      </c>
      <c r="S184" s="6">
        <v>34.883485</v>
      </c>
      <c r="T184" s="6">
        <v>34.894556999999999</v>
      </c>
      <c r="U184" s="6">
        <v>34.950949000000001</v>
      </c>
      <c r="V184" s="6">
        <v>34.883485</v>
      </c>
    </row>
    <row r="185" spans="2:22">
      <c r="B185" s="6">
        <v>30260</v>
      </c>
      <c r="C185" s="6" t="s">
        <v>83</v>
      </c>
      <c r="D185" s="6">
        <v>20902</v>
      </c>
      <c r="E185" s="6" t="s">
        <v>53</v>
      </c>
      <c r="F185" s="6" t="s">
        <v>16</v>
      </c>
      <c r="G185" s="6" t="s">
        <v>1295</v>
      </c>
      <c r="H185" s="6">
        <v>30</v>
      </c>
      <c r="I185" s="6">
        <v>30</v>
      </c>
      <c r="J185" s="6">
        <v>30</v>
      </c>
      <c r="K185" s="6">
        <v>27.111111000000001</v>
      </c>
      <c r="L185" s="6">
        <v>25.059170999999999</v>
      </c>
      <c r="M185" s="6">
        <v>26.5625</v>
      </c>
      <c r="N185" s="6">
        <v>27.102803000000002</v>
      </c>
      <c r="O185" s="6">
        <v>26.100322999999999</v>
      </c>
      <c r="P185" s="6">
        <v>27.578899</v>
      </c>
      <c r="Q185" s="6">
        <v>27.102803000000002</v>
      </c>
      <c r="R185" s="6">
        <v>26.100322999999999</v>
      </c>
      <c r="S185" s="6">
        <v>27.558453</v>
      </c>
      <c r="T185" s="6">
        <v>26.737159999999999</v>
      </c>
      <c r="U185" s="6">
        <v>25.752351000000001</v>
      </c>
      <c r="V185" s="6">
        <v>27.323633000000001</v>
      </c>
    </row>
    <row r="186" spans="2:22">
      <c r="B186" s="6">
        <v>30260</v>
      </c>
      <c r="C186" s="6" t="s">
        <v>83</v>
      </c>
      <c r="D186" s="6">
        <v>20902</v>
      </c>
      <c r="E186" s="6" t="s">
        <v>53</v>
      </c>
      <c r="F186" s="6" t="s">
        <v>13</v>
      </c>
      <c r="G186" s="6" t="s">
        <v>14</v>
      </c>
      <c r="H186" s="6">
        <v>20</v>
      </c>
      <c r="I186" s="6">
        <v>20</v>
      </c>
      <c r="J186" s="6">
        <v>20</v>
      </c>
      <c r="K186" s="6">
        <v>18.635802000000002</v>
      </c>
      <c r="L186" s="6">
        <v>18.195121</v>
      </c>
      <c r="M186" s="6">
        <v>17.625368000000002</v>
      </c>
      <c r="N186" s="6">
        <v>19.181818</v>
      </c>
      <c r="O186" s="6">
        <v>19.119288999999998</v>
      </c>
      <c r="P186" s="6">
        <v>18.784502</v>
      </c>
      <c r="Q186" s="6">
        <v>19.181818</v>
      </c>
      <c r="R186" s="6">
        <v>19.101835999999999</v>
      </c>
      <c r="S186" s="6">
        <v>18.763134000000001</v>
      </c>
      <c r="T186" s="6">
        <v>19.181818</v>
      </c>
      <c r="U186" s="6">
        <v>19.101835999999999</v>
      </c>
      <c r="V186" s="6">
        <v>18.763134000000001</v>
      </c>
    </row>
    <row r="187" spans="2:22">
      <c r="B187" s="6">
        <v>30260</v>
      </c>
      <c r="C187" s="6" t="s">
        <v>83</v>
      </c>
      <c r="D187" s="6">
        <v>20906</v>
      </c>
      <c r="E187" s="6" t="s">
        <v>48</v>
      </c>
      <c r="F187" s="6" t="s">
        <v>49</v>
      </c>
      <c r="G187" s="6" t="s">
        <v>1296</v>
      </c>
      <c r="H187" s="6">
        <v>17</v>
      </c>
      <c r="I187" s="6">
        <v>17</v>
      </c>
      <c r="J187" s="6">
        <v>17.25</v>
      </c>
      <c r="K187" s="6">
        <v>16.992394999999998</v>
      </c>
      <c r="L187" s="6">
        <v>16.951830000000001</v>
      </c>
      <c r="M187" s="6">
        <v>17.405908</v>
      </c>
      <c r="N187" s="6">
        <v>17.016705999999999</v>
      </c>
      <c r="O187" s="6">
        <v>16.954350000000002</v>
      </c>
      <c r="P187" s="6">
        <v>17.537869000000001</v>
      </c>
      <c r="Q187" s="6">
        <v>17.016335999999999</v>
      </c>
      <c r="R187" s="6">
        <v>16.958155999999999</v>
      </c>
      <c r="S187" s="6">
        <v>17.538882000000001</v>
      </c>
      <c r="T187" s="6">
        <v>17.016335999999999</v>
      </c>
      <c r="U187" s="6">
        <v>16.958155999999999</v>
      </c>
      <c r="V187" s="6">
        <v>17.538882000000001</v>
      </c>
    </row>
    <row r="188" spans="2:22">
      <c r="B188" s="6">
        <v>30261</v>
      </c>
      <c r="C188" s="6" t="s">
        <v>84</v>
      </c>
      <c r="D188" s="6">
        <v>20500</v>
      </c>
      <c r="E188" s="6" t="s">
        <v>31</v>
      </c>
      <c r="F188" s="6" t="s">
        <v>17</v>
      </c>
      <c r="G188" s="6" t="s">
        <v>1294</v>
      </c>
      <c r="H188" s="6">
        <v>22</v>
      </c>
      <c r="I188" s="6">
        <v>22</v>
      </c>
      <c r="J188" s="6">
        <v>22.625</v>
      </c>
      <c r="K188" s="6">
        <v>26.179282000000001</v>
      </c>
      <c r="L188" s="6">
        <v>26.186138</v>
      </c>
      <c r="M188" s="6">
        <v>25.935728999999998</v>
      </c>
      <c r="N188" s="6">
        <v>26.108958000000001</v>
      </c>
      <c r="O188" s="6">
        <v>26.328648000000001</v>
      </c>
      <c r="P188" s="6">
        <v>26.003786000000002</v>
      </c>
      <c r="Q188" s="6">
        <v>26.101534000000001</v>
      </c>
      <c r="R188" s="6">
        <v>26.316153</v>
      </c>
      <c r="S188" s="6">
        <v>25.991613999999998</v>
      </c>
      <c r="T188" s="6">
        <v>25.645997000000001</v>
      </c>
      <c r="U188" s="6">
        <v>25.223958</v>
      </c>
      <c r="V188" s="6">
        <v>24.770192999999999</v>
      </c>
    </row>
    <row r="189" spans="2:22">
      <c r="B189" s="6">
        <v>30261</v>
      </c>
      <c r="C189" s="6" t="s">
        <v>84</v>
      </c>
      <c r="D189" s="6">
        <v>20702</v>
      </c>
      <c r="E189" s="6" t="s">
        <v>44</v>
      </c>
      <c r="F189" s="6" t="s">
        <v>17</v>
      </c>
      <c r="G189" s="6" t="s">
        <v>1294</v>
      </c>
      <c r="H189" s="6">
        <v>35</v>
      </c>
      <c r="I189" s="6">
        <v>35</v>
      </c>
      <c r="J189" s="6">
        <v>35</v>
      </c>
      <c r="K189" s="6">
        <v>34.902597</v>
      </c>
      <c r="L189" s="6">
        <v>34.946427999999997</v>
      </c>
      <c r="M189" s="6">
        <v>34.934041999999998</v>
      </c>
      <c r="N189" s="6">
        <v>34.893103000000004</v>
      </c>
      <c r="O189" s="6">
        <v>34.949179999999998</v>
      </c>
      <c r="P189" s="6">
        <v>34.926701000000001</v>
      </c>
      <c r="Q189" s="6">
        <v>34.894556999999999</v>
      </c>
      <c r="R189" s="6">
        <v>34.950949000000001</v>
      </c>
      <c r="S189" s="6">
        <v>34.883485</v>
      </c>
      <c r="T189" s="6">
        <v>34.894556999999999</v>
      </c>
      <c r="U189" s="6">
        <v>34.950949000000001</v>
      </c>
      <c r="V189" s="6">
        <v>34.883485</v>
      </c>
    </row>
    <row r="190" spans="2:22">
      <c r="B190" s="6">
        <v>30261</v>
      </c>
      <c r="C190" s="6" t="s">
        <v>84</v>
      </c>
      <c r="D190" s="6">
        <v>20902</v>
      </c>
      <c r="E190" s="6" t="s">
        <v>53</v>
      </c>
      <c r="F190" s="6" t="s">
        <v>16</v>
      </c>
      <c r="G190" s="6" t="s">
        <v>1295</v>
      </c>
      <c r="H190" s="6">
        <v>30</v>
      </c>
      <c r="I190" s="6">
        <v>30</v>
      </c>
      <c r="J190" s="6">
        <v>30</v>
      </c>
      <c r="K190" s="6">
        <v>27.111111000000001</v>
      </c>
      <c r="L190" s="6">
        <v>25.059170999999999</v>
      </c>
      <c r="M190" s="6">
        <v>26.5625</v>
      </c>
      <c r="N190" s="6">
        <v>27.102803000000002</v>
      </c>
      <c r="O190" s="6">
        <v>26.100322999999999</v>
      </c>
      <c r="P190" s="6">
        <v>27.578899</v>
      </c>
      <c r="Q190" s="6">
        <v>27.102803000000002</v>
      </c>
      <c r="R190" s="6">
        <v>26.100322999999999</v>
      </c>
      <c r="S190" s="6">
        <v>27.558453</v>
      </c>
      <c r="T190" s="6">
        <v>26.737159999999999</v>
      </c>
      <c r="U190" s="6">
        <v>25.752351000000001</v>
      </c>
      <c r="V190" s="6">
        <v>27.323633000000001</v>
      </c>
    </row>
    <row r="191" spans="2:22">
      <c r="B191" s="6">
        <v>30261</v>
      </c>
      <c r="C191" s="6" t="s">
        <v>84</v>
      </c>
      <c r="D191" s="6">
        <v>20902</v>
      </c>
      <c r="E191" s="6" t="s">
        <v>53</v>
      </c>
      <c r="F191" s="6" t="s">
        <v>13</v>
      </c>
      <c r="G191" s="6" t="s">
        <v>14</v>
      </c>
      <c r="H191" s="6">
        <v>0</v>
      </c>
      <c r="I191" s="6">
        <v>20</v>
      </c>
      <c r="J191" s="6">
        <v>20</v>
      </c>
      <c r="K191" s="6">
        <v>18.635802000000002</v>
      </c>
      <c r="L191" s="6">
        <v>18.195121</v>
      </c>
      <c r="M191" s="6">
        <v>17.625368000000002</v>
      </c>
      <c r="N191" s="6">
        <v>19.181818</v>
      </c>
      <c r="O191" s="6">
        <v>19.119288999999998</v>
      </c>
      <c r="P191" s="6">
        <v>18.784502</v>
      </c>
      <c r="Q191" s="6">
        <v>19.181818</v>
      </c>
      <c r="R191" s="6">
        <v>19.101835999999999</v>
      </c>
      <c r="S191" s="6">
        <v>18.763134000000001</v>
      </c>
      <c r="T191" s="6">
        <v>19.181818</v>
      </c>
      <c r="U191" s="6">
        <v>19.101835999999999</v>
      </c>
      <c r="V191" s="6">
        <v>18.763134000000001</v>
      </c>
    </row>
    <row r="192" spans="2:22">
      <c r="B192" s="6">
        <v>30261</v>
      </c>
      <c r="C192" s="6" t="s">
        <v>84</v>
      </c>
      <c r="D192" s="6">
        <v>20906</v>
      </c>
      <c r="E192" s="6" t="s">
        <v>48</v>
      </c>
      <c r="F192" s="6" t="s">
        <v>49</v>
      </c>
      <c r="G192" s="6" t="s">
        <v>1296</v>
      </c>
      <c r="H192" s="6">
        <v>17</v>
      </c>
      <c r="I192" s="6">
        <v>17</v>
      </c>
      <c r="J192" s="6">
        <v>17.125</v>
      </c>
      <c r="K192" s="6">
        <v>16.992394999999998</v>
      </c>
      <c r="L192" s="6">
        <v>16.951830000000001</v>
      </c>
      <c r="M192" s="6">
        <v>17.405908</v>
      </c>
      <c r="N192" s="6">
        <v>17.016705999999999</v>
      </c>
      <c r="O192" s="6">
        <v>16.954350000000002</v>
      </c>
      <c r="P192" s="6">
        <v>17.537869000000001</v>
      </c>
      <c r="Q192" s="6">
        <v>17.016335999999999</v>
      </c>
      <c r="R192" s="6">
        <v>16.958155999999999</v>
      </c>
      <c r="S192" s="6">
        <v>17.538882000000001</v>
      </c>
      <c r="T192" s="6">
        <v>17.016335999999999</v>
      </c>
      <c r="U192" s="6">
        <v>16.958155999999999</v>
      </c>
      <c r="V192" s="6">
        <v>17.538882000000001</v>
      </c>
    </row>
    <row r="193" spans="2:22">
      <c r="B193" s="6">
        <v>30262</v>
      </c>
      <c r="C193" s="6" t="s">
        <v>85</v>
      </c>
      <c r="D193" s="6">
        <v>20500</v>
      </c>
      <c r="E193" s="6" t="s">
        <v>31</v>
      </c>
      <c r="F193" s="6" t="s">
        <v>17</v>
      </c>
      <c r="G193" s="6" t="s">
        <v>1294</v>
      </c>
      <c r="H193" s="6">
        <v>22</v>
      </c>
      <c r="I193" s="6">
        <v>22</v>
      </c>
      <c r="J193" s="6">
        <v>22</v>
      </c>
      <c r="K193" s="6">
        <v>26.179282000000001</v>
      </c>
      <c r="L193" s="6">
        <v>26.186138</v>
      </c>
      <c r="M193" s="6">
        <v>25.935728999999998</v>
      </c>
      <c r="N193" s="6">
        <v>26.108958000000001</v>
      </c>
      <c r="O193" s="6">
        <v>26.328648000000001</v>
      </c>
      <c r="P193" s="6">
        <v>26.003786000000002</v>
      </c>
      <c r="Q193" s="6">
        <v>26.101534000000001</v>
      </c>
      <c r="R193" s="6">
        <v>26.316153</v>
      </c>
      <c r="S193" s="6">
        <v>25.991613999999998</v>
      </c>
      <c r="T193" s="6">
        <v>25.645997000000001</v>
      </c>
      <c r="U193" s="6">
        <v>25.223958</v>
      </c>
      <c r="V193" s="6">
        <v>24.770192999999999</v>
      </c>
    </row>
    <row r="194" spans="2:22">
      <c r="B194" s="6">
        <v>30262</v>
      </c>
      <c r="C194" s="6" t="s">
        <v>85</v>
      </c>
      <c r="D194" s="6">
        <v>20702</v>
      </c>
      <c r="E194" s="6" t="s">
        <v>44</v>
      </c>
      <c r="F194" s="6" t="s">
        <v>17</v>
      </c>
      <c r="G194" s="6" t="s">
        <v>1294</v>
      </c>
      <c r="H194" s="6">
        <v>35</v>
      </c>
      <c r="I194" s="6">
        <v>35</v>
      </c>
      <c r="J194" s="6">
        <v>35</v>
      </c>
      <c r="K194" s="6">
        <v>34.902597</v>
      </c>
      <c r="L194" s="6">
        <v>34.946427999999997</v>
      </c>
      <c r="M194" s="6">
        <v>34.934041999999998</v>
      </c>
      <c r="N194" s="6">
        <v>34.893103000000004</v>
      </c>
      <c r="O194" s="6">
        <v>34.949179999999998</v>
      </c>
      <c r="P194" s="6">
        <v>34.926701000000001</v>
      </c>
      <c r="Q194" s="6">
        <v>34.894556999999999</v>
      </c>
      <c r="R194" s="6">
        <v>34.950949000000001</v>
      </c>
      <c r="S194" s="6">
        <v>34.883485</v>
      </c>
      <c r="T194" s="6">
        <v>34.894556999999999</v>
      </c>
      <c r="U194" s="6">
        <v>34.950949000000001</v>
      </c>
      <c r="V194" s="6">
        <v>34.883485</v>
      </c>
    </row>
    <row r="195" spans="2:22">
      <c r="B195" s="6">
        <v>30262</v>
      </c>
      <c r="C195" s="6" t="s">
        <v>85</v>
      </c>
      <c r="D195" s="6">
        <v>20902</v>
      </c>
      <c r="E195" s="6" t="s">
        <v>53</v>
      </c>
      <c r="F195" s="6" t="s">
        <v>16</v>
      </c>
      <c r="G195" s="6" t="s">
        <v>1295</v>
      </c>
      <c r="H195" s="6">
        <v>30</v>
      </c>
      <c r="I195" s="6">
        <v>30</v>
      </c>
      <c r="J195" s="6">
        <v>30</v>
      </c>
      <c r="K195" s="6">
        <v>27.111111000000001</v>
      </c>
      <c r="L195" s="6">
        <v>25.059170999999999</v>
      </c>
      <c r="M195" s="6">
        <v>26.5625</v>
      </c>
      <c r="N195" s="6">
        <v>27.102803000000002</v>
      </c>
      <c r="O195" s="6">
        <v>26.100322999999999</v>
      </c>
      <c r="P195" s="6">
        <v>27.578899</v>
      </c>
      <c r="Q195" s="6">
        <v>27.102803000000002</v>
      </c>
      <c r="R195" s="6">
        <v>26.100322999999999</v>
      </c>
      <c r="S195" s="6">
        <v>27.558453</v>
      </c>
      <c r="T195" s="6">
        <v>26.737159999999999</v>
      </c>
      <c r="U195" s="6">
        <v>25.752351000000001</v>
      </c>
      <c r="V195" s="6">
        <v>27.323633000000001</v>
      </c>
    </row>
    <row r="196" spans="2:22">
      <c r="B196" s="6">
        <v>30262</v>
      </c>
      <c r="C196" s="6" t="s">
        <v>85</v>
      </c>
      <c r="D196" s="6">
        <v>20902</v>
      </c>
      <c r="E196" s="6" t="s">
        <v>53</v>
      </c>
      <c r="F196" s="6" t="s">
        <v>13</v>
      </c>
      <c r="G196" s="6" t="s">
        <v>14</v>
      </c>
      <c r="H196" s="6">
        <v>20</v>
      </c>
      <c r="I196" s="6">
        <v>20</v>
      </c>
      <c r="J196" s="6">
        <v>20</v>
      </c>
      <c r="K196" s="6">
        <v>18.635802000000002</v>
      </c>
      <c r="L196" s="6">
        <v>18.195121</v>
      </c>
      <c r="M196" s="6">
        <v>17.625368000000002</v>
      </c>
      <c r="N196" s="6">
        <v>19.181818</v>
      </c>
      <c r="O196" s="6">
        <v>19.119288999999998</v>
      </c>
      <c r="P196" s="6">
        <v>18.784502</v>
      </c>
      <c r="Q196" s="6">
        <v>19.181818</v>
      </c>
      <c r="R196" s="6">
        <v>19.101835999999999</v>
      </c>
      <c r="S196" s="6">
        <v>18.763134000000001</v>
      </c>
      <c r="T196" s="6">
        <v>19.181818</v>
      </c>
      <c r="U196" s="6">
        <v>19.101835999999999</v>
      </c>
      <c r="V196" s="6">
        <v>18.763134000000001</v>
      </c>
    </row>
    <row r="197" spans="2:22">
      <c r="B197" s="6">
        <v>30262</v>
      </c>
      <c r="C197" s="6" t="s">
        <v>85</v>
      </c>
      <c r="D197" s="6">
        <v>20906</v>
      </c>
      <c r="E197" s="6" t="s">
        <v>48</v>
      </c>
      <c r="F197" s="6" t="s">
        <v>49</v>
      </c>
      <c r="G197" s="6" t="s">
        <v>1296</v>
      </c>
      <c r="H197" s="6">
        <v>17</v>
      </c>
      <c r="I197" s="6">
        <v>17</v>
      </c>
      <c r="J197" s="6">
        <v>17</v>
      </c>
      <c r="K197" s="6">
        <v>16.992394999999998</v>
      </c>
      <c r="L197" s="6">
        <v>16.951830000000001</v>
      </c>
      <c r="M197" s="6">
        <v>17.405908</v>
      </c>
      <c r="N197" s="6">
        <v>17.016705999999999</v>
      </c>
      <c r="O197" s="6">
        <v>16.954350000000002</v>
      </c>
      <c r="P197" s="6">
        <v>17.537869000000001</v>
      </c>
      <c r="Q197" s="6">
        <v>17.016335999999999</v>
      </c>
      <c r="R197" s="6">
        <v>16.958155999999999</v>
      </c>
      <c r="S197" s="6">
        <v>17.538882000000001</v>
      </c>
      <c r="T197" s="6">
        <v>17.016335999999999</v>
      </c>
      <c r="U197" s="6">
        <v>16.958155999999999</v>
      </c>
      <c r="V197" s="6">
        <v>17.538882000000001</v>
      </c>
    </row>
    <row r="198" spans="2:22">
      <c r="B198" s="6">
        <v>30311</v>
      </c>
      <c r="C198" s="6" t="s">
        <v>86</v>
      </c>
      <c r="D198" s="6">
        <v>20500</v>
      </c>
      <c r="E198" s="6" t="s">
        <v>31</v>
      </c>
      <c r="F198" s="6" t="s">
        <v>17</v>
      </c>
      <c r="G198" s="6" t="s">
        <v>1294</v>
      </c>
      <c r="H198" s="6">
        <v>27</v>
      </c>
      <c r="I198" s="6">
        <v>27</v>
      </c>
      <c r="J198" s="6">
        <v>27</v>
      </c>
      <c r="K198" s="6">
        <v>26.093993999999999</v>
      </c>
      <c r="L198" s="6">
        <v>26.469746000000001</v>
      </c>
      <c r="M198" s="6">
        <v>26.000619</v>
      </c>
      <c r="N198" s="6">
        <v>26.108958000000001</v>
      </c>
      <c r="O198" s="6">
        <v>26.328648000000001</v>
      </c>
      <c r="P198" s="6">
        <v>26.003786000000002</v>
      </c>
      <c r="Q198" s="6">
        <v>26.101534000000001</v>
      </c>
      <c r="R198" s="6">
        <v>26.316153</v>
      </c>
      <c r="S198" s="6">
        <v>25.991613999999998</v>
      </c>
      <c r="T198" s="6">
        <v>25.645997000000001</v>
      </c>
      <c r="U198" s="6">
        <v>25.223958</v>
      </c>
      <c r="V198" s="6">
        <v>24.770192999999999</v>
      </c>
    </row>
    <row r="199" spans="2:22">
      <c r="B199" s="6">
        <v>30311</v>
      </c>
      <c r="C199" s="6" t="s">
        <v>86</v>
      </c>
      <c r="D199" s="6">
        <v>20706</v>
      </c>
      <c r="E199" s="6" t="s">
        <v>52</v>
      </c>
      <c r="F199" s="6" t="s">
        <v>17</v>
      </c>
      <c r="G199" s="6" t="s">
        <v>1294</v>
      </c>
      <c r="H199" s="6">
        <v>40</v>
      </c>
      <c r="I199" s="6">
        <v>40</v>
      </c>
      <c r="J199" s="6">
        <v>40</v>
      </c>
      <c r="K199" s="6">
        <v>40</v>
      </c>
      <c r="L199" s="6">
        <v>39.985993999999998</v>
      </c>
      <c r="M199" s="6">
        <v>39.981146000000003</v>
      </c>
      <c r="N199" s="6">
        <v>39.962778999999998</v>
      </c>
      <c r="O199" s="6">
        <v>39.971750999999998</v>
      </c>
      <c r="P199" s="6">
        <v>39.969020999999998</v>
      </c>
      <c r="Q199" s="6">
        <v>39.963768000000002</v>
      </c>
      <c r="R199" s="6">
        <v>39.972496999999997</v>
      </c>
      <c r="S199" s="6">
        <v>39.969659999999998</v>
      </c>
      <c r="T199" s="6">
        <v>39.867787999999997</v>
      </c>
      <c r="U199" s="6">
        <v>39.928649</v>
      </c>
      <c r="V199" s="6">
        <v>39.945453999999998</v>
      </c>
    </row>
    <row r="200" spans="2:22">
      <c r="B200" s="6">
        <v>30311</v>
      </c>
      <c r="C200" s="6" t="s">
        <v>86</v>
      </c>
      <c r="D200" s="6">
        <v>20902</v>
      </c>
      <c r="E200" s="6" t="s">
        <v>53</v>
      </c>
      <c r="F200" s="6" t="s">
        <v>16</v>
      </c>
      <c r="G200" s="6" t="s">
        <v>1295</v>
      </c>
      <c r="H200" s="6">
        <v>30</v>
      </c>
      <c r="I200" s="6">
        <v>30</v>
      </c>
      <c r="J200" s="6">
        <v>30</v>
      </c>
      <c r="K200" s="6">
        <v>27.235294</v>
      </c>
      <c r="L200" s="6">
        <v>26.730157999999999</v>
      </c>
      <c r="M200" s="6">
        <v>28.302752000000002</v>
      </c>
      <c r="N200" s="6">
        <v>27.102803000000002</v>
      </c>
      <c r="O200" s="6">
        <v>26.100322999999999</v>
      </c>
      <c r="P200" s="6">
        <v>27.578899</v>
      </c>
      <c r="Q200" s="6">
        <v>27.102803000000002</v>
      </c>
      <c r="R200" s="6">
        <v>26.100322999999999</v>
      </c>
      <c r="S200" s="6">
        <v>27.558453</v>
      </c>
      <c r="T200" s="6">
        <v>26.737159999999999</v>
      </c>
      <c r="U200" s="6">
        <v>25.752351000000001</v>
      </c>
      <c r="V200" s="6">
        <v>27.323633000000001</v>
      </c>
    </row>
    <row r="201" spans="2:22">
      <c r="B201" s="6">
        <v>30311</v>
      </c>
      <c r="C201" s="6" t="s">
        <v>86</v>
      </c>
      <c r="D201" s="6">
        <v>20906</v>
      </c>
      <c r="E201" s="6" t="s">
        <v>48</v>
      </c>
      <c r="F201" s="6" t="s">
        <v>49</v>
      </c>
      <c r="G201" s="6" t="s">
        <v>1296</v>
      </c>
      <c r="H201" s="6">
        <v>17</v>
      </c>
      <c r="I201" s="6">
        <v>17</v>
      </c>
      <c r="J201" s="6">
        <v>17.5</v>
      </c>
      <c r="K201" s="6">
        <v>16.923482</v>
      </c>
      <c r="L201" s="6">
        <v>16.908185</v>
      </c>
      <c r="M201" s="6">
        <v>17.652851999999999</v>
      </c>
      <c r="N201" s="6">
        <v>17.016705999999999</v>
      </c>
      <c r="O201" s="6">
        <v>16.954350000000002</v>
      </c>
      <c r="P201" s="6">
        <v>17.537869000000001</v>
      </c>
      <c r="Q201" s="6">
        <v>17.016335999999999</v>
      </c>
      <c r="R201" s="6">
        <v>16.958155999999999</v>
      </c>
      <c r="S201" s="6">
        <v>17.538882000000001</v>
      </c>
      <c r="T201" s="6">
        <v>17.016335999999999</v>
      </c>
      <c r="U201" s="6">
        <v>16.958155999999999</v>
      </c>
      <c r="V201" s="6">
        <v>17.538882000000001</v>
      </c>
    </row>
    <row r="202" spans="2:22">
      <c r="B202" s="6">
        <v>30376</v>
      </c>
      <c r="C202" s="6" t="s">
        <v>1076</v>
      </c>
      <c r="D202" s="6">
        <v>20500</v>
      </c>
      <c r="E202" s="6" t="s">
        <v>31</v>
      </c>
      <c r="F202" s="6" t="s">
        <v>17</v>
      </c>
      <c r="G202" s="6" t="s">
        <v>1294</v>
      </c>
      <c r="H202" s="6">
        <v>0</v>
      </c>
      <c r="I202" s="6">
        <v>0</v>
      </c>
      <c r="J202" s="6">
        <v>27</v>
      </c>
      <c r="K202" s="6">
        <v>26.046875</v>
      </c>
      <c r="L202" s="6">
        <v>26.199541</v>
      </c>
      <c r="M202" s="6">
        <v>26.109717</v>
      </c>
      <c r="N202" s="6">
        <v>26.108958000000001</v>
      </c>
      <c r="O202" s="6">
        <v>26.328648000000001</v>
      </c>
      <c r="P202" s="6">
        <v>26.003786000000002</v>
      </c>
      <c r="Q202" s="6">
        <v>26.101534000000001</v>
      </c>
      <c r="R202" s="6">
        <v>26.316153</v>
      </c>
      <c r="S202" s="6">
        <v>25.991613999999998</v>
      </c>
      <c r="T202" s="6">
        <v>25.645997000000001</v>
      </c>
      <c r="U202" s="6">
        <v>25.223958</v>
      </c>
      <c r="V202" s="6">
        <v>24.770192999999999</v>
      </c>
    </row>
    <row r="203" spans="2:22">
      <c r="B203" s="6">
        <v>30376</v>
      </c>
      <c r="C203" s="6" t="s">
        <v>1076</v>
      </c>
      <c r="D203" s="6">
        <v>20702</v>
      </c>
      <c r="E203" s="6" t="s">
        <v>44</v>
      </c>
      <c r="F203" s="6" t="s">
        <v>17</v>
      </c>
      <c r="G203" s="6" t="s">
        <v>1294</v>
      </c>
      <c r="H203" s="6">
        <v>0</v>
      </c>
      <c r="I203" s="6">
        <v>0</v>
      </c>
      <c r="J203" s="6">
        <v>35</v>
      </c>
      <c r="K203" s="6">
        <v>34.851851000000003</v>
      </c>
      <c r="L203" s="6">
        <v>34.933332999999998</v>
      </c>
      <c r="M203" s="6">
        <v>34.897097000000002</v>
      </c>
      <c r="N203" s="6">
        <v>34.893103000000004</v>
      </c>
      <c r="O203" s="6">
        <v>34.949179999999998</v>
      </c>
      <c r="P203" s="6">
        <v>34.926701000000001</v>
      </c>
      <c r="Q203" s="6">
        <v>34.894556999999999</v>
      </c>
      <c r="R203" s="6">
        <v>34.950949000000001</v>
      </c>
      <c r="S203" s="6">
        <v>34.883485</v>
      </c>
      <c r="T203" s="6">
        <v>34.894556999999999</v>
      </c>
      <c r="U203" s="6">
        <v>34.950949000000001</v>
      </c>
      <c r="V203" s="6">
        <v>34.883485</v>
      </c>
    </row>
    <row r="204" spans="2:22">
      <c r="B204" s="6">
        <v>30376</v>
      </c>
      <c r="C204" s="6" t="s">
        <v>1076</v>
      </c>
      <c r="D204" s="6">
        <v>20902</v>
      </c>
      <c r="E204" s="6" t="s">
        <v>53</v>
      </c>
      <c r="F204" s="6" t="s">
        <v>13</v>
      </c>
      <c r="G204" s="6" t="s">
        <v>14</v>
      </c>
      <c r="H204" s="6">
        <v>0</v>
      </c>
      <c r="I204" s="6">
        <v>0</v>
      </c>
      <c r="J204" s="6">
        <v>15</v>
      </c>
      <c r="K204" s="6">
        <v>18.622046999999998</v>
      </c>
      <c r="L204" s="6">
        <v>18.557046</v>
      </c>
      <c r="M204" s="6">
        <v>18.643459</v>
      </c>
      <c r="N204" s="6">
        <v>19.181818</v>
      </c>
      <c r="O204" s="6">
        <v>19.119288999999998</v>
      </c>
      <c r="P204" s="6">
        <v>18.784502</v>
      </c>
      <c r="Q204" s="6">
        <v>19.181818</v>
      </c>
      <c r="R204" s="6">
        <v>19.101835999999999</v>
      </c>
      <c r="S204" s="6">
        <v>18.763134000000001</v>
      </c>
      <c r="T204" s="6">
        <v>19.181818</v>
      </c>
      <c r="U204" s="6">
        <v>19.101835999999999</v>
      </c>
      <c r="V204" s="6">
        <v>18.763134000000001</v>
      </c>
    </row>
    <row r="205" spans="2:22">
      <c r="B205" s="6">
        <v>30376</v>
      </c>
      <c r="C205" s="6" t="s">
        <v>1076</v>
      </c>
      <c r="D205" s="6">
        <v>20906</v>
      </c>
      <c r="E205" s="6" t="s">
        <v>48</v>
      </c>
      <c r="F205" s="6" t="s">
        <v>49</v>
      </c>
      <c r="G205" s="6" t="s">
        <v>1296</v>
      </c>
      <c r="H205" s="6">
        <v>0</v>
      </c>
      <c r="I205" s="6">
        <v>0</v>
      </c>
      <c r="J205" s="6">
        <v>18</v>
      </c>
      <c r="K205" s="6">
        <v>17.229590999999999</v>
      </c>
      <c r="L205" s="6">
        <v>17.052391</v>
      </c>
      <c r="M205" s="6">
        <v>17.431988</v>
      </c>
      <c r="N205" s="6">
        <v>17.016705999999999</v>
      </c>
      <c r="O205" s="6">
        <v>16.954350000000002</v>
      </c>
      <c r="P205" s="6">
        <v>17.537869000000001</v>
      </c>
      <c r="Q205" s="6">
        <v>17.016335999999999</v>
      </c>
      <c r="R205" s="6">
        <v>16.958155999999999</v>
      </c>
      <c r="S205" s="6">
        <v>17.538882000000001</v>
      </c>
      <c r="T205" s="6">
        <v>17.016335999999999</v>
      </c>
      <c r="U205" s="6">
        <v>16.958155999999999</v>
      </c>
      <c r="V205" s="6">
        <v>17.538882000000001</v>
      </c>
    </row>
    <row r="206" spans="2:22">
      <c r="B206" s="6">
        <v>30458</v>
      </c>
      <c r="C206" s="6" t="s">
        <v>87</v>
      </c>
      <c r="D206" s="6">
        <v>20500</v>
      </c>
      <c r="E206" s="6" t="s">
        <v>31</v>
      </c>
      <c r="F206" s="6" t="s">
        <v>13</v>
      </c>
      <c r="G206" s="6" t="s">
        <v>14</v>
      </c>
      <c r="H206" s="6">
        <v>0</v>
      </c>
      <c r="I206" s="6">
        <v>0</v>
      </c>
      <c r="J206" s="6">
        <v>20</v>
      </c>
      <c r="K206" s="6">
        <v>25</v>
      </c>
      <c r="L206" s="6">
        <v>21.25</v>
      </c>
      <c r="M206" s="6">
        <v>20.070422000000001</v>
      </c>
      <c r="N206" s="6">
        <v>25</v>
      </c>
      <c r="O206" s="6">
        <v>22.5</v>
      </c>
      <c r="P206" s="6">
        <v>20.123965999999999</v>
      </c>
      <c r="Q206" s="6">
        <v>25</v>
      </c>
      <c r="R206" s="6">
        <v>22.5</v>
      </c>
      <c r="S206" s="6">
        <v>20.122949999999999</v>
      </c>
      <c r="T206" s="6">
        <v>28.409089999999999</v>
      </c>
      <c r="U206" s="6">
        <v>28.088235000000001</v>
      </c>
      <c r="V206" s="6">
        <v>22.096774</v>
      </c>
    </row>
    <row r="207" spans="2:22">
      <c r="B207" s="6">
        <v>30458</v>
      </c>
      <c r="C207" s="6" t="s">
        <v>87</v>
      </c>
      <c r="D207" s="6">
        <v>20500</v>
      </c>
      <c r="E207" s="6" t="s">
        <v>31</v>
      </c>
      <c r="F207" s="6" t="s">
        <v>17</v>
      </c>
      <c r="G207" s="6" t="s">
        <v>1294</v>
      </c>
      <c r="H207" s="6">
        <v>26.027777</v>
      </c>
      <c r="I207" s="6">
        <v>26.051724</v>
      </c>
      <c r="J207" s="6">
        <v>24.76923</v>
      </c>
      <c r="K207" s="6">
        <v>26.093993999999999</v>
      </c>
      <c r="L207" s="6">
        <v>26.469746000000001</v>
      </c>
      <c r="M207" s="6">
        <v>26.000619</v>
      </c>
      <c r="N207" s="6">
        <v>26.108958000000001</v>
      </c>
      <c r="O207" s="6">
        <v>26.328648000000001</v>
      </c>
      <c r="P207" s="6">
        <v>26.003786000000002</v>
      </c>
      <c r="Q207" s="6">
        <v>26.101534000000001</v>
      </c>
      <c r="R207" s="6">
        <v>26.316153</v>
      </c>
      <c r="S207" s="6">
        <v>25.991613999999998</v>
      </c>
      <c r="T207" s="6">
        <v>25.645997000000001</v>
      </c>
      <c r="U207" s="6">
        <v>25.223958</v>
      </c>
      <c r="V207" s="6">
        <v>24.770192999999999</v>
      </c>
    </row>
    <row r="208" spans="2:22">
      <c r="B208" s="6">
        <v>30458</v>
      </c>
      <c r="C208" s="6" t="s">
        <v>87</v>
      </c>
      <c r="D208" s="6">
        <v>20706</v>
      </c>
      <c r="E208" s="6" t="s">
        <v>52</v>
      </c>
      <c r="F208" s="6" t="s">
        <v>17</v>
      </c>
      <c r="G208" s="6" t="s">
        <v>1294</v>
      </c>
      <c r="H208" s="6">
        <v>40</v>
      </c>
      <c r="I208" s="6">
        <v>40</v>
      </c>
      <c r="J208" s="6">
        <v>40</v>
      </c>
      <c r="K208" s="6">
        <v>40</v>
      </c>
      <c r="L208" s="6">
        <v>39.985993999999998</v>
      </c>
      <c r="M208" s="6">
        <v>39.981146000000003</v>
      </c>
      <c r="N208" s="6">
        <v>39.962778999999998</v>
      </c>
      <c r="O208" s="6">
        <v>39.971750999999998</v>
      </c>
      <c r="P208" s="6">
        <v>39.969020999999998</v>
      </c>
      <c r="Q208" s="6">
        <v>39.963768000000002</v>
      </c>
      <c r="R208" s="6">
        <v>39.972496999999997</v>
      </c>
      <c r="S208" s="6">
        <v>39.969659999999998</v>
      </c>
      <c r="T208" s="6">
        <v>39.867787999999997</v>
      </c>
      <c r="U208" s="6">
        <v>39.928649</v>
      </c>
      <c r="V208" s="6">
        <v>39.945453999999998</v>
      </c>
    </row>
    <row r="209" spans="2:22">
      <c r="B209" s="6">
        <v>30458</v>
      </c>
      <c r="C209" s="6" t="s">
        <v>87</v>
      </c>
      <c r="D209" s="6">
        <v>20706</v>
      </c>
      <c r="E209" s="6" t="s">
        <v>52</v>
      </c>
      <c r="F209" s="6" t="s">
        <v>73</v>
      </c>
      <c r="G209" s="6" t="s">
        <v>1299</v>
      </c>
      <c r="H209" s="6">
        <v>0</v>
      </c>
      <c r="I209" s="6">
        <v>30</v>
      </c>
      <c r="J209" s="6">
        <v>30</v>
      </c>
      <c r="K209" s="6">
        <v>0</v>
      </c>
      <c r="L209" s="6">
        <v>30</v>
      </c>
      <c r="M209" s="6">
        <v>33.059700999999997</v>
      </c>
      <c r="N209" s="6">
        <v>0</v>
      </c>
      <c r="O209" s="6">
        <v>30</v>
      </c>
      <c r="P209" s="6">
        <v>33.014704999999999</v>
      </c>
      <c r="Q209" s="6">
        <v>0</v>
      </c>
      <c r="R209" s="6">
        <v>30</v>
      </c>
      <c r="S209" s="6">
        <v>33.014704999999999</v>
      </c>
      <c r="T209" s="6">
        <v>0</v>
      </c>
      <c r="U209" s="6">
        <v>30</v>
      </c>
      <c r="V209" s="6">
        <v>33.014704999999999</v>
      </c>
    </row>
    <row r="210" spans="2:22">
      <c r="B210" s="6">
        <v>30458</v>
      </c>
      <c r="C210" s="6" t="s">
        <v>87</v>
      </c>
      <c r="D210" s="6">
        <v>20902</v>
      </c>
      <c r="E210" s="6" t="s">
        <v>53</v>
      </c>
      <c r="F210" s="6" t="s">
        <v>16</v>
      </c>
      <c r="G210" s="6" t="s">
        <v>1295</v>
      </c>
      <c r="H210" s="6">
        <v>30</v>
      </c>
      <c r="I210" s="6">
        <v>30</v>
      </c>
      <c r="J210" s="6">
        <v>30</v>
      </c>
      <c r="K210" s="6">
        <v>27.235294</v>
      </c>
      <c r="L210" s="6">
        <v>26.730157999999999</v>
      </c>
      <c r="M210" s="6">
        <v>28.302752000000002</v>
      </c>
      <c r="N210" s="6">
        <v>27.102803000000002</v>
      </c>
      <c r="O210" s="6">
        <v>26.100322999999999</v>
      </c>
      <c r="P210" s="6">
        <v>27.578899</v>
      </c>
      <c r="Q210" s="6">
        <v>27.102803000000002</v>
      </c>
      <c r="R210" s="6">
        <v>26.100322999999999</v>
      </c>
      <c r="S210" s="6">
        <v>27.558453</v>
      </c>
      <c r="T210" s="6">
        <v>26.737159999999999</v>
      </c>
      <c r="U210" s="6">
        <v>25.752351000000001</v>
      </c>
      <c r="V210" s="6">
        <v>27.323633000000001</v>
      </c>
    </row>
    <row r="211" spans="2:22">
      <c r="B211" s="6">
        <v>30458</v>
      </c>
      <c r="C211" s="6" t="s">
        <v>87</v>
      </c>
      <c r="D211" s="6">
        <v>20902</v>
      </c>
      <c r="E211" s="6" t="s">
        <v>53</v>
      </c>
      <c r="F211" s="6" t="s">
        <v>13</v>
      </c>
      <c r="G211" s="6" t="s">
        <v>14</v>
      </c>
      <c r="H211" s="6">
        <v>20</v>
      </c>
      <c r="I211" s="6">
        <v>20</v>
      </c>
      <c r="J211" s="6">
        <v>20</v>
      </c>
      <c r="K211" s="6">
        <v>19.956309999999998</v>
      </c>
      <c r="L211" s="6">
        <v>19.965827000000001</v>
      </c>
      <c r="M211" s="6">
        <v>19.613216000000001</v>
      </c>
      <c r="N211" s="6">
        <v>19.181818</v>
      </c>
      <c r="O211" s="6">
        <v>19.119288999999998</v>
      </c>
      <c r="P211" s="6">
        <v>18.784502</v>
      </c>
      <c r="Q211" s="6">
        <v>19.181818</v>
      </c>
      <c r="R211" s="6">
        <v>19.101835999999999</v>
      </c>
      <c r="S211" s="6">
        <v>18.763134000000001</v>
      </c>
      <c r="T211" s="6">
        <v>19.181818</v>
      </c>
      <c r="U211" s="6">
        <v>19.101835999999999</v>
      </c>
      <c r="V211" s="6">
        <v>18.763134000000001</v>
      </c>
    </row>
    <row r="212" spans="2:22">
      <c r="B212" s="6">
        <v>30458</v>
      </c>
      <c r="C212" s="6" t="s">
        <v>87</v>
      </c>
      <c r="D212" s="6">
        <v>20906</v>
      </c>
      <c r="E212" s="6" t="s">
        <v>48</v>
      </c>
      <c r="F212" s="6" t="s">
        <v>49</v>
      </c>
      <c r="G212" s="6" t="s">
        <v>1296</v>
      </c>
      <c r="H212" s="6">
        <v>17</v>
      </c>
      <c r="I212" s="6">
        <v>17</v>
      </c>
      <c r="J212" s="6">
        <v>17.807407000000001</v>
      </c>
      <c r="K212" s="6">
        <v>16.923482</v>
      </c>
      <c r="L212" s="6">
        <v>16.908185</v>
      </c>
      <c r="M212" s="6">
        <v>17.652851999999999</v>
      </c>
      <c r="N212" s="6">
        <v>17.016705999999999</v>
      </c>
      <c r="O212" s="6">
        <v>16.954350000000002</v>
      </c>
      <c r="P212" s="6">
        <v>17.537869000000001</v>
      </c>
      <c r="Q212" s="6">
        <v>17.016335999999999</v>
      </c>
      <c r="R212" s="6">
        <v>16.958155999999999</v>
      </c>
      <c r="S212" s="6">
        <v>17.538882000000001</v>
      </c>
      <c r="T212" s="6">
        <v>17.016335999999999</v>
      </c>
      <c r="U212" s="6">
        <v>16.958155999999999</v>
      </c>
      <c r="V212" s="6">
        <v>17.538882000000001</v>
      </c>
    </row>
    <row r="213" spans="2:22">
      <c r="B213" s="6">
        <v>30459</v>
      </c>
      <c r="C213" s="6" t="s">
        <v>88</v>
      </c>
      <c r="D213" s="6">
        <v>20500</v>
      </c>
      <c r="E213" s="6" t="s">
        <v>31</v>
      </c>
      <c r="F213" s="6" t="s">
        <v>17</v>
      </c>
      <c r="G213" s="6" t="s">
        <v>1294</v>
      </c>
      <c r="H213" s="6">
        <v>22</v>
      </c>
      <c r="I213" s="6">
        <v>22.833333</v>
      </c>
      <c r="J213" s="6">
        <v>22.238095000000001</v>
      </c>
      <c r="K213" s="6">
        <v>26.093993999999999</v>
      </c>
      <c r="L213" s="6">
        <v>26.469746000000001</v>
      </c>
      <c r="M213" s="6">
        <v>26.000619</v>
      </c>
      <c r="N213" s="6">
        <v>26.108958000000001</v>
      </c>
      <c r="O213" s="6">
        <v>26.328648000000001</v>
      </c>
      <c r="P213" s="6">
        <v>26.003786000000002</v>
      </c>
      <c r="Q213" s="6">
        <v>26.101534000000001</v>
      </c>
      <c r="R213" s="6">
        <v>26.316153</v>
      </c>
      <c r="S213" s="6">
        <v>25.991613999999998</v>
      </c>
      <c r="T213" s="6">
        <v>25.645997000000001</v>
      </c>
      <c r="U213" s="6">
        <v>25.223958</v>
      </c>
      <c r="V213" s="6">
        <v>24.770192999999999</v>
      </c>
    </row>
    <row r="214" spans="2:22">
      <c r="B214" s="6">
        <v>30459</v>
      </c>
      <c r="C214" s="6" t="s">
        <v>88</v>
      </c>
      <c r="D214" s="6">
        <v>20706</v>
      </c>
      <c r="E214" s="6" t="s">
        <v>52</v>
      </c>
      <c r="F214" s="6" t="s">
        <v>17</v>
      </c>
      <c r="G214" s="6" t="s">
        <v>1294</v>
      </c>
      <c r="H214" s="6">
        <v>40</v>
      </c>
      <c r="I214" s="6">
        <v>40</v>
      </c>
      <c r="J214" s="6">
        <v>40</v>
      </c>
      <c r="K214" s="6">
        <v>40</v>
      </c>
      <c r="L214" s="6">
        <v>39.985993999999998</v>
      </c>
      <c r="M214" s="6">
        <v>39.981146000000003</v>
      </c>
      <c r="N214" s="6">
        <v>39.962778999999998</v>
      </c>
      <c r="O214" s="6">
        <v>39.971750999999998</v>
      </c>
      <c r="P214" s="6">
        <v>39.969020999999998</v>
      </c>
      <c r="Q214" s="6">
        <v>39.963768000000002</v>
      </c>
      <c r="R214" s="6">
        <v>39.972496999999997</v>
      </c>
      <c r="S214" s="6">
        <v>39.969659999999998</v>
      </c>
      <c r="T214" s="6">
        <v>39.867787999999997</v>
      </c>
      <c r="U214" s="6">
        <v>39.928649</v>
      </c>
      <c r="V214" s="6">
        <v>39.945453999999998</v>
      </c>
    </row>
    <row r="215" spans="2:22">
      <c r="B215" s="6">
        <v>30459</v>
      </c>
      <c r="C215" s="6" t="s">
        <v>88</v>
      </c>
      <c r="D215" s="6">
        <v>20902</v>
      </c>
      <c r="E215" s="6" t="s">
        <v>53</v>
      </c>
      <c r="F215" s="6" t="s">
        <v>16</v>
      </c>
      <c r="G215" s="6" t="s">
        <v>1295</v>
      </c>
      <c r="H215" s="6">
        <v>30</v>
      </c>
      <c r="I215" s="6">
        <v>30</v>
      </c>
      <c r="J215" s="6">
        <v>30</v>
      </c>
      <c r="K215" s="6">
        <v>27.235294</v>
      </c>
      <c r="L215" s="6">
        <v>26.730157999999999</v>
      </c>
      <c r="M215" s="6">
        <v>28.302752000000002</v>
      </c>
      <c r="N215" s="6">
        <v>27.102803000000002</v>
      </c>
      <c r="O215" s="6">
        <v>26.100322999999999</v>
      </c>
      <c r="P215" s="6">
        <v>27.578899</v>
      </c>
      <c r="Q215" s="6">
        <v>27.102803000000002</v>
      </c>
      <c r="R215" s="6">
        <v>26.100322999999999</v>
      </c>
      <c r="S215" s="6">
        <v>27.558453</v>
      </c>
      <c r="T215" s="6">
        <v>26.737159999999999</v>
      </c>
      <c r="U215" s="6">
        <v>25.752351000000001</v>
      </c>
      <c r="V215" s="6">
        <v>27.323633000000001</v>
      </c>
    </row>
    <row r="216" spans="2:22">
      <c r="B216" s="6">
        <v>30459</v>
      </c>
      <c r="C216" s="6" t="s">
        <v>88</v>
      </c>
      <c r="D216" s="6">
        <v>20902</v>
      </c>
      <c r="E216" s="6" t="s">
        <v>53</v>
      </c>
      <c r="F216" s="6" t="s">
        <v>13</v>
      </c>
      <c r="G216" s="6" t="s">
        <v>14</v>
      </c>
      <c r="H216" s="6">
        <v>20</v>
      </c>
      <c r="I216" s="6">
        <v>20</v>
      </c>
      <c r="J216" s="6">
        <v>20</v>
      </c>
      <c r="K216" s="6">
        <v>19.956309999999998</v>
      </c>
      <c r="L216" s="6">
        <v>19.965827000000001</v>
      </c>
      <c r="M216" s="6">
        <v>19.613216000000001</v>
      </c>
      <c r="N216" s="6">
        <v>19.181818</v>
      </c>
      <c r="O216" s="6">
        <v>19.119288999999998</v>
      </c>
      <c r="P216" s="6">
        <v>18.784502</v>
      </c>
      <c r="Q216" s="6">
        <v>19.181818</v>
      </c>
      <c r="R216" s="6">
        <v>19.101835999999999</v>
      </c>
      <c r="S216" s="6">
        <v>18.763134000000001</v>
      </c>
      <c r="T216" s="6">
        <v>19.181818</v>
      </c>
      <c r="U216" s="6">
        <v>19.101835999999999</v>
      </c>
      <c r="V216" s="6">
        <v>18.763134000000001</v>
      </c>
    </row>
    <row r="217" spans="2:22">
      <c r="B217" s="6">
        <v>30459</v>
      </c>
      <c r="C217" s="6" t="s">
        <v>88</v>
      </c>
      <c r="D217" s="6">
        <v>20906</v>
      </c>
      <c r="E217" s="6" t="s">
        <v>48</v>
      </c>
      <c r="F217" s="6" t="s">
        <v>49</v>
      </c>
      <c r="G217" s="6" t="s">
        <v>1296</v>
      </c>
      <c r="H217" s="6">
        <v>17</v>
      </c>
      <c r="I217" s="6">
        <v>17</v>
      </c>
      <c r="J217" s="6">
        <v>17.409089999999999</v>
      </c>
      <c r="K217" s="6">
        <v>16.923482</v>
      </c>
      <c r="L217" s="6">
        <v>16.908185</v>
      </c>
      <c r="M217" s="6">
        <v>17.652851999999999</v>
      </c>
      <c r="N217" s="6">
        <v>17.016705999999999</v>
      </c>
      <c r="O217" s="6">
        <v>16.954350000000002</v>
      </c>
      <c r="P217" s="6">
        <v>17.537869000000001</v>
      </c>
      <c r="Q217" s="6">
        <v>17.016335999999999</v>
      </c>
      <c r="R217" s="6">
        <v>16.958155999999999</v>
      </c>
      <c r="S217" s="6">
        <v>17.538882000000001</v>
      </c>
      <c r="T217" s="6">
        <v>17.016335999999999</v>
      </c>
      <c r="U217" s="6">
        <v>16.958155999999999</v>
      </c>
      <c r="V217" s="6">
        <v>17.538882000000001</v>
      </c>
    </row>
    <row r="218" spans="2:22">
      <c r="B218" s="6">
        <v>30460</v>
      </c>
      <c r="C218" s="6" t="s">
        <v>89</v>
      </c>
      <c r="D218" s="6">
        <v>20500</v>
      </c>
      <c r="E218" s="6" t="s">
        <v>31</v>
      </c>
      <c r="F218" s="6" t="s">
        <v>13</v>
      </c>
      <c r="G218" s="6" t="s">
        <v>14</v>
      </c>
      <c r="H218" s="6">
        <v>0</v>
      </c>
      <c r="I218" s="6">
        <v>0</v>
      </c>
      <c r="J218" s="6">
        <v>20</v>
      </c>
      <c r="K218" s="6">
        <v>25</v>
      </c>
      <c r="L218" s="6">
        <v>21.25</v>
      </c>
      <c r="M218" s="6">
        <v>20.070422000000001</v>
      </c>
      <c r="N218" s="6">
        <v>25</v>
      </c>
      <c r="O218" s="6">
        <v>22.5</v>
      </c>
      <c r="P218" s="6">
        <v>20.123965999999999</v>
      </c>
      <c r="Q218" s="6">
        <v>25</v>
      </c>
      <c r="R218" s="6">
        <v>22.5</v>
      </c>
      <c r="S218" s="6">
        <v>20.122949999999999</v>
      </c>
      <c r="T218" s="6">
        <v>28.409089999999999</v>
      </c>
      <c r="U218" s="6">
        <v>28.088235000000001</v>
      </c>
      <c r="V218" s="6">
        <v>22.096774</v>
      </c>
    </row>
    <row r="219" spans="2:22">
      <c r="B219" s="6">
        <v>30460</v>
      </c>
      <c r="C219" s="6" t="s">
        <v>89</v>
      </c>
      <c r="D219" s="6">
        <v>20500</v>
      </c>
      <c r="E219" s="6" t="s">
        <v>31</v>
      </c>
      <c r="F219" s="6" t="s">
        <v>17</v>
      </c>
      <c r="G219" s="6" t="s">
        <v>1294</v>
      </c>
      <c r="H219" s="6">
        <v>26.324324000000001</v>
      </c>
      <c r="I219" s="6">
        <v>26.329267999999999</v>
      </c>
      <c r="J219" s="6">
        <v>26.21875</v>
      </c>
      <c r="K219" s="6">
        <v>26.093993999999999</v>
      </c>
      <c r="L219" s="6">
        <v>26.469746000000001</v>
      </c>
      <c r="M219" s="6">
        <v>26.000619</v>
      </c>
      <c r="N219" s="6">
        <v>26.108958000000001</v>
      </c>
      <c r="O219" s="6">
        <v>26.328648000000001</v>
      </c>
      <c r="P219" s="6">
        <v>26.003786000000002</v>
      </c>
      <c r="Q219" s="6">
        <v>26.101534000000001</v>
      </c>
      <c r="R219" s="6">
        <v>26.316153</v>
      </c>
      <c r="S219" s="6">
        <v>25.991613999999998</v>
      </c>
      <c r="T219" s="6">
        <v>25.645997000000001</v>
      </c>
      <c r="U219" s="6">
        <v>25.223958</v>
      </c>
      <c r="V219" s="6">
        <v>24.770192999999999</v>
      </c>
    </row>
    <row r="220" spans="2:22">
      <c r="B220" s="6">
        <v>30460</v>
      </c>
      <c r="C220" s="6" t="s">
        <v>89</v>
      </c>
      <c r="D220" s="6">
        <v>20706</v>
      </c>
      <c r="E220" s="6" t="s">
        <v>52</v>
      </c>
      <c r="F220" s="6" t="s">
        <v>17</v>
      </c>
      <c r="G220" s="6" t="s">
        <v>1294</v>
      </c>
      <c r="H220" s="6">
        <v>40</v>
      </c>
      <c r="I220" s="6">
        <v>40</v>
      </c>
      <c r="J220" s="6">
        <v>40</v>
      </c>
      <c r="K220" s="6">
        <v>40</v>
      </c>
      <c r="L220" s="6">
        <v>39.985993999999998</v>
      </c>
      <c r="M220" s="6">
        <v>39.981146000000003</v>
      </c>
      <c r="N220" s="6">
        <v>39.962778999999998</v>
      </c>
      <c r="O220" s="6">
        <v>39.971750999999998</v>
      </c>
      <c r="P220" s="6">
        <v>39.969020999999998</v>
      </c>
      <c r="Q220" s="6">
        <v>39.963768000000002</v>
      </c>
      <c r="R220" s="6">
        <v>39.972496999999997</v>
      </c>
      <c r="S220" s="6">
        <v>39.969659999999998</v>
      </c>
      <c r="T220" s="6">
        <v>39.867787999999997</v>
      </c>
      <c r="U220" s="6">
        <v>39.928649</v>
      </c>
      <c r="V220" s="6">
        <v>39.945453999999998</v>
      </c>
    </row>
    <row r="221" spans="2:22">
      <c r="B221" s="6">
        <v>30460</v>
      </c>
      <c r="C221" s="6" t="s">
        <v>89</v>
      </c>
      <c r="D221" s="6">
        <v>20706</v>
      </c>
      <c r="E221" s="6" t="s">
        <v>52</v>
      </c>
      <c r="F221" s="6" t="s">
        <v>73</v>
      </c>
      <c r="G221" s="6" t="s">
        <v>1299</v>
      </c>
      <c r="H221" s="6">
        <v>0</v>
      </c>
      <c r="I221" s="6">
        <v>30</v>
      </c>
      <c r="J221" s="6">
        <v>30</v>
      </c>
      <c r="K221" s="6">
        <v>0</v>
      </c>
      <c r="L221" s="6">
        <v>30</v>
      </c>
      <c r="M221" s="6">
        <v>33.059700999999997</v>
      </c>
      <c r="N221" s="6">
        <v>0</v>
      </c>
      <c r="O221" s="6">
        <v>30</v>
      </c>
      <c r="P221" s="6">
        <v>33.014704999999999</v>
      </c>
      <c r="Q221" s="6">
        <v>0</v>
      </c>
      <c r="R221" s="6">
        <v>30</v>
      </c>
      <c r="S221" s="6">
        <v>33.014704999999999</v>
      </c>
      <c r="T221" s="6">
        <v>0</v>
      </c>
      <c r="U221" s="6">
        <v>30</v>
      </c>
      <c r="V221" s="6">
        <v>33.014704999999999</v>
      </c>
    </row>
    <row r="222" spans="2:22">
      <c r="B222" s="6">
        <v>30460</v>
      </c>
      <c r="C222" s="6" t="s">
        <v>89</v>
      </c>
      <c r="D222" s="6">
        <v>20902</v>
      </c>
      <c r="E222" s="6" t="s">
        <v>53</v>
      </c>
      <c r="F222" s="6" t="s">
        <v>16</v>
      </c>
      <c r="G222" s="6" t="s">
        <v>1295</v>
      </c>
      <c r="H222" s="6">
        <v>30</v>
      </c>
      <c r="I222" s="6">
        <v>30</v>
      </c>
      <c r="J222" s="6">
        <v>30</v>
      </c>
      <c r="K222" s="6">
        <v>27.235294</v>
      </c>
      <c r="L222" s="6">
        <v>26.730157999999999</v>
      </c>
      <c r="M222" s="6">
        <v>28.302752000000002</v>
      </c>
      <c r="N222" s="6">
        <v>27.102803000000002</v>
      </c>
      <c r="O222" s="6">
        <v>26.100322999999999</v>
      </c>
      <c r="P222" s="6">
        <v>27.578899</v>
      </c>
      <c r="Q222" s="6">
        <v>27.102803000000002</v>
      </c>
      <c r="R222" s="6">
        <v>26.100322999999999</v>
      </c>
      <c r="S222" s="6">
        <v>27.558453</v>
      </c>
      <c r="T222" s="6">
        <v>26.737159999999999</v>
      </c>
      <c r="U222" s="6">
        <v>25.752351000000001</v>
      </c>
      <c r="V222" s="6">
        <v>27.323633000000001</v>
      </c>
    </row>
    <row r="223" spans="2:22">
      <c r="B223" s="6">
        <v>30460</v>
      </c>
      <c r="C223" s="6" t="s">
        <v>89</v>
      </c>
      <c r="D223" s="6">
        <v>20902</v>
      </c>
      <c r="E223" s="6" t="s">
        <v>53</v>
      </c>
      <c r="F223" s="6" t="s">
        <v>13</v>
      </c>
      <c r="G223" s="6" t="s">
        <v>14</v>
      </c>
      <c r="H223" s="6">
        <v>20</v>
      </c>
      <c r="I223" s="6">
        <v>20</v>
      </c>
      <c r="J223" s="6">
        <v>20</v>
      </c>
      <c r="K223" s="6">
        <v>19.956309999999998</v>
      </c>
      <c r="L223" s="6">
        <v>19.965827000000001</v>
      </c>
      <c r="M223" s="6">
        <v>19.613216000000001</v>
      </c>
      <c r="N223" s="6">
        <v>19.181818</v>
      </c>
      <c r="O223" s="6">
        <v>19.119288999999998</v>
      </c>
      <c r="P223" s="6">
        <v>18.784502</v>
      </c>
      <c r="Q223" s="6">
        <v>19.181818</v>
      </c>
      <c r="R223" s="6">
        <v>19.101835999999999</v>
      </c>
      <c r="S223" s="6">
        <v>18.763134000000001</v>
      </c>
      <c r="T223" s="6">
        <v>19.181818</v>
      </c>
      <c r="U223" s="6">
        <v>19.101835999999999</v>
      </c>
      <c r="V223" s="6">
        <v>18.763134000000001</v>
      </c>
    </row>
    <row r="224" spans="2:22">
      <c r="B224" s="6">
        <v>30460</v>
      </c>
      <c r="C224" s="6" t="s">
        <v>89</v>
      </c>
      <c r="D224" s="6">
        <v>20906</v>
      </c>
      <c r="E224" s="6" t="s">
        <v>48</v>
      </c>
      <c r="F224" s="6" t="s">
        <v>49</v>
      </c>
      <c r="G224" s="6" t="s">
        <v>1296</v>
      </c>
      <c r="H224" s="6">
        <v>17</v>
      </c>
      <c r="I224" s="6">
        <v>17</v>
      </c>
      <c r="J224" s="6">
        <v>17.719695999999999</v>
      </c>
      <c r="K224" s="6">
        <v>16.923482</v>
      </c>
      <c r="L224" s="6">
        <v>16.908185</v>
      </c>
      <c r="M224" s="6">
        <v>17.652851999999999</v>
      </c>
      <c r="N224" s="6">
        <v>17.016705999999999</v>
      </c>
      <c r="O224" s="6">
        <v>16.954350000000002</v>
      </c>
      <c r="P224" s="6">
        <v>17.537869000000001</v>
      </c>
      <c r="Q224" s="6">
        <v>17.016335999999999</v>
      </c>
      <c r="R224" s="6">
        <v>16.958155999999999</v>
      </c>
      <c r="S224" s="6">
        <v>17.538882000000001</v>
      </c>
      <c r="T224" s="6">
        <v>17.016335999999999</v>
      </c>
      <c r="U224" s="6">
        <v>16.958155999999999</v>
      </c>
      <c r="V224" s="6">
        <v>17.538882000000001</v>
      </c>
    </row>
    <row r="225" spans="2:22">
      <c r="B225" s="6">
        <v>30460</v>
      </c>
      <c r="C225" s="6" t="s">
        <v>89</v>
      </c>
      <c r="D225" s="6">
        <v>20906</v>
      </c>
      <c r="E225" s="6" t="s">
        <v>48</v>
      </c>
      <c r="F225" s="6" t="s">
        <v>1300</v>
      </c>
      <c r="G225" s="6" t="s">
        <v>1301</v>
      </c>
      <c r="H225" s="6">
        <v>0</v>
      </c>
      <c r="I225" s="6">
        <v>0</v>
      </c>
      <c r="J225" s="6">
        <v>18</v>
      </c>
      <c r="K225" s="6">
        <v>17</v>
      </c>
      <c r="L225" s="6">
        <v>17</v>
      </c>
      <c r="M225" s="6">
        <v>17.2</v>
      </c>
      <c r="N225" s="6">
        <v>17</v>
      </c>
      <c r="O225" s="6">
        <v>17</v>
      </c>
      <c r="P225" s="6">
        <v>17.2</v>
      </c>
      <c r="Q225" s="6">
        <v>17</v>
      </c>
      <c r="R225" s="6">
        <v>17</v>
      </c>
      <c r="S225" s="6">
        <v>17.2</v>
      </c>
      <c r="T225" s="6">
        <v>17</v>
      </c>
      <c r="U225" s="6">
        <v>17</v>
      </c>
      <c r="V225" s="6">
        <v>17.2</v>
      </c>
    </row>
    <row r="226" spans="2:22">
      <c r="B226" s="6">
        <v>30461</v>
      </c>
      <c r="C226" s="6" t="s">
        <v>90</v>
      </c>
      <c r="D226" s="6">
        <v>20500</v>
      </c>
      <c r="E226" s="6" t="s">
        <v>31</v>
      </c>
      <c r="F226" s="6" t="s">
        <v>17</v>
      </c>
      <c r="G226" s="6" t="s">
        <v>1294</v>
      </c>
      <c r="H226" s="6">
        <v>24.5</v>
      </c>
      <c r="I226" s="6">
        <v>25</v>
      </c>
      <c r="J226" s="6">
        <v>24.631578000000001</v>
      </c>
      <c r="K226" s="6">
        <v>26.046875</v>
      </c>
      <c r="L226" s="6">
        <v>26.199541</v>
      </c>
      <c r="M226" s="6">
        <v>26.109717</v>
      </c>
      <c r="N226" s="6">
        <v>26.108958000000001</v>
      </c>
      <c r="O226" s="6">
        <v>26.328648000000001</v>
      </c>
      <c r="P226" s="6">
        <v>26.003786000000002</v>
      </c>
      <c r="Q226" s="6">
        <v>26.101534000000001</v>
      </c>
      <c r="R226" s="6">
        <v>26.316153</v>
      </c>
      <c r="S226" s="6">
        <v>25.991613999999998</v>
      </c>
      <c r="T226" s="6">
        <v>25.645997000000001</v>
      </c>
      <c r="U226" s="6">
        <v>25.223958</v>
      </c>
      <c r="V226" s="6">
        <v>24.770192999999999</v>
      </c>
    </row>
    <row r="227" spans="2:22">
      <c r="B227" s="6">
        <v>30461</v>
      </c>
      <c r="C227" s="6" t="s">
        <v>90</v>
      </c>
      <c r="D227" s="6">
        <v>20702</v>
      </c>
      <c r="E227" s="6" t="s">
        <v>44</v>
      </c>
      <c r="F227" s="6" t="s">
        <v>17</v>
      </c>
      <c r="G227" s="6" t="s">
        <v>1294</v>
      </c>
      <c r="H227" s="6">
        <v>35</v>
      </c>
      <c r="I227" s="6">
        <v>35</v>
      </c>
      <c r="J227" s="6">
        <v>35</v>
      </c>
      <c r="K227" s="6">
        <v>34.851851000000003</v>
      </c>
      <c r="L227" s="6">
        <v>34.933332999999998</v>
      </c>
      <c r="M227" s="6">
        <v>34.897097000000002</v>
      </c>
      <c r="N227" s="6">
        <v>34.893103000000004</v>
      </c>
      <c r="O227" s="6">
        <v>34.949179999999998</v>
      </c>
      <c r="P227" s="6">
        <v>34.926701000000001</v>
      </c>
      <c r="Q227" s="6">
        <v>34.894556999999999</v>
      </c>
      <c r="R227" s="6">
        <v>34.950949000000001</v>
      </c>
      <c r="S227" s="6">
        <v>34.883485</v>
      </c>
      <c r="T227" s="6">
        <v>34.894556999999999</v>
      </c>
      <c r="U227" s="6">
        <v>34.950949000000001</v>
      </c>
      <c r="V227" s="6">
        <v>34.883485</v>
      </c>
    </row>
    <row r="228" spans="2:22">
      <c r="B228" s="6">
        <v>30461</v>
      </c>
      <c r="C228" s="6" t="s">
        <v>90</v>
      </c>
      <c r="D228" s="6">
        <v>20902</v>
      </c>
      <c r="E228" s="6" t="s">
        <v>53</v>
      </c>
      <c r="F228" s="6" t="s">
        <v>16</v>
      </c>
      <c r="G228" s="6" t="s">
        <v>1295</v>
      </c>
      <c r="H228" s="6">
        <v>30</v>
      </c>
      <c r="I228" s="6">
        <v>30</v>
      </c>
      <c r="J228" s="6">
        <v>30</v>
      </c>
      <c r="K228" s="6">
        <v>26.721311</v>
      </c>
      <c r="L228" s="6">
        <v>25.932835000000001</v>
      </c>
      <c r="M228" s="6">
        <v>26.507536999999999</v>
      </c>
      <c r="N228" s="6">
        <v>27.102803000000002</v>
      </c>
      <c r="O228" s="6">
        <v>26.100322999999999</v>
      </c>
      <c r="P228" s="6">
        <v>27.578899</v>
      </c>
      <c r="Q228" s="6">
        <v>27.102803000000002</v>
      </c>
      <c r="R228" s="6">
        <v>26.100322999999999</v>
      </c>
      <c r="S228" s="6">
        <v>27.558453</v>
      </c>
      <c r="T228" s="6">
        <v>26.737159999999999</v>
      </c>
      <c r="U228" s="6">
        <v>25.752351000000001</v>
      </c>
      <c r="V228" s="6">
        <v>27.323633000000001</v>
      </c>
    </row>
    <row r="229" spans="2:22">
      <c r="B229" s="6">
        <v>30461</v>
      </c>
      <c r="C229" s="6" t="s">
        <v>90</v>
      </c>
      <c r="D229" s="6">
        <v>20902</v>
      </c>
      <c r="E229" s="6" t="s">
        <v>53</v>
      </c>
      <c r="F229" s="6" t="s">
        <v>13</v>
      </c>
      <c r="G229" s="6" t="s">
        <v>14</v>
      </c>
      <c r="H229" s="6">
        <v>20</v>
      </c>
      <c r="I229" s="6">
        <v>20</v>
      </c>
      <c r="J229" s="6">
        <v>20</v>
      </c>
      <c r="K229" s="6">
        <v>18.622046999999998</v>
      </c>
      <c r="L229" s="6">
        <v>18.557046</v>
      </c>
      <c r="M229" s="6">
        <v>18.643459</v>
      </c>
      <c r="N229" s="6">
        <v>19.181818</v>
      </c>
      <c r="O229" s="6">
        <v>19.119288999999998</v>
      </c>
      <c r="P229" s="6">
        <v>18.784502</v>
      </c>
      <c r="Q229" s="6">
        <v>19.181818</v>
      </c>
      <c r="R229" s="6">
        <v>19.101835999999999</v>
      </c>
      <c r="S229" s="6">
        <v>18.763134000000001</v>
      </c>
      <c r="T229" s="6">
        <v>19.181818</v>
      </c>
      <c r="U229" s="6">
        <v>19.101835999999999</v>
      </c>
      <c r="V229" s="6">
        <v>18.763134000000001</v>
      </c>
    </row>
    <row r="230" spans="2:22">
      <c r="B230" s="6">
        <v>30461</v>
      </c>
      <c r="C230" s="6" t="s">
        <v>90</v>
      </c>
      <c r="D230" s="6">
        <v>20906</v>
      </c>
      <c r="E230" s="6" t="s">
        <v>48</v>
      </c>
      <c r="F230" s="6" t="s">
        <v>49</v>
      </c>
      <c r="G230" s="6" t="s">
        <v>1296</v>
      </c>
      <c r="H230" s="6">
        <v>17</v>
      </c>
      <c r="I230" s="6">
        <v>17</v>
      </c>
      <c r="J230" s="6">
        <v>17.210526000000002</v>
      </c>
      <c r="K230" s="6">
        <v>17.229590999999999</v>
      </c>
      <c r="L230" s="6">
        <v>17.052391</v>
      </c>
      <c r="M230" s="6">
        <v>17.431988</v>
      </c>
      <c r="N230" s="6">
        <v>17.016705999999999</v>
      </c>
      <c r="O230" s="6">
        <v>16.954350000000002</v>
      </c>
      <c r="P230" s="6">
        <v>17.537869000000001</v>
      </c>
      <c r="Q230" s="6">
        <v>17.016335999999999</v>
      </c>
      <c r="R230" s="6">
        <v>16.958155999999999</v>
      </c>
      <c r="S230" s="6">
        <v>17.538882000000001</v>
      </c>
      <c r="T230" s="6">
        <v>17.016335999999999</v>
      </c>
      <c r="U230" s="6">
        <v>16.958155999999999</v>
      </c>
      <c r="V230" s="6">
        <v>17.538882000000001</v>
      </c>
    </row>
    <row r="231" spans="2:22">
      <c r="B231" s="6">
        <v>30462</v>
      </c>
      <c r="C231" s="6" t="s">
        <v>91</v>
      </c>
      <c r="D231" s="6">
        <v>20500</v>
      </c>
      <c r="E231" s="6" t="s">
        <v>31</v>
      </c>
      <c r="F231" s="6" t="s">
        <v>13</v>
      </c>
      <c r="G231" s="6" t="s">
        <v>14</v>
      </c>
      <c r="H231" s="6">
        <v>0</v>
      </c>
      <c r="I231" s="6">
        <v>0</v>
      </c>
      <c r="J231" s="6">
        <v>20</v>
      </c>
      <c r="K231" s="6">
        <v>0</v>
      </c>
      <c r="L231" s="6">
        <v>0</v>
      </c>
      <c r="M231" s="6">
        <v>20</v>
      </c>
      <c r="N231" s="6">
        <v>25</v>
      </c>
      <c r="O231" s="6">
        <v>22.5</v>
      </c>
      <c r="P231" s="6">
        <v>20.123965999999999</v>
      </c>
      <c r="Q231" s="6">
        <v>25</v>
      </c>
      <c r="R231" s="6">
        <v>22.5</v>
      </c>
      <c r="S231" s="6">
        <v>20.122949999999999</v>
      </c>
      <c r="T231" s="6">
        <v>28.409089999999999</v>
      </c>
      <c r="U231" s="6">
        <v>28.088235000000001</v>
      </c>
      <c r="V231" s="6">
        <v>22.096774</v>
      </c>
    </row>
    <row r="232" spans="2:22">
      <c r="B232" s="6">
        <v>30462</v>
      </c>
      <c r="C232" s="6" t="s">
        <v>91</v>
      </c>
      <c r="D232" s="6">
        <v>20500</v>
      </c>
      <c r="E232" s="6" t="s">
        <v>31</v>
      </c>
      <c r="F232" s="6" t="s">
        <v>17</v>
      </c>
      <c r="G232" s="6" t="s">
        <v>1294</v>
      </c>
      <c r="H232" s="6">
        <v>25.333333</v>
      </c>
      <c r="I232" s="6">
        <v>25.214285</v>
      </c>
      <c r="J232" s="6">
        <v>25.315788999999999</v>
      </c>
      <c r="K232" s="6">
        <v>26.046875</v>
      </c>
      <c r="L232" s="6">
        <v>26.199541</v>
      </c>
      <c r="M232" s="6">
        <v>26.109717</v>
      </c>
      <c r="N232" s="6">
        <v>26.108958000000001</v>
      </c>
      <c r="O232" s="6">
        <v>26.328648000000001</v>
      </c>
      <c r="P232" s="6">
        <v>26.003786000000002</v>
      </c>
      <c r="Q232" s="6">
        <v>26.101534000000001</v>
      </c>
      <c r="R232" s="6">
        <v>26.316153</v>
      </c>
      <c r="S232" s="6">
        <v>25.991613999999998</v>
      </c>
      <c r="T232" s="6">
        <v>25.645997000000001</v>
      </c>
      <c r="U232" s="6">
        <v>25.223958</v>
      </c>
      <c r="V232" s="6">
        <v>24.770192999999999</v>
      </c>
    </row>
    <row r="233" spans="2:22">
      <c r="B233" s="6">
        <v>30462</v>
      </c>
      <c r="C233" s="6" t="s">
        <v>91</v>
      </c>
      <c r="D233" s="6">
        <v>20702</v>
      </c>
      <c r="E233" s="6" t="s">
        <v>44</v>
      </c>
      <c r="F233" s="6" t="s">
        <v>17</v>
      </c>
      <c r="G233" s="6" t="s">
        <v>1294</v>
      </c>
      <c r="H233" s="6">
        <v>35</v>
      </c>
      <c r="I233" s="6">
        <v>35</v>
      </c>
      <c r="J233" s="6">
        <v>35</v>
      </c>
      <c r="K233" s="6">
        <v>34.851851000000003</v>
      </c>
      <c r="L233" s="6">
        <v>34.933332999999998</v>
      </c>
      <c r="M233" s="6">
        <v>34.897097000000002</v>
      </c>
      <c r="N233" s="6">
        <v>34.893103000000004</v>
      </c>
      <c r="O233" s="6">
        <v>34.949179999999998</v>
      </c>
      <c r="P233" s="6">
        <v>34.926701000000001</v>
      </c>
      <c r="Q233" s="6">
        <v>34.894556999999999</v>
      </c>
      <c r="R233" s="6">
        <v>34.950949000000001</v>
      </c>
      <c r="S233" s="6">
        <v>34.883485</v>
      </c>
      <c r="T233" s="6">
        <v>34.894556999999999</v>
      </c>
      <c r="U233" s="6">
        <v>34.950949000000001</v>
      </c>
      <c r="V233" s="6">
        <v>34.883485</v>
      </c>
    </row>
    <row r="234" spans="2:22">
      <c r="B234" s="6">
        <v>30462</v>
      </c>
      <c r="C234" s="6" t="s">
        <v>91</v>
      </c>
      <c r="D234" s="6">
        <v>20902</v>
      </c>
      <c r="E234" s="6" t="s">
        <v>53</v>
      </c>
      <c r="F234" s="6" t="s">
        <v>16</v>
      </c>
      <c r="G234" s="6" t="s">
        <v>1295</v>
      </c>
      <c r="H234" s="6">
        <v>30</v>
      </c>
      <c r="I234" s="6">
        <v>30</v>
      </c>
      <c r="J234" s="6">
        <v>30</v>
      </c>
      <c r="K234" s="6">
        <v>26.721311</v>
      </c>
      <c r="L234" s="6">
        <v>25.932835000000001</v>
      </c>
      <c r="M234" s="6">
        <v>26.507536999999999</v>
      </c>
      <c r="N234" s="6">
        <v>27.102803000000002</v>
      </c>
      <c r="O234" s="6">
        <v>26.100322999999999</v>
      </c>
      <c r="P234" s="6">
        <v>27.578899</v>
      </c>
      <c r="Q234" s="6">
        <v>27.102803000000002</v>
      </c>
      <c r="R234" s="6">
        <v>26.100322999999999</v>
      </c>
      <c r="S234" s="6">
        <v>27.558453</v>
      </c>
      <c r="T234" s="6">
        <v>26.737159999999999</v>
      </c>
      <c r="U234" s="6">
        <v>25.752351000000001</v>
      </c>
      <c r="V234" s="6">
        <v>27.323633000000001</v>
      </c>
    </row>
    <row r="235" spans="2:22">
      <c r="B235" s="6">
        <v>30462</v>
      </c>
      <c r="C235" s="6" t="s">
        <v>91</v>
      </c>
      <c r="D235" s="6">
        <v>20902</v>
      </c>
      <c r="E235" s="6" t="s">
        <v>53</v>
      </c>
      <c r="F235" s="6" t="s">
        <v>13</v>
      </c>
      <c r="G235" s="6" t="s">
        <v>14</v>
      </c>
      <c r="H235" s="6">
        <v>20</v>
      </c>
      <c r="I235" s="6">
        <v>20</v>
      </c>
      <c r="J235" s="6">
        <v>19</v>
      </c>
      <c r="K235" s="6">
        <v>18.622046999999998</v>
      </c>
      <c r="L235" s="6">
        <v>18.557046</v>
      </c>
      <c r="M235" s="6">
        <v>18.643459</v>
      </c>
      <c r="N235" s="6">
        <v>19.181818</v>
      </c>
      <c r="O235" s="6">
        <v>19.119288999999998</v>
      </c>
      <c r="P235" s="6">
        <v>18.784502</v>
      </c>
      <c r="Q235" s="6">
        <v>19.181818</v>
      </c>
      <c r="R235" s="6">
        <v>19.101835999999999</v>
      </c>
      <c r="S235" s="6">
        <v>18.763134000000001</v>
      </c>
      <c r="T235" s="6">
        <v>19.181818</v>
      </c>
      <c r="U235" s="6">
        <v>19.101835999999999</v>
      </c>
      <c r="V235" s="6">
        <v>18.763134000000001</v>
      </c>
    </row>
    <row r="236" spans="2:22">
      <c r="B236" s="6">
        <v>30462</v>
      </c>
      <c r="C236" s="6" t="s">
        <v>91</v>
      </c>
      <c r="D236" s="6">
        <v>20906</v>
      </c>
      <c r="E236" s="6" t="s">
        <v>48</v>
      </c>
      <c r="F236" s="6" t="s">
        <v>49</v>
      </c>
      <c r="G236" s="6" t="s">
        <v>1296</v>
      </c>
      <c r="H236" s="6">
        <v>17</v>
      </c>
      <c r="I236" s="6">
        <v>17</v>
      </c>
      <c r="J236" s="6">
        <v>17.904761000000001</v>
      </c>
      <c r="K236" s="6">
        <v>17.229590999999999</v>
      </c>
      <c r="L236" s="6">
        <v>17.052391</v>
      </c>
      <c r="M236" s="6">
        <v>17.431988</v>
      </c>
      <c r="N236" s="6">
        <v>17.016705999999999</v>
      </c>
      <c r="O236" s="6">
        <v>16.954350000000002</v>
      </c>
      <c r="P236" s="6">
        <v>17.537869000000001</v>
      </c>
      <c r="Q236" s="6">
        <v>17.016335999999999</v>
      </c>
      <c r="R236" s="6">
        <v>16.958155999999999</v>
      </c>
      <c r="S236" s="6">
        <v>17.538882000000001</v>
      </c>
      <c r="T236" s="6">
        <v>17.016335999999999</v>
      </c>
      <c r="U236" s="6">
        <v>16.958155999999999</v>
      </c>
      <c r="V236" s="6">
        <v>17.538882000000001</v>
      </c>
    </row>
    <row r="237" spans="2:22">
      <c r="B237" s="6">
        <v>30463</v>
      </c>
      <c r="C237" s="6" t="s">
        <v>92</v>
      </c>
      <c r="D237" s="6">
        <v>20500</v>
      </c>
      <c r="E237" s="6" t="s">
        <v>31</v>
      </c>
      <c r="F237" s="6" t="s">
        <v>17</v>
      </c>
      <c r="G237" s="6" t="s">
        <v>1294</v>
      </c>
      <c r="H237" s="6">
        <v>27</v>
      </c>
      <c r="I237" s="6">
        <v>23.111111000000001</v>
      </c>
      <c r="J237" s="6">
        <v>23</v>
      </c>
      <c r="K237" s="6">
        <v>26.046875</v>
      </c>
      <c r="L237" s="6">
        <v>26.199541</v>
      </c>
      <c r="M237" s="6">
        <v>26.109717</v>
      </c>
      <c r="N237" s="6">
        <v>26.108958000000001</v>
      </c>
      <c r="O237" s="6">
        <v>26.328648000000001</v>
      </c>
      <c r="P237" s="6">
        <v>26.003786000000002</v>
      </c>
      <c r="Q237" s="6">
        <v>26.101534000000001</v>
      </c>
      <c r="R237" s="6">
        <v>26.316153</v>
      </c>
      <c r="S237" s="6">
        <v>25.991613999999998</v>
      </c>
      <c r="T237" s="6">
        <v>25.645997000000001</v>
      </c>
      <c r="U237" s="6">
        <v>25.223958</v>
      </c>
      <c r="V237" s="6">
        <v>24.770192999999999</v>
      </c>
    </row>
    <row r="238" spans="2:22">
      <c r="B238" s="6">
        <v>30463</v>
      </c>
      <c r="C238" s="6" t="s">
        <v>92</v>
      </c>
      <c r="D238" s="6">
        <v>20702</v>
      </c>
      <c r="E238" s="6" t="s">
        <v>44</v>
      </c>
      <c r="F238" s="6" t="s">
        <v>17</v>
      </c>
      <c r="G238" s="6" t="s">
        <v>1294</v>
      </c>
      <c r="H238" s="6">
        <v>35</v>
      </c>
      <c r="I238" s="6">
        <v>35</v>
      </c>
      <c r="J238" s="6">
        <v>35</v>
      </c>
      <c r="K238" s="6">
        <v>34.851851000000003</v>
      </c>
      <c r="L238" s="6">
        <v>34.933332999999998</v>
      </c>
      <c r="M238" s="6">
        <v>34.897097000000002</v>
      </c>
      <c r="N238" s="6">
        <v>34.893103000000004</v>
      </c>
      <c r="O238" s="6">
        <v>34.949179999999998</v>
      </c>
      <c r="P238" s="6">
        <v>34.926701000000001</v>
      </c>
      <c r="Q238" s="6">
        <v>34.894556999999999</v>
      </c>
      <c r="R238" s="6">
        <v>34.950949000000001</v>
      </c>
      <c r="S238" s="6">
        <v>34.883485</v>
      </c>
      <c r="T238" s="6">
        <v>34.894556999999999</v>
      </c>
      <c r="U238" s="6">
        <v>34.950949000000001</v>
      </c>
      <c r="V238" s="6">
        <v>34.883485</v>
      </c>
    </row>
    <row r="239" spans="2:22">
      <c r="B239" s="6">
        <v>30463</v>
      </c>
      <c r="C239" s="6" t="s">
        <v>92</v>
      </c>
      <c r="D239" s="6">
        <v>20902</v>
      </c>
      <c r="E239" s="6" t="s">
        <v>53</v>
      </c>
      <c r="F239" s="6" t="s">
        <v>16</v>
      </c>
      <c r="G239" s="6" t="s">
        <v>1295</v>
      </c>
      <c r="H239" s="6">
        <v>0</v>
      </c>
      <c r="I239" s="6">
        <v>30</v>
      </c>
      <c r="J239" s="6">
        <v>30</v>
      </c>
      <c r="K239" s="6">
        <v>26.721311</v>
      </c>
      <c r="L239" s="6">
        <v>25.932835000000001</v>
      </c>
      <c r="M239" s="6">
        <v>26.507536999999999</v>
      </c>
      <c r="N239" s="6">
        <v>27.102803000000002</v>
      </c>
      <c r="O239" s="6">
        <v>26.100322999999999</v>
      </c>
      <c r="P239" s="6">
        <v>27.578899</v>
      </c>
      <c r="Q239" s="6">
        <v>27.102803000000002</v>
      </c>
      <c r="R239" s="6">
        <v>26.100322999999999</v>
      </c>
      <c r="S239" s="6">
        <v>27.558453</v>
      </c>
      <c r="T239" s="6">
        <v>26.737159999999999</v>
      </c>
      <c r="U239" s="6">
        <v>25.752351000000001</v>
      </c>
      <c r="V239" s="6">
        <v>27.323633000000001</v>
      </c>
    </row>
    <row r="240" spans="2:22">
      <c r="B240" s="6">
        <v>30463</v>
      </c>
      <c r="C240" s="6" t="s">
        <v>92</v>
      </c>
      <c r="D240" s="6">
        <v>20902</v>
      </c>
      <c r="E240" s="6" t="s">
        <v>53</v>
      </c>
      <c r="F240" s="6" t="s">
        <v>13</v>
      </c>
      <c r="G240" s="6" t="s">
        <v>14</v>
      </c>
      <c r="H240" s="6">
        <v>20</v>
      </c>
      <c r="I240" s="6">
        <v>20</v>
      </c>
      <c r="J240" s="6">
        <v>20</v>
      </c>
      <c r="K240" s="6">
        <v>18.622046999999998</v>
      </c>
      <c r="L240" s="6">
        <v>18.557046</v>
      </c>
      <c r="M240" s="6">
        <v>18.643459</v>
      </c>
      <c r="N240" s="6">
        <v>19.181818</v>
      </c>
      <c r="O240" s="6">
        <v>19.119288999999998</v>
      </c>
      <c r="P240" s="6">
        <v>18.784502</v>
      </c>
      <c r="Q240" s="6">
        <v>19.181818</v>
      </c>
      <c r="R240" s="6">
        <v>19.101835999999999</v>
      </c>
      <c r="S240" s="6">
        <v>18.763134000000001</v>
      </c>
      <c r="T240" s="6">
        <v>19.181818</v>
      </c>
      <c r="U240" s="6">
        <v>19.101835999999999</v>
      </c>
      <c r="V240" s="6">
        <v>18.763134000000001</v>
      </c>
    </row>
    <row r="241" spans="2:22">
      <c r="B241" s="6">
        <v>30463</v>
      </c>
      <c r="C241" s="6" t="s">
        <v>92</v>
      </c>
      <c r="D241" s="6">
        <v>20906</v>
      </c>
      <c r="E241" s="6" t="s">
        <v>48</v>
      </c>
      <c r="F241" s="6" t="s">
        <v>49</v>
      </c>
      <c r="G241" s="6" t="s">
        <v>1296</v>
      </c>
      <c r="H241" s="6">
        <v>17</v>
      </c>
      <c r="I241" s="6">
        <v>17</v>
      </c>
      <c r="J241" s="6">
        <v>17</v>
      </c>
      <c r="K241" s="6">
        <v>17.229590999999999</v>
      </c>
      <c r="L241" s="6">
        <v>17.052391</v>
      </c>
      <c r="M241" s="6">
        <v>17.431988</v>
      </c>
      <c r="N241" s="6">
        <v>17.016705999999999</v>
      </c>
      <c r="O241" s="6">
        <v>16.954350000000002</v>
      </c>
      <c r="P241" s="6">
        <v>17.537869000000001</v>
      </c>
      <c r="Q241" s="6">
        <v>17.016335999999999</v>
      </c>
      <c r="R241" s="6">
        <v>16.958155999999999</v>
      </c>
      <c r="S241" s="6">
        <v>17.538882000000001</v>
      </c>
      <c r="T241" s="6">
        <v>17.016335999999999</v>
      </c>
      <c r="U241" s="6">
        <v>16.958155999999999</v>
      </c>
      <c r="V241" s="6">
        <v>17.538882000000001</v>
      </c>
    </row>
    <row r="242" spans="2:22">
      <c r="B242" s="6">
        <v>30464</v>
      </c>
      <c r="C242" s="6" t="s">
        <v>93</v>
      </c>
      <c r="D242" s="6">
        <v>20500</v>
      </c>
      <c r="E242" s="6" t="s">
        <v>31</v>
      </c>
      <c r="F242" s="6" t="s">
        <v>17</v>
      </c>
      <c r="G242" s="6" t="s">
        <v>1294</v>
      </c>
      <c r="H242" s="6">
        <v>24.272727</v>
      </c>
      <c r="I242" s="6">
        <v>24.5</v>
      </c>
      <c r="J242" s="6">
        <v>25.055554999999998</v>
      </c>
      <c r="K242" s="6">
        <v>26.179282000000001</v>
      </c>
      <c r="L242" s="6">
        <v>26.186138</v>
      </c>
      <c r="M242" s="6">
        <v>25.935728999999998</v>
      </c>
      <c r="N242" s="6">
        <v>26.108958000000001</v>
      </c>
      <c r="O242" s="6">
        <v>26.328648000000001</v>
      </c>
      <c r="P242" s="6">
        <v>26.003786000000002</v>
      </c>
      <c r="Q242" s="6">
        <v>26.101534000000001</v>
      </c>
      <c r="R242" s="6">
        <v>26.316153</v>
      </c>
      <c r="S242" s="6">
        <v>25.991613999999998</v>
      </c>
      <c r="T242" s="6">
        <v>25.645997000000001</v>
      </c>
      <c r="U242" s="6">
        <v>25.223958</v>
      </c>
      <c r="V242" s="6">
        <v>24.770192999999999</v>
      </c>
    </row>
    <row r="243" spans="2:22">
      <c r="B243" s="6">
        <v>30464</v>
      </c>
      <c r="C243" s="6" t="s">
        <v>93</v>
      </c>
      <c r="D243" s="6">
        <v>20702</v>
      </c>
      <c r="E243" s="6" t="s">
        <v>44</v>
      </c>
      <c r="F243" s="6" t="s">
        <v>17</v>
      </c>
      <c r="G243" s="6" t="s">
        <v>1294</v>
      </c>
      <c r="H243" s="6">
        <v>35</v>
      </c>
      <c r="I243" s="6">
        <v>35</v>
      </c>
      <c r="J243" s="6">
        <v>35</v>
      </c>
      <c r="K243" s="6">
        <v>34.902597</v>
      </c>
      <c r="L243" s="6">
        <v>34.946427999999997</v>
      </c>
      <c r="M243" s="6">
        <v>34.934041999999998</v>
      </c>
      <c r="N243" s="6">
        <v>34.893103000000004</v>
      </c>
      <c r="O243" s="6">
        <v>34.949179999999998</v>
      </c>
      <c r="P243" s="6">
        <v>34.926701000000001</v>
      </c>
      <c r="Q243" s="6">
        <v>34.894556999999999</v>
      </c>
      <c r="R243" s="6">
        <v>34.950949000000001</v>
      </c>
      <c r="S243" s="6">
        <v>34.883485</v>
      </c>
      <c r="T243" s="6">
        <v>34.894556999999999</v>
      </c>
      <c r="U243" s="6">
        <v>34.950949000000001</v>
      </c>
      <c r="V243" s="6">
        <v>34.883485</v>
      </c>
    </row>
    <row r="244" spans="2:22">
      <c r="B244" s="6">
        <v>30464</v>
      </c>
      <c r="C244" s="6" t="s">
        <v>93</v>
      </c>
      <c r="D244" s="6">
        <v>20902</v>
      </c>
      <c r="E244" s="6" t="s">
        <v>53</v>
      </c>
      <c r="F244" s="6" t="s">
        <v>16</v>
      </c>
      <c r="G244" s="6" t="s">
        <v>1295</v>
      </c>
      <c r="H244" s="6">
        <v>30</v>
      </c>
      <c r="I244" s="6">
        <v>30</v>
      </c>
      <c r="J244" s="6">
        <v>30</v>
      </c>
      <c r="K244" s="6">
        <v>27.111111000000001</v>
      </c>
      <c r="L244" s="6">
        <v>25.059170999999999</v>
      </c>
      <c r="M244" s="6">
        <v>26.5625</v>
      </c>
      <c r="N244" s="6">
        <v>27.102803000000002</v>
      </c>
      <c r="O244" s="6">
        <v>26.100322999999999</v>
      </c>
      <c r="P244" s="6">
        <v>27.578899</v>
      </c>
      <c r="Q244" s="6">
        <v>27.102803000000002</v>
      </c>
      <c r="R244" s="6">
        <v>26.100322999999999</v>
      </c>
      <c r="S244" s="6">
        <v>27.558453</v>
      </c>
      <c r="T244" s="6">
        <v>26.737159999999999</v>
      </c>
      <c r="U244" s="6">
        <v>25.752351000000001</v>
      </c>
      <c r="V244" s="6">
        <v>27.323633000000001</v>
      </c>
    </row>
    <row r="245" spans="2:22">
      <c r="B245" s="6">
        <v>30464</v>
      </c>
      <c r="C245" s="6" t="s">
        <v>93</v>
      </c>
      <c r="D245" s="6">
        <v>20902</v>
      </c>
      <c r="E245" s="6" t="s">
        <v>53</v>
      </c>
      <c r="F245" s="6" t="s">
        <v>13</v>
      </c>
      <c r="G245" s="6" t="s">
        <v>14</v>
      </c>
      <c r="H245" s="6">
        <v>20</v>
      </c>
      <c r="I245" s="6">
        <v>20</v>
      </c>
      <c r="J245" s="6">
        <v>20</v>
      </c>
      <c r="K245" s="6">
        <v>18.635802000000002</v>
      </c>
      <c r="L245" s="6">
        <v>18.195121</v>
      </c>
      <c r="M245" s="6">
        <v>17.625368000000002</v>
      </c>
      <c r="N245" s="6">
        <v>19.181818</v>
      </c>
      <c r="O245" s="6">
        <v>19.119288999999998</v>
      </c>
      <c r="P245" s="6">
        <v>18.784502</v>
      </c>
      <c r="Q245" s="6">
        <v>19.181818</v>
      </c>
      <c r="R245" s="6">
        <v>19.101835999999999</v>
      </c>
      <c r="S245" s="6">
        <v>18.763134000000001</v>
      </c>
      <c r="T245" s="6">
        <v>19.181818</v>
      </c>
      <c r="U245" s="6">
        <v>19.101835999999999</v>
      </c>
      <c r="V245" s="6">
        <v>18.763134000000001</v>
      </c>
    </row>
    <row r="246" spans="2:22">
      <c r="B246" s="6">
        <v>30464</v>
      </c>
      <c r="C246" s="6" t="s">
        <v>93</v>
      </c>
      <c r="D246" s="6">
        <v>20906</v>
      </c>
      <c r="E246" s="6" t="s">
        <v>48</v>
      </c>
      <c r="F246" s="6" t="s">
        <v>49</v>
      </c>
      <c r="G246" s="6" t="s">
        <v>1296</v>
      </c>
      <c r="H246" s="6">
        <v>17</v>
      </c>
      <c r="I246" s="6">
        <v>17</v>
      </c>
      <c r="J246" s="6">
        <v>17.277777</v>
      </c>
      <c r="K246" s="6">
        <v>16.992394999999998</v>
      </c>
      <c r="L246" s="6">
        <v>16.951830000000001</v>
      </c>
      <c r="M246" s="6">
        <v>17.405908</v>
      </c>
      <c r="N246" s="6">
        <v>17.016705999999999</v>
      </c>
      <c r="O246" s="6">
        <v>16.954350000000002</v>
      </c>
      <c r="P246" s="6">
        <v>17.537869000000001</v>
      </c>
      <c r="Q246" s="6">
        <v>17.016335999999999</v>
      </c>
      <c r="R246" s="6">
        <v>16.958155999999999</v>
      </c>
      <c r="S246" s="6">
        <v>17.538882000000001</v>
      </c>
      <c r="T246" s="6">
        <v>17.016335999999999</v>
      </c>
      <c r="U246" s="6">
        <v>16.958155999999999</v>
      </c>
      <c r="V246" s="6">
        <v>17.538882000000001</v>
      </c>
    </row>
    <row r="247" spans="2:22">
      <c r="B247" s="6">
        <v>30465</v>
      </c>
      <c r="C247" s="6" t="s">
        <v>94</v>
      </c>
      <c r="D247" s="6">
        <v>20500</v>
      </c>
      <c r="E247" s="6" t="s">
        <v>31</v>
      </c>
      <c r="F247" s="6" t="s">
        <v>17</v>
      </c>
      <c r="G247" s="6" t="s">
        <v>1294</v>
      </c>
      <c r="H247" s="6">
        <v>25.214285</v>
      </c>
      <c r="I247" s="6">
        <v>25.125</v>
      </c>
      <c r="J247" s="6">
        <v>25.333333</v>
      </c>
      <c r="K247" s="6">
        <v>26.179282000000001</v>
      </c>
      <c r="L247" s="6">
        <v>26.186138</v>
      </c>
      <c r="M247" s="6">
        <v>25.935728999999998</v>
      </c>
      <c r="N247" s="6">
        <v>26.108958000000001</v>
      </c>
      <c r="O247" s="6">
        <v>26.328648000000001</v>
      </c>
      <c r="P247" s="6">
        <v>26.003786000000002</v>
      </c>
      <c r="Q247" s="6">
        <v>26.101534000000001</v>
      </c>
      <c r="R247" s="6">
        <v>26.316153</v>
      </c>
      <c r="S247" s="6">
        <v>25.991613999999998</v>
      </c>
      <c r="T247" s="6">
        <v>25.645997000000001</v>
      </c>
      <c r="U247" s="6">
        <v>25.223958</v>
      </c>
      <c r="V247" s="6">
        <v>24.770192999999999</v>
      </c>
    </row>
    <row r="248" spans="2:22">
      <c r="B248" s="6">
        <v>30465</v>
      </c>
      <c r="C248" s="6" t="s">
        <v>94</v>
      </c>
      <c r="D248" s="6">
        <v>20702</v>
      </c>
      <c r="E248" s="6" t="s">
        <v>44</v>
      </c>
      <c r="F248" s="6" t="s">
        <v>17</v>
      </c>
      <c r="G248" s="6" t="s">
        <v>1294</v>
      </c>
      <c r="H248" s="6">
        <v>35</v>
      </c>
      <c r="I248" s="6">
        <v>35</v>
      </c>
      <c r="J248" s="6">
        <v>35</v>
      </c>
      <c r="K248" s="6">
        <v>34.902597</v>
      </c>
      <c r="L248" s="6">
        <v>34.946427999999997</v>
      </c>
      <c r="M248" s="6">
        <v>34.934041999999998</v>
      </c>
      <c r="N248" s="6">
        <v>34.893103000000004</v>
      </c>
      <c r="O248" s="6">
        <v>34.949179999999998</v>
      </c>
      <c r="P248" s="6">
        <v>34.926701000000001</v>
      </c>
      <c r="Q248" s="6">
        <v>34.894556999999999</v>
      </c>
      <c r="R248" s="6">
        <v>34.950949000000001</v>
      </c>
      <c r="S248" s="6">
        <v>34.883485</v>
      </c>
      <c r="T248" s="6">
        <v>34.894556999999999</v>
      </c>
      <c r="U248" s="6">
        <v>34.950949000000001</v>
      </c>
      <c r="V248" s="6">
        <v>34.883485</v>
      </c>
    </row>
    <row r="249" spans="2:22">
      <c r="B249" s="6">
        <v>30465</v>
      </c>
      <c r="C249" s="6" t="s">
        <v>94</v>
      </c>
      <c r="D249" s="6">
        <v>20902</v>
      </c>
      <c r="E249" s="6" t="s">
        <v>53</v>
      </c>
      <c r="F249" s="6" t="s">
        <v>16</v>
      </c>
      <c r="G249" s="6" t="s">
        <v>1295</v>
      </c>
      <c r="H249" s="6">
        <v>30</v>
      </c>
      <c r="I249" s="6">
        <v>30</v>
      </c>
      <c r="J249" s="6">
        <v>30</v>
      </c>
      <c r="K249" s="6">
        <v>27.111111000000001</v>
      </c>
      <c r="L249" s="6">
        <v>25.059170999999999</v>
      </c>
      <c r="M249" s="6">
        <v>26.5625</v>
      </c>
      <c r="N249" s="6">
        <v>27.102803000000002</v>
      </c>
      <c r="O249" s="6">
        <v>26.100322999999999</v>
      </c>
      <c r="P249" s="6">
        <v>27.578899</v>
      </c>
      <c r="Q249" s="6">
        <v>27.102803000000002</v>
      </c>
      <c r="R249" s="6">
        <v>26.100322999999999</v>
      </c>
      <c r="S249" s="6">
        <v>27.558453</v>
      </c>
      <c r="T249" s="6">
        <v>26.737159999999999</v>
      </c>
      <c r="U249" s="6">
        <v>25.752351000000001</v>
      </c>
      <c r="V249" s="6">
        <v>27.323633000000001</v>
      </c>
    </row>
    <row r="250" spans="2:22">
      <c r="B250" s="6">
        <v>30465</v>
      </c>
      <c r="C250" s="6" t="s">
        <v>94</v>
      </c>
      <c r="D250" s="6">
        <v>20902</v>
      </c>
      <c r="E250" s="6" t="s">
        <v>53</v>
      </c>
      <c r="F250" s="6" t="s">
        <v>13</v>
      </c>
      <c r="G250" s="6" t="s">
        <v>14</v>
      </c>
      <c r="H250" s="6">
        <v>20</v>
      </c>
      <c r="I250" s="6">
        <v>20</v>
      </c>
      <c r="J250" s="6">
        <v>20</v>
      </c>
      <c r="K250" s="6">
        <v>18.635802000000002</v>
      </c>
      <c r="L250" s="6">
        <v>18.195121</v>
      </c>
      <c r="M250" s="6">
        <v>17.625368000000002</v>
      </c>
      <c r="N250" s="6">
        <v>19.181818</v>
      </c>
      <c r="O250" s="6">
        <v>19.119288999999998</v>
      </c>
      <c r="P250" s="6">
        <v>18.784502</v>
      </c>
      <c r="Q250" s="6">
        <v>19.181818</v>
      </c>
      <c r="R250" s="6">
        <v>19.101835999999999</v>
      </c>
      <c r="S250" s="6">
        <v>18.763134000000001</v>
      </c>
      <c r="T250" s="6">
        <v>19.181818</v>
      </c>
      <c r="U250" s="6">
        <v>19.101835999999999</v>
      </c>
      <c r="V250" s="6">
        <v>18.763134000000001</v>
      </c>
    </row>
    <row r="251" spans="2:22">
      <c r="B251" s="6">
        <v>30465</v>
      </c>
      <c r="C251" s="6" t="s">
        <v>94</v>
      </c>
      <c r="D251" s="6">
        <v>20906</v>
      </c>
      <c r="E251" s="6" t="s">
        <v>48</v>
      </c>
      <c r="F251" s="6" t="s">
        <v>49</v>
      </c>
      <c r="G251" s="6" t="s">
        <v>1296</v>
      </c>
      <c r="H251" s="6">
        <v>17</v>
      </c>
      <c r="I251" s="6">
        <v>17</v>
      </c>
      <c r="J251" s="6">
        <v>17.222221999999999</v>
      </c>
      <c r="K251" s="6">
        <v>16.992394999999998</v>
      </c>
      <c r="L251" s="6">
        <v>16.951830000000001</v>
      </c>
      <c r="M251" s="6">
        <v>17.405908</v>
      </c>
      <c r="N251" s="6">
        <v>17.016705999999999</v>
      </c>
      <c r="O251" s="6">
        <v>16.954350000000002</v>
      </c>
      <c r="P251" s="6">
        <v>17.537869000000001</v>
      </c>
      <c r="Q251" s="6">
        <v>17.016335999999999</v>
      </c>
      <c r="R251" s="6">
        <v>16.958155999999999</v>
      </c>
      <c r="S251" s="6">
        <v>17.538882000000001</v>
      </c>
      <c r="T251" s="6">
        <v>17.016335999999999</v>
      </c>
      <c r="U251" s="6">
        <v>16.958155999999999</v>
      </c>
      <c r="V251" s="6">
        <v>17.538882000000001</v>
      </c>
    </row>
    <row r="252" spans="2:22">
      <c r="B252" s="6">
        <v>30466</v>
      </c>
      <c r="C252" s="6" t="s">
        <v>95</v>
      </c>
      <c r="D252" s="6">
        <v>20500</v>
      </c>
      <c r="E252" s="6" t="s">
        <v>31</v>
      </c>
      <c r="F252" s="6" t="s">
        <v>17</v>
      </c>
      <c r="G252" s="6" t="s">
        <v>1294</v>
      </c>
      <c r="H252" s="6">
        <v>25.333333</v>
      </c>
      <c r="I252" s="6">
        <v>24.5</v>
      </c>
      <c r="J252" s="6">
        <v>24.5</v>
      </c>
      <c r="K252" s="6">
        <v>26.179282000000001</v>
      </c>
      <c r="L252" s="6">
        <v>26.186138</v>
      </c>
      <c r="M252" s="6">
        <v>25.935728999999998</v>
      </c>
      <c r="N252" s="6">
        <v>26.108958000000001</v>
      </c>
      <c r="O252" s="6">
        <v>26.328648000000001</v>
      </c>
      <c r="P252" s="6">
        <v>26.003786000000002</v>
      </c>
      <c r="Q252" s="6">
        <v>26.101534000000001</v>
      </c>
      <c r="R252" s="6">
        <v>26.316153</v>
      </c>
      <c r="S252" s="6">
        <v>25.991613999999998</v>
      </c>
      <c r="T252" s="6">
        <v>25.645997000000001</v>
      </c>
      <c r="U252" s="6">
        <v>25.223958</v>
      </c>
      <c r="V252" s="6">
        <v>24.770192999999999</v>
      </c>
    </row>
    <row r="253" spans="2:22">
      <c r="B253" s="6">
        <v>30466</v>
      </c>
      <c r="C253" s="6" t="s">
        <v>95</v>
      </c>
      <c r="D253" s="6">
        <v>20702</v>
      </c>
      <c r="E253" s="6" t="s">
        <v>44</v>
      </c>
      <c r="F253" s="6" t="s">
        <v>17</v>
      </c>
      <c r="G253" s="6" t="s">
        <v>1294</v>
      </c>
      <c r="H253" s="6">
        <v>35</v>
      </c>
      <c r="I253" s="6">
        <v>35</v>
      </c>
      <c r="J253" s="6">
        <v>35</v>
      </c>
      <c r="K253" s="6">
        <v>34.902597</v>
      </c>
      <c r="L253" s="6">
        <v>34.946427999999997</v>
      </c>
      <c r="M253" s="6">
        <v>34.934041999999998</v>
      </c>
      <c r="N253" s="6">
        <v>34.893103000000004</v>
      </c>
      <c r="O253" s="6">
        <v>34.949179999999998</v>
      </c>
      <c r="P253" s="6">
        <v>34.926701000000001</v>
      </c>
      <c r="Q253" s="6">
        <v>34.894556999999999</v>
      </c>
      <c r="R253" s="6">
        <v>34.950949000000001</v>
      </c>
      <c r="S253" s="6">
        <v>34.883485</v>
      </c>
      <c r="T253" s="6">
        <v>34.894556999999999</v>
      </c>
      <c r="U253" s="6">
        <v>34.950949000000001</v>
      </c>
      <c r="V253" s="6">
        <v>34.883485</v>
      </c>
    </row>
    <row r="254" spans="2:22">
      <c r="B254" s="6">
        <v>30466</v>
      </c>
      <c r="C254" s="6" t="s">
        <v>95</v>
      </c>
      <c r="D254" s="6">
        <v>20902</v>
      </c>
      <c r="E254" s="6" t="s">
        <v>53</v>
      </c>
      <c r="F254" s="6" t="s">
        <v>16</v>
      </c>
      <c r="G254" s="6" t="s">
        <v>1295</v>
      </c>
      <c r="H254" s="6">
        <v>30</v>
      </c>
      <c r="I254" s="6">
        <v>30</v>
      </c>
      <c r="J254" s="6">
        <v>30</v>
      </c>
      <c r="K254" s="6">
        <v>27.111111000000001</v>
      </c>
      <c r="L254" s="6">
        <v>25.059170999999999</v>
      </c>
      <c r="M254" s="6">
        <v>26.5625</v>
      </c>
      <c r="N254" s="6">
        <v>27.102803000000002</v>
      </c>
      <c r="O254" s="6">
        <v>26.100322999999999</v>
      </c>
      <c r="P254" s="6">
        <v>27.578899</v>
      </c>
      <c r="Q254" s="6">
        <v>27.102803000000002</v>
      </c>
      <c r="R254" s="6">
        <v>26.100322999999999</v>
      </c>
      <c r="S254" s="6">
        <v>27.558453</v>
      </c>
      <c r="T254" s="6">
        <v>26.737159999999999</v>
      </c>
      <c r="U254" s="6">
        <v>25.752351000000001</v>
      </c>
      <c r="V254" s="6">
        <v>27.323633000000001</v>
      </c>
    </row>
    <row r="255" spans="2:22">
      <c r="B255" s="6">
        <v>30466</v>
      </c>
      <c r="C255" s="6" t="s">
        <v>95</v>
      </c>
      <c r="D255" s="6">
        <v>20902</v>
      </c>
      <c r="E255" s="6" t="s">
        <v>53</v>
      </c>
      <c r="F255" s="6" t="s">
        <v>13</v>
      </c>
      <c r="G255" s="6" t="s">
        <v>14</v>
      </c>
      <c r="H255" s="6">
        <v>20</v>
      </c>
      <c r="I255" s="6">
        <v>20</v>
      </c>
      <c r="J255" s="6">
        <v>20</v>
      </c>
      <c r="K255" s="6">
        <v>18.635802000000002</v>
      </c>
      <c r="L255" s="6">
        <v>18.195121</v>
      </c>
      <c r="M255" s="6">
        <v>17.625368000000002</v>
      </c>
      <c r="N255" s="6">
        <v>19.181818</v>
      </c>
      <c r="O255" s="6">
        <v>19.119288999999998</v>
      </c>
      <c r="P255" s="6">
        <v>18.784502</v>
      </c>
      <c r="Q255" s="6">
        <v>19.181818</v>
      </c>
      <c r="R255" s="6">
        <v>19.101835999999999</v>
      </c>
      <c r="S255" s="6">
        <v>18.763134000000001</v>
      </c>
      <c r="T255" s="6">
        <v>19.181818</v>
      </c>
      <c r="U255" s="6">
        <v>19.101835999999999</v>
      </c>
      <c r="V255" s="6">
        <v>18.763134000000001</v>
      </c>
    </row>
    <row r="256" spans="2:22">
      <c r="B256" s="6">
        <v>30466</v>
      </c>
      <c r="C256" s="6" t="s">
        <v>95</v>
      </c>
      <c r="D256" s="6">
        <v>20906</v>
      </c>
      <c r="E256" s="6" t="s">
        <v>48</v>
      </c>
      <c r="F256" s="6" t="s">
        <v>49</v>
      </c>
      <c r="G256" s="6" t="s">
        <v>1296</v>
      </c>
      <c r="H256" s="6">
        <v>17</v>
      </c>
      <c r="I256" s="6">
        <v>17</v>
      </c>
      <c r="J256" s="6">
        <v>17.5</v>
      </c>
      <c r="K256" s="6">
        <v>16.992394999999998</v>
      </c>
      <c r="L256" s="6">
        <v>16.951830000000001</v>
      </c>
      <c r="M256" s="6">
        <v>17.405908</v>
      </c>
      <c r="N256" s="6">
        <v>17.016705999999999</v>
      </c>
      <c r="O256" s="6">
        <v>16.954350000000002</v>
      </c>
      <c r="P256" s="6">
        <v>17.537869000000001</v>
      </c>
      <c r="Q256" s="6">
        <v>17.016335999999999</v>
      </c>
      <c r="R256" s="6">
        <v>16.958155999999999</v>
      </c>
      <c r="S256" s="6">
        <v>17.538882000000001</v>
      </c>
      <c r="T256" s="6">
        <v>17.016335999999999</v>
      </c>
      <c r="U256" s="6">
        <v>16.958155999999999</v>
      </c>
      <c r="V256" s="6">
        <v>17.538882000000001</v>
      </c>
    </row>
    <row r="257" spans="2:22">
      <c r="B257" s="6">
        <v>30566</v>
      </c>
      <c r="C257" s="6" t="s">
        <v>388</v>
      </c>
      <c r="D257" s="6">
        <v>20500</v>
      </c>
      <c r="E257" s="6" t="s">
        <v>31</v>
      </c>
      <c r="F257" s="6" t="s">
        <v>17</v>
      </c>
      <c r="G257" s="6" t="s">
        <v>1294</v>
      </c>
      <c r="H257" s="6">
        <v>0</v>
      </c>
      <c r="I257" s="6">
        <v>27</v>
      </c>
      <c r="J257" s="6">
        <v>27</v>
      </c>
      <c r="K257" s="6">
        <v>26.046875</v>
      </c>
      <c r="L257" s="6">
        <v>26.199541</v>
      </c>
      <c r="M257" s="6">
        <v>26.109717</v>
      </c>
      <c r="N257" s="6">
        <v>26.108958000000001</v>
      </c>
      <c r="O257" s="6">
        <v>26.328648000000001</v>
      </c>
      <c r="P257" s="6">
        <v>26.003786000000002</v>
      </c>
      <c r="Q257" s="6">
        <v>26.101534000000001</v>
      </c>
      <c r="R257" s="6">
        <v>26.316153</v>
      </c>
      <c r="S257" s="6">
        <v>25.991613999999998</v>
      </c>
      <c r="T257" s="6">
        <v>25.645997000000001</v>
      </c>
      <c r="U257" s="6">
        <v>25.223958</v>
      </c>
      <c r="V257" s="6">
        <v>24.770192999999999</v>
      </c>
    </row>
    <row r="258" spans="2:22">
      <c r="B258" s="6">
        <v>30566</v>
      </c>
      <c r="C258" s="6" t="s">
        <v>388</v>
      </c>
      <c r="D258" s="6">
        <v>20702</v>
      </c>
      <c r="E258" s="6" t="s">
        <v>44</v>
      </c>
      <c r="F258" s="6" t="s">
        <v>17</v>
      </c>
      <c r="G258" s="6" t="s">
        <v>1294</v>
      </c>
      <c r="H258" s="6">
        <v>0</v>
      </c>
      <c r="I258" s="6">
        <v>35</v>
      </c>
      <c r="J258" s="6">
        <v>35</v>
      </c>
      <c r="K258" s="6">
        <v>34.851851000000003</v>
      </c>
      <c r="L258" s="6">
        <v>34.933332999999998</v>
      </c>
      <c r="M258" s="6">
        <v>34.897097000000002</v>
      </c>
      <c r="N258" s="6">
        <v>34.893103000000004</v>
      </c>
      <c r="O258" s="6">
        <v>34.949179999999998</v>
      </c>
      <c r="P258" s="6">
        <v>34.926701000000001</v>
      </c>
      <c r="Q258" s="6">
        <v>34.894556999999999</v>
      </c>
      <c r="R258" s="6">
        <v>34.950949000000001</v>
      </c>
      <c r="S258" s="6">
        <v>34.883485</v>
      </c>
      <c r="T258" s="6">
        <v>34.894556999999999</v>
      </c>
      <c r="U258" s="6">
        <v>34.950949000000001</v>
      </c>
      <c r="V258" s="6">
        <v>34.883485</v>
      </c>
    </row>
    <row r="259" spans="2:22">
      <c r="B259" s="6">
        <v>30566</v>
      </c>
      <c r="C259" s="6" t="s">
        <v>388</v>
      </c>
      <c r="D259" s="6">
        <v>20902</v>
      </c>
      <c r="E259" s="6" t="s">
        <v>53</v>
      </c>
      <c r="F259" s="6" t="s">
        <v>16</v>
      </c>
      <c r="G259" s="6" t="s">
        <v>1295</v>
      </c>
      <c r="H259" s="6">
        <v>0</v>
      </c>
      <c r="I259" s="6">
        <v>20</v>
      </c>
      <c r="J259" s="6">
        <v>20</v>
      </c>
      <c r="K259" s="6">
        <v>26.721311</v>
      </c>
      <c r="L259" s="6">
        <v>25.932835000000001</v>
      </c>
      <c r="M259" s="6">
        <v>26.507536999999999</v>
      </c>
      <c r="N259" s="6">
        <v>27.102803000000002</v>
      </c>
      <c r="O259" s="6">
        <v>26.100322999999999</v>
      </c>
      <c r="P259" s="6">
        <v>27.578899</v>
      </c>
      <c r="Q259" s="6">
        <v>27.102803000000002</v>
      </c>
      <c r="R259" s="6">
        <v>26.100322999999999</v>
      </c>
      <c r="S259" s="6">
        <v>27.558453</v>
      </c>
      <c r="T259" s="6">
        <v>26.737159999999999</v>
      </c>
      <c r="U259" s="6">
        <v>25.752351000000001</v>
      </c>
      <c r="V259" s="6">
        <v>27.323633000000001</v>
      </c>
    </row>
    <row r="260" spans="2:22">
      <c r="B260" s="6">
        <v>30566</v>
      </c>
      <c r="C260" s="6" t="s">
        <v>388</v>
      </c>
      <c r="D260" s="6">
        <v>20906</v>
      </c>
      <c r="E260" s="6" t="s">
        <v>48</v>
      </c>
      <c r="F260" s="6" t="s">
        <v>49</v>
      </c>
      <c r="G260" s="6" t="s">
        <v>1296</v>
      </c>
      <c r="H260" s="6">
        <v>0</v>
      </c>
      <c r="I260" s="6">
        <v>17</v>
      </c>
      <c r="J260" s="6">
        <v>17</v>
      </c>
      <c r="K260" s="6">
        <v>17.229590999999999</v>
      </c>
      <c r="L260" s="6">
        <v>17.052391</v>
      </c>
      <c r="M260" s="6">
        <v>17.431988</v>
      </c>
      <c r="N260" s="6">
        <v>17.016705999999999</v>
      </c>
      <c r="O260" s="6">
        <v>16.954350000000002</v>
      </c>
      <c r="P260" s="6">
        <v>17.537869000000001</v>
      </c>
      <c r="Q260" s="6">
        <v>17.016335999999999</v>
      </c>
      <c r="R260" s="6">
        <v>16.958155999999999</v>
      </c>
      <c r="S260" s="6">
        <v>17.538882000000001</v>
      </c>
      <c r="T260" s="6">
        <v>17.016335999999999</v>
      </c>
      <c r="U260" s="6">
        <v>16.958155999999999</v>
      </c>
      <c r="V260" s="6">
        <v>17.538882000000001</v>
      </c>
    </row>
    <row r="261" spans="2:22">
      <c r="B261" s="6">
        <v>30567</v>
      </c>
      <c r="C261" s="6" t="s">
        <v>96</v>
      </c>
      <c r="D261" s="6">
        <v>20500</v>
      </c>
      <c r="E261" s="6" t="s">
        <v>31</v>
      </c>
      <c r="F261" s="6" t="s">
        <v>17</v>
      </c>
      <c r="G261" s="6" t="s">
        <v>1294</v>
      </c>
      <c r="H261" s="6">
        <v>0</v>
      </c>
      <c r="I261" s="6">
        <v>0</v>
      </c>
      <c r="J261" s="6">
        <v>27</v>
      </c>
      <c r="K261" s="6">
        <v>26.046875</v>
      </c>
      <c r="L261" s="6">
        <v>26.199541</v>
      </c>
      <c r="M261" s="6">
        <v>26.109717</v>
      </c>
      <c r="N261" s="6">
        <v>26.108958000000001</v>
      </c>
      <c r="O261" s="6">
        <v>26.328648000000001</v>
      </c>
      <c r="P261" s="6">
        <v>26.003786000000002</v>
      </c>
      <c r="Q261" s="6">
        <v>26.101534000000001</v>
      </c>
      <c r="R261" s="6">
        <v>26.316153</v>
      </c>
      <c r="S261" s="6">
        <v>25.991613999999998</v>
      </c>
      <c r="T261" s="6">
        <v>25.645997000000001</v>
      </c>
      <c r="U261" s="6">
        <v>25.223958</v>
      </c>
      <c r="V261" s="6">
        <v>24.770192999999999</v>
      </c>
    </row>
    <row r="262" spans="2:22">
      <c r="B262" s="6">
        <v>30567</v>
      </c>
      <c r="C262" s="6" t="s">
        <v>96</v>
      </c>
      <c r="D262" s="6">
        <v>20702</v>
      </c>
      <c r="E262" s="6" t="s">
        <v>44</v>
      </c>
      <c r="F262" s="6" t="s">
        <v>17</v>
      </c>
      <c r="G262" s="6" t="s">
        <v>1294</v>
      </c>
      <c r="H262" s="6">
        <v>0</v>
      </c>
      <c r="I262" s="6">
        <v>0</v>
      </c>
      <c r="J262" s="6">
        <v>35</v>
      </c>
      <c r="K262" s="6">
        <v>34.851851000000003</v>
      </c>
      <c r="L262" s="6">
        <v>34.933332999999998</v>
      </c>
      <c r="M262" s="6">
        <v>34.897097000000002</v>
      </c>
      <c r="N262" s="6">
        <v>34.893103000000004</v>
      </c>
      <c r="O262" s="6">
        <v>34.949179999999998</v>
      </c>
      <c r="P262" s="6">
        <v>34.926701000000001</v>
      </c>
      <c r="Q262" s="6">
        <v>34.894556999999999</v>
      </c>
      <c r="R262" s="6">
        <v>34.950949000000001</v>
      </c>
      <c r="S262" s="6">
        <v>34.883485</v>
      </c>
      <c r="T262" s="6">
        <v>34.894556999999999</v>
      </c>
      <c r="U262" s="6">
        <v>34.950949000000001</v>
      </c>
      <c r="V262" s="6">
        <v>34.883485</v>
      </c>
    </row>
    <row r="263" spans="2:22">
      <c r="B263" s="6">
        <v>30567</v>
      </c>
      <c r="C263" s="6" t="s">
        <v>96</v>
      </c>
      <c r="D263" s="6">
        <v>20902</v>
      </c>
      <c r="E263" s="6" t="s">
        <v>53</v>
      </c>
      <c r="F263" s="6" t="s">
        <v>13</v>
      </c>
      <c r="G263" s="6" t="s">
        <v>14</v>
      </c>
      <c r="H263" s="6">
        <v>0</v>
      </c>
      <c r="I263" s="6">
        <v>0</v>
      </c>
      <c r="J263" s="6">
        <v>20</v>
      </c>
      <c r="K263" s="6">
        <v>18.622046999999998</v>
      </c>
      <c r="L263" s="6">
        <v>18.557046</v>
      </c>
      <c r="M263" s="6">
        <v>18.643459</v>
      </c>
      <c r="N263" s="6">
        <v>19.181818</v>
      </c>
      <c r="O263" s="6">
        <v>19.119288999999998</v>
      </c>
      <c r="P263" s="6">
        <v>18.784502</v>
      </c>
      <c r="Q263" s="6">
        <v>19.181818</v>
      </c>
      <c r="R263" s="6">
        <v>19.101835999999999</v>
      </c>
      <c r="S263" s="6">
        <v>18.763134000000001</v>
      </c>
      <c r="T263" s="6">
        <v>19.181818</v>
      </c>
      <c r="U263" s="6">
        <v>19.101835999999999</v>
      </c>
      <c r="V263" s="6">
        <v>18.763134000000001</v>
      </c>
    </row>
    <row r="264" spans="2:22">
      <c r="B264" s="6">
        <v>30567</v>
      </c>
      <c r="C264" s="6" t="s">
        <v>96</v>
      </c>
      <c r="D264" s="6">
        <v>20906</v>
      </c>
      <c r="E264" s="6" t="s">
        <v>48</v>
      </c>
      <c r="F264" s="6" t="s">
        <v>49</v>
      </c>
      <c r="G264" s="6" t="s">
        <v>1296</v>
      </c>
      <c r="H264" s="6">
        <v>0</v>
      </c>
      <c r="I264" s="6">
        <v>0</v>
      </c>
      <c r="J264" s="6">
        <v>19.25</v>
      </c>
      <c r="K264" s="6">
        <v>17.229590999999999</v>
      </c>
      <c r="L264" s="6">
        <v>17.052391</v>
      </c>
      <c r="M264" s="6">
        <v>17.431988</v>
      </c>
      <c r="N264" s="6">
        <v>17.016705999999999</v>
      </c>
      <c r="O264" s="6">
        <v>16.954350000000002</v>
      </c>
      <c r="P264" s="6">
        <v>17.537869000000001</v>
      </c>
      <c r="Q264" s="6">
        <v>17.016335999999999</v>
      </c>
      <c r="R264" s="6">
        <v>16.958155999999999</v>
      </c>
      <c r="S264" s="6">
        <v>17.538882000000001</v>
      </c>
      <c r="T264" s="6">
        <v>17.016335999999999</v>
      </c>
      <c r="U264" s="6">
        <v>16.958155999999999</v>
      </c>
      <c r="V264" s="6">
        <v>17.538882000000001</v>
      </c>
    </row>
    <row r="265" spans="2:22">
      <c r="B265" s="6">
        <v>30568</v>
      </c>
      <c r="C265" s="6" t="s">
        <v>97</v>
      </c>
      <c r="D265" s="6">
        <v>20500</v>
      </c>
      <c r="E265" s="6" t="s">
        <v>31</v>
      </c>
      <c r="F265" s="6" t="s">
        <v>17</v>
      </c>
      <c r="G265" s="6" t="s">
        <v>1294</v>
      </c>
      <c r="H265" s="6">
        <v>0</v>
      </c>
      <c r="I265" s="6">
        <v>0</v>
      </c>
      <c r="J265" s="6">
        <v>27</v>
      </c>
      <c r="K265" s="6">
        <v>26.046875</v>
      </c>
      <c r="L265" s="6">
        <v>26.199541</v>
      </c>
      <c r="M265" s="6">
        <v>26.109717</v>
      </c>
      <c r="N265" s="6">
        <v>26.108958000000001</v>
      </c>
      <c r="O265" s="6">
        <v>26.328648000000001</v>
      </c>
      <c r="P265" s="6">
        <v>26.003786000000002</v>
      </c>
      <c r="Q265" s="6">
        <v>26.101534000000001</v>
      </c>
      <c r="R265" s="6">
        <v>26.316153</v>
      </c>
      <c r="S265" s="6">
        <v>25.991613999999998</v>
      </c>
      <c r="T265" s="6">
        <v>25.645997000000001</v>
      </c>
      <c r="U265" s="6">
        <v>25.223958</v>
      </c>
      <c r="V265" s="6">
        <v>24.770192999999999</v>
      </c>
    </row>
    <row r="266" spans="2:22">
      <c r="B266" s="6">
        <v>30568</v>
      </c>
      <c r="C266" s="6" t="s">
        <v>97</v>
      </c>
      <c r="D266" s="6">
        <v>20702</v>
      </c>
      <c r="E266" s="6" t="s">
        <v>44</v>
      </c>
      <c r="F266" s="6" t="s">
        <v>17</v>
      </c>
      <c r="G266" s="6" t="s">
        <v>1294</v>
      </c>
      <c r="H266" s="6">
        <v>0</v>
      </c>
      <c r="I266" s="6">
        <v>0</v>
      </c>
      <c r="J266" s="6">
        <v>35</v>
      </c>
      <c r="K266" s="6">
        <v>34.851851000000003</v>
      </c>
      <c r="L266" s="6">
        <v>34.933332999999998</v>
      </c>
      <c r="M266" s="6">
        <v>34.897097000000002</v>
      </c>
      <c r="N266" s="6">
        <v>34.893103000000004</v>
      </c>
      <c r="O266" s="6">
        <v>34.949179999999998</v>
      </c>
      <c r="P266" s="6">
        <v>34.926701000000001</v>
      </c>
      <c r="Q266" s="6">
        <v>34.894556999999999</v>
      </c>
      <c r="R266" s="6">
        <v>34.950949000000001</v>
      </c>
      <c r="S266" s="6">
        <v>34.883485</v>
      </c>
      <c r="T266" s="6">
        <v>34.894556999999999</v>
      </c>
      <c r="U266" s="6">
        <v>34.950949000000001</v>
      </c>
      <c r="V266" s="6">
        <v>34.883485</v>
      </c>
    </row>
    <row r="267" spans="2:22">
      <c r="B267" s="6">
        <v>30568</v>
      </c>
      <c r="C267" s="6" t="s">
        <v>97</v>
      </c>
      <c r="D267" s="6">
        <v>20902</v>
      </c>
      <c r="E267" s="6" t="s">
        <v>53</v>
      </c>
      <c r="F267" s="6" t="s">
        <v>16</v>
      </c>
      <c r="G267" s="6" t="s">
        <v>1295</v>
      </c>
      <c r="H267" s="6">
        <v>0</v>
      </c>
      <c r="I267" s="6">
        <v>0</v>
      </c>
      <c r="J267" s="6">
        <v>30</v>
      </c>
      <c r="K267" s="6">
        <v>26.721311</v>
      </c>
      <c r="L267" s="6">
        <v>25.932835000000001</v>
      </c>
      <c r="M267" s="6">
        <v>26.507536999999999</v>
      </c>
      <c r="N267" s="6">
        <v>27.102803000000002</v>
      </c>
      <c r="O267" s="6">
        <v>26.100322999999999</v>
      </c>
      <c r="P267" s="6">
        <v>27.578899</v>
      </c>
      <c r="Q267" s="6">
        <v>27.102803000000002</v>
      </c>
      <c r="R267" s="6">
        <v>26.100322999999999</v>
      </c>
      <c r="S267" s="6">
        <v>27.558453</v>
      </c>
      <c r="T267" s="6">
        <v>26.737159999999999</v>
      </c>
      <c r="U267" s="6">
        <v>25.752351000000001</v>
      </c>
      <c r="V267" s="6">
        <v>27.323633000000001</v>
      </c>
    </row>
    <row r="268" spans="2:22">
      <c r="B268" s="6">
        <v>30568</v>
      </c>
      <c r="C268" s="6" t="s">
        <v>97</v>
      </c>
      <c r="D268" s="6">
        <v>20906</v>
      </c>
      <c r="E268" s="6" t="s">
        <v>48</v>
      </c>
      <c r="F268" s="6" t="s">
        <v>49</v>
      </c>
      <c r="G268" s="6" t="s">
        <v>1296</v>
      </c>
      <c r="H268" s="6">
        <v>0</v>
      </c>
      <c r="I268" s="6">
        <v>0</v>
      </c>
      <c r="J268" s="6">
        <v>20</v>
      </c>
      <c r="K268" s="6">
        <v>17.229590999999999</v>
      </c>
      <c r="L268" s="6">
        <v>17.052391</v>
      </c>
      <c r="M268" s="6">
        <v>17.431988</v>
      </c>
      <c r="N268" s="6">
        <v>17.016705999999999</v>
      </c>
      <c r="O268" s="6">
        <v>16.954350000000002</v>
      </c>
      <c r="P268" s="6">
        <v>17.537869000000001</v>
      </c>
      <c r="Q268" s="6">
        <v>17.016335999999999</v>
      </c>
      <c r="R268" s="6">
        <v>16.958155999999999</v>
      </c>
      <c r="S268" s="6">
        <v>17.538882000000001</v>
      </c>
      <c r="T268" s="6">
        <v>17.016335999999999</v>
      </c>
      <c r="U268" s="6">
        <v>16.958155999999999</v>
      </c>
      <c r="V268" s="6">
        <v>17.538882000000001</v>
      </c>
    </row>
    <row r="269" spans="2:22">
      <c r="B269" s="6">
        <v>30740</v>
      </c>
      <c r="C269" s="6" t="s">
        <v>98</v>
      </c>
      <c r="D269" s="6">
        <v>20500</v>
      </c>
      <c r="E269" s="6" t="s">
        <v>31</v>
      </c>
      <c r="F269" s="6" t="s">
        <v>17</v>
      </c>
      <c r="G269" s="6" t="s">
        <v>1294</v>
      </c>
      <c r="H269" s="6">
        <v>0</v>
      </c>
      <c r="I269" s="6">
        <v>27</v>
      </c>
      <c r="J269" s="6">
        <v>27</v>
      </c>
      <c r="K269" s="6">
        <v>26.179282000000001</v>
      </c>
      <c r="L269" s="6">
        <v>26.186138</v>
      </c>
      <c r="M269" s="6">
        <v>25.935728999999998</v>
      </c>
      <c r="N269" s="6">
        <v>26.108958000000001</v>
      </c>
      <c r="O269" s="6">
        <v>26.328648000000001</v>
      </c>
      <c r="P269" s="6">
        <v>26.003786000000002</v>
      </c>
      <c r="Q269" s="6">
        <v>26.101534000000001</v>
      </c>
      <c r="R269" s="6">
        <v>26.316153</v>
      </c>
      <c r="S269" s="6">
        <v>25.991613999999998</v>
      </c>
      <c r="T269" s="6">
        <v>25.645997000000001</v>
      </c>
      <c r="U269" s="6">
        <v>25.223958</v>
      </c>
      <c r="V269" s="6">
        <v>24.770192999999999</v>
      </c>
    </row>
    <row r="270" spans="2:22">
      <c r="B270" s="6">
        <v>30740</v>
      </c>
      <c r="C270" s="6" t="s">
        <v>98</v>
      </c>
      <c r="D270" s="6">
        <v>20702</v>
      </c>
      <c r="E270" s="6" t="s">
        <v>44</v>
      </c>
      <c r="F270" s="6" t="s">
        <v>17</v>
      </c>
      <c r="G270" s="6" t="s">
        <v>1294</v>
      </c>
      <c r="H270" s="6">
        <v>0</v>
      </c>
      <c r="I270" s="6">
        <v>35</v>
      </c>
      <c r="J270" s="6">
        <v>35</v>
      </c>
      <c r="K270" s="6">
        <v>34.902597</v>
      </c>
      <c r="L270" s="6">
        <v>34.946427999999997</v>
      </c>
      <c r="M270" s="6">
        <v>34.934041999999998</v>
      </c>
      <c r="N270" s="6">
        <v>34.893103000000004</v>
      </c>
      <c r="O270" s="6">
        <v>34.949179999999998</v>
      </c>
      <c r="P270" s="6">
        <v>34.926701000000001</v>
      </c>
      <c r="Q270" s="6">
        <v>34.894556999999999</v>
      </c>
      <c r="R270" s="6">
        <v>34.950949000000001</v>
      </c>
      <c r="S270" s="6">
        <v>34.883485</v>
      </c>
      <c r="T270" s="6">
        <v>34.894556999999999</v>
      </c>
      <c r="U270" s="6">
        <v>34.950949000000001</v>
      </c>
      <c r="V270" s="6">
        <v>34.883485</v>
      </c>
    </row>
    <row r="271" spans="2:22">
      <c r="B271" s="6">
        <v>30740</v>
      </c>
      <c r="C271" s="6" t="s">
        <v>98</v>
      </c>
      <c r="D271" s="6">
        <v>20902</v>
      </c>
      <c r="E271" s="6" t="s">
        <v>53</v>
      </c>
      <c r="F271" s="6" t="s">
        <v>16</v>
      </c>
      <c r="G271" s="6" t="s">
        <v>1295</v>
      </c>
      <c r="H271" s="6">
        <v>0</v>
      </c>
      <c r="I271" s="6">
        <v>30</v>
      </c>
      <c r="J271" s="6">
        <v>30</v>
      </c>
      <c r="K271" s="6">
        <v>27.111111000000001</v>
      </c>
      <c r="L271" s="6">
        <v>25.059170999999999</v>
      </c>
      <c r="M271" s="6">
        <v>26.5625</v>
      </c>
      <c r="N271" s="6">
        <v>27.102803000000002</v>
      </c>
      <c r="O271" s="6">
        <v>26.100322999999999</v>
      </c>
      <c r="P271" s="6">
        <v>27.578899</v>
      </c>
      <c r="Q271" s="6">
        <v>27.102803000000002</v>
      </c>
      <c r="R271" s="6">
        <v>26.100322999999999</v>
      </c>
      <c r="S271" s="6">
        <v>27.558453</v>
      </c>
      <c r="T271" s="6">
        <v>26.737159999999999</v>
      </c>
      <c r="U271" s="6">
        <v>25.752351000000001</v>
      </c>
      <c r="V271" s="6">
        <v>27.323633000000001</v>
      </c>
    </row>
    <row r="272" spans="2:22">
      <c r="B272" s="6">
        <v>30740</v>
      </c>
      <c r="C272" s="6" t="s">
        <v>98</v>
      </c>
      <c r="D272" s="6">
        <v>20906</v>
      </c>
      <c r="E272" s="6" t="s">
        <v>48</v>
      </c>
      <c r="F272" s="6" t="s">
        <v>49</v>
      </c>
      <c r="G272" s="6" t="s">
        <v>1296</v>
      </c>
      <c r="H272" s="6">
        <v>0</v>
      </c>
      <c r="I272" s="6">
        <v>17</v>
      </c>
      <c r="J272" s="6">
        <v>17</v>
      </c>
      <c r="K272" s="6">
        <v>16.992394999999998</v>
      </c>
      <c r="L272" s="6">
        <v>16.951830000000001</v>
      </c>
      <c r="M272" s="6">
        <v>17.405908</v>
      </c>
      <c r="N272" s="6">
        <v>17.016705999999999</v>
      </c>
      <c r="O272" s="6">
        <v>16.954350000000002</v>
      </c>
      <c r="P272" s="6">
        <v>17.537869000000001</v>
      </c>
      <c r="Q272" s="6">
        <v>17.016335999999999</v>
      </c>
      <c r="R272" s="6">
        <v>16.958155999999999</v>
      </c>
      <c r="S272" s="6">
        <v>17.538882000000001</v>
      </c>
      <c r="T272" s="6">
        <v>17.016335999999999</v>
      </c>
      <c r="U272" s="6">
        <v>16.958155999999999</v>
      </c>
      <c r="V272" s="6">
        <v>17.538882000000001</v>
      </c>
    </row>
    <row r="273" spans="2:22">
      <c r="B273" s="6">
        <v>30741</v>
      </c>
      <c r="C273" s="6" t="s">
        <v>1092</v>
      </c>
      <c r="D273" s="6">
        <v>20500</v>
      </c>
      <c r="E273" s="6" t="s">
        <v>31</v>
      </c>
      <c r="F273" s="6" t="s">
        <v>17</v>
      </c>
      <c r="G273" s="6" t="s">
        <v>1294</v>
      </c>
      <c r="H273" s="6">
        <v>27</v>
      </c>
      <c r="I273" s="6">
        <v>27</v>
      </c>
      <c r="J273" s="6">
        <v>27</v>
      </c>
      <c r="K273" s="6">
        <v>26.179282000000001</v>
      </c>
      <c r="L273" s="6">
        <v>26.186138</v>
      </c>
      <c r="M273" s="6">
        <v>25.935728999999998</v>
      </c>
      <c r="N273" s="6">
        <v>26.108958000000001</v>
      </c>
      <c r="O273" s="6">
        <v>26.328648000000001</v>
      </c>
      <c r="P273" s="6">
        <v>26.003786000000002</v>
      </c>
      <c r="Q273" s="6">
        <v>26.101534000000001</v>
      </c>
      <c r="R273" s="6">
        <v>26.316153</v>
      </c>
      <c r="S273" s="6">
        <v>25.991613999999998</v>
      </c>
      <c r="T273" s="6">
        <v>25.645997000000001</v>
      </c>
      <c r="U273" s="6">
        <v>25.223958</v>
      </c>
      <c r="V273" s="6">
        <v>24.770192999999999</v>
      </c>
    </row>
    <row r="274" spans="2:22">
      <c r="B274" s="6">
        <v>30741</v>
      </c>
      <c r="C274" s="6" t="s">
        <v>1092</v>
      </c>
      <c r="D274" s="6">
        <v>20702</v>
      </c>
      <c r="E274" s="6" t="s">
        <v>44</v>
      </c>
      <c r="F274" s="6" t="s">
        <v>17</v>
      </c>
      <c r="G274" s="6" t="s">
        <v>1294</v>
      </c>
      <c r="H274" s="6">
        <v>35</v>
      </c>
      <c r="I274" s="6">
        <v>35</v>
      </c>
      <c r="J274" s="6">
        <v>35</v>
      </c>
      <c r="K274" s="6">
        <v>34.902597</v>
      </c>
      <c r="L274" s="6">
        <v>34.946427999999997</v>
      </c>
      <c r="M274" s="6">
        <v>34.934041999999998</v>
      </c>
      <c r="N274" s="6">
        <v>34.893103000000004</v>
      </c>
      <c r="O274" s="6">
        <v>34.949179999999998</v>
      </c>
      <c r="P274" s="6">
        <v>34.926701000000001</v>
      </c>
      <c r="Q274" s="6">
        <v>34.894556999999999</v>
      </c>
      <c r="R274" s="6">
        <v>34.950949000000001</v>
      </c>
      <c r="S274" s="6">
        <v>34.883485</v>
      </c>
      <c r="T274" s="6">
        <v>34.894556999999999</v>
      </c>
      <c r="U274" s="6">
        <v>34.950949000000001</v>
      </c>
      <c r="V274" s="6">
        <v>34.883485</v>
      </c>
    </row>
    <row r="275" spans="2:22">
      <c r="B275" s="6">
        <v>30741</v>
      </c>
      <c r="C275" s="6" t="s">
        <v>1092</v>
      </c>
      <c r="D275" s="6">
        <v>20902</v>
      </c>
      <c r="E275" s="6" t="s">
        <v>53</v>
      </c>
      <c r="F275" s="6" t="s">
        <v>13</v>
      </c>
      <c r="G275" s="6" t="s">
        <v>14</v>
      </c>
      <c r="H275" s="6">
        <v>15</v>
      </c>
      <c r="I275" s="6">
        <v>15</v>
      </c>
      <c r="J275" s="6">
        <v>17.5</v>
      </c>
      <c r="K275" s="6">
        <v>18.635802000000002</v>
      </c>
      <c r="L275" s="6">
        <v>18.195121</v>
      </c>
      <c r="M275" s="6">
        <v>17.625368000000002</v>
      </c>
      <c r="N275" s="6">
        <v>19.181818</v>
      </c>
      <c r="O275" s="6">
        <v>19.119288999999998</v>
      </c>
      <c r="P275" s="6">
        <v>18.784502</v>
      </c>
      <c r="Q275" s="6">
        <v>19.181818</v>
      </c>
      <c r="R275" s="6">
        <v>19.101835999999999</v>
      </c>
      <c r="S275" s="6">
        <v>18.763134000000001</v>
      </c>
      <c r="T275" s="6">
        <v>19.181818</v>
      </c>
      <c r="U275" s="6">
        <v>19.101835999999999</v>
      </c>
      <c r="V275" s="6">
        <v>18.763134000000001</v>
      </c>
    </row>
    <row r="276" spans="2:22">
      <c r="B276" s="6">
        <v>30741</v>
      </c>
      <c r="C276" s="6" t="s">
        <v>1092</v>
      </c>
      <c r="D276" s="6">
        <v>20906</v>
      </c>
      <c r="E276" s="6" t="s">
        <v>48</v>
      </c>
      <c r="F276" s="6" t="s">
        <v>49</v>
      </c>
      <c r="G276" s="6" t="s">
        <v>1296</v>
      </c>
      <c r="H276" s="6">
        <v>17</v>
      </c>
      <c r="I276" s="6">
        <v>17</v>
      </c>
      <c r="J276" s="6">
        <v>18</v>
      </c>
      <c r="K276" s="6">
        <v>16.992394999999998</v>
      </c>
      <c r="L276" s="6">
        <v>16.951830000000001</v>
      </c>
      <c r="M276" s="6">
        <v>17.405908</v>
      </c>
      <c r="N276" s="6">
        <v>17.016705999999999</v>
      </c>
      <c r="O276" s="6">
        <v>16.954350000000002</v>
      </c>
      <c r="P276" s="6">
        <v>17.537869000000001</v>
      </c>
      <c r="Q276" s="6">
        <v>17.016335999999999</v>
      </c>
      <c r="R276" s="6">
        <v>16.958155999999999</v>
      </c>
      <c r="S276" s="6">
        <v>17.538882000000001</v>
      </c>
      <c r="T276" s="6">
        <v>17.016335999999999</v>
      </c>
      <c r="U276" s="6">
        <v>16.958155999999999</v>
      </c>
      <c r="V276" s="6">
        <v>17.538882000000001</v>
      </c>
    </row>
    <row r="277" spans="2:22">
      <c r="B277" s="6">
        <v>30742</v>
      </c>
      <c r="C277" s="6" t="s">
        <v>99</v>
      </c>
      <c r="D277" s="6">
        <v>20500</v>
      </c>
      <c r="E277" s="6" t="s">
        <v>31</v>
      </c>
      <c r="F277" s="6" t="s">
        <v>17</v>
      </c>
      <c r="G277" s="6" t="s">
        <v>1294</v>
      </c>
      <c r="H277" s="6">
        <v>27</v>
      </c>
      <c r="I277" s="6">
        <v>27</v>
      </c>
      <c r="J277" s="6">
        <v>27</v>
      </c>
      <c r="K277" s="6">
        <v>26.179282000000001</v>
      </c>
      <c r="L277" s="6">
        <v>26.186138</v>
      </c>
      <c r="M277" s="6">
        <v>25.935728999999998</v>
      </c>
      <c r="N277" s="6">
        <v>26.108958000000001</v>
      </c>
      <c r="O277" s="6">
        <v>26.328648000000001</v>
      </c>
      <c r="P277" s="6">
        <v>26.003786000000002</v>
      </c>
      <c r="Q277" s="6">
        <v>26.101534000000001</v>
      </c>
      <c r="R277" s="6">
        <v>26.316153</v>
      </c>
      <c r="S277" s="6">
        <v>25.991613999999998</v>
      </c>
      <c r="T277" s="6">
        <v>25.645997000000001</v>
      </c>
      <c r="U277" s="6">
        <v>25.223958</v>
      </c>
      <c r="V277" s="6">
        <v>24.770192999999999</v>
      </c>
    </row>
    <row r="278" spans="2:22">
      <c r="B278" s="6">
        <v>30742</v>
      </c>
      <c r="C278" s="6" t="s">
        <v>99</v>
      </c>
      <c r="D278" s="6">
        <v>20702</v>
      </c>
      <c r="E278" s="6" t="s">
        <v>44</v>
      </c>
      <c r="F278" s="6" t="s">
        <v>17</v>
      </c>
      <c r="G278" s="6" t="s">
        <v>1294</v>
      </c>
      <c r="H278" s="6">
        <v>35</v>
      </c>
      <c r="I278" s="6">
        <v>35</v>
      </c>
      <c r="J278" s="6">
        <v>35</v>
      </c>
      <c r="K278" s="6">
        <v>34.902597</v>
      </c>
      <c r="L278" s="6">
        <v>34.946427999999997</v>
      </c>
      <c r="M278" s="6">
        <v>34.934041999999998</v>
      </c>
      <c r="N278" s="6">
        <v>34.893103000000004</v>
      </c>
      <c r="O278" s="6">
        <v>34.949179999999998</v>
      </c>
      <c r="P278" s="6">
        <v>34.926701000000001</v>
      </c>
      <c r="Q278" s="6">
        <v>34.894556999999999</v>
      </c>
      <c r="R278" s="6">
        <v>34.950949000000001</v>
      </c>
      <c r="S278" s="6">
        <v>34.883485</v>
      </c>
      <c r="T278" s="6">
        <v>34.894556999999999</v>
      </c>
      <c r="U278" s="6">
        <v>34.950949000000001</v>
      </c>
      <c r="V278" s="6">
        <v>34.883485</v>
      </c>
    </row>
    <row r="279" spans="2:22">
      <c r="B279" s="6">
        <v>30742</v>
      </c>
      <c r="C279" s="6" t="s">
        <v>99</v>
      </c>
      <c r="D279" s="6">
        <v>20902</v>
      </c>
      <c r="E279" s="6" t="s">
        <v>53</v>
      </c>
      <c r="F279" s="6" t="s">
        <v>16</v>
      </c>
      <c r="G279" s="6" t="s">
        <v>1295</v>
      </c>
      <c r="H279" s="6">
        <v>0</v>
      </c>
      <c r="I279" s="6">
        <v>0</v>
      </c>
      <c r="J279" s="6">
        <v>30</v>
      </c>
      <c r="K279" s="6">
        <v>27.111111000000001</v>
      </c>
      <c r="L279" s="6">
        <v>25.059170999999999</v>
      </c>
      <c r="M279" s="6">
        <v>26.5625</v>
      </c>
      <c r="N279" s="6">
        <v>27.102803000000002</v>
      </c>
      <c r="O279" s="6">
        <v>26.100322999999999</v>
      </c>
      <c r="P279" s="6">
        <v>27.578899</v>
      </c>
      <c r="Q279" s="6">
        <v>27.102803000000002</v>
      </c>
      <c r="R279" s="6">
        <v>26.100322999999999</v>
      </c>
      <c r="S279" s="6">
        <v>27.558453</v>
      </c>
      <c r="T279" s="6">
        <v>26.737159999999999</v>
      </c>
      <c r="U279" s="6">
        <v>25.752351000000001</v>
      </c>
      <c r="V279" s="6">
        <v>27.323633000000001</v>
      </c>
    </row>
    <row r="280" spans="2:22">
      <c r="B280" s="6">
        <v>30742</v>
      </c>
      <c r="C280" s="6" t="s">
        <v>99</v>
      </c>
      <c r="D280" s="6">
        <v>20902</v>
      </c>
      <c r="E280" s="6" t="s">
        <v>53</v>
      </c>
      <c r="F280" s="6" t="s">
        <v>13</v>
      </c>
      <c r="G280" s="6" t="s">
        <v>14</v>
      </c>
      <c r="H280" s="6">
        <v>20</v>
      </c>
      <c r="I280" s="6">
        <v>20</v>
      </c>
      <c r="J280" s="6">
        <v>20</v>
      </c>
      <c r="K280" s="6">
        <v>18.635802000000002</v>
      </c>
      <c r="L280" s="6">
        <v>18.195121</v>
      </c>
      <c r="M280" s="6">
        <v>17.625368000000002</v>
      </c>
      <c r="N280" s="6">
        <v>19.181818</v>
      </c>
      <c r="O280" s="6">
        <v>19.119288999999998</v>
      </c>
      <c r="P280" s="6">
        <v>18.784502</v>
      </c>
      <c r="Q280" s="6">
        <v>19.181818</v>
      </c>
      <c r="R280" s="6">
        <v>19.101835999999999</v>
      </c>
      <c r="S280" s="6">
        <v>18.763134000000001</v>
      </c>
      <c r="T280" s="6">
        <v>19.181818</v>
      </c>
      <c r="U280" s="6">
        <v>19.101835999999999</v>
      </c>
      <c r="V280" s="6">
        <v>18.763134000000001</v>
      </c>
    </row>
    <row r="281" spans="2:22">
      <c r="B281" s="6">
        <v>30742</v>
      </c>
      <c r="C281" s="6" t="s">
        <v>99</v>
      </c>
      <c r="D281" s="6">
        <v>20906</v>
      </c>
      <c r="E281" s="6" t="s">
        <v>48</v>
      </c>
      <c r="F281" s="6" t="s">
        <v>49</v>
      </c>
      <c r="G281" s="6" t="s">
        <v>1296</v>
      </c>
      <c r="H281" s="6">
        <v>17</v>
      </c>
      <c r="I281" s="6">
        <v>17</v>
      </c>
      <c r="J281" s="6">
        <v>17.5</v>
      </c>
      <c r="K281" s="6">
        <v>16.992394999999998</v>
      </c>
      <c r="L281" s="6">
        <v>16.951830000000001</v>
      </c>
      <c r="M281" s="6">
        <v>17.405908</v>
      </c>
      <c r="N281" s="6">
        <v>17.016705999999999</v>
      </c>
      <c r="O281" s="6">
        <v>16.954350000000002</v>
      </c>
      <c r="P281" s="6">
        <v>17.537869000000001</v>
      </c>
      <c r="Q281" s="6">
        <v>17.016335999999999</v>
      </c>
      <c r="R281" s="6">
        <v>16.958155999999999</v>
      </c>
      <c r="S281" s="6">
        <v>17.538882000000001</v>
      </c>
      <c r="T281" s="6">
        <v>17.016335999999999</v>
      </c>
      <c r="U281" s="6">
        <v>16.958155999999999</v>
      </c>
      <c r="V281" s="6">
        <v>17.538882000000001</v>
      </c>
    </row>
    <row r="282" spans="2:22">
      <c r="B282" s="6">
        <v>30847</v>
      </c>
      <c r="C282" s="6" t="s">
        <v>100</v>
      </c>
      <c r="D282" s="6">
        <v>20500</v>
      </c>
      <c r="E282" s="6" t="s">
        <v>31</v>
      </c>
      <c r="F282" s="6" t="s">
        <v>17</v>
      </c>
      <c r="G282" s="6" t="s">
        <v>1294</v>
      </c>
      <c r="H282" s="6">
        <v>27</v>
      </c>
      <c r="I282" s="6">
        <v>27</v>
      </c>
      <c r="J282" s="6">
        <v>27</v>
      </c>
      <c r="K282" s="6">
        <v>26.093993999999999</v>
      </c>
      <c r="L282" s="6">
        <v>26.469746000000001</v>
      </c>
      <c r="M282" s="6">
        <v>26.000619</v>
      </c>
      <c r="N282" s="6">
        <v>26.108958000000001</v>
      </c>
      <c r="O282" s="6">
        <v>26.328648000000001</v>
      </c>
      <c r="P282" s="6">
        <v>26.003786000000002</v>
      </c>
      <c r="Q282" s="6">
        <v>26.101534000000001</v>
      </c>
      <c r="R282" s="6">
        <v>26.316153</v>
      </c>
      <c r="S282" s="6">
        <v>25.991613999999998</v>
      </c>
      <c r="T282" s="6">
        <v>25.645997000000001</v>
      </c>
      <c r="U282" s="6">
        <v>25.223958</v>
      </c>
      <c r="V282" s="6">
        <v>24.770192999999999</v>
      </c>
    </row>
    <row r="283" spans="2:22">
      <c r="B283" s="6">
        <v>30847</v>
      </c>
      <c r="C283" s="6" t="s">
        <v>100</v>
      </c>
      <c r="D283" s="6">
        <v>20700</v>
      </c>
      <c r="E283" s="6" t="s">
        <v>15</v>
      </c>
      <c r="F283" s="6" t="s">
        <v>17</v>
      </c>
      <c r="G283" s="6" t="s">
        <v>1294</v>
      </c>
      <c r="H283" s="6">
        <v>40</v>
      </c>
      <c r="I283" s="6">
        <v>40</v>
      </c>
      <c r="J283" s="6">
        <v>40</v>
      </c>
      <c r="K283" s="6">
        <v>40</v>
      </c>
      <c r="L283" s="6">
        <v>40</v>
      </c>
      <c r="M283" s="6">
        <v>40</v>
      </c>
      <c r="N283" s="6">
        <v>40</v>
      </c>
      <c r="O283" s="6">
        <v>40</v>
      </c>
      <c r="P283" s="6">
        <v>40</v>
      </c>
      <c r="Q283" s="6">
        <v>35.125</v>
      </c>
      <c r="R283" s="6">
        <v>35.188679</v>
      </c>
      <c r="S283" s="6">
        <v>35.358490000000003</v>
      </c>
      <c r="T283" s="6">
        <v>37.594695999999999</v>
      </c>
      <c r="U283" s="6">
        <v>37.122718999999996</v>
      </c>
      <c r="V283" s="6">
        <v>37.548872000000003</v>
      </c>
    </row>
    <row r="284" spans="2:22">
      <c r="B284" s="6">
        <v>30847</v>
      </c>
      <c r="C284" s="6" t="s">
        <v>100</v>
      </c>
      <c r="D284" s="6">
        <v>20902</v>
      </c>
      <c r="E284" s="6" t="s">
        <v>53</v>
      </c>
      <c r="F284" s="6" t="s">
        <v>13</v>
      </c>
      <c r="G284" s="6" t="s">
        <v>14</v>
      </c>
      <c r="H284" s="6">
        <v>20</v>
      </c>
      <c r="I284" s="6">
        <v>20</v>
      </c>
      <c r="J284" s="6">
        <v>20</v>
      </c>
      <c r="K284" s="6">
        <v>19.956309999999998</v>
      </c>
      <c r="L284" s="6">
        <v>19.965827000000001</v>
      </c>
      <c r="M284" s="6">
        <v>19.613216000000001</v>
      </c>
      <c r="N284" s="6">
        <v>19.181818</v>
      </c>
      <c r="O284" s="6">
        <v>19.119288999999998</v>
      </c>
      <c r="P284" s="6">
        <v>18.784502</v>
      </c>
      <c r="Q284" s="6">
        <v>19.181818</v>
      </c>
      <c r="R284" s="6">
        <v>19.101835999999999</v>
      </c>
      <c r="S284" s="6">
        <v>18.763134000000001</v>
      </c>
      <c r="T284" s="6">
        <v>19.181818</v>
      </c>
      <c r="U284" s="6">
        <v>19.101835999999999</v>
      </c>
      <c r="V284" s="6">
        <v>18.763134000000001</v>
      </c>
    </row>
    <row r="285" spans="2:22">
      <c r="B285" s="6">
        <v>30863</v>
      </c>
      <c r="C285" s="6" t="s">
        <v>69</v>
      </c>
      <c r="D285" s="6">
        <v>23100</v>
      </c>
      <c r="E285" s="6" t="s">
        <v>54</v>
      </c>
      <c r="F285" s="6" t="s">
        <v>16</v>
      </c>
      <c r="G285" s="6" t="s">
        <v>1295</v>
      </c>
      <c r="H285" s="6">
        <v>20</v>
      </c>
      <c r="I285" s="6">
        <v>20</v>
      </c>
      <c r="J285" s="6">
        <v>19.726026999999998</v>
      </c>
      <c r="K285" s="6">
        <v>20</v>
      </c>
      <c r="L285" s="6">
        <v>20</v>
      </c>
      <c r="M285" s="6">
        <v>19.726026999999998</v>
      </c>
      <c r="N285" s="6">
        <v>19.069766999999999</v>
      </c>
      <c r="O285" s="6">
        <v>18.208955</v>
      </c>
      <c r="P285" s="6">
        <v>18.689516000000001</v>
      </c>
      <c r="Q285" s="6">
        <v>17.533783</v>
      </c>
      <c r="R285" s="6">
        <v>16.700679999999998</v>
      </c>
      <c r="S285" s="6">
        <v>17.127882</v>
      </c>
      <c r="T285" s="6">
        <v>17.533783</v>
      </c>
      <c r="U285" s="6">
        <v>16.700679999999998</v>
      </c>
      <c r="V285" s="6">
        <v>17.127882</v>
      </c>
    </row>
    <row r="286" spans="2:22">
      <c r="B286" s="6">
        <v>30863</v>
      </c>
      <c r="C286" s="6" t="s">
        <v>69</v>
      </c>
      <c r="D286" s="6">
        <v>23100</v>
      </c>
      <c r="E286" s="6" t="s">
        <v>54</v>
      </c>
      <c r="F286" s="6" t="s">
        <v>13</v>
      </c>
      <c r="G286" s="6" t="s">
        <v>14</v>
      </c>
      <c r="H286" s="6">
        <v>0</v>
      </c>
      <c r="I286" s="6">
        <v>15</v>
      </c>
      <c r="J286" s="6">
        <v>15</v>
      </c>
      <c r="K286" s="6">
        <v>0</v>
      </c>
      <c r="L286" s="6">
        <v>15</v>
      </c>
      <c r="M286" s="6">
        <v>15</v>
      </c>
      <c r="N286" s="6">
        <v>15</v>
      </c>
      <c r="O286" s="6">
        <v>15</v>
      </c>
      <c r="P286" s="6">
        <v>15</v>
      </c>
      <c r="Q286" s="6">
        <v>15</v>
      </c>
      <c r="R286" s="6">
        <v>15</v>
      </c>
      <c r="S286" s="6">
        <v>15</v>
      </c>
      <c r="T286" s="6">
        <v>15</v>
      </c>
      <c r="U286" s="6">
        <v>15</v>
      </c>
      <c r="V286" s="6">
        <v>15</v>
      </c>
    </row>
    <row r="287" spans="2:22">
      <c r="B287" s="6">
        <v>30863</v>
      </c>
      <c r="C287" s="6" t="s">
        <v>69</v>
      </c>
      <c r="D287" s="6">
        <v>23200</v>
      </c>
      <c r="E287" s="6" t="s">
        <v>63</v>
      </c>
      <c r="F287" s="6" t="s">
        <v>16</v>
      </c>
      <c r="G287" s="6" t="s">
        <v>1295</v>
      </c>
      <c r="H287" s="6">
        <v>20</v>
      </c>
      <c r="I287" s="6">
        <v>20</v>
      </c>
      <c r="J287" s="6">
        <v>20</v>
      </c>
      <c r="K287" s="6">
        <v>20</v>
      </c>
      <c r="L287" s="6">
        <v>20</v>
      </c>
      <c r="M287" s="6">
        <v>20</v>
      </c>
      <c r="N287" s="6">
        <v>20</v>
      </c>
      <c r="O287" s="6">
        <v>20</v>
      </c>
      <c r="P287" s="6">
        <v>20</v>
      </c>
      <c r="Q287" s="6">
        <v>20</v>
      </c>
      <c r="R287" s="6">
        <v>20</v>
      </c>
      <c r="S287" s="6">
        <v>20</v>
      </c>
      <c r="T287" s="6">
        <v>20</v>
      </c>
      <c r="U287" s="6">
        <v>20</v>
      </c>
      <c r="V287" s="6">
        <v>20</v>
      </c>
    </row>
    <row r="288" spans="2:22">
      <c r="B288" s="6">
        <v>30863</v>
      </c>
      <c r="C288" s="6" t="s">
        <v>69</v>
      </c>
      <c r="D288" s="6">
        <v>23200</v>
      </c>
      <c r="E288" s="6" t="s">
        <v>63</v>
      </c>
      <c r="F288" s="6" t="s">
        <v>13</v>
      </c>
      <c r="G288" s="6" t="s">
        <v>14</v>
      </c>
      <c r="H288" s="6">
        <v>0</v>
      </c>
      <c r="I288" s="6">
        <v>15</v>
      </c>
      <c r="J288" s="6">
        <v>15</v>
      </c>
      <c r="K288" s="6">
        <v>0</v>
      </c>
      <c r="L288" s="6">
        <v>15</v>
      </c>
      <c r="M288" s="6">
        <v>15</v>
      </c>
      <c r="N288" s="6">
        <v>15</v>
      </c>
      <c r="O288" s="6">
        <v>15</v>
      </c>
      <c r="P288" s="6">
        <v>15</v>
      </c>
      <c r="Q288" s="6">
        <v>15</v>
      </c>
      <c r="R288" s="6">
        <v>15</v>
      </c>
      <c r="S288" s="6">
        <v>15</v>
      </c>
      <c r="T288" s="6">
        <v>15</v>
      </c>
      <c r="U288" s="6">
        <v>15</v>
      </c>
      <c r="V288" s="6">
        <v>15</v>
      </c>
    </row>
    <row r="289" spans="2:22">
      <c r="B289" s="6">
        <v>30888</v>
      </c>
      <c r="C289" s="6" t="s">
        <v>46</v>
      </c>
      <c r="D289" s="6">
        <v>20500</v>
      </c>
      <c r="E289" s="6" t="s">
        <v>31</v>
      </c>
      <c r="F289" s="6" t="s">
        <v>17</v>
      </c>
      <c r="G289" s="6" t="s">
        <v>1294</v>
      </c>
      <c r="H289" s="6">
        <v>27</v>
      </c>
      <c r="I289" s="6">
        <v>27</v>
      </c>
      <c r="J289" s="6">
        <v>27</v>
      </c>
      <c r="K289" s="6">
        <v>27</v>
      </c>
      <c r="L289" s="6">
        <v>27</v>
      </c>
      <c r="M289" s="6">
        <v>27</v>
      </c>
      <c r="N289" s="6">
        <v>25.809522999999999</v>
      </c>
      <c r="O289" s="6">
        <v>25.59375</v>
      </c>
      <c r="P289" s="6">
        <v>25.235294</v>
      </c>
      <c r="Q289" s="6">
        <v>26.101534000000001</v>
      </c>
      <c r="R289" s="6">
        <v>26.316153</v>
      </c>
      <c r="S289" s="6">
        <v>25.991613999999998</v>
      </c>
      <c r="T289" s="6">
        <v>25.645997000000001</v>
      </c>
      <c r="U289" s="6">
        <v>25.223958</v>
      </c>
      <c r="V289" s="6">
        <v>24.770192999999999</v>
      </c>
    </row>
    <row r="290" spans="2:22">
      <c r="B290" s="6">
        <v>30888</v>
      </c>
      <c r="C290" s="6" t="s">
        <v>46</v>
      </c>
      <c r="D290" s="6">
        <v>20601</v>
      </c>
      <c r="E290" s="6" t="s">
        <v>43</v>
      </c>
      <c r="F290" s="6" t="s">
        <v>13</v>
      </c>
      <c r="G290" s="6" t="s">
        <v>14</v>
      </c>
      <c r="H290" s="6">
        <v>20</v>
      </c>
      <c r="I290" s="6">
        <v>20</v>
      </c>
      <c r="J290" s="6">
        <v>20</v>
      </c>
      <c r="K290" s="6">
        <v>20</v>
      </c>
      <c r="L290" s="6">
        <v>20</v>
      </c>
      <c r="M290" s="6">
        <v>20</v>
      </c>
      <c r="N290" s="6">
        <v>19.047619000000001</v>
      </c>
      <c r="O290" s="6">
        <v>18.378378000000001</v>
      </c>
      <c r="P290" s="6">
        <v>18.8</v>
      </c>
      <c r="Q290" s="6">
        <v>19.047619000000001</v>
      </c>
      <c r="R290" s="6">
        <v>18.378378000000001</v>
      </c>
      <c r="S290" s="6">
        <v>18.8</v>
      </c>
      <c r="T290" s="6">
        <v>19.047619000000001</v>
      </c>
      <c r="U290" s="6">
        <v>18.378378000000001</v>
      </c>
      <c r="V290" s="6">
        <v>18.8</v>
      </c>
    </row>
    <row r="291" spans="2:22">
      <c r="B291" s="6">
        <v>30888</v>
      </c>
      <c r="C291" s="6" t="s">
        <v>46</v>
      </c>
      <c r="D291" s="6">
        <v>20704</v>
      </c>
      <c r="E291" s="6" t="s">
        <v>47</v>
      </c>
      <c r="F291" s="6" t="s">
        <v>17</v>
      </c>
      <c r="G291" s="6" t="s">
        <v>1294</v>
      </c>
      <c r="H291" s="6">
        <v>30</v>
      </c>
      <c r="I291" s="6">
        <v>30</v>
      </c>
      <c r="J291" s="6">
        <v>30</v>
      </c>
      <c r="K291" s="6">
        <v>30</v>
      </c>
      <c r="L291" s="6">
        <v>30</v>
      </c>
      <c r="M291" s="6">
        <v>30</v>
      </c>
      <c r="N291" s="6">
        <v>30</v>
      </c>
      <c r="O291" s="6">
        <v>30</v>
      </c>
      <c r="P291" s="6">
        <v>30</v>
      </c>
      <c r="Q291" s="6">
        <v>30</v>
      </c>
      <c r="R291" s="6">
        <v>30</v>
      </c>
      <c r="S291" s="6">
        <v>30</v>
      </c>
      <c r="T291" s="6">
        <v>30</v>
      </c>
      <c r="U291" s="6">
        <v>30</v>
      </c>
      <c r="V291" s="6">
        <v>30</v>
      </c>
    </row>
    <row r="292" spans="2:22">
      <c r="B292" s="6">
        <v>30888</v>
      </c>
      <c r="C292" s="6" t="s">
        <v>46</v>
      </c>
      <c r="D292" s="6">
        <v>20906</v>
      </c>
      <c r="E292" s="6" t="s">
        <v>48</v>
      </c>
      <c r="F292" s="6" t="s">
        <v>49</v>
      </c>
      <c r="G292" s="6" t="s">
        <v>1296</v>
      </c>
      <c r="H292" s="6">
        <v>17</v>
      </c>
      <c r="I292" s="6">
        <v>17</v>
      </c>
      <c r="J292" s="6">
        <v>17</v>
      </c>
      <c r="K292" s="6">
        <v>17</v>
      </c>
      <c r="L292" s="6">
        <v>17.600000000000001</v>
      </c>
      <c r="M292" s="6">
        <v>18</v>
      </c>
      <c r="N292" s="6">
        <v>17</v>
      </c>
      <c r="O292" s="6">
        <v>17.230768999999999</v>
      </c>
      <c r="P292" s="6">
        <v>17.613636</v>
      </c>
      <c r="Q292" s="6">
        <v>17.016335999999999</v>
      </c>
      <c r="R292" s="6">
        <v>16.958155999999999</v>
      </c>
      <c r="S292" s="6">
        <v>17.538882000000001</v>
      </c>
      <c r="T292" s="6">
        <v>17.016335999999999</v>
      </c>
      <c r="U292" s="6">
        <v>16.958155999999999</v>
      </c>
      <c r="V292" s="6">
        <v>17.538882000000001</v>
      </c>
    </row>
    <row r="293" spans="2:22">
      <c r="B293" s="6">
        <v>31016</v>
      </c>
      <c r="C293" s="6" t="s">
        <v>101</v>
      </c>
      <c r="D293" s="6">
        <v>20500</v>
      </c>
      <c r="E293" s="6" t="s">
        <v>31</v>
      </c>
      <c r="F293" s="6" t="s">
        <v>17</v>
      </c>
      <c r="G293" s="6" t="s">
        <v>1294</v>
      </c>
      <c r="H293" s="6">
        <v>0</v>
      </c>
      <c r="I293" s="6">
        <v>27</v>
      </c>
      <c r="J293" s="6">
        <v>27</v>
      </c>
      <c r="K293" s="6">
        <v>26.093993999999999</v>
      </c>
      <c r="L293" s="6">
        <v>26.469746000000001</v>
      </c>
      <c r="M293" s="6">
        <v>26.000619</v>
      </c>
      <c r="N293" s="6">
        <v>26.108958000000001</v>
      </c>
      <c r="O293" s="6">
        <v>26.328648000000001</v>
      </c>
      <c r="P293" s="6">
        <v>26.003786000000002</v>
      </c>
      <c r="Q293" s="6">
        <v>26.101534000000001</v>
      </c>
      <c r="R293" s="6">
        <v>26.316153</v>
      </c>
      <c r="S293" s="6">
        <v>25.991613999999998</v>
      </c>
      <c r="T293" s="6">
        <v>25.645997000000001</v>
      </c>
      <c r="U293" s="6">
        <v>25.223958</v>
      </c>
      <c r="V293" s="6">
        <v>24.770192999999999</v>
      </c>
    </row>
    <row r="294" spans="2:22">
      <c r="B294" s="6">
        <v>31016</v>
      </c>
      <c r="C294" s="6" t="s">
        <v>101</v>
      </c>
      <c r="D294" s="6">
        <v>20706</v>
      </c>
      <c r="E294" s="6" t="s">
        <v>52</v>
      </c>
      <c r="F294" s="6" t="s">
        <v>17</v>
      </c>
      <c r="G294" s="6" t="s">
        <v>1294</v>
      </c>
      <c r="H294" s="6">
        <v>0</v>
      </c>
      <c r="I294" s="6">
        <v>40</v>
      </c>
      <c r="J294" s="6">
        <v>40</v>
      </c>
      <c r="K294" s="6">
        <v>40</v>
      </c>
      <c r="L294" s="6">
        <v>39.985993999999998</v>
      </c>
      <c r="M294" s="6">
        <v>39.981146000000003</v>
      </c>
      <c r="N294" s="6">
        <v>39.962778999999998</v>
      </c>
      <c r="O294" s="6">
        <v>39.971750999999998</v>
      </c>
      <c r="P294" s="6">
        <v>39.969020999999998</v>
      </c>
      <c r="Q294" s="6">
        <v>39.963768000000002</v>
      </c>
      <c r="R294" s="6">
        <v>39.972496999999997</v>
      </c>
      <c r="S294" s="6">
        <v>39.969659999999998</v>
      </c>
      <c r="T294" s="6">
        <v>39.867787999999997</v>
      </c>
      <c r="U294" s="6">
        <v>39.928649</v>
      </c>
      <c r="V294" s="6">
        <v>39.945453999999998</v>
      </c>
    </row>
    <row r="295" spans="2:22">
      <c r="B295" s="6">
        <v>31016</v>
      </c>
      <c r="C295" s="6" t="s">
        <v>101</v>
      </c>
      <c r="D295" s="6">
        <v>20902</v>
      </c>
      <c r="E295" s="6" t="s">
        <v>53</v>
      </c>
      <c r="F295" s="6" t="s">
        <v>16</v>
      </c>
      <c r="G295" s="6" t="s">
        <v>1295</v>
      </c>
      <c r="H295" s="6">
        <v>0</v>
      </c>
      <c r="I295" s="6">
        <v>30</v>
      </c>
      <c r="J295" s="6">
        <v>30</v>
      </c>
      <c r="K295" s="6">
        <v>27.235294</v>
      </c>
      <c r="L295" s="6">
        <v>26.730157999999999</v>
      </c>
      <c r="M295" s="6">
        <v>28.302752000000002</v>
      </c>
      <c r="N295" s="6">
        <v>27.102803000000002</v>
      </c>
      <c r="O295" s="6">
        <v>26.100322999999999</v>
      </c>
      <c r="P295" s="6">
        <v>27.578899</v>
      </c>
      <c r="Q295" s="6">
        <v>27.102803000000002</v>
      </c>
      <c r="R295" s="6">
        <v>26.100322999999999</v>
      </c>
      <c r="S295" s="6">
        <v>27.558453</v>
      </c>
      <c r="T295" s="6">
        <v>26.737159999999999</v>
      </c>
      <c r="U295" s="6">
        <v>25.752351000000001</v>
      </c>
      <c r="V295" s="6">
        <v>27.323633000000001</v>
      </c>
    </row>
    <row r="296" spans="2:22">
      <c r="B296" s="6">
        <v>31016</v>
      </c>
      <c r="C296" s="6" t="s">
        <v>101</v>
      </c>
      <c r="D296" s="6">
        <v>20906</v>
      </c>
      <c r="E296" s="6" t="s">
        <v>48</v>
      </c>
      <c r="F296" s="6" t="s">
        <v>49</v>
      </c>
      <c r="G296" s="6" t="s">
        <v>1296</v>
      </c>
      <c r="H296" s="6">
        <v>0</v>
      </c>
      <c r="I296" s="6">
        <v>17</v>
      </c>
      <c r="J296" s="6">
        <v>17</v>
      </c>
      <c r="K296" s="6">
        <v>16.923482</v>
      </c>
      <c r="L296" s="6">
        <v>16.908185</v>
      </c>
      <c r="M296" s="6">
        <v>17.652851999999999</v>
      </c>
      <c r="N296" s="6">
        <v>17.016705999999999</v>
      </c>
      <c r="O296" s="6">
        <v>16.954350000000002</v>
      </c>
      <c r="P296" s="6">
        <v>17.537869000000001</v>
      </c>
      <c r="Q296" s="6">
        <v>17.016335999999999</v>
      </c>
      <c r="R296" s="6">
        <v>16.958155999999999</v>
      </c>
      <c r="S296" s="6">
        <v>17.538882000000001</v>
      </c>
      <c r="T296" s="6">
        <v>17.016335999999999</v>
      </c>
      <c r="U296" s="6">
        <v>16.958155999999999</v>
      </c>
      <c r="V296" s="6">
        <v>17.538882000000001</v>
      </c>
    </row>
    <row r="297" spans="2:22">
      <c r="B297" s="6">
        <v>31017</v>
      </c>
      <c r="C297" s="6" t="s">
        <v>102</v>
      </c>
      <c r="D297" s="6">
        <v>20500</v>
      </c>
      <c r="E297" s="6" t="s">
        <v>31</v>
      </c>
      <c r="F297" s="6" t="s">
        <v>17</v>
      </c>
      <c r="G297" s="6" t="s">
        <v>1294</v>
      </c>
      <c r="H297" s="6">
        <v>0</v>
      </c>
      <c r="I297" s="6">
        <v>27</v>
      </c>
      <c r="J297" s="6">
        <v>27</v>
      </c>
      <c r="K297" s="6">
        <v>26.093993999999999</v>
      </c>
      <c r="L297" s="6">
        <v>26.469746000000001</v>
      </c>
      <c r="M297" s="6">
        <v>26.000619</v>
      </c>
      <c r="N297" s="6">
        <v>26.108958000000001</v>
      </c>
      <c r="O297" s="6">
        <v>26.328648000000001</v>
      </c>
      <c r="P297" s="6">
        <v>26.003786000000002</v>
      </c>
      <c r="Q297" s="6">
        <v>26.101534000000001</v>
      </c>
      <c r="R297" s="6">
        <v>26.316153</v>
      </c>
      <c r="S297" s="6">
        <v>25.991613999999998</v>
      </c>
      <c r="T297" s="6">
        <v>25.645997000000001</v>
      </c>
      <c r="U297" s="6">
        <v>25.223958</v>
      </c>
      <c r="V297" s="6">
        <v>24.770192999999999</v>
      </c>
    </row>
    <row r="298" spans="2:22">
      <c r="B298" s="6">
        <v>31017</v>
      </c>
      <c r="C298" s="6" t="s">
        <v>102</v>
      </c>
      <c r="D298" s="6">
        <v>20706</v>
      </c>
      <c r="E298" s="6" t="s">
        <v>52</v>
      </c>
      <c r="F298" s="6" t="s">
        <v>17</v>
      </c>
      <c r="G298" s="6" t="s">
        <v>1294</v>
      </c>
      <c r="H298" s="6">
        <v>0</v>
      </c>
      <c r="I298" s="6">
        <v>40</v>
      </c>
      <c r="J298" s="6">
        <v>40</v>
      </c>
      <c r="K298" s="6">
        <v>40</v>
      </c>
      <c r="L298" s="6">
        <v>39.985993999999998</v>
      </c>
      <c r="M298" s="6">
        <v>39.981146000000003</v>
      </c>
      <c r="N298" s="6">
        <v>39.962778999999998</v>
      </c>
      <c r="O298" s="6">
        <v>39.971750999999998</v>
      </c>
      <c r="P298" s="6">
        <v>39.969020999999998</v>
      </c>
      <c r="Q298" s="6">
        <v>39.963768000000002</v>
      </c>
      <c r="R298" s="6">
        <v>39.972496999999997</v>
      </c>
      <c r="S298" s="6">
        <v>39.969659999999998</v>
      </c>
      <c r="T298" s="6">
        <v>39.867787999999997</v>
      </c>
      <c r="U298" s="6">
        <v>39.928649</v>
      </c>
      <c r="V298" s="6">
        <v>39.945453999999998</v>
      </c>
    </row>
    <row r="299" spans="2:22">
      <c r="B299" s="6">
        <v>31017</v>
      </c>
      <c r="C299" s="6" t="s">
        <v>102</v>
      </c>
      <c r="D299" s="6">
        <v>20902</v>
      </c>
      <c r="E299" s="6" t="s">
        <v>53</v>
      </c>
      <c r="F299" s="6" t="s">
        <v>13</v>
      </c>
      <c r="G299" s="6" t="s">
        <v>14</v>
      </c>
      <c r="H299" s="6">
        <v>0</v>
      </c>
      <c r="I299" s="6">
        <v>20</v>
      </c>
      <c r="J299" s="6">
        <v>20</v>
      </c>
      <c r="K299" s="6">
        <v>19.956309999999998</v>
      </c>
      <c r="L299" s="6">
        <v>19.965827000000001</v>
      </c>
      <c r="M299" s="6">
        <v>19.613216000000001</v>
      </c>
      <c r="N299" s="6">
        <v>19.181818</v>
      </c>
      <c r="O299" s="6">
        <v>19.119288999999998</v>
      </c>
      <c r="P299" s="6">
        <v>18.784502</v>
      </c>
      <c r="Q299" s="6">
        <v>19.181818</v>
      </c>
      <c r="R299" s="6">
        <v>19.101835999999999</v>
      </c>
      <c r="S299" s="6">
        <v>18.763134000000001</v>
      </c>
      <c r="T299" s="6">
        <v>19.181818</v>
      </c>
      <c r="U299" s="6">
        <v>19.101835999999999</v>
      </c>
      <c r="V299" s="6">
        <v>18.763134000000001</v>
      </c>
    </row>
    <row r="300" spans="2:22">
      <c r="B300" s="6">
        <v>31017</v>
      </c>
      <c r="C300" s="6" t="s">
        <v>102</v>
      </c>
      <c r="D300" s="6">
        <v>20906</v>
      </c>
      <c r="E300" s="6" t="s">
        <v>48</v>
      </c>
      <c r="F300" s="6" t="s">
        <v>49</v>
      </c>
      <c r="G300" s="6" t="s">
        <v>1296</v>
      </c>
      <c r="H300" s="6">
        <v>0</v>
      </c>
      <c r="I300" s="6">
        <v>17</v>
      </c>
      <c r="J300" s="6">
        <v>17</v>
      </c>
      <c r="K300" s="6">
        <v>16.923482</v>
      </c>
      <c r="L300" s="6">
        <v>16.908185</v>
      </c>
      <c r="M300" s="6">
        <v>17.652851999999999</v>
      </c>
      <c r="N300" s="6">
        <v>17.016705999999999</v>
      </c>
      <c r="O300" s="6">
        <v>16.954350000000002</v>
      </c>
      <c r="P300" s="6">
        <v>17.537869000000001</v>
      </c>
      <c r="Q300" s="6">
        <v>17.016335999999999</v>
      </c>
      <c r="R300" s="6">
        <v>16.958155999999999</v>
      </c>
      <c r="S300" s="6">
        <v>17.538882000000001</v>
      </c>
      <c r="T300" s="6">
        <v>17.016335999999999</v>
      </c>
      <c r="U300" s="6">
        <v>16.958155999999999</v>
      </c>
      <c r="V300" s="6">
        <v>17.538882000000001</v>
      </c>
    </row>
    <row r="301" spans="2:22">
      <c r="B301" s="6">
        <v>31019</v>
      </c>
      <c r="C301" s="6" t="s">
        <v>103</v>
      </c>
      <c r="D301" s="6">
        <v>20500</v>
      </c>
      <c r="E301" s="6" t="s">
        <v>31</v>
      </c>
      <c r="F301" s="6" t="s">
        <v>17</v>
      </c>
      <c r="G301" s="6" t="s">
        <v>1294</v>
      </c>
      <c r="H301" s="6">
        <v>27</v>
      </c>
      <c r="I301" s="6">
        <v>27</v>
      </c>
      <c r="J301" s="6">
        <v>27</v>
      </c>
      <c r="K301" s="6">
        <v>26.046875</v>
      </c>
      <c r="L301" s="6">
        <v>26.199541</v>
      </c>
      <c r="M301" s="6">
        <v>26.109717</v>
      </c>
      <c r="N301" s="6">
        <v>26.108958000000001</v>
      </c>
      <c r="O301" s="6">
        <v>26.328648000000001</v>
      </c>
      <c r="P301" s="6">
        <v>26.003786000000002</v>
      </c>
      <c r="Q301" s="6">
        <v>26.101534000000001</v>
      </c>
      <c r="R301" s="6">
        <v>26.316153</v>
      </c>
      <c r="S301" s="6">
        <v>25.991613999999998</v>
      </c>
      <c r="T301" s="6">
        <v>25.645997000000001</v>
      </c>
      <c r="U301" s="6">
        <v>25.223958</v>
      </c>
      <c r="V301" s="6">
        <v>24.770192999999999</v>
      </c>
    </row>
    <row r="302" spans="2:22">
      <c r="B302" s="6">
        <v>31019</v>
      </c>
      <c r="C302" s="6" t="s">
        <v>103</v>
      </c>
      <c r="D302" s="6">
        <v>20702</v>
      </c>
      <c r="E302" s="6" t="s">
        <v>44</v>
      </c>
      <c r="F302" s="6" t="s">
        <v>17</v>
      </c>
      <c r="G302" s="6" t="s">
        <v>1294</v>
      </c>
      <c r="H302" s="6">
        <v>35</v>
      </c>
      <c r="I302" s="6">
        <v>35</v>
      </c>
      <c r="J302" s="6">
        <v>35</v>
      </c>
      <c r="K302" s="6">
        <v>34.851851000000003</v>
      </c>
      <c r="L302" s="6">
        <v>34.933332999999998</v>
      </c>
      <c r="M302" s="6">
        <v>34.897097000000002</v>
      </c>
      <c r="N302" s="6">
        <v>34.893103000000004</v>
      </c>
      <c r="O302" s="6">
        <v>34.949179999999998</v>
      </c>
      <c r="P302" s="6">
        <v>34.926701000000001</v>
      </c>
      <c r="Q302" s="6">
        <v>34.894556999999999</v>
      </c>
      <c r="R302" s="6">
        <v>34.950949000000001</v>
      </c>
      <c r="S302" s="6">
        <v>34.883485</v>
      </c>
      <c r="T302" s="6">
        <v>34.894556999999999</v>
      </c>
      <c r="U302" s="6">
        <v>34.950949000000001</v>
      </c>
      <c r="V302" s="6">
        <v>34.883485</v>
      </c>
    </row>
    <row r="303" spans="2:22">
      <c r="B303" s="6">
        <v>31019</v>
      </c>
      <c r="C303" s="6" t="s">
        <v>103</v>
      </c>
      <c r="D303" s="6">
        <v>20902</v>
      </c>
      <c r="E303" s="6" t="s">
        <v>53</v>
      </c>
      <c r="F303" s="6" t="s">
        <v>16</v>
      </c>
      <c r="G303" s="6" t="s">
        <v>1295</v>
      </c>
      <c r="H303" s="6">
        <v>0</v>
      </c>
      <c r="I303" s="6">
        <v>20</v>
      </c>
      <c r="J303" s="6">
        <v>20</v>
      </c>
      <c r="K303" s="6">
        <v>26.721311</v>
      </c>
      <c r="L303" s="6">
        <v>25.932835000000001</v>
      </c>
      <c r="M303" s="6">
        <v>26.507536999999999</v>
      </c>
      <c r="N303" s="6">
        <v>27.102803000000002</v>
      </c>
      <c r="O303" s="6">
        <v>26.100322999999999</v>
      </c>
      <c r="P303" s="6">
        <v>27.578899</v>
      </c>
      <c r="Q303" s="6">
        <v>27.102803000000002</v>
      </c>
      <c r="R303" s="6">
        <v>26.100322999999999</v>
      </c>
      <c r="S303" s="6">
        <v>27.558453</v>
      </c>
      <c r="T303" s="6">
        <v>26.737159999999999</v>
      </c>
      <c r="U303" s="6">
        <v>25.752351000000001</v>
      </c>
      <c r="V303" s="6">
        <v>27.323633000000001</v>
      </c>
    </row>
    <row r="304" spans="2:22">
      <c r="B304" s="6">
        <v>31019</v>
      </c>
      <c r="C304" s="6" t="s">
        <v>103</v>
      </c>
      <c r="D304" s="6">
        <v>20902</v>
      </c>
      <c r="E304" s="6" t="s">
        <v>53</v>
      </c>
      <c r="F304" s="6" t="s">
        <v>13</v>
      </c>
      <c r="G304" s="6" t="s">
        <v>14</v>
      </c>
      <c r="H304" s="6">
        <v>20</v>
      </c>
      <c r="I304" s="6">
        <v>17.857142</v>
      </c>
      <c r="J304" s="6">
        <v>16.818180999999999</v>
      </c>
      <c r="K304" s="6">
        <v>18.622046999999998</v>
      </c>
      <c r="L304" s="6">
        <v>18.557046</v>
      </c>
      <c r="M304" s="6">
        <v>18.643459</v>
      </c>
      <c r="N304" s="6">
        <v>19.181818</v>
      </c>
      <c r="O304" s="6">
        <v>19.119288999999998</v>
      </c>
      <c r="P304" s="6">
        <v>18.784502</v>
      </c>
      <c r="Q304" s="6">
        <v>19.181818</v>
      </c>
      <c r="R304" s="6">
        <v>19.101835999999999</v>
      </c>
      <c r="S304" s="6">
        <v>18.763134000000001</v>
      </c>
      <c r="T304" s="6">
        <v>19.181818</v>
      </c>
      <c r="U304" s="6">
        <v>19.101835999999999</v>
      </c>
      <c r="V304" s="6">
        <v>18.763134000000001</v>
      </c>
    </row>
    <row r="305" spans="2:22">
      <c r="B305" s="6">
        <v>31019</v>
      </c>
      <c r="C305" s="6" t="s">
        <v>103</v>
      </c>
      <c r="D305" s="6">
        <v>20906</v>
      </c>
      <c r="E305" s="6" t="s">
        <v>48</v>
      </c>
      <c r="F305" s="6" t="s">
        <v>49</v>
      </c>
      <c r="G305" s="6" t="s">
        <v>1296</v>
      </c>
      <c r="H305" s="6">
        <v>17</v>
      </c>
      <c r="I305" s="6">
        <v>17</v>
      </c>
      <c r="J305" s="6">
        <v>17.666665999999999</v>
      </c>
      <c r="K305" s="6">
        <v>17.229590999999999</v>
      </c>
      <c r="L305" s="6">
        <v>17.052391</v>
      </c>
      <c r="M305" s="6">
        <v>17.431988</v>
      </c>
      <c r="N305" s="6">
        <v>17.016705999999999</v>
      </c>
      <c r="O305" s="6">
        <v>16.954350000000002</v>
      </c>
      <c r="P305" s="6">
        <v>17.537869000000001</v>
      </c>
      <c r="Q305" s="6">
        <v>17.016335999999999</v>
      </c>
      <c r="R305" s="6">
        <v>16.958155999999999</v>
      </c>
      <c r="S305" s="6">
        <v>17.538882000000001</v>
      </c>
      <c r="T305" s="6">
        <v>17.016335999999999</v>
      </c>
      <c r="U305" s="6">
        <v>16.958155999999999</v>
      </c>
      <c r="V305" s="6">
        <v>17.538882000000001</v>
      </c>
    </row>
    <row r="306" spans="2:22">
      <c r="B306" s="6">
        <v>31020</v>
      </c>
      <c r="C306" s="6" t="s">
        <v>104</v>
      </c>
      <c r="D306" s="6">
        <v>20500</v>
      </c>
      <c r="E306" s="6" t="s">
        <v>31</v>
      </c>
      <c r="F306" s="6" t="s">
        <v>17</v>
      </c>
      <c r="G306" s="6" t="s">
        <v>1294</v>
      </c>
      <c r="H306" s="6">
        <v>27</v>
      </c>
      <c r="I306" s="6">
        <v>27</v>
      </c>
      <c r="J306" s="6">
        <v>27.5</v>
      </c>
      <c r="K306" s="6">
        <v>26.046875</v>
      </c>
      <c r="L306" s="6">
        <v>26.199541</v>
      </c>
      <c r="M306" s="6">
        <v>26.109717</v>
      </c>
      <c r="N306" s="6">
        <v>26.108958000000001</v>
      </c>
      <c r="O306" s="6">
        <v>26.328648000000001</v>
      </c>
      <c r="P306" s="6">
        <v>26.003786000000002</v>
      </c>
      <c r="Q306" s="6">
        <v>26.101534000000001</v>
      </c>
      <c r="R306" s="6">
        <v>26.316153</v>
      </c>
      <c r="S306" s="6">
        <v>25.991613999999998</v>
      </c>
      <c r="T306" s="6">
        <v>25.645997000000001</v>
      </c>
      <c r="U306" s="6">
        <v>25.223958</v>
      </c>
      <c r="V306" s="6">
        <v>24.770192999999999</v>
      </c>
    </row>
    <row r="307" spans="2:22">
      <c r="B307" s="6">
        <v>31020</v>
      </c>
      <c r="C307" s="6" t="s">
        <v>104</v>
      </c>
      <c r="D307" s="6">
        <v>20702</v>
      </c>
      <c r="E307" s="6" t="s">
        <v>44</v>
      </c>
      <c r="F307" s="6" t="s">
        <v>17</v>
      </c>
      <c r="G307" s="6" t="s">
        <v>1294</v>
      </c>
      <c r="H307" s="6">
        <v>35</v>
      </c>
      <c r="I307" s="6">
        <v>35</v>
      </c>
      <c r="J307" s="6">
        <v>35</v>
      </c>
      <c r="K307" s="6">
        <v>34.851851000000003</v>
      </c>
      <c r="L307" s="6">
        <v>34.933332999999998</v>
      </c>
      <c r="M307" s="6">
        <v>34.897097000000002</v>
      </c>
      <c r="N307" s="6">
        <v>34.893103000000004</v>
      </c>
      <c r="O307" s="6">
        <v>34.949179999999998</v>
      </c>
      <c r="P307" s="6">
        <v>34.926701000000001</v>
      </c>
      <c r="Q307" s="6">
        <v>34.894556999999999</v>
      </c>
      <c r="R307" s="6">
        <v>34.950949000000001</v>
      </c>
      <c r="S307" s="6">
        <v>34.883485</v>
      </c>
      <c r="T307" s="6">
        <v>34.894556999999999</v>
      </c>
      <c r="U307" s="6">
        <v>34.950949000000001</v>
      </c>
      <c r="V307" s="6">
        <v>34.883485</v>
      </c>
    </row>
    <row r="308" spans="2:22">
      <c r="B308" s="6">
        <v>31020</v>
      </c>
      <c r="C308" s="6" t="s">
        <v>104</v>
      </c>
      <c r="D308" s="6">
        <v>20902</v>
      </c>
      <c r="E308" s="6" t="s">
        <v>53</v>
      </c>
      <c r="F308" s="6" t="s">
        <v>16</v>
      </c>
      <c r="G308" s="6" t="s">
        <v>1295</v>
      </c>
      <c r="H308" s="6">
        <v>30</v>
      </c>
      <c r="I308" s="6">
        <v>28.181818</v>
      </c>
      <c r="J308" s="6">
        <v>28.181818</v>
      </c>
      <c r="K308" s="6">
        <v>26.721311</v>
      </c>
      <c r="L308" s="6">
        <v>25.932835000000001</v>
      </c>
      <c r="M308" s="6">
        <v>26.507536999999999</v>
      </c>
      <c r="N308" s="6">
        <v>27.102803000000002</v>
      </c>
      <c r="O308" s="6">
        <v>26.100322999999999</v>
      </c>
      <c r="P308" s="6">
        <v>27.578899</v>
      </c>
      <c r="Q308" s="6">
        <v>27.102803000000002</v>
      </c>
      <c r="R308" s="6">
        <v>26.100322999999999</v>
      </c>
      <c r="S308" s="6">
        <v>27.558453</v>
      </c>
      <c r="T308" s="6">
        <v>26.737159999999999</v>
      </c>
      <c r="U308" s="6">
        <v>25.752351000000001</v>
      </c>
      <c r="V308" s="6">
        <v>27.323633000000001</v>
      </c>
    </row>
    <row r="309" spans="2:22">
      <c r="B309" s="6">
        <v>31020</v>
      </c>
      <c r="C309" s="6" t="s">
        <v>104</v>
      </c>
      <c r="D309" s="6">
        <v>20902</v>
      </c>
      <c r="E309" s="6" t="s">
        <v>53</v>
      </c>
      <c r="F309" s="6" t="s">
        <v>13</v>
      </c>
      <c r="G309" s="6" t="s">
        <v>14</v>
      </c>
      <c r="H309" s="6">
        <v>0</v>
      </c>
      <c r="I309" s="6">
        <v>0</v>
      </c>
      <c r="J309" s="6">
        <v>20.666665999999999</v>
      </c>
      <c r="K309" s="6">
        <v>18.622046999999998</v>
      </c>
      <c r="L309" s="6">
        <v>18.557046</v>
      </c>
      <c r="M309" s="6">
        <v>18.643459</v>
      </c>
      <c r="N309" s="6">
        <v>19.181818</v>
      </c>
      <c r="O309" s="6">
        <v>19.119288999999998</v>
      </c>
      <c r="P309" s="6">
        <v>18.784502</v>
      </c>
      <c r="Q309" s="6">
        <v>19.181818</v>
      </c>
      <c r="R309" s="6">
        <v>19.101835999999999</v>
      </c>
      <c r="S309" s="6">
        <v>18.763134000000001</v>
      </c>
      <c r="T309" s="6">
        <v>19.181818</v>
      </c>
      <c r="U309" s="6">
        <v>19.101835999999999</v>
      </c>
      <c r="V309" s="6">
        <v>18.763134000000001</v>
      </c>
    </row>
    <row r="310" spans="2:22">
      <c r="B310" s="6">
        <v>31020</v>
      </c>
      <c r="C310" s="6" t="s">
        <v>104</v>
      </c>
      <c r="D310" s="6">
        <v>20906</v>
      </c>
      <c r="E310" s="6" t="s">
        <v>48</v>
      </c>
      <c r="F310" s="6" t="s">
        <v>49</v>
      </c>
      <c r="G310" s="6" t="s">
        <v>1296</v>
      </c>
      <c r="H310" s="6">
        <v>17</v>
      </c>
      <c r="I310" s="6">
        <v>17.545453999999999</v>
      </c>
      <c r="J310" s="6">
        <v>17.807691999999999</v>
      </c>
      <c r="K310" s="6">
        <v>17.229590999999999</v>
      </c>
      <c r="L310" s="6">
        <v>17.052391</v>
      </c>
      <c r="M310" s="6">
        <v>17.431988</v>
      </c>
      <c r="N310" s="6">
        <v>17.016705999999999</v>
      </c>
      <c r="O310" s="6">
        <v>16.954350000000002</v>
      </c>
      <c r="P310" s="6">
        <v>17.537869000000001</v>
      </c>
      <c r="Q310" s="6">
        <v>17.016335999999999</v>
      </c>
      <c r="R310" s="6">
        <v>16.958155999999999</v>
      </c>
      <c r="S310" s="6">
        <v>17.538882000000001</v>
      </c>
      <c r="T310" s="6">
        <v>17.016335999999999</v>
      </c>
      <c r="U310" s="6">
        <v>16.958155999999999</v>
      </c>
      <c r="V310" s="6">
        <v>17.538882000000001</v>
      </c>
    </row>
    <row r="311" spans="2:22">
      <c r="B311" s="6">
        <v>31021</v>
      </c>
      <c r="C311" s="6" t="s">
        <v>105</v>
      </c>
      <c r="D311" s="6">
        <v>20500</v>
      </c>
      <c r="E311" s="6" t="s">
        <v>31</v>
      </c>
      <c r="F311" s="6" t="s">
        <v>17</v>
      </c>
      <c r="G311" s="6" t="s">
        <v>1294</v>
      </c>
      <c r="H311" s="6">
        <v>27</v>
      </c>
      <c r="I311" s="6">
        <v>27</v>
      </c>
      <c r="J311" s="6">
        <v>27</v>
      </c>
      <c r="K311" s="6">
        <v>26.046875</v>
      </c>
      <c r="L311" s="6">
        <v>26.199541</v>
      </c>
      <c r="M311" s="6">
        <v>26.109717</v>
      </c>
      <c r="N311" s="6">
        <v>26.108958000000001</v>
      </c>
      <c r="O311" s="6">
        <v>26.328648000000001</v>
      </c>
      <c r="P311" s="6">
        <v>26.003786000000002</v>
      </c>
      <c r="Q311" s="6">
        <v>26.101534000000001</v>
      </c>
      <c r="R311" s="6">
        <v>26.316153</v>
      </c>
      <c r="S311" s="6">
        <v>25.991613999999998</v>
      </c>
      <c r="T311" s="6">
        <v>25.645997000000001</v>
      </c>
      <c r="U311" s="6">
        <v>25.223958</v>
      </c>
      <c r="V311" s="6">
        <v>24.770192999999999</v>
      </c>
    </row>
    <row r="312" spans="2:22">
      <c r="B312" s="6">
        <v>31021</v>
      </c>
      <c r="C312" s="6" t="s">
        <v>105</v>
      </c>
      <c r="D312" s="6">
        <v>20702</v>
      </c>
      <c r="E312" s="6" t="s">
        <v>44</v>
      </c>
      <c r="F312" s="6" t="s">
        <v>17</v>
      </c>
      <c r="G312" s="6" t="s">
        <v>1294</v>
      </c>
      <c r="H312" s="6">
        <v>35</v>
      </c>
      <c r="I312" s="6">
        <v>35</v>
      </c>
      <c r="J312" s="6">
        <v>35</v>
      </c>
      <c r="K312" s="6">
        <v>34.851851000000003</v>
      </c>
      <c r="L312" s="6">
        <v>34.933332999999998</v>
      </c>
      <c r="M312" s="6">
        <v>34.897097000000002</v>
      </c>
      <c r="N312" s="6">
        <v>34.893103000000004</v>
      </c>
      <c r="O312" s="6">
        <v>34.949179999999998</v>
      </c>
      <c r="P312" s="6">
        <v>34.926701000000001</v>
      </c>
      <c r="Q312" s="6">
        <v>34.894556999999999</v>
      </c>
      <c r="R312" s="6">
        <v>34.950949000000001</v>
      </c>
      <c r="S312" s="6">
        <v>34.883485</v>
      </c>
      <c r="T312" s="6">
        <v>34.894556999999999</v>
      </c>
      <c r="U312" s="6">
        <v>34.950949000000001</v>
      </c>
      <c r="V312" s="6">
        <v>34.883485</v>
      </c>
    </row>
    <row r="313" spans="2:22">
      <c r="B313" s="6">
        <v>31021</v>
      </c>
      <c r="C313" s="6" t="s">
        <v>105</v>
      </c>
      <c r="D313" s="6">
        <v>20902</v>
      </c>
      <c r="E313" s="6" t="s">
        <v>53</v>
      </c>
      <c r="F313" s="6" t="s">
        <v>16</v>
      </c>
      <c r="G313" s="6" t="s">
        <v>1295</v>
      </c>
      <c r="H313" s="6">
        <v>30</v>
      </c>
      <c r="I313" s="6">
        <v>30</v>
      </c>
      <c r="J313" s="6">
        <v>30</v>
      </c>
      <c r="K313" s="6">
        <v>26.721311</v>
      </c>
      <c r="L313" s="6">
        <v>25.932835000000001</v>
      </c>
      <c r="M313" s="6">
        <v>26.507536999999999</v>
      </c>
      <c r="N313" s="6">
        <v>27.102803000000002</v>
      </c>
      <c r="O313" s="6">
        <v>26.100322999999999</v>
      </c>
      <c r="P313" s="6">
        <v>27.578899</v>
      </c>
      <c r="Q313" s="6">
        <v>27.102803000000002</v>
      </c>
      <c r="R313" s="6">
        <v>26.100322999999999</v>
      </c>
      <c r="S313" s="6">
        <v>27.558453</v>
      </c>
      <c r="T313" s="6">
        <v>26.737159999999999</v>
      </c>
      <c r="U313" s="6">
        <v>25.752351000000001</v>
      </c>
      <c r="V313" s="6">
        <v>27.323633000000001</v>
      </c>
    </row>
    <row r="314" spans="2:22">
      <c r="B314" s="6">
        <v>31021</v>
      </c>
      <c r="C314" s="6" t="s">
        <v>105</v>
      </c>
      <c r="D314" s="6">
        <v>20902</v>
      </c>
      <c r="E314" s="6" t="s">
        <v>53</v>
      </c>
      <c r="F314" s="6" t="s">
        <v>13</v>
      </c>
      <c r="G314" s="6" t="s">
        <v>14</v>
      </c>
      <c r="H314" s="6">
        <v>20</v>
      </c>
      <c r="I314" s="6">
        <v>20</v>
      </c>
      <c r="J314" s="6">
        <v>20</v>
      </c>
      <c r="K314" s="6">
        <v>18.622046999999998</v>
      </c>
      <c r="L314" s="6">
        <v>18.557046</v>
      </c>
      <c r="M314" s="6">
        <v>18.643459</v>
      </c>
      <c r="N314" s="6">
        <v>19.181818</v>
      </c>
      <c r="O314" s="6">
        <v>19.119288999999998</v>
      </c>
      <c r="P314" s="6">
        <v>18.784502</v>
      </c>
      <c r="Q314" s="6">
        <v>19.181818</v>
      </c>
      <c r="R314" s="6">
        <v>19.101835999999999</v>
      </c>
      <c r="S314" s="6">
        <v>18.763134000000001</v>
      </c>
      <c r="T314" s="6">
        <v>19.181818</v>
      </c>
      <c r="U314" s="6">
        <v>19.101835999999999</v>
      </c>
      <c r="V314" s="6">
        <v>18.763134000000001</v>
      </c>
    </row>
    <row r="315" spans="2:22">
      <c r="B315" s="6">
        <v>31021</v>
      </c>
      <c r="C315" s="6" t="s">
        <v>105</v>
      </c>
      <c r="D315" s="6">
        <v>20906</v>
      </c>
      <c r="E315" s="6" t="s">
        <v>48</v>
      </c>
      <c r="F315" s="6" t="s">
        <v>49</v>
      </c>
      <c r="G315" s="6" t="s">
        <v>1296</v>
      </c>
      <c r="H315" s="6">
        <v>17</v>
      </c>
      <c r="I315" s="6">
        <v>17</v>
      </c>
      <c r="J315" s="6">
        <v>17.733332999999998</v>
      </c>
      <c r="K315" s="6">
        <v>17.229590999999999</v>
      </c>
      <c r="L315" s="6">
        <v>17.052391</v>
      </c>
      <c r="M315" s="6">
        <v>17.431988</v>
      </c>
      <c r="N315" s="6">
        <v>17.016705999999999</v>
      </c>
      <c r="O315" s="6">
        <v>16.954350000000002</v>
      </c>
      <c r="P315" s="6">
        <v>17.537869000000001</v>
      </c>
      <c r="Q315" s="6">
        <v>17.016335999999999</v>
      </c>
      <c r="R315" s="6">
        <v>16.958155999999999</v>
      </c>
      <c r="S315" s="6">
        <v>17.538882000000001</v>
      </c>
      <c r="T315" s="6">
        <v>17.016335999999999</v>
      </c>
      <c r="U315" s="6">
        <v>16.958155999999999</v>
      </c>
      <c r="V315" s="6">
        <v>17.538882000000001</v>
      </c>
    </row>
    <row r="316" spans="2:22">
      <c r="B316" s="6">
        <v>31023</v>
      </c>
      <c r="C316" s="6" t="s">
        <v>106</v>
      </c>
      <c r="D316" s="6">
        <v>20500</v>
      </c>
      <c r="E316" s="6" t="s">
        <v>31</v>
      </c>
      <c r="F316" s="6" t="s">
        <v>17</v>
      </c>
      <c r="G316" s="6" t="s">
        <v>1294</v>
      </c>
      <c r="H316" s="6">
        <v>27</v>
      </c>
      <c r="I316" s="6">
        <v>27</v>
      </c>
      <c r="J316" s="6">
        <v>27</v>
      </c>
      <c r="K316" s="6">
        <v>26.179282000000001</v>
      </c>
      <c r="L316" s="6">
        <v>26.186138</v>
      </c>
      <c r="M316" s="6">
        <v>25.935728999999998</v>
      </c>
      <c r="N316" s="6">
        <v>26.108958000000001</v>
      </c>
      <c r="O316" s="6">
        <v>26.328648000000001</v>
      </c>
      <c r="P316" s="6">
        <v>26.003786000000002</v>
      </c>
      <c r="Q316" s="6">
        <v>26.101534000000001</v>
      </c>
      <c r="R316" s="6">
        <v>26.316153</v>
      </c>
      <c r="S316" s="6">
        <v>25.991613999999998</v>
      </c>
      <c r="T316" s="6">
        <v>25.645997000000001</v>
      </c>
      <c r="U316" s="6">
        <v>25.223958</v>
      </c>
      <c r="V316" s="6">
        <v>24.770192999999999</v>
      </c>
    </row>
    <row r="317" spans="2:22">
      <c r="B317" s="6">
        <v>31023</v>
      </c>
      <c r="C317" s="6" t="s">
        <v>106</v>
      </c>
      <c r="D317" s="6">
        <v>20702</v>
      </c>
      <c r="E317" s="6" t="s">
        <v>44</v>
      </c>
      <c r="F317" s="6" t="s">
        <v>17</v>
      </c>
      <c r="G317" s="6" t="s">
        <v>1294</v>
      </c>
      <c r="H317" s="6">
        <v>35</v>
      </c>
      <c r="I317" s="6">
        <v>35</v>
      </c>
      <c r="J317" s="6">
        <v>35</v>
      </c>
      <c r="K317" s="6">
        <v>34.902597</v>
      </c>
      <c r="L317" s="6">
        <v>34.946427999999997</v>
      </c>
      <c r="M317" s="6">
        <v>34.934041999999998</v>
      </c>
      <c r="N317" s="6">
        <v>34.893103000000004</v>
      </c>
      <c r="O317" s="6">
        <v>34.949179999999998</v>
      </c>
      <c r="P317" s="6">
        <v>34.926701000000001</v>
      </c>
      <c r="Q317" s="6">
        <v>34.894556999999999</v>
      </c>
      <c r="R317" s="6">
        <v>34.950949000000001</v>
      </c>
      <c r="S317" s="6">
        <v>34.883485</v>
      </c>
      <c r="T317" s="6">
        <v>34.894556999999999</v>
      </c>
      <c r="U317" s="6">
        <v>34.950949000000001</v>
      </c>
      <c r="V317" s="6">
        <v>34.883485</v>
      </c>
    </row>
    <row r="318" spans="2:22">
      <c r="B318" s="6">
        <v>31023</v>
      </c>
      <c r="C318" s="6" t="s">
        <v>106</v>
      </c>
      <c r="D318" s="6">
        <v>20902</v>
      </c>
      <c r="E318" s="6" t="s">
        <v>53</v>
      </c>
      <c r="F318" s="6" t="s">
        <v>16</v>
      </c>
      <c r="G318" s="6" t="s">
        <v>1295</v>
      </c>
      <c r="H318" s="6">
        <v>20</v>
      </c>
      <c r="I318" s="6">
        <v>24</v>
      </c>
      <c r="J318" s="6">
        <v>24</v>
      </c>
      <c r="K318" s="6">
        <v>27.111111000000001</v>
      </c>
      <c r="L318" s="6">
        <v>25.059170999999999</v>
      </c>
      <c r="M318" s="6">
        <v>26.5625</v>
      </c>
      <c r="N318" s="6">
        <v>27.102803000000002</v>
      </c>
      <c r="O318" s="6">
        <v>26.100322999999999</v>
      </c>
      <c r="P318" s="6">
        <v>27.578899</v>
      </c>
      <c r="Q318" s="6">
        <v>27.102803000000002</v>
      </c>
      <c r="R318" s="6">
        <v>26.100322999999999</v>
      </c>
      <c r="S318" s="6">
        <v>27.558453</v>
      </c>
      <c r="T318" s="6">
        <v>26.737159999999999</v>
      </c>
      <c r="U318" s="6">
        <v>25.752351000000001</v>
      </c>
      <c r="V318" s="6">
        <v>27.323633000000001</v>
      </c>
    </row>
    <row r="319" spans="2:22">
      <c r="B319" s="6">
        <v>31023</v>
      </c>
      <c r="C319" s="6" t="s">
        <v>106</v>
      </c>
      <c r="D319" s="6">
        <v>20902</v>
      </c>
      <c r="E319" s="6" t="s">
        <v>53</v>
      </c>
      <c r="F319" s="6" t="s">
        <v>13</v>
      </c>
      <c r="G319" s="6" t="s">
        <v>14</v>
      </c>
      <c r="H319" s="6">
        <v>20</v>
      </c>
      <c r="I319" s="6">
        <v>18</v>
      </c>
      <c r="J319" s="6">
        <v>16.25</v>
      </c>
      <c r="K319" s="6">
        <v>18.635802000000002</v>
      </c>
      <c r="L319" s="6">
        <v>18.195121</v>
      </c>
      <c r="M319" s="6">
        <v>17.625368000000002</v>
      </c>
      <c r="N319" s="6">
        <v>19.181818</v>
      </c>
      <c r="O319" s="6">
        <v>19.119288999999998</v>
      </c>
      <c r="P319" s="6">
        <v>18.784502</v>
      </c>
      <c r="Q319" s="6">
        <v>19.181818</v>
      </c>
      <c r="R319" s="6">
        <v>19.101835999999999</v>
      </c>
      <c r="S319" s="6">
        <v>18.763134000000001</v>
      </c>
      <c r="T319" s="6">
        <v>19.181818</v>
      </c>
      <c r="U319" s="6">
        <v>19.101835999999999</v>
      </c>
      <c r="V319" s="6">
        <v>18.763134000000001</v>
      </c>
    </row>
    <row r="320" spans="2:22">
      <c r="B320" s="6">
        <v>31023</v>
      </c>
      <c r="C320" s="6" t="s">
        <v>106</v>
      </c>
      <c r="D320" s="6">
        <v>20906</v>
      </c>
      <c r="E320" s="6" t="s">
        <v>48</v>
      </c>
      <c r="F320" s="6" t="s">
        <v>49</v>
      </c>
      <c r="G320" s="6" t="s">
        <v>1296</v>
      </c>
      <c r="H320" s="6">
        <v>17</v>
      </c>
      <c r="I320" s="6">
        <v>17.3</v>
      </c>
      <c r="J320" s="6">
        <v>17.941175999999999</v>
      </c>
      <c r="K320" s="6">
        <v>16.992394999999998</v>
      </c>
      <c r="L320" s="6">
        <v>16.951830000000001</v>
      </c>
      <c r="M320" s="6">
        <v>17.405908</v>
      </c>
      <c r="N320" s="6">
        <v>17.016705999999999</v>
      </c>
      <c r="O320" s="6">
        <v>16.954350000000002</v>
      </c>
      <c r="P320" s="6">
        <v>17.537869000000001</v>
      </c>
      <c r="Q320" s="6">
        <v>17.016335999999999</v>
      </c>
      <c r="R320" s="6">
        <v>16.958155999999999</v>
      </c>
      <c r="S320" s="6">
        <v>17.538882000000001</v>
      </c>
      <c r="T320" s="6">
        <v>17.016335999999999</v>
      </c>
      <c r="U320" s="6">
        <v>16.958155999999999</v>
      </c>
      <c r="V320" s="6">
        <v>17.538882000000001</v>
      </c>
    </row>
    <row r="321" spans="2:22">
      <c r="B321" s="6">
        <v>31024</v>
      </c>
      <c r="C321" s="6" t="s">
        <v>107</v>
      </c>
      <c r="D321" s="6">
        <v>20500</v>
      </c>
      <c r="E321" s="6" t="s">
        <v>31</v>
      </c>
      <c r="F321" s="6" t="s">
        <v>17</v>
      </c>
      <c r="G321" s="6" t="s">
        <v>1294</v>
      </c>
      <c r="H321" s="6">
        <v>27</v>
      </c>
      <c r="I321" s="6">
        <v>27</v>
      </c>
      <c r="J321" s="6">
        <v>27</v>
      </c>
      <c r="K321" s="6">
        <v>26.179282000000001</v>
      </c>
      <c r="L321" s="6">
        <v>26.186138</v>
      </c>
      <c r="M321" s="6">
        <v>25.935728999999998</v>
      </c>
      <c r="N321" s="6">
        <v>26.108958000000001</v>
      </c>
      <c r="O321" s="6">
        <v>26.328648000000001</v>
      </c>
      <c r="P321" s="6">
        <v>26.003786000000002</v>
      </c>
      <c r="Q321" s="6">
        <v>26.101534000000001</v>
      </c>
      <c r="R321" s="6">
        <v>26.316153</v>
      </c>
      <c r="S321" s="6">
        <v>25.991613999999998</v>
      </c>
      <c r="T321" s="6">
        <v>25.645997000000001</v>
      </c>
      <c r="U321" s="6">
        <v>25.223958</v>
      </c>
      <c r="V321" s="6">
        <v>24.770192999999999</v>
      </c>
    </row>
    <row r="322" spans="2:22">
      <c r="B322" s="6">
        <v>31024</v>
      </c>
      <c r="C322" s="6" t="s">
        <v>107</v>
      </c>
      <c r="D322" s="6">
        <v>20702</v>
      </c>
      <c r="E322" s="6" t="s">
        <v>44</v>
      </c>
      <c r="F322" s="6" t="s">
        <v>17</v>
      </c>
      <c r="G322" s="6" t="s">
        <v>1294</v>
      </c>
      <c r="H322" s="6">
        <v>35</v>
      </c>
      <c r="I322" s="6">
        <v>35</v>
      </c>
      <c r="J322" s="6">
        <v>35</v>
      </c>
      <c r="K322" s="6">
        <v>34.902597</v>
      </c>
      <c r="L322" s="6">
        <v>34.946427999999997</v>
      </c>
      <c r="M322" s="6">
        <v>34.934041999999998</v>
      </c>
      <c r="N322" s="6">
        <v>34.893103000000004</v>
      </c>
      <c r="O322" s="6">
        <v>34.949179999999998</v>
      </c>
      <c r="P322" s="6">
        <v>34.926701000000001</v>
      </c>
      <c r="Q322" s="6">
        <v>34.894556999999999</v>
      </c>
      <c r="R322" s="6">
        <v>34.950949000000001</v>
      </c>
      <c r="S322" s="6">
        <v>34.883485</v>
      </c>
      <c r="T322" s="6">
        <v>34.894556999999999</v>
      </c>
      <c r="U322" s="6">
        <v>34.950949000000001</v>
      </c>
      <c r="V322" s="6">
        <v>34.883485</v>
      </c>
    </row>
    <row r="323" spans="2:22">
      <c r="B323" s="6">
        <v>31024</v>
      </c>
      <c r="C323" s="6" t="s">
        <v>107</v>
      </c>
      <c r="D323" s="6">
        <v>20902</v>
      </c>
      <c r="E323" s="6" t="s">
        <v>53</v>
      </c>
      <c r="F323" s="6" t="s">
        <v>16</v>
      </c>
      <c r="G323" s="6" t="s">
        <v>1295</v>
      </c>
      <c r="H323" s="6">
        <v>30</v>
      </c>
      <c r="I323" s="6">
        <v>30</v>
      </c>
      <c r="J323" s="6">
        <v>30</v>
      </c>
      <c r="K323" s="6">
        <v>27.111111000000001</v>
      </c>
      <c r="L323" s="6">
        <v>25.059170999999999</v>
      </c>
      <c r="M323" s="6">
        <v>26.5625</v>
      </c>
      <c r="N323" s="6">
        <v>27.102803000000002</v>
      </c>
      <c r="O323" s="6">
        <v>26.100322999999999</v>
      </c>
      <c r="P323" s="6">
        <v>27.578899</v>
      </c>
      <c r="Q323" s="6">
        <v>27.102803000000002</v>
      </c>
      <c r="R323" s="6">
        <v>26.100322999999999</v>
      </c>
      <c r="S323" s="6">
        <v>27.558453</v>
      </c>
      <c r="T323" s="6">
        <v>26.737159999999999</v>
      </c>
      <c r="U323" s="6">
        <v>25.752351000000001</v>
      </c>
      <c r="V323" s="6">
        <v>27.323633000000001</v>
      </c>
    </row>
    <row r="324" spans="2:22">
      <c r="B324" s="6">
        <v>31024</v>
      </c>
      <c r="C324" s="6" t="s">
        <v>107</v>
      </c>
      <c r="D324" s="6">
        <v>20902</v>
      </c>
      <c r="E324" s="6" t="s">
        <v>53</v>
      </c>
      <c r="F324" s="6" t="s">
        <v>13</v>
      </c>
      <c r="G324" s="6" t="s">
        <v>14</v>
      </c>
      <c r="H324" s="6">
        <v>20</v>
      </c>
      <c r="I324" s="6">
        <v>20</v>
      </c>
      <c r="J324" s="6">
        <v>20.625</v>
      </c>
      <c r="K324" s="6">
        <v>18.635802000000002</v>
      </c>
      <c r="L324" s="6">
        <v>18.195121</v>
      </c>
      <c r="M324" s="6">
        <v>17.625368000000002</v>
      </c>
      <c r="N324" s="6">
        <v>19.181818</v>
      </c>
      <c r="O324" s="6">
        <v>19.119288999999998</v>
      </c>
      <c r="P324" s="6">
        <v>18.784502</v>
      </c>
      <c r="Q324" s="6">
        <v>19.181818</v>
      </c>
      <c r="R324" s="6">
        <v>19.101835999999999</v>
      </c>
      <c r="S324" s="6">
        <v>18.763134000000001</v>
      </c>
      <c r="T324" s="6">
        <v>19.181818</v>
      </c>
      <c r="U324" s="6">
        <v>19.101835999999999</v>
      </c>
      <c r="V324" s="6">
        <v>18.763134000000001</v>
      </c>
    </row>
    <row r="325" spans="2:22">
      <c r="B325" s="6">
        <v>31024</v>
      </c>
      <c r="C325" s="6" t="s">
        <v>107</v>
      </c>
      <c r="D325" s="6">
        <v>20906</v>
      </c>
      <c r="E325" s="6" t="s">
        <v>48</v>
      </c>
      <c r="F325" s="6" t="s">
        <v>49</v>
      </c>
      <c r="G325" s="6" t="s">
        <v>1296</v>
      </c>
      <c r="H325" s="6">
        <v>18</v>
      </c>
      <c r="I325" s="6">
        <v>17.399999999999999</v>
      </c>
      <c r="J325" s="6">
        <v>18</v>
      </c>
      <c r="K325" s="6">
        <v>16.992394999999998</v>
      </c>
      <c r="L325" s="6">
        <v>16.951830000000001</v>
      </c>
      <c r="M325" s="6">
        <v>17.405908</v>
      </c>
      <c r="N325" s="6">
        <v>17.016705999999999</v>
      </c>
      <c r="O325" s="6">
        <v>16.954350000000002</v>
      </c>
      <c r="P325" s="6">
        <v>17.537869000000001</v>
      </c>
      <c r="Q325" s="6">
        <v>17.016335999999999</v>
      </c>
      <c r="R325" s="6">
        <v>16.958155999999999</v>
      </c>
      <c r="S325" s="6">
        <v>17.538882000000001</v>
      </c>
      <c r="T325" s="6">
        <v>17.016335999999999</v>
      </c>
      <c r="U325" s="6">
        <v>16.958155999999999</v>
      </c>
      <c r="V325" s="6">
        <v>17.538882000000001</v>
      </c>
    </row>
    <row r="326" spans="2:22">
      <c r="B326" s="6">
        <v>31025</v>
      </c>
      <c r="C326" s="6" t="s">
        <v>108</v>
      </c>
      <c r="D326" s="6">
        <v>20500</v>
      </c>
      <c r="E326" s="6" t="s">
        <v>31</v>
      </c>
      <c r="F326" s="6" t="s">
        <v>17</v>
      </c>
      <c r="G326" s="6" t="s">
        <v>1294</v>
      </c>
      <c r="H326" s="6">
        <v>27</v>
      </c>
      <c r="I326" s="6">
        <v>27</v>
      </c>
      <c r="J326" s="6">
        <v>27</v>
      </c>
      <c r="K326" s="6">
        <v>26.179282000000001</v>
      </c>
      <c r="L326" s="6">
        <v>26.186138</v>
      </c>
      <c r="M326" s="6">
        <v>25.935728999999998</v>
      </c>
      <c r="N326" s="6">
        <v>26.108958000000001</v>
      </c>
      <c r="O326" s="6">
        <v>26.328648000000001</v>
      </c>
      <c r="P326" s="6">
        <v>26.003786000000002</v>
      </c>
      <c r="Q326" s="6">
        <v>26.101534000000001</v>
      </c>
      <c r="R326" s="6">
        <v>26.316153</v>
      </c>
      <c r="S326" s="6">
        <v>25.991613999999998</v>
      </c>
      <c r="T326" s="6">
        <v>25.645997000000001</v>
      </c>
      <c r="U326" s="6">
        <v>25.223958</v>
      </c>
      <c r="V326" s="6">
        <v>24.770192999999999</v>
      </c>
    </row>
    <row r="327" spans="2:22">
      <c r="B327" s="6">
        <v>31025</v>
      </c>
      <c r="C327" s="6" t="s">
        <v>108</v>
      </c>
      <c r="D327" s="6">
        <v>20702</v>
      </c>
      <c r="E327" s="6" t="s">
        <v>44</v>
      </c>
      <c r="F327" s="6" t="s">
        <v>17</v>
      </c>
      <c r="G327" s="6" t="s">
        <v>1294</v>
      </c>
      <c r="H327" s="6">
        <v>35</v>
      </c>
      <c r="I327" s="6">
        <v>35</v>
      </c>
      <c r="J327" s="6">
        <v>35</v>
      </c>
      <c r="K327" s="6">
        <v>34.902597</v>
      </c>
      <c r="L327" s="6">
        <v>34.946427999999997</v>
      </c>
      <c r="M327" s="6">
        <v>34.934041999999998</v>
      </c>
      <c r="N327" s="6">
        <v>34.893103000000004</v>
      </c>
      <c r="O327" s="6">
        <v>34.949179999999998</v>
      </c>
      <c r="P327" s="6">
        <v>34.926701000000001</v>
      </c>
      <c r="Q327" s="6">
        <v>34.894556999999999</v>
      </c>
      <c r="R327" s="6">
        <v>34.950949000000001</v>
      </c>
      <c r="S327" s="6">
        <v>34.883485</v>
      </c>
      <c r="T327" s="6">
        <v>34.894556999999999</v>
      </c>
      <c r="U327" s="6">
        <v>34.950949000000001</v>
      </c>
      <c r="V327" s="6">
        <v>34.883485</v>
      </c>
    </row>
    <row r="328" spans="2:22">
      <c r="B328" s="6">
        <v>31025</v>
      </c>
      <c r="C328" s="6" t="s">
        <v>108</v>
      </c>
      <c r="D328" s="6">
        <v>20902</v>
      </c>
      <c r="E328" s="6" t="s">
        <v>53</v>
      </c>
      <c r="F328" s="6" t="s">
        <v>16</v>
      </c>
      <c r="G328" s="6" t="s">
        <v>1295</v>
      </c>
      <c r="H328" s="6">
        <v>30</v>
      </c>
      <c r="I328" s="6">
        <v>30</v>
      </c>
      <c r="J328" s="6">
        <v>30</v>
      </c>
      <c r="K328" s="6">
        <v>27.111111000000001</v>
      </c>
      <c r="L328" s="6">
        <v>25.059170999999999</v>
      </c>
      <c r="M328" s="6">
        <v>26.5625</v>
      </c>
      <c r="N328" s="6">
        <v>27.102803000000002</v>
      </c>
      <c r="O328" s="6">
        <v>26.100322999999999</v>
      </c>
      <c r="P328" s="6">
        <v>27.578899</v>
      </c>
      <c r="Q328" s="6">
        <v>27.102803000000002</v>
      </c>
      <c r="R328" s="6">
        <v>26.100322999999999</v>
      </c>
      <c r="S328" s="6">
        <v>27.558453</v>
      </c>
      <c r="T328" s="6">
        <v>26.737159999999999</v>
      </c>
      <c r="U328" s="6">
        <v>25.752351000000001</v>
      </c>
      <c r="V328" s="6">
        <v>27.323633000000001</v>
      </c>
    </row>
    <row r="329" spans="2:22">
      <c r="B329" s="6">
        <v>31025</v>
      </c>
      <c r="C329" s="6" t="s">
        <v>108</v>
      </c>
      <c r="D329" s="6">
        <v>20902</v>
      </c>
      <c r="E329" s="6" t="s">
        <v>53</v>
      </c>
      <c r="F329" s="6" t="s">
        <v>13</v>
      </c>
      <c r="G329" s="6" t="s">
        <v>14</v>
      </c>
      <c r="H329" s="6">
        <v>20</v>
      </c>
      <c r="I329" s="6">
        <v>20</v>
      </c>
      <c r="J329" s="6">
        <v>20</v>
      </c>
      <c r="K329" s="6">
        <v>18.635802000000002</v>
      </c>
      <c r="L329" s="6">
        <v>18.195121</v>
      </c>
      <c r="M329" s="6">
        <v>17.625368000000002</v>
      </c>
      <c r="N329" s="6">
        <v>19.181818</v>
      </c>
      <c r="O329" s="6">
        <v>19.119288999999998</v>
      </c>
      <c r="P329" s="6">
        <v>18.784502</v>
      </c>
      <c r="Q329" s="6">
        <v>19.181818</v>
      </c>
      <c r="R329" s="6">
        <v>19.101835999999999</v>
      </c>
      <c r="S329" s="6">
        <v>18.763134000000001</v>
      </c>
      <c r="T329" s="6">
        <v>19.181818</v>
      </c>
      <c r="U329" s="6">
        <v>19.101835999999999</v>
      </c>
      <c r="V329" s="6">
        <v>18.763134000000001</v>
      </c>
    </row>
    <row r="330" spans="2:22">
      <c r="B330" s="6">
        <v>31025</v>
      </c>
      <c r="C330" s="6" t="s">
        <v>108</v>
      </c>
      <c r="D330" s="6">
        <v>20906</v>
      </c>
      <c r="E330" s="6" t="s">
        <v>48</v>
      </c>
      <c r="F330" s="6" t="s">
        <v>49</v>
      </c>
      <c r="G330" s="6" t="s">
        <v>1296</v>
      </c>
      <c r="H330" s="6">
        <v>17</v>
      </c>
      <c r="I330" s="6">
        <v>17</v>
      </c>
      <c r="J330" s="6">
        <v>17.435897000000001</v>
      </c>
      <c r="K330" s="6">
        <v>16.992394999999998</v>
      </c>
      <c r="L330" s="6">
        <v>16.951830000000001</v>
      </c>
      <c r="M330" s="6">
        <v>17.405908</v>
      </c>
      <c r="N330" s="6">
        <v>17.016705999999999</v>
      </c>
      <c r="O330" s="6">
        <v>16.954350000000002</v>
      </c>
      <c r="P330" s="6">
        <v>17.537869000000001</v>
      </c>
      <c r="Q330" s="6">
        <v>17.016335999999999</v>
      </c>
      <c r="R330" s="6">
        <v>16.958155999999999</v>
      </c>
      <c r="S330" s="6">
        <v>17.538882000000001</v>
      </c>
      <c r="T330" s="6">
        <v>17.016335999999999</v>
      </c>
      <c r="U330" s="6">
        <v>16.958155999999999</v>
      </c>
      <c r="V330" s="6">
        <v>17.538882000000001</v>
      </c>
    </row>
    <row r="331" spans="2:22">
      <c r="B331" s="6">
        <v>31026</v>
      </c>
      <c r="C331" s="6" t="s">
        <v>109</v>
      </c>
      <c r="D331" s="6">
        <v>20500</v>
      </c>
      <c r="E331" s="6" t="s">
        <v>31</v>
      </c>
      <c r="F331" s="6" t="s">
        <v>17</v>
      </c>
      <c r="G331" s="6" t="s">
        <v>1294</v>
      </c>
      <c r="H331" s="6">
        <v>0</v>
      </c>
      <c r="I331" s="6">
        <v>27</v>
      </c>
      <c r="J331" s="6">
        <v>27</v>
      </c>
      <c r="K331" s="6">
        <v>26.179282000000001</v>
      </c>
      <c r="L331" s="6">
        <v>26.186138</v>
      </c>
      <c r="M331" s="6">
        <v>25.935728999999998</v>
      </c>
      <c r="N331" s="6">
        <v>26.108958000000001</v>
      </c>
      <c r="O331" s="6">
        <v>26.328648000000001</v>
      </c>
      <c r="P331" s="6">
        <v>26.003786000000002</v>
      </c>
      <c r="Q331" s="6">
        <v>26.101534000000001</v>
      </c>
      <c r="R331" s="6">
        <v>26.316153</v>
      </c>
      <c r="S331" s="6">
        <v>25.991613999999998</v>
      </c>
      <c r="T331" s="6">
        <v>25.645997000000001</v>
      </c>
      <c r="U331" s="6">
        <v>25.223958</v>
      </c>
      <c r="V331" s="6">
        <v>24.770192999999999</v>
      </c>
    </row>
    <row r="332" spans="2:22">
      <c r="B332" s="6">
        <v>31026</v>
      </c>
      <c r="C332" s="6" t="s">
        <v>109</v>
      </c>
      <c r="D332" s="6">
        <v>20702</v>
      </c>
      <c r="E332" s="6" t="s">
        <v>44</v>
      </c>
      <c r="F332" s="6" t="s">
        <v>17</v>
      </c>
      <c r="G332" s="6" t="s">
        <v>1294</v>
      </c>
      <c r="H332" s="6">
        <v>0</v>
      </c>
      <c r="I332" s="6">
        <v>35</v>
      </c>
      <c r="J332" s="6">
        <v>35</v>
      </c>
      <c r="K332" s="6">
        <v>34.902597</v>
      </c>
      <c r="L332" s="6">
        <v>34.946427999999997</v>
      </c>
      <c r="M332" s="6">
        <v>34.934041999999998</v>
      </c>
      <c r="N332" s="6">
        <v>34.893103000000004</v>
      </c>
      <c r="O332" s="6">
        <v>34.949179999999998</v>
      </c>
      <c r="P332" s="6">
        <v>34.926701000000001</v>
      </c>
      <c r="Q332" s="6">
        <v>34.894556999999999</v>
      </c>
      <c r="R332" s="6">
        <v>34.950949000000001</v>
      </c>
      <c r="S332" s="6">
        <v>34.883485</v>
      </c>
      <c r="T332" s="6">
        <v>34.894556999999999</v>
      </c>
      <c r="U332" s="6">
        <v>34.950949000000001</v>
      </c>
      <c r="V332" s="6">
        <v>34.883485</v>
      </c>
    </row>
    <row r="333" spans="2:22">
      <c r="B333" s="6">
        <v>31026</v>
      </c>
      <c r="C333" s="6" t="s">
        <v>109</v>
      </c>
      <c r="D333" s="6">
        <v>20902</v>
      </c>
      <c r="E333" s="6" t="s">
        <v>53</v>
      </c>
      <c r="F333" s="6" t="s">
        <v>16</v>
      </c>
      <c r="G333" s="6" t="s">
        <v>1295</v>
      </c>
      <c r="H333" s="6">
        <v>0</v>
      </c>
      <c r="I333" s="6">
        <v>0</v>
      </c>
      <c r="J333" s="6">
        <v>30</v>
      </c>
      <c r="K333" s="6">
        <v>27.111111000000001</v>
      </c>
      <c r="L333" s="6">
        <v>25.059170999999999</v>
      </c>
      <c r="M333" s="6">
        <v>26.5625</v>
      </c>
      <c r="N333" s="6">
        <v>27.102803000000002</v>
      </c>
      <c r="O333" s="6">
        <v>26.100322999999999</v>
      </c>
      <c r="P333" s="6">
        <v>27.578899</v>
      </c>
      <c r="Q333" s="6">
        <v>27.102803000000002</v>
      </c>
      <c r="R333" s="6">
        <v>26.100322999999999</v>
      </c>
      <c r="S333" s="6">
        <v>27.558453</v>
      </c>
      <c r="T333" s="6">
        <v>26.737159999999999</v>
      </c>
      <c r="U333" s="6">
        <v>25.752351000000001</v>
      </c>
      <c r="V333" s="6">
        <v>27.323633000000001</v>
      </c>
    </row>
    <row r="334" spans="2:22">
      <c r="B334" s="6">
        <v>31026</v>
      </c>
      <c r="C334" s="6" t="s">
        <v>109</v>
      </c>
      <c r="D334" s="6">
        <v>20902</v>
      </c>
      <c r="E334" s="6" t="s">
        <v>53</v>
      </c>
      <c r="F334" s="6" t="s">
        <v>13</v>
      </c>
      <c r="G334" s="6" t="s">
        <v>14</v>
      </c>
      <c r="H334" s="6">
        <v>0</v>
      </c>
      <c r="I334" s="6">
        <v>20</v>
      </c>
      <c r="J334" s="6">
        <v>20</v>
      </c>
      <c r="K334" s="6">
        <v>18.635802000000002</v>
      </c>
      <c r="L334" s="6">
        <v>18.195121</v>
      </c>
      <c r="M334" s="6">
        <v>17.625368000000002</v>
      </c>
      <c r="N334" s="6">
        <v>19.181818</v>
      </c>
      <c r="O334" s="6">
        <v>19.119288999999998</v>
      </c>
      <c r="P334" s="6">
        <v>18.784502</v>
      </c>
      <c r="Q334" s="6">
        <v>19.181818</v>
      </c>
      <c r="R334" s="6">
        <v>19.101835999999999</v>
      </c>
      <c r="S334" s="6">
        <v>18.763134000000001</v>
      </c>
      <c r="T334" s="6">
        <v>19.181818</v>
      </c>
      <c r="U334" s="6">
        <v>19.101835999999999</v>
      </c>
      <c r="V334" s="6">
        <v>18.763134000000001</v>
      </c>
    </row>
    <row r="335" spans="2:22">
      <c r="B335" s="6">
        <v>31026</v>
      </c>
      <c r="C335" s="6" t="s">
        <v>109</v>
      </c>
      <c r="D335" s="6">
        <v>20906</v>
      </c>
      <c r="E335" s="6" t="s">
        <v>48</v>
      </c>
      <c r="F335" s="6" t="s">
        <v>49</v>
      </c>
      <c r="G335" s="6" t="s">
        <v>1296</v>
      </c>
      <c r="H335" s="6">
        <v>0</v>
      </c>
      <c r="I335" s="6">
        <v>17</v>
      </c>
      <c r="J335" s="6">
        <v>18.5</v>
      </c>
      <c r="K335" s="6">
        <v>16.992394999999998</v>
      </c>
      <c r="L335" s="6">
        <v>16.951830000000001</v>
      </c>
      <c r="M335" s="6">
        <v>17.405908</v>
      </c>
      <c r="N335" s="6">
        <v>17.016705999999999</v>
      </c>
      <c r="O335" s="6">
        <v>16.954350000000002</v>
      </c>
      <c r="P335" s="6">
        <v>17.537869000000001</v>
      </c>
      <c r="Q335" s="6">
        <v>17.016335999999999</v>
      </c>
      <c r="R335" s="6">
        <v>16.958155999999999</v>
      </c>
      <c r="S335" s="6">
        <v>17.538882000000001</v>
      </c>
      <c r="T335" s="6">
        <v>17.016335999999999</v>
      </c>
      <c r="U335" s="6">
        <v>16.958155999999999</v>
      </c>
      <c r="V335" s="6">
        <v>17.538882000000001</v>
      </c>
    </row>
    <row r="336" spans="2:22">
      <c r="B336" s="6">
        <v>31123</v>
      </c>
      <c r="C336" s="6" t="s">
        <v>50</v>
      </c>
      <c r="D336" s="6">
        <v>20500</v>
      </c>
      <c r="E336" s="6" t="s">
        <v>31</v>
      </c>
      <c r="F336" s="6" t="s">
        <v>17</v>
      </c>
      <c r="G336" s="6" t="s">
        <v>1294</v>
      </c>
      <c r="H336" s="6">
        <v>27</v>
      </c>
      <c r="I336" s="6">
        <v>27</v>
      </c>
      <c r="J336" s="6">
        <v>27</v>
      </c>
      <c r="K336" s="6">
        <v>27</v>
      </c>
      <c r="L336" s="6">
        <v>27</v>
      </c>
      <c r="M336" s="6">
        <v>27</v>
      </c>
      <c r="N336" s="6">
        <v>25.809522999999999</v>
      </c>
      <c r="O336" s="6">
        <v>25.59375</v>
      </c>
      <c r="P336" s="6">
        <v>25.235294</v>
      </c>
      <c r="Q336" s="6">
        <v>26.101534000000001</v>
      </c>
      <c r="R336" s="6">
        <v>26.316153</v>
      </c>
      <c r="S336" s="6">
        <v>25.991613999999998</v>
      </c>
      <c r="T336" s="6">
        <v>25.645997000000001</v>
      </c>
      <c r="U336" s="6">
        <v>25.223958</v>
      </c>
      <c r="V336" s="6">
        <v>24.770192999999999</v>
      </c>
    </row>
    <row r="337" spans="2:22">
      <c r="B337" s="6">
        <v>31123</v>
      </c>
      <c r="C337" s="6" t="s">
        <v>50</v>
      </c>
      <c r="D337" s="6">
        <v>20601</v>
      </c>
      <c r="E337" s="6" t="s">
        <v>43</v>
      </c>
      <c r="F337" s="6" t="s">
        <v>13</v>
      </c>
      <c r="G337" s="6" t="s">
        <v>14</v>
      </c>
      <c r="H337" s="6">
        <v>20</v>
      </c>
      <c r="I337" s="6">
        <v>20</v>
      </c>
      <c r="J337" s="6">
        <v>20</v>
      </c>
      <c r="K337" s="6">
        <v>20</v>
      </c>
      <c r="L337" s="6">
        <v>20</v>
      </c>
      <c r="M337" s="6">
        <v>20</v>
      </c>
      <c r="N337" s="6">
        <v>19.047619000000001</v>
      </c>
      <c r="O337" s="6">
        <v>18.378378000000001</v>
      </c>
      <c r="P337" s="6">
        <v>18.8</v>
      </c>
      <c r="Q337" s="6">
        <v>19.047619000000001</v>
      </c>
      <c r="R337" s="6">
        <v>18.378378000000001</v>
      </c>
      <c r="S337" s="6">
        <v>18.8</v>
      </c>
      <c r="T337" s="6">
        <v>19.047619000000001</v>
      </c>
      <c r="U337" s="6">
        <v>18.378378000000001</v>
      </c>
      <c r="V337" s="6">
        <v>18.8</v>
      </c>
    </row>
    <row r="338" spans="2:22">
      <c r="B338" s="6">
        <v>31123</v>
      </c>
      <c r="C338" s="6" t="s">
        <v>50</v>
      </c>
      <c r="D338" s="6">
        <v>20704</v>
      </c>
      <c r="E338" s="6" t="s">
        <v>47</v>
      </c>
      <c r="F338" s="6" t="s">
        <v>17</v>
      </c>
      <c r="G338" s="6" t="s">
        <v>1294</v>
      </c>
      <c r="H338" s="6">
        <v>30</v>
      </c>
      <c r="I338" s="6">
        <v>30</v>
      </c>
      <c r="J338" s="6">
        <v>30</v>
      </c>
      <c r="K338" s="6">
        <v>30</v>
      </c>
      <c r="L338" s="6">
        <v>30</v>
      </c>
      <c r="M338" s="6">
        <v>30</v>
      </c>
      <c r="N338" s="6">
        <v>30</v>
      </c>
      <c r="O338" s="6">
        <v>30</v>
      </c>
      <c r="P338" s="6">
        <v>30</v>
      </c>
      <c r="Q338" s="6">
        <v>30</v>
      </c>
      <c r="R338" s="6">
        <v>30</v>
      </c>
      <c r="S338" s="6">
        <v>30</v>
      </c>
      <c r="T338" s="6">
        <v>30</v>
      </c>
      <c r="U338" s="6">
        <v>30</v>
      </c>
      <c r="V338" s="6">
        <v>30</v>
      </c>
    </row>
    <row r="339" spans="2:22">
      <c r="B339" s="6">
        <v>31123</v>
      </c>
      <c r="C339" s="6" t="s">
        <v>50</v>
      </c>
      <c r="D339" s="6">
        <v>20906</v>
      </c>
      <c r="E339" s="6" t="s">
        <v>48</v>
      </c>
      <c r="F339" s="6" t="s">
        <v>49</v>
      </c>
      <c r="G339" s="6" t="s">
        <v>1296</v>
      </c>
      <c r="H339" s="6">
        <v>17</v>
      </c>
      <c r="I339" s="6">
        <v>17</v>
      </c>
      <c r="J339" s="6">
        <v>18.100000000000001</v>
      </c>
      <c r="K339" s="6">
        <v>17</v>
      </c>
      <c r="L339" s="6">
        <v>17.600000000000001</v>
      </c>
      <c r="M339" s="6">
        <v>18</v>
      </c>
      <c r="N339" s="6">
        <v>17</v>
      </c>
      <c r="O339" s="6">
        <v>17.230768999999999</v>
      </c>
      <c r="P339" s="6">
        <v>17.613636</v>
      </c>
      <c r="Q339" s="6">
        <v>17.016335999999999</v>
      </c>
      <c r="R339" s="6">
        <v>16.958155999999999</v>
      </c>
      <c r="S339" s="6">
        <v>17.538882000000001</v>
      </c>
      <c r="T339" s="6">
        <v>17.016335999999999</v>
      </c>
      <c r="U339" s="6">
        <v>16.958155999999999</v>
      </c>
      <c r="V339" s="6">
        <v>17.538882000000001</v>
      </c>
    </row>
    <row r="340" spans="2:22">
      <c r="B340" s="6">
        <v>31216</v>
      </c>
      <c r="C340" s="6" t="s">
        <v>464</v>
      </c>
      <c r="D340" s="6">
        <v>20500</v>
      </c>
      <c r="E340" s="6" t="s">
        <v>31</v>
      </c>
      <c r="F340" s="6" t="s">
        <v>17</v>
      </c>
      <c r="G340" s="6" t="s">
        <v>1294</v>
      </c>
      <c r="H340" s="6">
        <v>0</v>
      </c>
      <c r="I340" s="6">
        <v>22</v>
      </c>
      <c r="J340" s="6">
        <v>22</v>
      </c>
      <c r="K340" s="6">
        <v>24.727271999999999</v>
      </c>
      <c r="L340" s="6">
        <v>24.631578000000001</v>
      </c>
      <c r="M340" s="6">
        <v>24.096774</v>
      </c>
      <c r="N340" s="6">
        <v>25.809522999999999</v>
      </c>
      <c r="O340" s="6">
        <v>25.59375</v>
      </c>
      <c r="P340" s="6">
        <v>25.235294</v>
      </c>
      <c r="Q340" s="6">
        <v>26.101534000000001</v>
      </c>
      <c r="R340" s="6">
        <v>26.316153</v>
      </c>
      <c r="S340" s="6">
        <v>25.991613999999998</v>
      </c>
      <c r="T340" s="6">
        <v>25.645997000000001</v>
      </c>
      <c r="U340" s="6">
        <v>25.223958</v>
      </c>
      <c r="V340" s="6">
        <v>24.770192999999999</v>
      </c>
    </row>
    <row r="341" spans="2:22">
      <c r="B341" s="6">
        <v>31216</v>
      </c>
      <c r="C341" s="6" t="s">
        <v>464</v>
      </c>
      <c r="D341" s="6">
        <v>20601</v>
      </c>
      <c r="E341" s="6" t="s">
        <v>43</v>
      </c>
      <c r="F341" s="6" t="s">
        <v>13</v>
      </c>
      <c r="G341" s="6" t="s">
        <v>14</v>
      </c>
      <c r="H341" s="6">
        <v>0</v>
      </c>
      <c r="I341" s="6">
        <v>20</v>
      </c>
      <c r="J341" s="6">
        <v>20</v>
      </c>
      <c r="K341" s="6">
        <v>20</v>
      </c>
      <c r="L341" s="6">
        <v>18.181818</v>
      </c>
      <c r="M341" s="6">
        <v>18.571428000000001</v>
      </c>
      <c r="N341" s="6">
        <v>19.047619000000001</v>
      </c>
      <c r="O341" s="6">
        <v>18.378378000000001</v>
      </c>
      <c r="P341" s="6">
        <v>18.8</v>
      </c>
      <c r="Q341" s="6">
        <v>19.047619000000001</v>
      </c>
      <c r="R341" s="6">
        <v>18.378378000000001</v>
      </c>
      <c r="S341" s="6">
        <v>18.8</v>
      </c>
      <c r="T341" s="6">
        <v>19.047619000000001</v>
      </c>
      <c r="U341" s="6">
        <v>18.378378000000001</v>
      </c>
      <c r="V341" s="6">
        <v>18.8</v>
      </c>
    </row>
    <row r="342" spans="2:22">
      <c r="B342" s="6">
        <v>31216</v>
      </c>
      <c r="C342" s="6" t="s">
        <v>464</v>
      </c>
      <c r="D342" s="6">
        <v>20700</v>
      </c>
      <c r="E342" s="6" t="s">
        <v>15</v>
      </c>
      <c r="F342" s="6" t="s">
        <v>17</v>
      </c>
      <c r="G342" s="6" t="s">
        <v>1294</v>
      </c>
      <c r="H342" s="6">
        <v>0</v>
      </c>
      <c r="I342" s="6">
        <v>40</v>
      </c>
      <c r="J342" s="6">
        <v>40</v>
      </c>
      <c r="K342" s="6">
        <v>0</v>
      </c>
      <c r="L342" s="6">
        <v>40</v>
      </c>
      <c r="M342" s="6">
        <v>40</v>
      </c>
      <c r="N342" s="6">
        <v>0</v>
      </c>
      <c r="O342" s="6">
        <v>40</v>
      </c>
      <c r="P342" s="6">
        <v>40</v>
      </c>
      <c r="Q342" s="6">
        <v>35.125</v>
      </c>
      <c r="R342" s="6">
        <v>35.188679</v>
      </c>
      <c r="S342" s="6">
        <v>35.358490000000003</v>
      </c>
      <c r="T342" s="6">
        <v>37.594695999999999</v>
      </c>
      <c r="U342" s="6">
        <v>37.122718999999996</v>
      </c>
      <c r="V342" s="6">
        <v>37.548872000000003</v>
      </c>
    </row>
    <row r="343" spans="2:22">
      <c r="B343" s="6">
        <v>31217</v>
      </c>
      <c r="C343" s="6" t="s">
        <v>494</v>
      </c>
      <c r="D343" s="6">
        <v>20500</v>
      </c>
      <c r="E343" s="6" t="s">
        <v>31</v>
      </c>
      <c r="F343" s="6" t="s">
        <v>17</v>
      </c>
      <c r="G343" s="6" t="s">
        <v>1294</v>
      </c>
      <c r="H343" s="6">
        <v>0</v>
      </c>
      <c r="I343" s="6">
        <v>22</v>
      </c>
      <c r="J343" s="6">
        <v>22</v>
      </c>
      <c r="K343" s="6">
        <v>24.727271999999999</v>
      </c>
      <c r="L343" s="6">
        <v>24.631578000000001</v>
      </c>
      <c r="M343" s="6">
        <v>24.096774</v>
      </c>
      <c r="N343" s="6">
        <v>25.809522999999999</v>
      </c>
      <c r="O343" s="6">
        <v>25.59375</v>
      </c>
      <c r="P343" s="6">
        <v>25.235294</v>
      </c>
      <c r="Q343" s="6">
        <v>26.101534000000001</v>
      </c>
      <c r="R343" s="6">
        <v>26.316153</v>
      </c>
      <c r="S343" s="6">
        <v>25.991613999999998</v>
      </c>
      <c r="T343" s="6">
        <v>25.645997000000001</v>
      </c>
      <c r="U343" s="6">
        <v>25.223958</v>
      </c>
      <c r="V343" s="6">
        <v>24.770192999999999</v>
      </c>
    </row>
    <row r="344" spans="2:22">
      <c r="B344" s="6">
        <v>31217</v>
      </c>
      <c r="C344" s="6" t="s">
        <v>494</v>
      </c>
      <c r="D344" s="6">
        <v>20601</v>
      </c>
      <c r="E344" s="6" t="s">
        <v>43</v>
      </c>
      <c r="F344" s="6" t="s">
        <v>13</v>
      </c>
      <c r="G344" s="6" t="s">
        <v>14</v>
      </c>
      <c r="H344" s="6">
        <v>0</v>
      </c>
      <c r="I344" s="6">
        <v>20</v>
      </c>
      <c r="J344" s="6">
        <v>20</v>
      </c>
      <c r="K344" s="6">
        <v>20</v>
      </c>
      <c r="L344" s="6">
        <v>18.181818</v>
      </c>
      <c r="M344" s="6">
        <v>18.571428000000001</v>
      </c>
      <c r="N344" s="6">
        <v>19.047619000000001</v>
      </c>
      <c r="O344" s="6">
        <v>18.378378000000001</v>
      </c>
      <c r="P344" s="6">
        <v>18.8</v>
      </c>
      <c r="Q344" s="6">
        <v>19.047619000000001</v>
      </c>
      <c r="R344" s="6">
        <v>18.378378000000001</v>
      </c>
      <c r="S344" s="6">
        <v>18.8</v>
      </c>
      <c r="T344" s="6">
        <v>19.047619000000001</v>
      </c>
      <c r="U344" s="6">
        <v>18.378378000000001</v>
      </c>
      <c r="V344" s="6">
        <v>18.8</v>
      </c>
    </row>
    <row r="345" spans="2:22">
      <c r="B345" s="6">
        <v>31217</v>
      </c>
      <c r="C345" s="6" t="s">
        <v>494</v>
      </c>
      <c r="D345" s="6">
        <v>20702</v>
      </c>
      <c r="E345" s="6" t="s">
        <v>44</v>
      </c>
      <c r="F345" s="6" t="s">
        <v>17</v>
      </c>
      <c r="G345" s="6" t="s">
        <v>1294</v>
      </c>
      <c r="H345" s="6">
        <v>0</v>
      </c>
      <c r="I345" s="6">
        <v>35</v>
      </c>
      <c r="J345" s="6">
        <v>35</v>
      </c>
      <c r="K345" s="6">
        <v>0</v>
      </c>
      <c r="L345" s="6">
        <v>35</v>
      </c>
      <c r="M345" s="6">
        <v>33.200000000000003</v>
      </c>
      <c r="N345" s="6">
        <v>35</v>
      </c>
      <c r="O345" s="6">
        <v>35</v>
      </c>
      <c r="P345" s="6">
        <v>33.5</v>
      </c>
      <c r="Q345" s="6">
        <v>34.894556999999999</v>
      </c>
      <c r="R345" s="6">
        <v>34.950949000000001</v>
      </c>
      <c r="S345" s="6">
        <v>34.883485</v>
      </c>
      <c r="T345" s="6">
        <v>34.894556999999999</v>
      </c>
      <c r="U345" s="6">
        <v>34.950949000000001</v>
      </c>
      <c r="V345" s="6">
        <v>34.883485</v>
      </c>
    </row>
    <row r="346" spans="2:22">
      <c r="B346" s="6">
        <v>31243</v>
      </c>
      <c r="C346" s="6" t="s">
        <v>51</v>
      </c>
      <c r="D346" s="6">
        <v>20500</v>
      </c>
      <c r="E346" s="6" t="s">
        <v>31</v>
      </c>
      <c r="F346" s="6" t="s">
        <v>13</v>
      </c>
      <c r="G346" s="6" t="s">
        <v>14</v>
      </c>
      <c r="H346" s="6">
        <v>0</v>
      </c>
      <c r="I346" s="6">
        <v>0</v>
      </c>
      <c r="J346" s="6">
        <v>20</v>
      </c>
      <c r="K346" s="6">
        <v>0</v>
      </c>
      <c r="L346" s="6">
        <v>0</v>
      </c>
      <c r="M346" s="6">
        <v>20</v>
      </c>
      <c r="N346" s="6">
        <v>0</v>
      </c>
      <c r="O346" s="6">
        <v>0</v>
      </c>
      <c r="P346" s="6">
        <v>20</v>
      </c>
      <c r="Q346" s="6">
        <v>25</v>
      </c>
      <c r="R346" s="6">
        <v>22.5</v>
      </c>
      <c r="S346" s="6">
        <v>20.122949999999999</v>
      </c>
      <c r="T346" s="6">
        <v>28.409089999999999</v>
      </c>
      <c r="U346" s="6">
        <v>28.088235000000001</v>
      </c>
      <c r="V346" s="6">
        <v>22.096774</v>
      </c>
    </row>
    <row r="347" spans="2:22">
      <c r="B347" s="6">
        <v>31243</v>
      </c>
      <c r="C347" s="6" t="s">
        <v>51</v>
      </c>
      <c r="D347" s="6">
        <v>20500</v>
      </c>
      <c r="E347" s="6" t="s">
        <v>31</v>
      </c>
      <c r="F347" s="6" t="s">
        <v>17</v>
      </c>
      <c r="G347" s="6" t="s">
        <v>1294</v>
      </c>
      <c r="H347" s="6">
        <v>24.727271999999999</v>
      </c>
      <c r="I347" s="6">
        <v>24.857142</v>
      </c>
      <c r="J347" s="6">
        <v>24.291665999999999</v>
      </c>
      <c r="K347" s="6">
        <v>24.727271999999999</v>
      </c>
      <c r="L347" s="6">
        <v>24.631578000000001</v>
      </c>
      <c r="M347" s="6">
        <v>24.096774</v>
      </c>
      <c r="N347" s="6">
        <v>25.809522999999999</v>
      </c>
      <c r="O347" s="6">
        <v>25.59375</v>
      </c>
      <c r="P347" s="6">
        <v>25.235294</v>
      </c>
      <c r="Q347" s="6">
        <v>26.101534000000001</v>
      </c>
      <c r="R347" s="6">
        <v>26.316153</v>
      </c>
      <c r="S347" s="6">
        <v>25.991613999999998</v>
      </c>
      <c r="T347" s="6">
        <v>25.645997000000001</v>
      </c>
      <c r="U347" s="6">
        <v>25.223958</v>
      </c>
      <c r="V347" s="6">
        <v>24.770192999999999</v>
      </c>
    </row>
    <row r="348" spans="2:22">
      <c r="B348" s="6">
        <v>31243</v>
      </c>
      <c r="C348" s="6" t="s">
        <v>51</v>
      </c>
      <c r="D348" s="6">
        <v>20601</v>
      </c>
      <c r="E348" s="6" t="s">
        <v>43</v>
      </c>
      <c r="F348" s="6" t="s">
        <v>16</v>
      </c>
      <c r="G348" s="6" t="s">
        <v>1295</v>
      </c>
      <c r="H348" s="6">
        <v>30</v>
      </c>
      <c r="I348" s="6">
        <v>30</v>
      </c>
      <c r="J348" s="6">
        <v>30</v>
      </c>
      <c r="K348" s="6">
        <v>30</v>
      </c>
      <c r="L348" s="6">
        <v>30</v>
      </c>
      <c r="M348" s="6">
        <v>30</v>
      </c>
      <c r="N348" s="6">
        <v>30</v>
      </c>
      <c r="O348" s="6">
        <v>30</v>
      </c>
      <c r="P348" s="6">
        <v>30</v>
      </c>
      <c r="Q348" s="6">
        <v>30</v>
      </c>
      <c r="R348" s="6">
        <v>30</v>
      </c>
      <c r="S348" s="6">
        <v>30</v>
      </c>
      <c r="T348" s="6">
        <v>30</v>
      </c>
      <c r="U348" s="6">
        <v>30</v>
      </c>
      <c r="V348" s="6">
        <v>30</v>
      </c>
    </row>
    <row r="349" spans="2:22">
      <c r="B349" s="6">
        <v>31243</v>
      </c>
      <c r="C349" s="6" t="s">
        <v>51</v>
      </c>
      <c r="D349" s="6">
        <v>20601</v>
      </c>
      <c r="E349" s="6" t="s">
        <v>43</v>
      </c>
      <c r="F349" s="6" t="s">
        <v>13</v>
      </c>
      <c r="G349" s="6" t="s">
        <v>14</v>
      </c>
      <c r="H349" s="6">
        <v>20</v>
      </c>
      <c r="I349" s="6">
        <v>20</v>
      </c>
      <c r="J349" s="6">
        <v>20</v>
      </c>
      <c r="K349" s="6">
        <v>20</v>
      </c>
      <c r="L349" s="6">
        <v>18.181818</v>
      </c>
      <c r="M349" s="6">
        <v>18.571428000000001</v>
      </c>
      <c r="N349" s="6">
        <v>19.047619000000001</v>
      </c>
      <c r="O349" s="6">
        <v>18.378378000000001</v>
      </c>
      <c r="P349" s="6">
        <v>18.8</v>
      </c>
      <c r="Q349" s="6">
        <v>19.047619000000001</v>
      </c>
      <c r="R349" s="6">
        <v>18.378378000000001</v>
      </c>
      <c r="S349" s="6">
        <v>18.8</v>
      </c>
      <c r="T349" s="6">
        <v>19.047619000000001</v>
      </c>
      <c r="U349" s="6">
        <v>18.378378000000001</v>
      </c>
      <c r="V349" s="6">
        <v>18.8</v>
      </c>
    </row>
    <row r="350" spans="2:22">
      <c r="B350" s="6">
        <v>31243</v>
      </c>
      <c r="C350" s="6" t="s">
        <v>51</v>
      </c>
      <c r="D350" s="6">
        <v>20706</v>
      </c>
      <c r="E350" s="6" t="s">
        <v>52</v>
      </c>
      <c r="F350" s="6" t="s">
        <v>17</v>
      </c>
      <c r="G350" s="6" t="s">
        <v>1294</v>
      </c>
      <c r="H350" s="6">
        <v>40</v>
      </c>
      <c r="I350" s="6">
        <v>40</v>
      </c>
      <c r="J350" s="6">
        <v>40</v>
      </c>
      <c r="K350" s="6">
        <v>40</v>
      </c>
      <c r="L350" s="6">
        <v>40</v>
      </c>
      <c r="M350" s="6">
        <v>40</v>
      </c>
      <c r="N350" s="6">
        <v>40</v>
      </c>
      <c r="O350" s="6">
        <v>40</v>
      </c>
      <c r="P350" s="6">
        <v>40</v>
      </c>
      <c r="Q350" s="6">
        <v>39.963768000000002</v>
      </c>
      <c r="R350" s="6">
        <v>39.972496999999997</v>
      </c>
      <c r="S350" s="6">
        <v>39.969659999999998</v>
      </c>
      <c r="T350" s="6">
        <v>39.867787999999997</v>
      </c>
      <c r="U350" s="6">
        <v>39.928649</v>
      </c>
      <c r="V350" s="6">
        <v>39.945453999999998</v>
      </c>
    </row>
    <row r="351" spans="2:22">
      <c r="B351" s="6">
        <v>31243</v>
      </c>
      <c r="C351" s="6" t="s">
        <v>51</v>
      </c>
      <c r="D351" s="6">
        <v>20906</v>
      </c>
      <c r="E351" s="6" t="s">
        <v>48</v>
      </c>
      <c r="F351" s="6" t="s">
        <v>49</v>
      </c>
      <c r="G351" s="6" t="s">
        <v>1296</v>
      </c>
      <c r="H351" s="6">
        <v>17</v>
      </c>
      <c r="I351" s="6">
        <v>17</v>
      </c>
      <c r="J351" s="6">
        <v>17.399999999999999</v>
      </c>
      <c r="K351" s="6">
        <v>17</v>
      </c>
      <c r="L351" s="6">
        <v>17</v>
      </c>
      <c r="M351" s="6">
        <v>17.370370000000001</v>
      </c>
      <c r="N351" s="6">
        <v>17</v>
      </c>
      <c r="O351" s="6">
        <v>17.230768999999999</v>
      </c>
      <c r="P351" s="6">
        <v>17.613636</v>
      </c>
      <c r="Q351" s="6">
        <v>17.016335999999999</v>
      </c>
      <c r="R351" s="6">
        <v>16.958155999999999</v>
      </c>
      <c r="S351" s="6">
        <v>17.538882000000001</v>
      </c>
      <c r="T351" s="6">
        <v>17.016335999999999</v>
      </c>
      <c r="U351" s="6">
        <v>16.958155999999999</v>
      </c>
      <c r="V351" s="6">
        <v>17.538882000000001</v>
      </c>
    </row>
    <row r="352" spans="2:22">
      <c r="B352" s="6">
        <v>31244</v>
      </c>
      <c r="C352" s="6" t="s">
        <v>220</v>
      </c>
      <c r="D352" s="6">
        <v>20600</v>
      </c>
      <c r="E352" s="6" t="s">
        <v>32</v>
      </c>
      <c r="F352" s="6" t="s">
        <v>16</v>
      </c>
      <c r="G352" s="6" t="s">
        <v>1295</v>
      </c>
      <c r="H352" s="6">
        <v>50</v>
      </c>
      <c r="I352" s="6">
        <v>50</v>
      </c>
      <c r="J352" s="6">
        <v>50</v>
      </c>
      <c r="K352" s="6">
        <v>50</v>
      </c>
      <c r="L352" s="6">
        <v>50</v>
      </c>
      <c r="M352" s="6">
        <v>50</v>
      </c>
      <c r="N352" s="6">
        <v>50</v>
      </c>
      <c r="O352" s="6">
        <v>50</v>
      </c>
      <c r="P352" s="6">
        <v>50</v>
      </c>
      <c r="Q352" s="6">
        <v>50</v>
      </c>
      <c r="R352" s="6">
        <v>50</v>
      </c>
      <c r="S352" s="6">
        <v>50</v>
      </c>
      <c r="T352" s="6">
        <v>37.272727000000003</v>
      </c>
      <c r="U352" s="6">
        <v>35.853658000000003</v>
      </c>
      <c r="V352" s="6">
        <v>40.728476000000001</v>
      </c>
    </row>
    <row r="353" spans="2:22">
      <c r="B353" s="6">
        <v>31332</v>
      </c>
      <c r="C353" s="6" t="s">
        <v>1019</v>
      </c>
      <c r="D353" s="6">
        <v>12400</v>
      </c>
      <c r="E353" s="6" t="s">
        <v>217</v>
      </c>
      <c r="F353" s="6" t="s">
        <v>16</v>
      </c>
      <c r="G353" s="6" t="s">
        <v>1295</v>
      </c>
      <c r="H353" s="6">
        <v>0</v>
      </c>
      <c r="I353" s="6">
        <v>0</v>
      </c>
      <c r="J353" s="6">
        <v>7</v>
      </c>
      <c r="K353" s="6">
        <v>8.2173909999999992</v>
      </c>
      <c r="L353" s="6">
        <v>8.1046829999999996</v>
      </c>
      <c r="M353" s="6">
        <v>8.2384710000000005</v>
      </c>
      <c r="N353" s="6">
        <v>9.2387090000000001</v>
      </c>
      <c r="O353" s="6">
        <v>8.7126429999999999</v>
      </c>
      <c r="P353" s="6">
        <v>8.6856360000000006</v>
      </c>
      <c r="Q353" s="6">
        <v>9.2387090000000001</v>
      </c>
      <c r="R353" s="6">
        <v>8.7126429999999999</v>
      </c>
      <c r="S353" s="6">
        <v>8.6856360000000006</v>
      </c>
      <c r="T353" s="6">
        <v>8.8875729999999997</v>
      </c>
      <c r="U353" s="6">
        <v>8.6089380000000002</v>
      </c>
      <c r="V353" s="6">
        <v>8.6174140000000001</v>
      </c>
    </row>
    <row r="354" spans="2:22">
      <c r="B354" s="6">
        <v>31332</v>
      </c>
      <c r="C354" s="6" t="s">
        <v>1019</v>
      </c>
      <c r="D354" s="6">
        <v>23311</v>
      </c>
      <c r="E354" s="6" t="s">
        <v>221</v>
      </c>
      <c r="F354" s="6" t="s">
        <v>16</v>
      </c>
      <c r="G354" s="6" t="s">
        <v>1295</v>
      </c>
      <c r="H354" s="6">
        <v>0</v>
      </c>
      <c r="I354" s="6">
        <v>0</v>
      </c>
      <c r="J354" s="6">
        <v>10</v>
      </c>
      <c r="K354" s="6">
        <v>10.144926999999999</v>
      </c>
      <c r="L354" s="6">
        <v>10.029239</v>
      </c>
      <c r="M354" s="6">
        <v>10.013888</v>
      </c>
      <c r="N354" s="6">
        <v>10.099009000000001</v>
      </c>
      <c r="O354" s="6">
        <v>10.02364</v>
      </c>
      <c r="P354" s="6">
        <v>10.011260999999999</v>
      </c>
      <c r="Q354" s="6">
        <v>10.099009000000001</v>
      </c>
      <c r="R354" s="6">
        <v>10.02364</v>
      </c>
      <c r="S354" s="6">
        <v>10.011260999999999</v>
      </c>
      <c r="T354" s="6">
        <v>10.099009000000001</v>
      </c>
      <c r="U354" s="6">
        <v>10.02364</v>
      </c>
      <c r="V354" s="6">
        <v>10.011260999999999</v>
      </c>
    </row>
    <row r="355" spans="2:22">
      <c r="B355" s="6">
        <v>31361</v>
      </c>
      <c r="C355" s="6" t="s">
        <v>110</v>
      </c>
      <c r="D355" s="6">
        <v>20500</v>
      </c>
      <c r="E355" s="6" t="s">
        <v>31</v>
      </c>
      <c r="F355" s="6" t="s">
        <v>13</v>
      </c>
      <c r="G355" s="6" t="s">
        <v>14</v>
      </c>
      <c r="H355" s="6">
        <v>0</v>
      </c>
      <c r="I355" s="6">
        <v>0</v>
      </c>
      <c r="J355" s="6">
        <v>20</v>
      </c>
      <c r="K355" s="6">
        <v>25</v>
      </c>
      <c r="L355" s="6">
        <v>21.25</v>
      </c>
      <c r="M355" s="6">
        <v>20.070422000000001</v>
      </c>
      <c r="N355" s="6">
        <v>25</v>
      </c>
      <c r="O355" s="6">
        <v>22.5</v>
      </c>
      <c r="P355" s="6">
        <v>20.123965999999999</v>
      </c>
      <c r="Q355" s="6">
        <v>25</v>
      </c>
      <c r="R355" s="6">
        <v>22.5</v>
      </c>
      <c r="S355" s="6">
        <v>20.122949999999999</v>
      </c>
      <c r="T355" s="6">
        <v>28.409089999999999</v>
      </c>
      <c r="U355" s="6">
        <v>28.088235000000001</v>
      </c>
      <c r="V355" s="6">
        <v>22.096774</v>
      </c>
    </row>
    <row r="356" spans="2:22">
      <c r="B356" s="6">
        <v>31361</v>
      </c>
      <c r="C356" s="6" t="s">
        <v>110</v>
      </c>
      <c r="D356" s="6">
        <v>20500</v>
      </c>
      <c r="E356" s="6" t="s">
        <v>31</v>
      </c>
      <c r="F356" s="6" t="s">
        <v>17</v>
      </c>
      <c r="G356" s="6" t="s">
        <v>1294</v>
      </c>
      <c r="H356" s="6">
        <v>24.282608</v>
      </c>
      <c r="I356" s="6">
        <v>24.232142</v>
      </c>
      <c r="J356" s="6">
        <v>23.534652999999999</v>
      </c>
      <c r="K356" s="6">
        <v>26.093993999999999</v>
      </c>
      <c r="L356" s="6">
        <v>26.469746000000001</v>
      </c>
      <c r="M356" s="6">
        <v>26.000619</v>
      </c>
      <c r="N356" s="6">
        <v>26.108958000000001</v>
      </c>
      <c r="O356" s="6">
        <v>26.328648000000001</v>
      </c>
      <c r="P356" s="6">
        <v>26.003786000000002</v>
      </c>
      <c r="Q356" s="6">
        <v>26.101534000000001</v>
      </c>
      <c r="R356" s="6">
        <v>26.316153</v>
      </c>
      <c r="S356" s="6">
        <v>25.991613999999998</v>
      </c>
      <c r="T356" s="6">
        <v>25.645997000000001</v>
      </c>
      <c r="U356" s="6">
        <v>25.223958</v>
      </c>
      <c r="V356" s="6">
        <v>24.770192999999999</v>
      </c>
    </row>
    <row r="357" spans="2:22">
      <c r="B357" s="6">
        <v>31361</v>
      </c>
      <c r="C357" s="6" t="s">
        <v>110</v>
      </c>
      <c r="D357" s="6">
        <v>20706</v>
      </c>
      <c r="E357" s="6" t="s">
        <v>52</v>
      </c>
      <c r="F357" s="6" t="s">
        <v>17</v>
      </c>
      <c r="G357" s="6" t="s">
        <v>1294</v>
      </c>
      <c r="H357" s="6">
        <v>40</v>
      </c>
      <c r="I357" s="6">
        <v>40</v>
      </c>
      <c r="J357" s="6">
        <v>40</v>
      </c>
      <c r="K357" s="6">
        <v>40</v>
      </c>
      <c r="L357" s="6">
        <v>39.985993999999998</v>
      </c>
      <c r="M357" s="6">
        <v>39.981146000000003</v>
      </c>
      <c r="N357" s="6">
        <v>39.962778999999998</v>
      </c>
      <c r="O357" s="6">
        <v>39.971750999999998</v>
      </c>
      <c r="P357" s="6">
        <v>39.969020999999998</v>
      </c>
      <c r="Q357" s="6">
        <v>39.963768000000002</v>
      </c>
      <c r="R357" s="6">
        <v>39.972496999999997</v>
      </c>
      <c r="S357" s="6">
        <v>39.969659999999998</v>
      </c>
      <c r="T357" s="6">
        <v>39.867787999999997</v>
      </c>
      <c r="U357" s="6">
        <v>39.928649</v>
      </c>
      <c r="V357" s="6">
        <v>39.945453999999998</v>
      </c>
    </row>
    <row r="358" spans="2:22">
      <c r="B358" s="6">
        <v>31361</v>
      </c>
      <c r="C358" s="6" t="s">
        <v>110</v>
      </c>
      <c r="D358" s="6">
        <v>20706</v>
      </c>
      <c r="E358" s="6" t="s">
        <v>52</v>
      </c>
      <c r="F358" s="6" t="s">
        <v>73</v>
      </c>
      <c r="G358" s="6" t="s">
        <v>1299</v>
      </c>
      <c r="H358" s="6">
        <v>0</v>
      </c>
      <c r="I358" s="6">
        <v>30</v>
      </c>
      <c r="J358" s="6">
        <v>33.888888000000001</v>
      </c>
      <c r="K358" s="6">
        <v>0</v>
      </c>
      <c r="L358" s="6">
        <v>30</v>
      </c>
      <c r="M358" s="6">
        <v>33.059700999999997</v>
      </c>
      <c r="N358" s="6">
        <v>0</v>
      </c>
      <c r="O358" s="6">
        <v>30</v>
      </c>
      <c r="P358" s="6">
        <v>33.014704999999999</v>
      </c>
      <c r="Q358" s="6">
        <v>0</v>
      </c>
      <c r="R358" s="6">
        <v>30</v>
      </c>
      <c r="S358" s="6">
        <v>33.014704999999999</v>
      </c>
      <c r="T358" s="6">
        <v>0</v>
      </c>
      <c r="U358" s="6">
        <v>30</v>
      </c>
      <c r="V358" s="6">
        <v>33.014704999999999</v>
      </c>
    </row>
    <row r="359" spans="2:22">
      <c r="B359" s="6">
        <v>31361</v>
      </c>
      <c r="C359" s="6" t="s">
        <v>110</v>
      </c>
      <c r="D359" s="6">
        <v>20902</v>
      </c>
      <c r="E359" s="6" t="s">
        <v>53</v>
      </c>
      <c r="F359" s="6" t="s">
        <v>16</v>
      </c>
      <c r="G359" s="6" t="s">
        <v>1295</v>
      </c>
      <c r="H359" s="6">
        <v>23.714285</v>
      </c>
      <c r="I359" s="6">
        <v>23.023254999999999</v>
      </c>
      <c r="J359" s="6">
        <v>24.666665999999999</v>
      </c>
      <c r="K359" s="6">
        <v>27.235294</v>
      </c>
      <c r="L359" s="6">
        <v>26.730157999999999</v>
      </c>
      <c r="M359" s="6">
        <v>28.302752000000002</v>
      </c>
      <c r="N359" s="6">
        <v>27.102803000000002</v>
      </c>
      <c r="O359" s="6">
        <v>26.100322999999999</v>
      </c>
      <c r="P359" s="6">
        <v>27.578899</v>
      </c>
      <c r="Q359" s="6">
        <v>27.102803000000002</v>
      </c>
      <c r="R359" s="6">
        <v>26.100322999999999</v>
      </c>
      <c r="S359" s="6">
        <v>27.558453</v>
      </c>
      <c r="T359" s="6">
        <v>26.737159999999999</v>
      </c>
      <c r="U359" s="6">
        <v>25.752351000000001</v>
      </c>
      <c r="V359" s="6">
        <v>27.323633000000001</v>
      </c>
    </row>
    <row r="360" spans="2:22">
      <c r="B360" s="6">
        <v>31361</v>
      </c>
      <c r="C360" s="6" t="s">
        <v>110</v>
      </c>
      <c r="D360" s="6">
        <v>20902</v>
      </c>
      <c r="E360" s="6" t="s">
        <v>53</v>
      </c>
      <c r="F360" s="6" t="s">
        <v>13</v>
      </c>
      <c r="G360" s="6" t="s">
        <v>14</v>
      </c>
      <c r="H360" s="6">
        <v>20</v>
      </c>
      <c r="I360" s="6">
        <v>20</v>
      </c>
      <c r="J360" s="6">
        <v>17.386362999999999</v>
      </c>
      <c r="K360" s="6">
        <v>19.956309999999998</v>
      </c>
      <c r="L360" s="6">
        <v>19.965827000000001</v>
      </c>
      <c r="M360" s="6">
        <v>19.613216000000001</v>
      </c>
      <c r="N360" s="6">
        <v>19.181818</v>
      </c>
      <c r="O360" s="6">
        <v>19.119288999999998</v>
      </c>
      <c r="P360" s="6">
        <v>18.784502</v>
      </c>
      <c r="Q360" s="6">
        <v>19.181818</v>
      </c>
      <c r="R360" s="6">
        <v>19.101835999999999</v>
      </c>
      <c r="S360" s="6">
        <v>18.763134000000001</v>
      </c>
      <c r="T360" s="6">
        <v>19.181818</v>
      </c>
      <c r="U360" s="6">
        <v>19.101835999999999</v>
      </c>
      <c r="V360" s="6">
        <v>18.763134000000001</v>
      </c>
    </row>
    <row r="361" spans="2:22">
      <c r="B361" s="6">
        <v>31361</v>
      </c>
      <c r="C361" s="6" t="s">
        <v>110</v>
      </c>
      <c r="D361" s="6">
        <v>20906</v>
      </c>
      <c r="E361" s="6" t="s">
        <v>48</v>
      </c>
      <c r="F361" s="6" t="s">
        <v>49</v>
      </c>
      <c r="G361" s="6" t="s">
        <v>1296</v>
      </c>
      <c r="H361" s="6">
        <v>17</v>
      </c>
      <c r="I361" s="6">
        <v>17</v>
      </c>
      <c r="J361" s="6">
        <v>17.553398000000001</v>
      </c>
      <c r="K361" s="6">
        <v>16.923482</v>
      </c>
      <c r="L361" s="6">
        <v>16.908185</v>
      </c>
      <c r="M361" s="6">
        <v>17.652851999999999</v>
      </c>
      <c r="N361" s="6">
        <v>17.016705999999999</v>
      </c>
      <c r="O361" s="6">
        <v>16.954350000000002</v>
      </c>
      <c r="P361" s="6">
        <v>17.537869000000001</v>
      </c>
      <c r="Q361" s="6">
        <v>17.016335999999999</v>
      </c>
      <c r="R361" s="6">
        <v>16.958155999999999</v>
      </c>
      <c r="S361" s="6">
        <v>17.538882000000001</v>
      </c>
      <c r="T361" s="6">
        <v>17.016335999999999</v>
      </c>
      <c r="U361" s="6">
        <v>16.958155999999999</v>
      </c>
      <c r="V361" s="6">
        <v>17.538882000000001</v>
      </c>
    </row>
    <row r="362" spans="2:22">
      <c r="B362" s="6">
        <v>31361</v>
      </c>
      <c r="C362" s="6" t="s">
        <v>110</v>
      </c>
      <c r="D362" s="6">
        <v>20906</v>
      </c>
      <c r="E362" s="6" t="s">
        <v>48</v>
      </c>
      <c r="F362" s="6" t="s">
        <v>1300</v>
      </c>
      <c r="G362" s="6" t="s">
        <v>1301</v>
      </c>
      <c r="H362" s="6">
        <v>0</v>
      </c>
      <c r="I362" s="6">
        <v>0</v>
      </c>
      <c r="J362" s="6">
        <v>17</v>
      </c>
      <c r="K362" s="6">
        <v>17</v>
      </c>
      <c r="L362" s="6">
        <v>17</v>
      </c>
      <c r="M362" s="6">
        <v>17.2</v>
      </c>
      <c r="N362" s="6">
        <v>17</v>
      </c>
      <c r="O362" s="6">
        <v>17</v>
      </c>
      <c r="P362" s="6">
        <v>17.2</v>
      </c>
      <c r="Q362" s="6">
        <v>17</v>
      </c>
      <c r="R362" s="6">
        <v>17</v>
      </c>
      <c r="S362" s="6">
        <v>17.2</v>
      </c>
      <c r="T362" s="6">
        <v>17</v>
      </c>
      <c r="U362" s="6">
        <v>17</v>
      </c>
      <c r="V362" s="6">
        <v>17.2</v>
      </c>
    </row>
    <row r="363" spans="2:22">
      <c r="B363" s="6">
        <v>31362</v>
      </c>
      <c r="C363" s="6" t="s">
        <v>111</v>
      </c>
      <c r="D363" s="6">
        <v>20500</v>
      </c>
      <c r="E363" s="6" t="s">
        <v>31</v>
      </c>
      <c r="F363" s="6" t="s">
        <v>17</v>
      </c>
      <c r="G363" s="6" t="s">
        <v>1294</v>
      </c>
      <c r="H363" s="6">
        <v>24.142856999999999</v>
      </c>
      <c r="I363" s="6">
        <v>23.25</v>
      </c>
      <c r="J363" s="6">
        <v>23.470587999999999</v>
      </c>
      <c r="K363" s="6">
        <v>26.046875</v>
      </c>
      <c r="L363" s="6">
        <v>26.199541</v>
      </c>
      <c r="M363" s="6">
        <v>26.109717</v>
      </c>
      <c r="N363" s="6">
        <v>26.108958000000001</v>
      </c>
      <c r="O363" s="6">
        <v>26.328648000000001</v>
      </c>
      <c r="P363" s="6">
        <v>26.003786000000002</v>
      </c>
      <c r="Q363" s="6">
        <v>26.101534000000001</v>
      </c>
      <c r="R363" s="6">
        <v>26.316153</v>
      </c>
      <c r="S363" s="6">
        <v>25.991613999999998</v>
      </c>
      <c r="T363" s="6">
        <v>25.645997000000001</v>
      </c>
      <c r="U363" s="6">
        <v>25.223958</v>
      </c>
      <c r="V363" s="6">
        <v>24.770192999999999</v>
      </c>
    </row>
    <row r="364" spans="2:22">
      <c r="B364" s="6">
        <v>31362</v>
      </c>
      <c r="C364" s="6" t="s">
        <v>111</v>
      </c>
      <c r="D364" s="6">
        <v>20702</v>
      </c>
      <c r="E364" s="6" t="s">
        <v>44</v>
      </c>
      <c r="F364" s="6" t="s">
        <v>17</v>
      </c>
      <c r="G364" s="6" t="s">
        <v>1294</v>
      </c>
      <c r="H364" s="6">
        <v>35</v>
      </c>
      <c r="I364" s="6">
        <v>35</v>
      </c>
      <c r="J364" s="6">
        <v>35</v>
      </c>
      <c r="K364" s="6">
        <v>34.851851000000003</v>
      </c>
      <c r="L364" s="6">
        <v>34.933332999999998</v>
      </c>
      <c r="M364" s="6">
        <v>34.897097000000002</v>
      </c>
      <c r="N364" s="6">
        <v>34.893103000000004</v>
      </c>
      <c r="O364" s="6">
        <v>34.949179999999998</v>
      </c>
      <c r="P364" s="6">
        <v>34.926701000000001</v>
      </c>
      <c r="Q364" s="6">
        <v>34.894556999999999</v>
      </c>
      <c r="R364" s="6">
        <v>34.950949000000001</v>
      </c>
      <c r="S364" s="6">
        <v>34.883485</v>
      </c>
      <c r="T364" s="6">
        <v>34.894556999999999</v>
      </c>
      <c r="U364" s="6">
        <v>34.950949000000001</v>
      </c>
      <c r="V364" s="6">
        <v>34.883485</v>
      </c>
    </row>
    <row r="365" spans="2:22">
      <c r="B365" s="6">
        <v>31362</v>
      </c>
      <c r="C365" s="6" t="s">
        <v>111</v>
      </c>
      <c r="D365" s="6">
        <v>20902</v>
      </c>
      <c r="E365" s="6" t="s">
        <v>53</v>
      </c>
      <c r="F365" s="6" t="s">
        <v>16</v>
      </c>
      <c r="G365" s="6" t="s">
        <v>1295</v>
      </c>
      <c r="H365" s="6">
        <v>20</v>
      </c>
      <c r="I365" s="6">
        <v>20</v>
      </c>
      <c r="J365" s="6">
        <v>20</v>
      </c>
      <c r="K365" s="6">
        <v>26.721311</v>
      </c>
      <c r="L365" s="6">
        <v>25.932835000000001</v>
      </c>
      <c r="M365" s="6">
        <v>26.507536999999999</v>
      </c>
      <c r="N365" s="6">
        <v>27.102803000000002</v>
      </c>
      <c r="O365" s="6">
        <v>26.100322999999999</v>
      </c>
      <c r="P365" s="6">
        <v>27.578899</v>
      </c>
      <c r="Q365" s="6">
        <v>27.102803000000002</v>
      </c>
      <c r="R365" s="6">
        <v>26.100322999999999</v>
      </c>
      <c r="S365" s="6">
        <v>27.558453</v>
      </c>
      <c r="T365" s="6">
        <v>26.737159999999999</v>
      </c>
      <c r="U365" s="6">
        <v>25.752351000000001</v>
      </c>
      <c r="V365" s="6">
        <v>27.323633000000001</v>
      </c>
    </row>
    <row r="366" spans="2:22">
      <c r="B366" s="6">
        <v>31362</v>
      </c>
      <c r="C366" s="6" t="s">
        <v>111</v>
      </c>
      <c r="D366" s="6">
        <v>20902</v>
      </c>
      <c r="E366" s="6" t="s">
        <v>53</v>
      </c>
      <c r="F366" s="6" t="s">
        <v>13</v>
      </c>
      <c r="G366" s="6" t="s">
        <v>14</v>
      </c>
      <c r="H366" s="6">
        <v>20</v>
      </c>
      <c r="I366" s="6">
        <v>20</v>
      </c>
      <c r="J366" s="6">
        <v>16.428571000000002</v>
      </c>
      <c r="K366" s="6">
        <v>18.622046999999998</v>
      </c>
      <c r="L366" s="6">
        <v>18.557046</v>
      </c>
      <c r="M366" s="6">
        <v>18.643459</v>
      </c>
      <c r="N366" s="6">
        <v>19.181818</v>
      </c>
      <c r="O366" s="6">
        <v>19.119288999999998</v>
      </c>
      <c r="P366" s="6">
        <v>18.784502</v>
      </c>
      <c r="Q366" s="6">
        <v>19.181818</v>
      </c>
      <c r="R366" s="6">
        <v>19.101835999999999</v>
      </c>
      <c r="S366" s="6">
        <v>18.763134000000001</v>
      </c>
      <c r="T366" s="6">
        <v>19.181818</v>
      </c>
      <c r="U366" s="6">
        <v>19.101835999999999</v>
      </c>
      <c r="V366" s="6">
        <v>18.763134000000001</v>
      </c>
    </row>
    <row r="367" spans="2:22">
      <c r="B367" s="6">
        <v>31362</v>
      </c>
      <c r="C367" s="6" t="s">
        <v>111</v>
      </c>
      <c r="D367" s="6">
        <v>20906</v>
      </c>
      <c r="E367" s="6" t="s">
        <v>48</v>
      </c>
      <c r="F367" s="6" t="s">
        <v>49</v>
      </c>
      <c r="G367" s="6" t="s">
        <v>1296</v>
      </c>
      <c r="H367" s="6">
        <v>17</v>
      </c>
      <c r="I367" s="6">
        <v>17</v>
      </c>
      <c r="J367" s="6">
        <v>17.882352000000001</v>
      </c>
      <c r="K367" s="6">
        <v>17.229590999999999</v>
      </c>
      <c r="L367" s="6">
        <v>17.052391</v>
      </c>
      <c r="M367" s="6">
        <v>17.431988</v>
      </c>
      <c r="N367" s="6">
        <v>17.016705999999999</v>
      </c>
      <c r="O367" s="6">
        <v>16.954350000000002</v>
      </c>
      <c r="P367" s="6">
        <v>17.537869000000001</v>
      </c>
      <c r="Q367" s="6">
        <v>17.016335999999999</v>
      </c>
      <c r="R367" s="6">
        <v>16.958155999999999</v>
      </c>
      <c r="S367" s="6">
        <v>17.538882000000001</v>
      </c>
      <c r="T367" s="6">
        <v>17.016335999999999</v>
      </c>
      <c r="U367" s="6">
        <v>16.958155999999999</v>
      </c>
      <c r="V367" s="6">
        <v>17.538882000000001</v>
      </c>
    </row>
    <row r="368" spans="2:22">
      <c r="B368" s="6">
        <v>31363</v>
      </c>
      <c r="C368" s="6" t="s">
        <v>112</v>
      </c>
      <c r="D368" s="6">
        <v>20500</v>
      </c>
      <c r="E368" s="6" t="s">
        <v>31</v>
      </c>
      <c r="F368" s="6" t="s">
        <v>13</v>
      </c>
      <c r="G368" s="6" t="s">
        <v>14</v>
      </c>
      <c r="H368" s="6">
        <v>0</v>
      </c>
      <c r="I368" s="6">
        <v>0</v>
      </c>
      <c r="J368" s="6">
        <v>20</v>
      </c>
      <c r="K368" s="6">
        <v>25</v>
      </c>
      <c r="L368" s="6">
        <v>25</v>
      </c>
      <c r="M368" s="6">
        <v>20.555554999999998</v>
      </c>
      <c r="N368" s="6">
        <v>25</v>
      </c>
      <c r="O368" s="6">
        <v>22.5</v>
      </c>
      <c r="P368" s="6">
        <v>20.123965999999999</v>
      </c>
      <c r="Q368" s="6">
        <v>25</v>
      </c>
      <c r="R368" s="6">
        <v>22.5</v>
      </c>
      <c r="S368" s="6">
        <v>20.122949999999999</v>
      </c>
      <c r="T368" s="6">
        <v>28.409089999999999</v>
      </c>
      <c r="U368" s="6">
        <v>28.088235000000001</v>
      </c>
      <c r="V368" s="6">
        <v>22.096774</v>
      </c>
    </row>
    <row r="369" spans="2:22">
      <c r="B369" s="6">
        <v>31363</v>
      </c>
      <c r="C369" s="6" t="s">
        <v>112</v>
      </c>
      <c r="D369" s="6">
        <v>20500</v>
      </c>
      <c r="E369" s="6" t="s">
        <v>31</v>
      </c>
      <c r="F369" s="6" t="s">
        <v>17</v>
      </c>
      <c r="G369" s="6" t="s">
        <v>1294</v>
      </c>
      <c r="H369" s="6">
        <v>23.875</v>
      </c>
      <c r="I369" s="6">
        <v>23.25</v>
      </c>
      <c r="J369" s="6">
        <v>23.25</v>
      </c>
      <c r="K369" s="6">
        <v>26.179282000000001</v>
      </c>
      <c r="L369" s="6">
        <v>26.186138</v>
      </c>
      <c r="M369" s="6">
        <v>25.935728999999998</v>
      </c>
      <c r="N369" s="6">
        <v>26.108958000000001</v>
      </c>
      <c r="O369" s="6">
        <v>26.328648000000001</v>
      </c>
      <c r="P369" s="6">
        <v>26.003786000000002</v>
      </c>
      <c r="Q369" s="6">
        <v>26.101534000000001</v>
      </c>
      <c r="R369" s="6">
        <v>26.316153</v>
      </c>
      <c r="S369" s="6">
        <v>25.991613999999998</v>
      </c>
      <c r="T369" s="6">
        <v>25.645997000000001</v>
      </c>
      <c r="U369" s="6">
        <v>25.223958</v>
      </c>
      <c r="V369" s="6">
        <v>24.770192999999999</v>
      </c>
    </row>
    <row r="370" spans="2:22">
      <c r="B370" s="6">
        <v>31363</v>
      </c>
      <c r="C370" s="6" t="s">
        <v>112</v>
      </c>
      <c r="D370" s="6">
        <v>20702</v>
      </c>
      <c r="E370" s="6" t="s">
        <v>44</v>
      </c>
      <c r="F370" s="6" t="s">
        <v>17</v>
      </c>
      <c r="G370" s="6" t="s">
        <v>1294</v>
      </c>
      <c r="H370" s="6">
        <v>35</v>
      </c>
      <c r="I370" s="6">
        <v>35</v>
      </c>
      <c r="J370" s="6">
        <v>35</v>
      </c>
      <c r="K370" s="6">
        <v>34.902597</v>
      </c>
      <c r="L370" s="6">
        <v>34.946427999999997</v>
      </c>
      <c r="M370" s="6">
        <v>34.934041999999998</v>
      </c>
      <c r="N370" s="6">
        <v>34.893103000000004</v>
      </c>
      <c r="O370" s="6">
        <v>34.949179999999998</v>
      </c>
      <c r="P370" s="6">
        <v>34.926701000000001</v>
      </c>
      <c r="Q370" s="6">
        <v>34.894556999999999</v>
      </c>
      <c r="R370" s="6">
        <v>34.950949000000001</v>
      </c>
      <c r="S370" s="6">
        <v>34.883485</v>
      </c>
      <c r="T370" s="6">
        <v>34.894556999999999</v>
      </c>
      <c r="U370" s="6">
        <v>34.950949000000001</v>
      </c>
      <c r="V370" s="6">
        <v>34.883485</v>
      </c>
    </row>
    <row r="371" spans="2:22">
      <c r="B371" s="6">
        <v>31363</v>
      </c>
      <c r="C371" s="6" t="s">
        <v>112</v>
      </c>
      <c r="D371" s="6">
        <v>20902</v>
      </c>
      <c r="E371" s="6" t="s">
        <v>53</v>
      </c>
      <c r="F371" s="6" t="s">
        <v>16</v>
      </c>
      <c r="G371" s="6" t="s">
        <v>1295</v>
      </c>
      <c r="H371" s="6">
        <v>20</v>
      </c>
      <c r="I371" s="6">
        <v>21.25</v>
      </c>
      <c r="J371" s="6">
        <v>21.111111000000001</v>
      </c>
      <c r="K371" s="6">
        <v>27.111111000000001</v>
      </c>
      <c r="L371" s="6">
        <v>25.059170999999999</v>
      </c>
      <c r="M371" s="6">
        <v>26.5625</v>
      </c>
      <c r="N371" s="6">
        <v>27.102803000000002</v>
      </c>
      <c r="O371" s="6">
        <v>26.100322999999999</v>
      </c>
      <c r="P371" s="6">
        <v>27.578899</v>
      </c>
      <c r="Q371" s="6">
        <v>27.102803000000002</v>
      </c>
      <c r="R371" s="6">
        <v>26.100322999999999</v>
      </c>
      <c r="S371" s="6">
        <v>27.558453</v>
      </c>
      <c r="T371" s="6">
        <v>26.737159999999999</v>
      </c>
      <c r="U371" s="6">
        <v>25.752351000000001</v>
      </c>
      <c r="V371" s="6">
        <v>27.323633000000001</v>
      </c>
    </row>
    <row r="372" spans="2:22">
      <c r="B372" s="6">
        <v>31363</v>
      </c>
      <c r="C372" s="6" t="s">
        <v>112</v>
      </c>
      <c r="D372" s="6">
        <v>20902</v>
      </c>
      <c r="E372" s="6" t="s">
        <v>53</v>
      </c>
      <c r="F372" s="6" t="s">
        <v>13</v>
      </c>
      <c r="G372" s="6" t="s">
        <v>14</v>
      </c>
      <c r="H372" s="6">
        <v>16.333333</v>
      </c>
      <c r="I372" s="6">
        <v>16.333333</v>
      </c>
      <c r="J372" s="6">
        <v>16</v>
      </c>
      <c r="K372" s="6">
        <v>18.635802000000002</v>
      </c>
      <c r="L372" s="6">
        <v>18.195121</v>
      </c>
      <c r="M372" s="6">
        <v>17.625368000000002</v>
      </c>
      <c r="N372" s="6">
        <v>19.181818</v>
      </c>
      <c r="O372" s="6">
        <v>19.119288999999998</v>
      </c>
      <c r="P372" s="6">
        <v>18.784502</v>
      </c>
      <c r="Q372" s="6">
        <v>19.181818</v>
      </c>
      <c r="R372" s="6">
        <v>19.101835999999999</v>
      </c>
      <c r="S372" s="6">
        <v>18.763134000000001</v>
      </c>
      <c r="T372" s="6">
        <v>19.181818</v>
      </c>
      <c r="U372" s="6">
        <v>19.101835999999999</v>
      </c>
      <c r="V372" s="6">
        <v>18.763134000000001</v>
      </c>
    </row>
    <row r="373" spans="2:22">
      <c r="B373" s="6">
        <v>31363</v>
      </c>
      <c r="C373" s="6" t="s">
        <v>112</v>
      </c>
      <c r="D373" s="6">
        <v>20906</v>
      </c>
      <c r="E373" s="6" t="s">
        <v>48</v>
      </c>
      <c r="F373" s="6" t="s">
        <v>49</v>
      </c>
      <c r="G373" s="6" t="s">
        <v>1296</v>
      </c>
      <c r="H373" s="6">
        <v>17</v>
      </c>
      <c r="I373" s="6">
        <v>17</v>
      </c>
      <c r="J373" s="6">
        <v>17</v>
      </c>
      <c r="K373" s="6">
        <v>16.992394999999998</v>
      </c>
      <c r="L373" s="6">
        <v>16.951830000000001</v>
      </c>
      <c r="M373" s="6">
        <v>17.405908</v>
      </c>
      <c r="N373" s="6">
        <v>17.016705999999999</v>
      </c>
      <c r="O373" s="6">
        <v>16.954350000000002</v>
      </c>
      <c r="P373" s="6">
        <v>17.537869000000001</v>
      </c>
      <c r="Q373" s="6">
        <v>17.016335999999999</v>
      </c>
      <c r="R373" s="6">
        <v>16.958155999999999</v>
      </c>
      <c r="S373" s="6">
        <v>17.538882000000001</v>
      </c>
      <c r="T373" s="6">
        <v>17.016335999999999</v>
      </c>
      <c r="U373" s="6">
        <v>16.958155999999999</v>
      </c>
      <c r="V373" s="6">
        <v>17.538882000000001</v>
      </c>
    </row>
    <row r="374" spans="2:22">
      <c r="B374" s="6">
        <v>31380</v>
      </c>
      <c r="C374" s="6" t="s">
        <v>1096</v>
      </c>
      <c r="D374" s="6">
        <v>20500</v>
      </c>
      <c r="E374" s="6" t="s">
        <v>31</v>
      </c>
      <c r="F374" s="6" t="s">
        <v>17</v>
      </c>
      <c r="G374" s="6" t="s">
        <v>1294</v>
      </c>
      <c r="H374" s="6">
        <v>0</v>
      </c>
      <c r="I374" s="6">
        <v>0</v>
      </c>
      <c r="J374" s="6">
        <v>27</v>
      </c>
      <c r="K374" s="6">
        <v>26.093993999999999</v>
      </c>
      <c r="L374" s="6">
        <v>26.469746000000001</v>
      </c>
      <c r="M374" s="6">
        <v>26.000619</v>
      </c>
      <c r="N374" s="6">
        <v>26.108958000000001</v>
      </c>
      <c r="O374" s="6">
        <v>26.328648000000001</v>
      </c>
      <c r="P374" s="6">
        <v>26.003786000000002</v>
      </c>
      <c r="Q374" s="6">
        <v>26.101534000000001</v>
      </c>
      <c r="R374" s="6">
        <v>26.316153</v>
      </c>
      <c r="S374" s="6">
        <v>25.991613999999998</v>
      </c>
      <c r="T374" s="6">
        <v>25.645997000000001</v>
      </c>
      <c r="U374" s="6">
        <v>25.223958</v>
      </c>
      <c r="V374" s="6">
        <v>24.770192999999999</v>
      </c>
    </row>
    <row r="375" spans="2:22">
      <c r="B375" s="6">
        <v>31380</v>
      </c>
      <c r="C375" s="6" t="s">
        <v>1096</v>
      </c>
      <c r="D375" s="6">
        <v>20706</v>
      </c>
      <c r="E375" s="6" t="s">
        <v>52</v>
      </c>
      <c r="F375" s="6" t="s">
        <v>17</v>
      </c>
      <c r="G375" s="6" t="s">
        <v>1294</v>
      </c>
      <c r="H375" s="6">
        <v>0</v>
      </c>
      <c r="I375" s="6">
        <v>0</v>
      </c>
      <c r="J375" s="6">
        <v>37.857142000000003</v>
      </c>
      <c r="K375" s="6">
        <v>40</v>
      </c>
      <c r="L375" s="6">
        <v>39.985993999999998</v>
      </c>
      <c r="M375" s="6">
        <v>39.981146000000003</v>
      </c>
      <c r="N375" s="6">
        <v>39.962778999999998</v>
      </c>
      <c r="O375" s="6">
        <v>39.971750999999998</v>
      </c>
      <c r="P375" s="6">
        <v>39.969020999999998</v>
      </c>
      <c r="Q375" s="6">
        <v>39.963768000000002</v>
      </c>
      <c r="R375" s="6">
        <v>39.972496999999997</v>
      </c>
      <c r="S375" s="6">
        <v>39.969659999999998</v>
      </c>
      <c r="T375" s="6">
        <v>39.867787999999997</v>
      </c>
      <c r="U375" s="6">
        <v>39.928649</v>
      </c>
      <c r="V375" s="6">
        <v>39.945453999999998</v>
      </c>
    </row>
    <row r="376" spans="2:22">
      <c r="B376" s="6">
        <v>31380</v>
      </c>
      <c r="C376" s="6" t="s">
        <v>1096</v>
      </c>
      <c r="D376" s="6">
        <v>20902</v>
      </c>
      <c r="E376" s="6" t="s">
        <v>53</v>
      </c>
      <c r="F376" s="6" t="s">
        <v>13</v>
      </c>
      <c r="G376" s="6" t="s">
        <v>14</v>
      </c>
      <c r="H376" s="6">
        <v>0</v>
      </c>
      <c r="I376" s="6">
        <v>0</v>
      </c>
      <c r="J376" s="6">
        <v>20</v>
      </c>
      <c r="K376" s="6">
        <v>19.956309999999998</v>
      </c>
      <c r="L376" s="6">
        <v>19.965827000000001</v>
      </c>
      <c r="M376" s="6">
        <v>19.613216000000001</v>
      </c>
      <c r="N376" s="6">
        <v>19.181818</v>
      </c>
      <c r="O376" s="6">
        <v>19.119288999999998</v>
      </c>
      <c r="P376" s="6">
        <v>18.784502</v>
      </c>
      <c r="Q376" s="6">
        <v>19.181818</v>
      </c>
      <c r="R376" s="6">
        <v>19.101835999999999</v>
      </c>
      <c r="S376" s="6">
        <v>18.763134000000001</v>
      </c>
      <c r="T376" s="6">
        <v>19.181818</v>
      </c>
      <c r="U376" s="6">
        <v>19.101835999999999</v>
      </c>
      <c r="V376" s="6">
        <v>18.763134000000001</v>
      </c>
    </row>
    <row r="377" spans="2:22">
      <c r="B377" s="6">
        <v>31380</v>
      </c>
      <c r="C377" s="6" t="s">
        <v>1096</v>
      </c>
      <c r="D377" s="6">
        <v>20906</v>
      </c>
      <c r="E377" s="6" t="s">
        <v>48</v>
      </c>
      <c r="F377" s="6" t="s">
        <v>49</v>
      </c>
      <c r="G377" s="6" t="s">
        <v>1296</v>
      </c>
      <c r="H377" s="6">
        <v>0</v>
      </c>
      <c r="I377" s="6">
        <v>0</v>
      </c>
      <c r="J377" s="6">
        <v>19.714285</v>
      </c>
      <c r="K377" s="6">
        <v>16.923482</v>
      </c>
      <c r="L377" s="6">
        <v>16.908185</v>
      </c>
      <c r="M377" s="6">
        <v>17.652851999999999</v>
      </c>
      <c r="N377" s="6">
        <v>17.016705999999999</v>
      </c>
      <c r="O377" s="6">
        <v>16.954350000000002</v>
      </c>
      <c r="P377" s="6">
        <v>17.537869000000001</v>
      </c>
      <c r="Q377" s="6">
        <v>17.016335999999999</v>
      </c>
      <c r="R377" s="6">
        <v>16.958155999999999</v>
      </c>
      <c r="S377" s="6">
        <v>17.538882000000001</v>
      </c>
      <c r="T377" s="6">
        <v>17.016335999999999</v>
      </c>
      <c r="U377" s="6">
        <v>16.958155999999999</v>
      </c>
      <c r="V377" s="6">
        <v>17.538882000000001</v>
      </c>
    </row>
    <row r="378" spans="2:22">
      <c r="B378" s="6">
        <v>31381</v>
      </c>
      <c r="C378" s="6" t="s">
        <v>113</v>
      </c>
      <c r="D378" s="6">
        <v>20500</v>
      </c>
      <c r="E378" s="6" t="s">
        <v>31</v>
      </c>
      <c r="F378" s="6" t="s">
        <v>17</v>
      </c>
      <c r="G378" s="6" t="s">
        <v>1294</v>
      </c>
      <c r="H378" s="6">
        <v>27</v>
      </c>
      <c r="I378" s="6">
        <v>27</v>
      </c>
      <c r="J378" s="6">
        <v>22.55</v>
      </c>
      <c r="K378" s="6">
        <v>26.093993999999999</v>
      </c>
      <c r="L378" s="6">
        <v>26.469746000000001</v>
      </c>
      <c r="M378" s="6">
        <v>26.000619</v>
      </c>
      <c r="N378" s="6">
        <v>26.108958000000001</v>
      </c>
      <c r="O378" s="6">
        <v>26.328648000000001</v>
      </c>
      <c r="P378" s="6">
        <v>26.003786000000002</v>
      </c>
      <c r="Q378" s="6">
        <v>26.101534000000001</v>
      </c>
      <c r="R378" s="6">
        <v>26.316153</v>
      </c>
      <c r="S378" s="6">
        <v>25.991613999999998</v>
      </c>
      <c r="T378" s="6">
        <v>25.645997000000001</v>
      </c>
      <c r="U378" s="6">
        <v>25.223958</v>
      </c>
      <c r="V378" s="6">
        <v>24.770192999999999</v>
      </c>
    </row>
    <row r="379" spans="2:22">
      <c r="B379" s="6">
        <v>31381</v>
      </c>
      <c r="C379" s="6" t="s">
        <v>113</v>
      </c>
      <c r="D379" s="6">
        <v>20706</v>
      </c>
      <c r="E379" s="6" t="s">
        <v>52</v>
      </c>
      <c r="F379" s="6" t="s">
        <v>17</v>
      </c>
      <c r="G379" s="6" t="s">
        <v>1294</v>
      </c>
      <c r="H379" s="6">
        <v>40</v>
      </c>
      <c r="I379" s="6">
        <v>40</v>
      </c>
      <c r="J379" s="6">
        <v>40</v>
      </c>
      <c r="K379" s="6">
        <v>40</v>
      </c>
      <c r="L379" s="6">
        <v>39.985993999999998</v>
      </c>
      <c r="M379" s="6">
        <v>39.981146000000003</v>
      </c>
      <c r="N379" s="6">
        <v>39.962778999999998</v>
      </c>
      <c r="O379" s="6">
        <v>39.971750999999998</v>
      </c>
      <c r="P379" s="6">
        <v>39.969020999999998</v>
      </c>
      <c r="Q379" s="6">
        <v>39.963768000000002</v>
      </c>
      <c r="R379" s="6">
        <v>39.972496999999997</v>
      </c>
      <c r="S379" s="6">
        <v>39.969659999999998</v>
      </c>
      <c r="T379" s="6">
        <v>39.867787999999997</v>
      </c>
      <c r="U379" s="6">
        <v>39.928649</v>
      </c>
      <c r="V379" s="6">
        <v>39.945453999999998</v>
      </c>
    </row>
    <row r="380" spans="2:22">
      <c r="B380" s="6">
        <v>31381</v>
      </c>
      <c r="C380" s="6" t="s">
        <v>113</v>
      </c>
      <c r="D380" s="6">
        <v>20706</v>
      </c>
      <c r="E380" s="6" t="s">
        <v>52</v>
      </c>
      <c r="F380" s="6" t="s">
        <v>73</v>
      </c>
      <c r="G380" s="6" t="s">
        <v>1299</v>
      </c>
      <c r="H380" s="6">
        <v>0</v>
      </c>
      <c r="I380" s="6">
        <v>0</v>
      </c>
      <c r="J380" s="6">
        <v>35</v>
      </c>
      <c r="K380" s="6">
        <v>0</v>
      </c>
      <c r="L380" s="6">
        <v>30</v>
      </c>
      <c r="M380" s="6">
        <v>33.059700999999997</v>
      </c>
      <c r="N380" s="6">
        <v>0</v>
      </c>
      <c r="O380" s="6">
        <v>30</v>
      </c>
      <c r="P380" s="6">
        <v>33.014704999999999</v>
      </c>
      <c r="Q380" s="6">
        <v>0</v>
      </c>
      <c r="R380" s="6">
        <v>30</v>
      </c>
      <c r="S380" s="6">
        <v>33.014704999999999</v>
      </c>
      <c r="T380" s="6">
        <v>0</v>
      </c>
      <c r="U380" s="6">
        <v>30</v>
      </c>
      <c r="V380" s="6">
        <v>33.014704999999999</v>
      </c>
    </row>
    <row r="381" spans="2:22">
      <c r="B381" s="6">
        <v>31381</v>
      </c>
      <c r="C381" s="6" t="s">
        <v>113</v>
      </c>
      <c r="D381" s="6">
        <v>20902</v>
      </c>
      <c r="E381" s="6" t="s">
        <v>53</v>
      </c>
      <c r="F381" s="6" t="s">
        <v>16</v>
      </c>
      <c r="G381" s="6" t="s">
        <v>1295</v>
      </c>
      <c r="H381" s="6">
        <v>0</v>
      </c>
      <c r="I381" s="6">
        <v>0</v>
      </c>
      <c r="J381" s="6">
        <v>30</v>
      </c>
      <c r="K381" s="6">
        <v>27.235294</v>
      </c>
      <c r="L381" s="6">
        <v>26.730157999999999</v>
      </c>
      <c r="M381" s="6">
        <v>28.302752000000002</v>
      </c>
      <c r="N381" s="6">
        <v>27.102803000000002</v>
      </c>
      <c r="O381" s="6">
        <v>26.100322999999999</v>
      </c>
      <c r="P381" s="6">
        <v>27.578899</v>
      </c>
      <c r="Q381" s="6">
        <v>27.102803000000002</v>
      </c>
      <c r="R381" s="6">
        <v>26.100322999999999</v>
      </c>
      <c r="S381" s="6">
        <v>27.558453</v>
      </c>
      <c r="T381" s="6">
        <v>26.737159999999999</v>
      </c>
      <c r="U381" s="6">
        <v>25.752351000000001</v>
      </c>
      <c r="V381" s="6">
        <v>27.323633000000001</v>
      </c>
    </row>
    <row r="382" spans="2:22">
      <c r="B382" s="6">
        <v>31381</v>
      </c>
      <c r="C382" s="6" t="s">
        <v>113</v>
      </c>
      <c r="D382" s="6">
        <v>20902</v>
      </c>
      <c r="E382" s="6" t="s">
        <v>53</v>
      </c>
      <c r="F382" s="6" t="s">
        <v>13</v>
      </c>
      <c r="G382" s="6" t="s">
        <v>14</v>
      </c>
      <c r="H382" s="6">
        <v>20</v>
      </c>
      <c r="I382" s="6">
        <v>20</v>
      </c>
      <c r="J382" s="6">
        <v>20</v>
      </c>
      <c r="K382" s="6">
        <v>19.956309999999998</v>
      </c>
      <c r="L382" s="6">
        <v>19.965827000000001</v>
      </c>
      <c r="M382" s="6">
        <v>19.613216000000001</v>
      </c>
      <c r="N382" s="6">
        <v>19.181818</v>
      </c>
      <c r="O382" s="6">
        <v>19.119288999999998</v>
      </c>
      <c r="P382" s="6">
        <v>18.784502</v>
      </c>
      <c r="Q382" s="6">
        <v>19.181818</v>
      </c>
      <c r="R382" s="6">
        <v>19.101835999999999</v>
      </c>
      <c r="S382" s="6">
        <v>18.763134000000001</v>
      </c>
      <c r="T382" s="6">
        <v>19.181818</v>
      </c>
      <c r="U382" s="6">
        <v>19.101835999999999</v>
      </c>
      <c r="V382" s="6">
        <v>18.763134000000001</v>
      </c>
    </row>
    <row r="383" spans="2:22">
      <c r="B383" s="6">
        <v>31381</v>
      </c>
      <c r="C383" s="6" t="s">
        <v>113</v>
      </c>
      <c r="D383" s="6">
        <v>20906</v>
      </c>
      <c r="E383" s="6" t="s">
        <v>48</v>
      </c>
      <c r="F383" s="6" t="s">
        <v>49</v>
      </c>
      <c r="G383" s="6" t="s">
        <v>1296</v>
      </c>
      <c r="H383" s="6">
        <v>17</v>
      </c>
      <c r="I383" s="6">
        <v>17</v>
      </c>
      <c r="J383" s="6">
        <v>17.45</v>
      </c>
      <c r="K383" s="6">
        <v>16.923482</v>
      </c>
      <c r="L383" s="6">
        <v>16.908185</v>
      </c>
      <c r="M383" s="6">
        <v>17.652851999999999</v>
      </c>
      <c r="N383" s="6">
        <v>17.016705999999999</v>
      </c>
      <c r="O383" s="6">
        <v>16.954350000000002</v>
      </c>
      <c r="P383" s="6">
        <v>17.537869000000001</v>
      </c>
      <c r="Q383" s="6">
        <v>17.016335999999999</v>
      </c>
      <c r="R383" s="6">
        <v>16.958155999999999</v>
      </c>
      <c r="S383" s="6">
        <v>17.538882000000001</v>
      </c>
      <c r="T383" s="6">
        <v>17.016335999999999</v>
      </c>
      <c r="U383" s="6">
        <v>16.958155999999999</v>
      </c>
      <c r="V383" s="6">
        <v>17.538882000000001</v>
      </c>
    </row>
    <row r="384" spans="2:22">
      <c r="B384" s="6">
        <v>31382</v>
      </c>
      <c r="C384" s="6" t="s">
        <v>114</v>
      </c>
      <c r="D384" s="6">
        <v>20500</v>
      </c>
      <c r="E384" s="6" t="s">
        <v>31</v>
      </c>
      <c r="F384" s="6" t="s">
        <v>17</v>
      </c>
      <c r="G384" s="6" t="s">
        <v>1294</v>
      </c>
      <c r="H384" s="6">
        <v>27</v>
      </c>
      <c r="I384" s="6">
        <v>27</v>
      </c>
      <c r="J384" s="6">
        <v>23.117647000000002</v>
      </c>
      <c r="K384" s="6">
        <v>26.093993999999999</v>
      </c>
      <c r="L384" s="6">
        <v>26.469746000000001</v>
      </c>
      <c r="M384" s="6">
        <v>26.000619</v>
      </c>
      <c r="N384" s="6">
        <v>26.108958000000001</v>
      </c>
      <c r="O384" s="6">
        <v>26.328648000000001</v>
      </c>
      <c r="P384" s="6">
        <v>26.003786000000002</v>
      </c>
      <c r="Q384" s="6">
        <v>26.101534000000001</v>
      </c>
      <c r="R384" s="6">
        <v>26.316153</v>
      </c>
      <c r="S384" s="6">
        <v>25.991613999999998</v>
      </c>
      <c r="T384" s="6">
        <v>25.645997000000001</v>
      </c>
      <c r="U384" s="6">
        <v>25.223958</v>
      </c>
      <c r="V384" s="6">
        <v>24.770192999999999</v>
      </c>
    </row>
    <row r="385" spans="2:22">
      <c r="B385" s="6">
        <v>31382</v>
      </c>
      <c r="C385" s="6" t="s">
        <v>114</v>
      </c>
      <c r="D385" s="6">
        <v>20706</v>
      </c>
      <c r="E385" s="6" t="s">
        <v>52</v>
      </c>
      <c r="F385" s="6" t="s">
        <v>17</v>
      </c>
      <c r="G385" s="6" t="s">
        <v>1294</v>
      </c>
      <c r="H385" s="6">
        <v>40</v>
      </c>
      <c r="I385" s="6">
        <v>40</v>
      </c>
      <c r="J385" s="6">
        <v>40</v>
      </c>
      <c r="K385" s="6">
        <v>40</v>
      </c>
      <c r="L385" s="6">
        <v>39.985993999999998</v>
      </c>
      <c r="M385" s="6">
        <v>39.981146000000003</v>
      </c>
      <c r="N385" s="6">
        <v>39.962778999999998</v>
      </c>
      <c r="O385" s="6">
        <v>39.971750999999998</v>
      </c>
      <c r="P385" s="6">
        <v>39.969020999999998</v>
      </c>
      <c r="Q385" s="6">
        <v>39.963768000000002</v>
      </c>
      <c r="R385" s="6">
        <v>39.972496999999997</v>
      </c>
      <c r="S385" s="6">
        <v>39.969659999999998</v>
      </c>
      <c r="T385" s="6">
        <v>39.867787999999997</v>
      </c>
      <c r="U385" s="6">
        <v>39.928649</v>
      </c>
      <c r="V385" s="6">
        <v>39.945453999999998</v>
      </c>
    </row>
    <row r="386" spans="2:22">
      <c r="B386" s="6">
        <v>31382</v>
      </c>
      <c r="C386" s="6" t="s">
        <v>114</v>
      </c>
      <c r="D386" s="6">
        <v>20706</v>
      </c>
      <c r="E386" s="6" t="s">
        <v>52</v>
      </c>
      <c r="F386" s="6" t="s">
        <v>73</v>
      </c>
      <c r="G386" s="6" t="s">
        <v>1299</v>
      </c>
      <c r="H386" s="6">
        <v>0</v>
      </c>
      <c r="I386" s="6">
        <v>0</v>
      </c>
      <c r="J386" s="6">
        <v>35</v>
      </c>
      <c r="K386" s="6">
        <v>0</v>
      </c>
      <c r="L386" s="6">
        <v>30</v>
      </c>
      <c r="M386" s="6">
        <v>33.059700999999997</v>
      </c>
      <c r="N386" s="6">
        <v>0</v>
      </c>
      <c r="O386" s="6">
        <v>30</v>
      </c>
      <c r="P386" s="6">
        <v>33.014704999999999</v>
      </c>
      <c r="Q386" s="6">
        <v>0</v>
      </c>
      <c r="R386" s="6">
        <v>30</v>
      </c>
      <c r="S386" s="6">
        <v>33.014704999999999</v>
      </c>
      <c r="T386" s="6">
        <v>0</v>
      </c>
      <c r="U386" s="6">
        <v>30</v>
      </c>
      <c r="V386" s="6">
        <v>33.014704999999999</v>
      </c>
    </row>
    <row r="387" spans="2:22">
      <c r="B387" s="6">
        <v>31382</v>
      </c>
      <c r="C387" s="6" t="s">
        <v>114</v>
      </c>
      <c r="D387" s="6">
        <v>20902</v>
      </c>
      <c r="E387" s="6" t="s">
        <v>53</v>
      </c>
      <c r="F387" s="6" t="s">
        <v>16</v>
      </c>
      <c r="G387" s="6" t="s">
        <v>1295</v>
      </c>
      <c r="H387" s="6">
        <v>0</v>
      </c>
      <c r="I387" s="6">
        <v>0</v>
      </c>
      <c r="J387" s="6">
        <v>30</v>
      </c>
      <c r="K387" s="6">
        <v>27.235294</v>
      </c>
      <c r="L387" s="6">
        <v>26.730157999999999</v>
      </c>
      <c r="M387" s="6">
        <v>28.302752000000002</v>
      </c>
      <c r="N387" s="6">
        <v>27.102803000000002</v>
      </c>
      <c r="O387" s="6">
        <v>26.100322999999999</v>
      </c>
      <c r="P387" s="6">
        <v>27.578899</v>
      </c>
      <c r="Q387" s="6">
        <v>27.102803000000002</v>
      </c>
      <c r="R387" s="6">
        <v>26.100322999999999</v>
      </c>
      <c r="S387" s="6">
        <v>27.558453</v>
      </c>
      <c r="T387" s="6">
        <v>26.737159999999999</v>
      </c>
      <c r="U387" s="6">
        <v>25.752351000000001</v>
      </c>
      <c r="V387" s="6">
        <v>27.323633000000001</v>
      </c>
    </row>
    <row r="388" spans="2:22">
      <c r="B388" s="6">
        <v>31382</v>
      </c>
      <c r="C388" s="6" t="s">
        <v>114</v>
      </c>
      <c r="D388" s="6">
        <v>20902</v>
      </c>
      <c r="E388" s="6" t="s">
        <v>53</v>
      </c>
      <c r="F388" s="6" t="s">
        <v>13</v>
      </c>
      <c r="G388" s="6" t="s">
        <v>14</v>
      </c>
      <c r="H388" s="6">
        <v>20</v>
      </c>
      <c r="I388" s="6">
        <v>20</v>
      </c>
      <c r="J388" s="6">
        <v>20</v>
      </c>
      <c r="K388" s="6">
        <v>19.956309999999998</v>
      </c>
      <c r="L388" s="6">
        <v>19.965827000000001</v>
      </c>
      <c r="M388" s="6">
        <v>19.613216000000001</v>
      </c>
      <c r="N388" s="6">
        <v>19.181818</v>
      </c>
      <c r="O388" s="6">
        <v>19.119288999999998</v>
      </c>
      <c r="P388" s="6">
        <v>18.784502</v>
      </c>
      <c r="Q388" s="6">
        <v>19.181818</v>
      </c>
      <c r="R388" s="6">
        <v>19.101835999999999</v>
      </c>
      <c r="S388" s="6">
        <v>18.763134000000001</v>
      </c>
      <c r="T388" s="6">
        <v>19.181818</v>
      </c>
      <c r="U388" s="6">
        <v>19.101835999999999</v>
      </c>
      <c r="V388" s="6">
        <v>18.763134000000001</v>
      </c>
    </row>
    <row r="389" spans="2:22">
      <c r="B389" s="6">
        <v>31382</v>
      </c>
      <c r="C389" s="6" t="s">
        <v>114</v>
      </c>
      <c r="D389" s="6">
        <v>20906</v>
      </c>
      <c r="E389" s="6" t="s">
        <v>48</v>
      </c>
      <c r="F389" s="6" t="s">
        <v>49</v>
      </c>
      <c r="G389" s="6" t="s">
        <v>1296</v>
      </c>
      <c r="H389" s="6">
        <v>17</v>
      </c>
      <c r="I389" s="6">
        <v>17</v>
      </c>
      <c r="J389" s="6">
        <v>18.411764000000002</v>
      </c>
      <c r="K389" s="6">
        <v>16.923482</v>
      </c>
      <c r="L389" s="6">
        <v>16.908185</v>
      </c>
      <c r="M389" s="6">
        <v>17.652851999999999</v>
      </c>
      <c r="N389" s="6">
        <v>17.016705999999999</v>
      </c>
      <c r="O389" s="6">
        <v>16.954350000000002</v>
      </c>
      <c r="P389" s="6">
        <v>17.537869000000001</v>
      </c>
      <c r="Q389" s="6">
        <v>17.016335999999999</v>
      </c>
      <c r="R389" s="6">
        <v>16.958155999999999</v>
      </c>
      <c r="S389" s="6">
        <v>17.538882000000001</v>
      </c>
      <c r="T389" s="6">
        <v>17.016335999999999</v>
      </c>
      <c r="U389" s="6">
        <v>16.958155999999999</v>
      </c>
      <c r="V389" s="6">
        <v>17.538882000000001</v>
      </c>
    </row>
    <row r="390" spans="2:22">
      <c r="B390" s="6">
        <v>31383</v>
      </c>
      <c r="C390" s="6" t="s">
        <v>115</v>
      </c>
      <c r="D390" s="6">
        <v>20500</v>
      </c>
      <c r="E390" s="6" t="s">
        <v>31</v>
      </c>
      <c r="F390" s="6" t="s">
        <v>17</v>
      </c>
      <c r="G390" s="6" t="s">
        <v>1294</v>
      </c>
      <c r="H390" s="6">
        <v>26.642856999999999</v>
      </c>
      <c r="I390" s="6">
        <v>26.642856999999999</v>
      </c>
      <c r="J390" s="6">
        <v>25.6</v>
      </c>
      <c r="K390" s="6">
        <v>26.093993999999999</v>
      </c>
      <c r="L390" s="6">
        <v>26.469746000000001</v>
      </c>
      <c r="M390" s="6">
        <v>26.000619</v>
      </c>
      <c r="N390" s="6">
        <v>26.108958000000001</v>
      </c>
      <c r="O390" s="6">
        <v>26.328648000000001</v>
      </c>
      <c r="P390" s="6">
        <v>26.003786000000002</v>
      </c>
      <c r="Q390" s="6">
        <v>26.101534000000001</v>
      </c>
      <c r="R390" s="6">
        <v>26.316153</v>
      </c>
      <c r="S390" s="6">
        <v>25.991613999999998</v>
      </c>
      <c r="T390" s="6">
        <v>25.645997000000001</v>
      </c>
      <c r="U390" s="6">
        <v>25.223958</v>
      </c>
      <c r="V390" s="6">
        <v>24.770192999999999</v>
      </c>
    </row>
    <row r="391" spans="2:22">
      <c r="B391" s="6">
        <v>31383</v>
      </c>
      <c r="C391" s="6" t="s">
        <v>115</v>
      </c>
      <c r="D391" s="6">
        <v>20706</v>
      </c>
      <c r="E391" s="6" t="s">
        <v>52</v>
      </c>
      <c r="F391" s="6" t="s">
        <v>17</v>
      </c>
      <c r="G391" s="6" t="s">
        <v>1294</v>
      </c>
      <c r="H391" s="6">
        <v>40</v>
      </c>
      <c r="I391" s="6">
        <v>40</v>
      </c>
      <c r="J391" s="6">
        <v>40</v>
      </c>
      <c r="K391" s="6">
        <v>40</v>
      </c>
      <c r="L391" s="6">
        <v>39.985993999999998</v>
      </c>
      <c r="M391" s="6">
        <v>39.981146000000003</v>
      </c>
      <c r="N391" s="6">
        <v>39.962778999999998</v>
      </c>
      <c r="O391" s="6">
        <v>39.971750999999998</v>
      </c>
      <c r="P391" s="6">
        <v>39.969020999999998</v>
      </c>
      <c r="Q391" s="6">
        <v>39.963768000000002</v>
      </c>
      <c r="R391" s="6">
        <v>39.972496999999997</v>
      </c>
      <c r="S391" s="6">
        <v>39.969659999999998</v>
      </c>
      <c r="T391" s="6">
        <v>39.867787999999997</v>
      </c>
      <c r="U391" s="6">
        <v>39.928649</v>
      </c>
      <c r="V391" s="6">
        <v>39.945453999999998</v>
      </c>
    </row>
    <row r="392" spans="2:22">
      <c r="B392" s="6">
        <v>31383</v>
      </c>
      <c r="C392" s="6" t="s">
        <v>115</v>
      </c>
      <c r="D392" s="6">
        <v>20706</v>
      </c>
      <c r="E392" s="6" t="s">
        <v>52</v>
      </c>
      <c r="F392" s="6" t="s">
        <v>73</v>
      </c>
      <c r="G392" s="6" t="s">
        <v>1299</v>
      </c>
      <c r="H392" s="6">
        <v>0</v>
      </c>
      <c r="I392" s="6">
        <v>0</v>
      </c>
      <c r="J392" s="6">
        <v>35</v>
      </c>
      <c r="K392" s="6">
        <v>0</v>
      </c>
      <c r="L392" s="6">
        <v>30</v>
      </c>
      <c r="M392" s="6">
        <v>33.059700999999997</v>
      </c>
      <c r="N392" s="6">
        <v>0</v>
      </c>
      <c r="O392" s="6">
        <v>30</v>
      </c>
      <c r="P392" s="6">
        <v>33.014704999999999</v>
      </c>
      <c r="Q392" s="6">
        <v>0</v>
      </c>
      <c r="R392" s="6">
        <v>30</v>
      </c>
      <c r="S392" s="6">
        <v>33.014704999999999</v>
      </c>
      <c r="T392" s="6">
        <v>0</v>
      </c>
      <c r="U392" s="6">
        <v>30</v>
      </c>
      <c r="V392" s="6">
        <v>33.014704999999999</v>
      </c>
    </row>
    <row r="393" spans="2:22">
      <c r="B393" s="6">
        <v>31383</v>
      </c>
      <c r="C393" s="6" t="s">
        <v>115</v>
      </c>
      <c r="D393" s="6">
        <v>20902</v>
      </c>
      <c r="E393" s="6" t="s">
        <v>53</v>
      </c>
      <c r="F393" s="6" t="s">
        <v>16</v>
      </c>
      <c r="G393" s="6" t="s">
        <v>1295</v>
      </c>
      <c r="H393" s="6">
        <v>20</v>
      </c>
      <c r="I393" s="6">
        <v>20</v>
      </c>
      <c r="J393" s="6">
        <v>20</v>
      </c>
      <c r="K393" s="6">
        <v>27.235294</v>
      </c>
      <c r="L393" s="6">
        <v>26.730157999999999</v>
      </c>
      <c r="M393" s="6">
        <v>28.302752000000002</v>
      </c>
      <c r="N393" s="6">
        <v>27.102803000000002</v>
      </c>
      <c r="O393" s="6">
        <v>26.100322999999999</v>
      </c>
      <c r="P393" s="6">
        <v>27.578899</v>
      </c>
      <c r="Q393" s="6">
        <v>27.102803000000002</v>
      </c>
      <c r="R393" s="6">
        <v>26.100322999999999</v>
      </c>
      <c r="S393" s="6">
        <v>27.558453</v>
      </c>
      <c r="T393" s="6">
        <v>26.737159999999999</v>
      </c>
      <c r="U393" s="6">
        <v>25.752351000000001</v>
      </c>
      <c r="V393" s="6">
        <v>27.323633000000001</v>
      </c>
    </row>
    <row r="394" spans="2:22">
      <c r="B394" s="6">
        <v>31383</v>
      </c>
      <c r="C394" s="6" t="s">
        <v>115</v>
      </c>
      <c r="D394" s="6">
        <v>20902</v>
      </c>
      <c r="E394" s="6" t="s">
        <v>53</v>
      </c>
      <c r="F394" s="6" t="s">
        <v>13</v>
      </c>
      <c r="G394" s="6" t="s">
        <v>14</v>
      </c>
      <c r="H394" s="6">
        <v>20</v>
      </c>
      <c r="I394" s="6">
        <v>20</v>
      </c>
      <c r="J394" s="6">
        <v>19.583333</v>
      </c>
      <c r="K394" s="6">
        <v>19.956309999999998</v>
      </c>
      <c r="L394" s="6">
        <v>19.965827000000001</v>
      </c>
      <c r="M394" s="6">
        <v>19.613216000000001</v>
      </c>
      <c r="N394" s="6">
        <v>19.181818</v>
      </c>
      <c r="O394" s="6">
        <v>19.119288999999998</v>
      </c>
      <c r="P394" s="6">
        <v>18.784502</v>
      </c>
      <c r="Q394" s="6">
        <v>19.181818</v>
      </c>
      <c r="R394" s="6">
        <v>19.101835999999999</v>
      </c>
      <c r="S394" s="6">
        <v>18.763134000000001</v>
      </c>
      <c r="T394" s="6">
        <v>19.181818</v>
      </c>
      <c r="U394" s="6">
        <v>19.101835999999999</v>
      </c>
      <c r="V394" s="6">
        <v>18.763134000000001</v>
      </c>
    </row>
    <row r="395" spans="2:22">
      <c r="B395" s="6">
        <v>31383</v>
      </c>
      <c r="C395" s="6" t="s">
        <v>115</v>
      </c>
      <c r="D395" s="6">
        <v>20906</v>
      </c>
      <c r="E395" s="6" t="s">
        <v>48</v>
      </c>
      <c r="F395" s="6" t="s">
        <v>49</v>
      </c>
      <c r="G395" s="6" t="s">
        <v>1296</v>
      </c>
      <c r="H395" s="6">
        <v>17</v>
      </c>
      <c r="I395" s="6">
        <v>17</v>
      </c>
      <c r="J395" s="6">
        <v>17.636362999999999</v>
      </c>
      <c r="K395" s="6">
        <v>16.923482</v>
      </c>
      <c r="L395" s="6">
        <v>16.908185</v>
      </c>
      <c r="M395" s="6">
        <v>17.652851999999999</v>
      </c>
      <c r="N395" s="6">
        <v>17.016705999999999</v>
      </c>
      <c r="O395" s="6">
        <v>16.954350000000002</v>
      </c>
      <c r="P395" s="6">
        <v>17.537869000000001</v>
      </c>
      <c r="Q395" s="6">
        <v>17.016335999999999</v>
      </c>
      <c r="R395" s="6">
        <v>16.958155999999999</v>
      </c>
      <c r="S395" s="6">
        <v>17.538882000000001</v>
      </c>
      <c r="T395" s="6">
        <v>17.016335999999999</v>
      </c>
      <c r="U395" s="6">
        <v>16.958155999999999</v>
      </c>
      <c r="V395" s="6">
        <v>17.538882000000001</v>
      </c>
    </row>
    <row r="396" spans="2:22">
      <c r="B396" s="6">
        <v>31383</v>
      </c>
      <c r="C396" s="6" t="s">
        <v>115</v>
      </c>
      <c r="D396" s="6">
        <v>20906</v>
      </c>
      <c r="E396" s="6" t="s">
        <v>48</v>
      </c>
      <c r="F396" s="6" t="s">
        <v>1300</v>
      </c>
      <c r="G396" s="6" t="s">
        <v>1301</v>
      </c>
      <c r="H396" s="6">
        <v>17</v>
      </c>
      <c r="I396" s="6">
        <v>17</v>
      </c>
      <c r="J396" s="6">
        <v>17</v>
      </c>
      <c r="K396" s="6">
        <v>17</v>
      </c>
      <c r="L396" s="6">
        <v>17</v>
      </c>
      <c r="M396" s="6">
        <v>17.2</v>
      </c>
      <c r="N396" s="6">
        <v>17</v>
      </c>
      <c r="O396" s="6">
        <v>17</v>
      </c>
      <c r="P396" s="6">
        <v>17.2</v>
      </c>
      <c r="Q396" s="6">
        <v>17</v>
      </c>
      <c r="R396" s="6">
        <v>17</v>
      </c>
      <c r="S396" s="6">
        <v>17.2</v>
      </c>
      <c r="T396" s="6">
        <v>17</v>
      </c>
      <c r="U396" s="6">
        <v>17</v>
      </c>
      <c r="V396" s="6">
        <v>17.2</v>
      </c>
    </row>
    <row r="397" spans="2:22">
      <c r="B397" s="6">
        <v>31402</v>
      </c>
      <c r="C397" s="6" t="s">
        <v>116</v>
      </c>
      <c r="D397" s="6">
        <v>20500</v>
      </c>
      <c r="E397" s="6" t="s">
        <v>31</v>
      </c>
      <c r="F397" s="6" t="s">
        <v>17</v>
      </c>
      <c r="G397" s="6" t="s">
        <v>1294</v>
      </c>
      <c r="H397" s="6">
        <v>0</v>
      </c>
      <c r="I397" s="6">
        <v>27</v>
      </c>
      <c r="J397" s="6">
        <v>27</v>
      </c>
      <c r="K397" s="6">
        <v>26.093993999999999</v>
      </c>
      <c r="L397" s="6">
        <v>26.469746000000001</v>
      </c>
      <c r="M397" s="6">
        <v>26.000619</v>
      </c>
      <c r="N397" s="6">
        <v>26.108958000000001</v>
      </c>
      <c r="O397" s="6">
        <v>26.328648000000001</v>
      </c>
      <c r="P397" s="6">
        <v>26.003786000000002</v>
      </c>
      <c r="Q397" s="6">
        <v>26.101534000000001</v>
      </c>
      <c r="R397" s="6">
        <v>26.316153</v>
      </c>
      <c r="S397" s="6">
        <v>25.991613999999998</v>
      </c>
      <c r="T397" s="6">
        <v>25.645997000000001</v>
      </c>
      <c r="U397" s="6">
        <v>25.223958</v>
      </c>
      <c r="V397" s="6">
        <v>24.770192999999999</v>
      </c>
    </row>
    <row r="398" spans="2:22">
      <c r="B398" s="6">
        <v>31402</v>
      </c>
      <c r="C398" s="6" t="s">
        <v>116</v>
      </c>
      <c r="D398" s="6">
        <v>20706</v>
      </c>
      <c r="E398" s="6" t="s">
        <v>52</v>
      </c>
      <c r="F398" s="6" t="s">
        <v>73</v>
      </c>
      <c r="G398" s="6" t="s">
        <v>1299</v>
      </c>
      <c r="H398" s="6">
        <v>0</v>
      </c>
      <c r="I398" s="6">
        <v>30</v>
      </c>
      <c r="J398" s="6">
        <v>30</v>
      </c>
      <c r="K398" s="6">
        <v>0</v>
      </c>
      <c r="L398" s="6">
        <v>30</v>
      </c>
      <c r="M398" s="6">
        <v>33.059700999999997</v>
      </c>
      <c r="N398" s="6">
        <v>0</v>
      </c>
      <c r="O398" s="6">
        <v>30</v>
      </c>
      <c r="P398" s="6">
        <v>33.014704999999999</v>
      </c>
      <c r="Q398" s="6">
        <v>0</v>
      </c>
      <c r="R398" s="6">
        <v>30</v>
      </c>
      <c r="S398" s="6">
        <v>33.014704999999999</v>
      </c>
      <c r="T398" s="6">
        <v>0</v>
      </c>
      <c r="U398" s="6">
        <v>30</v>
      </c>
      <c r="V398" s="6">
        <v>33.014704999999999</v>
      </c>
    </row>
    <row r="399" spans="2:22">
      <c r="B399" s="6">
        <v>31402</v>
      </c>
      <c r="C399" s="6" t="s">
        <v>116</v>
      </c>
      <c r="D399" s="6">
        <v>20902</v>
      </c>
      <c r="E399" s="6" t="s">
        <v>53</v>
      </c>
      <c r="F399" s="6" t="s">
        <v>13</v>
      </c>
      <c r="G399" s="6" t="s">
        <v>14</v>
      </c>
      <c r="H399" s="6">
        <v>0</v>
      </c>
      <c r="I399" s="6">
        <v>15</v>
      </c>
      <c r="J399" s="6">
        <v>15</v>
      </c>
      <c r="K399" s="6">
        <v>19.956309999999998</v>
      </c>
      <c r="L399" s="6">
        <v>19.965827000000001</v>
      </c>
      <c r="M399" s="6">
        <v>19.613216000000001</v>
      </c>
      <c r="N399" s="6">
        <v>19.181818</v>
      </c>
      <c r="O399" s="6">
        <v>19.119288999999998</v>
      </c>
      <c r="P399" s="6">
        <v>18.784502</v>
      </c>
      <c r="Q399" s="6">
        <v>19.181818</v>
      </c>
      <c r="R399" s="6">
        <v>19.101835999999999</v>
      </c>
      <c r="S399" s="6">
        <v>18.763134000000001</v>
      </c>
      <c r="T399" s="6">
        <v>19.181818</v>
      </c>
      <c r="U399" s="6">
        <v>19.101835999999999</v>
      </c>
      <c r="V399" s="6">
        <v>18.763134000000001</v>
      </c>
    </row>
    <row r="400" spans="2:22">
      <c r="B400" s="6">
        <v>31402</v>
      </c>
      <c r="C400" s="6" t="s">
        <v>116</v>
      </c>
      <c r="D400" s="6">
        <v>20906</v>
      </c>
      <c r="E400" s="6" t="s">
        <v>48</v>
      </c>
      <c r="F400" s="6" t="s">
        <v>49</v>
      </c>
      <c r="G400" s="6" t="s">
        <v>1296</v>
      </c>
      <c r="H400" s="6">
        <v>0</v>
      </c>
      <c r="I400" s="6">
        <v>17</v>
      </c>
      <c r="J400" s="6">
        <v>17</v>
      </c>
      <c r="K400" s="6">
        <v>16.923482</v>
      </c>
      <c r="L400" s="6">
        <v>16.908185</v>
      </c>
      <c r="M400" s="6">
        <v>17.652851999999999</v>
      </c>
      <c r="N400" s="6">
        <v>17.016705999999999</v>
      </c>
      <c r="O400" s="6">
        <v>16.954350000000002</v>
      </c>
      <c r="P400" s="6">
        <v>17.537869000000001</v>
      </c>
      <c r="Q400" s="6">
        <v>17.016335999999999</v>
      </c>
      <c r="R400" s="6">
        <v>16.958155999999999</v>
      </c>
      <c r="S400" s="6">
        <v>17.538882000000001</v>
      </c>
      <c r="T400" s="6">
        <v>17.016335999999999</v>
      </c>
      <c r="U400" s="6">
        <v>16.958155999999999</v>
      </c>
      <c r="V400" s="6">
        <v>17.538882000000001</v>
      </c>
    </row>
    <row r="401" spans="2:22">
      <c r="B401" s="6">
        <v>31503</v>
      </c>
      <c r="C401" s="6" t="s">
        <v>117</v>
      </c>
      <c r="D401" s="6">
        <v>20500</v>
      </c>
      <c r="E401" s="6" t="s">
        <v>31</v>
      </c>
      <c r="F401" s="6" t="s">
        <v>17</v>
      </c>
      <c r="G401" s="6" t="s">
        <v>1294</v>
      </c>
      <c r="H401" s="6">
        <v>27</v>
      </c>
      <c r="I401" s="6">
        <v>27</v>
      </c>
      <c r="J401" s="6">
        <v>26.348837</v>
      </c>
      <c r="K401" s="6">
        <v>26.093993999999999</v>
      </c>
      <c r="L401" s="6">
        <v>26.469746000000001</v>
      </c>
      <c r="M401" s="6">
        <v>26.000619</v>
      </c>
      <c r="N401" s="6">
        <v>26.108958000000001</v>
      </c>
      <c r="O401" s="6">
        <v>26.328648000000001</v>
      </c>
      <c r="P401" s="6">
        <v>26.003786000000002</v>
      </c>
      <c r="Q401" s="6">
        <v>26.101534000000001</v>
      </c>
      <c r="R401" s="6">
        <v>26.316153</v>
      </c>
      <c r="S401" s="6">
        <v>25.991613999999998</v>
      </c>
      <c r="T401" s="6">
        <v>25.645997000000001</v>
      </c>
      <c r="U401" s="6">
        <v>25.223958</v>
      </c>
      <c r="V401" s="6">
        <v>24.770192999999999</v>
      </c>
    </row>
    <row r="402" spans="2:22">
      <c r="B402" s="6">
        <v>31503</v>
      </c>
      <c r="C402" s="6" t="s">
        <v>117</v>
      </c>
      <c r="D402" s="6">
        <v>20706</v>
      </c>
      <c r="E402" s="6" t="s">
        <v>52</v>
      </c>
      <c r="F402" s="6" t="s">
        <v>17</v>
      </c>
      <c r="G402" s="6" t="s">
        <v>1294</v>
      </c>
      <c r="H402" s="6">
        <v>40</v>
      </c>
      <c r="I402" s="6">
        <v>40</v>
      </c>
      <c r="J402" s="6">
        <v>40</v>
      </c>
      <c r="K402" s="6">
        <v>40</v>
      </c>
      <c r="L402" s="6">
        <v>39.985993999999998</v>
      </c>
      <c r="M402" s="6">
        <v>39.981146000000003</v>
      </c>
      <c r="N402" s="6">
        <v>39.962778999999998</v>
      </c>
      <c r="O402" s="6">
        <v>39.971750999999998</v>
      </c>
      <c r="P402" s="6">
        <v>39.969020999999998</v>
      </c>
      <c r="Q402" s="6">
        <v>39.963768000000002</v>
      </c>
      <c r="R402" s="6">
        <v>39.972496999999997</v>
      </c>
      <c r="S402" s="6">
        <v>39.969659999999998</v>
      </c>
      <c r="T402" s="6">
        <v>39.867787999999997</v>
      </c>
      <c r="U402" s="6">
        <v>39.928649</v>
      </c>
      <c r="V402" s="6">
        <v>39.945453999999998</v>
      </c>
    </row>
    <row r="403" spans="2:22">
      <c r="B403" s="6">
        <v>31503</v>
      </c>
      <c r="C403" s="6" t="s">
        <v>117</v>
      </c>
      <c r="D403" s="6">
        <v>20706</v>
      </c>
      <c r="E403" s="6" t="s">
        <v>52</v>
      </c>
      <c r="F403" s="6" t="s">
        <v>73</v>
      </c>
      <c r="G403" s="6" t="s">
        <v>1299</v>
      </c>
      <c r="H403" s="6">
        <v>0</v>
      </c>
      <c r="I403" s="6">
        <v>30</v>
      </c>
      <c r="J403" s="6">
        <v>30</v>
      </c>
      <c r="K403" s="6">
        <v>0</v>
      </c>
      <c r="L403" s="6">
        <v>30</v>
      </c>
      <c r="M403" s="6">
        <v>33.059700999999997</v>
      </c>
      <c r="N403" s="6">
        <v>0</v>
      </c>
      <c r="O403" s="6">
        <v>30</v>
      </c>
      <c r="P403" s="6">
        <v>33.014704999999999</v>
      </c>
      <c r="Q403" s="6">
        <v>0</v>
      </c>
      <c r="R403" s="6">
        <v>30</v>
      </c>
      <c r="S403" s="6">
        <v>33.014704999999999</v>
      </c>
      <c r="T403" s="6">
        <v>0</v>
      </c>
      <c r="U403" s="6">
        <v>30</v>
      </c>
      <c r="V403" s="6">
        <v>33.014704999999999</v>
      </c>
    </row>
    <row r="404" spans="2:22">
      <c r="B404" s="6">
        <v>31503</v>
      </c>
      <c r="C404" s="6" t="s">
        <v>117</v>
      </c>
      <c r="D404" s="6">
        <v>20902</v>
      </c>
      <c r="E404" s="6" t="s">
        <v>53</v>
      </c>
      <c r="F404" s="6" t="s">
        <v>16</v>
      </c>
      <c r="G404" s="6" t="s">
        <v>1295</v>
      </c>
      <c r="H404" s="6">
        <v>30</v>
      </c>
      <c r="I404" s="6">
        <v>30</v>
      </c>
      <c r="J404" s="6">
        <v>30</v>
      </c>
      <c r="K404" s="6">
        <v>27.235294</v>
      </c>
      <c r="L404" s="6">
        <v>26.730157999999999</v>
      </c>
      <c r="M404" s="6">
        <v>28.302752000000002</v>
      </c>
      <c r="N404" s="6">
        <v>27.102803000000002</v>
      </c>
      <c r="O404" s="6">
        <v>26.100322999999999</v>
      </c>
      <c r="P404" s="6">
        <v>27.578899</v>
      </c>
      <c r="Q404" s="6">
        <v>27.102803000000002</v>
      </c>
      <c r="R404" s="6">
        <v>26.100322999999999</v>
      </c>
      <c r="S404" s="6">
        <v>27.558453</v>
      </c>
      <c r="T404" s="6">
        <v>26.737159999999999</v>
      </c>
      <c r="U404" s="6">
        <v>25.752351000000001</v>
      </c>
      <c r="V404" s="6">
        <v>27.323633000000001</v>
      </c>
    </row>
    <row r="405" spans="2:22">
      <c r="B405" s="6">
        <v>31503</v>
      </c>
      <c r="C405" s="6" t="s">
        <v>117</v>
      </c>
      <c r="D405" s="6">
        <v>20902</v>
      </c>
      <c r="E405" s="6" t="s">
        <v>53</v>
      </c>
      <c r="F405" s="6" t="s">
        <v>13</v>
      </c>
      <c r="G405" s="6" t="s">
        <v>14</v>
      </c>
      <c r="H405" s="6">
        <v>20</v>
      </c>
      <c r="I405" s="6">
        <v>20</v>
      </c>
      <c r="J405" s="6">
        <v>20</v>
      </c>
      <c r="K405" s="6">
        <v>19.956309999999998</v>
      </c>
      <c r="L405" s="6">
        <v>19.965827000000001</v>
      </c>
      <c r="M405" s="6">
        <v>19.613216000000001</v>
      </c>
      <c r="N405" s="6">
        <v>19.181818</v>
      </c>
      <c r="O405" s="6">
        <v>19.119288999999998</v>
      </c>
      <c r="P405" s="6">
        <v>18.784502</v>
      </c>
      <c r="Q405" s="6">
        <v>19.181818</v>
      </c>
      <c r="R405" s="6">
        <v>19.101835999999999</v>
      </c>
      <c r="S405" s="6">
        <v>18.763134000000001</v>
      </c>
      <c r="T405" s="6">
        <v>19.181818</v>
      </c>
      <c r="U405" s="6">
        <v>19.101835999999999</v>
      </c>
      <c r="V405" s="6">
        <v>18.763134000000001</v>
      </c>
    </row>
    <row r="406" spans="2:22">
      <c r="B406" s="6">
        <v>31503</v>
      </c>
      <c r="C406" s="6" t="s">
        <v>117</v>
      </c>
      <c r="D406" s="6">
        <v>20906</v>
      </c>
      <c r="E406" s="6" t="s">
        <v>48</v>
      </c>
      <c r="F406" s="6" t="s">
        <v>49</v>
      </c>
      <c r="G406" s="6" t="s">
        <v>1296</v>
      </c>
      <c r="H406" s="6">
        <v>17</v>
      </c>
      <c r="I406" s="6">
        <v>17</v>
      </c>
      <c r="J406" s="6">
        <v>17.511627000000001</v>
      </c>
      <c r="K406" s="6">
        <v>16.923482</v>
      </c>
      <c r="L406" s="6">
        <v>16.908185</v>
      </c>
      <c r="M406" s="6">
        <v>17.652851999999999</v>
      </c>
      <c r="N406" s="6">
        <v>17.016705999999999</v>
      </c>
      <c r="O406" s="6">
        <v>16.954350000000002</v>
      </c>
      <c r="P406" s="6">
        <v>17.537869000000001</v>
      </c>
      <c r="Q406" s="6">
        <v>17.016335999999999</v>
      </c>
      <c r="R406" s="6">
        <v>16.958155999999999</v>
      </c>
      <c r="S406" s="6">
        <v>17.538882000000001</v>
      </c>
      <c r="T406" s="6">
        <v>17.016335999999999</v>
      </c>
      <c r="U406" s="6">
        <v>16.958155999999999</v>
      </c>
      <c r="V406" s="6">
        <v>17.538882000000001</v>
      </c>
    </row>
    <row r="407" spans="2:22">
      <c r="B407" s="6">
        <v>31504</v>
      </c>
      <c r="C407" s="6" t="s">
        <v>118</v>
      </c>
      <c r="D407" s="6">
        <v>20500</v>
      </c>
      <c r="E407" s="6" t="s">
        <v>31</v>
      </c>
      <c r="F407" s="6" t="s">
        <v>17</v>
      </c>
      <c r="G407" s="6" t="s">
        <v>1294</v>
      </c>
      <c r="H407" s="6">
        <v>31.8</v>
      </c>
      <c r="I407" s="6">
        <v>29.666665999999999</v>
      </c>
      <c r="J407" s="6">
        <v>27.76923</v>
      </c>
      <c r="K407" s="6">
        <v>26.046875</v>
      </c>
      <c r="L407" s="6">
        <v>26.199541</v>
      </c>
      <c r="M407" s="6">
        <v>26.109717</v>
      </c>
      <c r="N407" s="6">
        <v>26.108958000000001</v>
      </c>
      <c r="O407" s="6">
        <v>26.328648000000001</v>
      </c>
      <c r="P407" s="6">
        <v>26.003786000000002</v>
      </c>
      <c r="Q407" s="6">
        <v>26.101534000000001</v>
      </c>
      <c r="R407" s="6">
        <v>26.316153</v>
      </c>
      <c r="S407" s="6">
        <v>25.991613999999998</v>
      </c>
      <c r="T407" s="6">
        <v>25.645997000000001</v>
      </c>
      <c r="U407" s="6">
        <v>25.223958</v>
      </c>
      <c r="V407" s="6">
        <v>24.770192999999999</v>
      </c>
    </row>
    <row r="408" spans="2:22">
      <c r="B408" s="6">
        <v>31504</v>
      </c>
      <c r="C408" s="6" t="s">
        <v>118</v>
      </c>
      <c r="D408" s="6">
        <v>20706</v>
      </c>
      <c r="E408" s="6" t="s">
        <v>52</v>
      </c>
      <c r="F408" s="6" t="s">
        <v>17</v>
      </c>
      <c r="G408" s="6" t="s">
        <v>1294</v>
      </c>
      <c r="H408" s="6">
        <v>37</v>
      </c>
      <c r="I408" s="6">
        <v>37.857142000000003</v>
      </c>
      <c r="J408" s="6">
        <v>38.636363000000003</v>
      </c>
      <c r="K408" s="6">
        <v>39.625</v>
      </c>
      <c r="L408" s="6">
        <v>39.852941000000001</v>
      </c>
      <c r="M408" s="6">
        <v>39.894365999999998</v>
      </c>
      <c r="N408" s="6">
        <v>39.962778999999998</v>
      </c>
      <c r="O408" s="6">
        <v>39.971750999999998</v>
      </c>
      <c r="P408" s="6">
        <v>39.969020999999998</v>
      </c>
      <c r="Q408" s="6">
        <v>39.963768000000002</v>
      </c>
      <c r="R408" s="6">
        <v>39.972496999999997</v>
      </c>
      <c r="S408" s="6">
        <v>39.969659999999998</v>
      </c>
      <c r="T408" s="6">
        <v>39.867787999999997</v>
      </c>
      <c r="U408" s="6">
        <v>39.928649</v>
      </c>
      <c r="V408" s="6">
        <v>39.945453999999998</v>
      </c>
    </row>
    <row r="409" spans="2:22">
      <c r="B409" s="6">
        <v>31504</v>
      </c>
      <c r="C409" s="6" t="s">
        <v>118</v>
      </c>
      <c r="D409" s="6">
        <v>20706</v>
      </c>
      <c r="E409" s="6" t="s">
        <v>52</v>
      </c>
      <c r="F409" s="6" t="s">
        <v>73</v>
      </c>
      <c r="G409" s="6" t="s">
        <v>1299</v>
      </c>
      <c r="H409" s="6">
        <v>0</v>
      </c>
      <c r="I409" s="6">
        <v>30</v>
      </c>
      <c r="J409" s="6">
        <v>30</v>
      </c>
      <c r="K409" s="6">
        <v>0</v>
      </c>
      <c r="L409" s="6">
        <v>30</v>
      </c>
      <c r="M409" s="6">
        <v>30</v>
      </c>
      <c r="N409" s="6">
        <v>0</v>
      </c>
      <c r="O409" s="6">
        <v>30</v>
      </c>
      <c r="P409" s="6">
        <v>33.014704999999999</v>
      </c>
      <c r="Q409" s="6">
        <v>0</v>
      </c>
      <c r="R409" s="6">
        <v>30</v>
      </c>
      <c r="S409" s="6">
        <v>33.014704999999999</v>
      </c>
      <c r="T409" s="6">
        <v>0</v>
      </c>
      <c r="U409" s="6">
        <v>30</v>
      </c>
      <c r="V409" s="6">
        <v>33.014704999999999</v>
      </c>
    </row>
    <row r="410" spans="2:22">
      <c r="B410" s="6">
        <v>31504</v>
      </c>
      <c r="C410" s="6" t="s">
        <v>118</v>
      </c>
      <c r="D410" s="6">
        <v>20902</v>
      </c>
      <c r="E410" s="6" t="s">
        <v>53</v>
      </c>
      <c r="F410" s="6" t="s">
        <v>16</v>
      </c>
      <c r="G410" s="6" t="s">
        <v>1295</v>
      </c>
      <c r="H410" s="6">
        <v>30</v>
      </c>
      <c r="I410" s="6">
        <v>30</v>
      </c>
      <c r="J410" s="6">
        <v>30</v>
      </c>
      <c r="K410" s="6">
        <v>26.721311</v>
      </c>
      <c r="L410" s="6">
        <v>25.932835000000001</v>
      </c>
      <c r="M410" s="6">
        <v>26.507536999999999</v>
      </c>
      <c r="N410" s="6">
        <v>27.102803000000002</v>
      </c>
      <c r="O410" s="6">
        <v>26.100322999999999</v>
      </c>
      <c r="P410" s="6">
        <v>27.578899</v>
      </c>
      <c r="Q410" s="6">
        <v>27.102803000000002</v>
      </c>
      <c r="R410" s="6">
        <v>26.100322999999999</v>
      </c>
      <c r="S410" s="6">
        <v>27.558453</v>
      </c>
      <c r="T410" s="6">
        <v>26.737159999999999</v>
      </c>
      <c r="U410" s="6">
        <v>25.752351000000001</v>
      </c>
      <c r="V410" s="6">
        <v>27.323633000000001</v>
      </c>
    </row>
    <row r="411" spans="2:22">
      <c r="B411" s="6">
        <v>31504</v>
      </c>
      <c r="C411" s="6" t="s">
        <v>118</v>
      </c>
      <c r="D411" s="6">
        <v>20902</v>
      </c>
      <c r="E411" s="6" t="s">
        <v>53</v>
      </c>
      <c r="F411" s="6" t="s">
        <v>13</v>
      </c>
      <c r="G411" s="6" t="s">
        <v>14</v>
      </c>
      <c r="H411" s="6">
        <v>20</v>
      </c>
      <c r="I411" s="6">
        <v>20</v>
      </c>
      <c r="J411" s="6">
        <v>20</v>
      </c>
      <c r="K411" s="6">
        <v>18.622046999999998</v>
      </c>
      <c r="L411" s="6">
        <v>18.557046</v>
      </c>
      <c r="M411" s="6">
        <v>18.643459</v>
      </c>
      <c r="N411" s="6">
        <v>19.181818</v>
      </c>
      <c r="O411" s="6">
        <v>19.119288999999998</v>
      </c>
      <c r="P411" s="6">
        <v>18.784502</v>
      </c>
      <c r="Q411" s="6">
        <v>19.181818</v>
      </c>
      <c r="R411" s="6">
        <v>19.101835999999999</v>
      </c>
      <c r="S411" s="6">
        <v>18.763134000000001</v>
      </c>
      <c r="T411" s="6">
        <v>19.181818</v>
      </c>
      <c r="U411" s="6">
        <v>19.101835999999999</v>
      </c>
      <c r="V411" s="6">
        <v>18.763134000000001</v>
      </c>
    </row>
    <row r="412" spans="2:22">
      <c r="B412" s="6">
        <v>31504</v>
      </c>
      <c r="C412" s="6" t="s">
        <v>118</v>
      </c>
      <c r="D412" s="6">
        <v>20906</v>
      </c>
      <c r="E412" s="6" t="s">
        <v>48</v>
      </c>
      <c r="F412" s="6" t="s">
        <v>49</v>
      </c>
      <c r="G412" s="6" t="s">
        <v>1296</v>
      </c>
      <c r="H412" s="6">
        <v>17</v>
      </c>
      <c r="I412" s="6">
        <v>17</v>
      </c>
      <c r="J412" s="6">
        <v>17.615383999999999</v>
      </c>
      <c r="K412" s="6">
        <v>17.229590999999999</v>
      </c>
      <c r="L412" s="6">
        <v>17.052391</v>
      </c>
      <c r="M412" s="6">
        <v>17.431988</v>
      </c>
      <c r="N412" s="6">
        <v>17.016705999999999</v>
      </c>
      <c r="O412" s="6">
        <v>16.954350000000002</v>
      </c>
      <c r="P412" s="6">
        <v>17.537869000000001</v>
      </c>
      <c r="Q412" s="6">
        <v>17.016335999999999</v>
      </c>
      <c r="R412" s="6">
        <v>16.958155999999999</v>
      </c>
      <c r="S412" s="6">
        <v>17.538882000000001</v>
      </c>
      <c r="T412" s="6">
        <v>17.016335999999999</v>
      </c>
      <c r="U412" s="6">
        <v>16.958155999999999</v>
      </c>
      <c r="V412" s="6">
        <v>17.538882000000001</v>
      </c>
    </row>
    <row r="413" spans="2:22">
      <c r="B413" s="6">
        <v>31505</v>
      </c>
      <c r="C413" s="6" t="s">
        <v>119</v>
      </c>
      <c r="D413" s="6">
        <v>20500</v>
      </c>
      <c r="E413" s="6" t="s">
        <v>31</v>
      </c>
      <c r="F413" s="6" t="s">
        <v>17</v>
      </c>
      <c r="G413" s="6" t="s">
        <v>1294</v>
      </c>
      <c r="H413" s="6">
        <v>27</v>
      </c>
      <c r="I413" s="6">
        <v>27</v>
      </c>
      <c r="J413" s="6">
        <v>27</v>
      </c>
      <c r="K413" s="6">
        <v>26.179282000000001</v>
      </c>
      <c r="L413" s="6">
        <v>26.186138</v>
      </c>
      <c r="M413" s="6">
        <v>25.935728999999998</v>
      </c>
      <c r="N413" s="6">
        <v>26.108958000000001</v>
      </c>
      <c r="O413" s="6">
        <v>26.328648000000001</v>
      </c>
      <c r="P413" s="6">
        <v>26.003786000000002</v>
      </c>
      <c r="Q413" s="6">
        <v>26.101534000000001</v>
      </c>
      <c r="R413" s="6">
        <v>26.316153</v>
      </c>
      <c r="S413" s="6">
        <v>25.991613999999998</v>
      </c>
      <c r="T413" s="6">
        <v>25.645997000000001</v>
      </c>
      <c r="U413" s="6">
        <v>25.223958</v>
      </c>
      <c r="V413" s="6">
        <v>24.770192999999999</v>
      </c>
    </row>
    <row r="414" spans="2:22">
      <c r="B414" s="6">
        <v>31505</v>
      </c>
      <c r="C414" s="6" t="s">
        <v>119</v>
      </c>
      <c r="D414" s="6">
        <v>20706</v>
      </c>
      <c r="E414" s="6" t="s">
        <v>52</v>
      </c>
      <c r="F414" s="6" t="s">
        <v>17</v>
      </c>
      <c r="G414" s="6" t="s">
        <v>1294</v>
      </c>
      <c r="H414" s="6">
        <v>40</v>
      </c>
      <c r="I414" s="6">
        <v>40</v>
      </c>
      <c r="J414" s="6">
        <v>40</v>
      </c>
      <c r="K414" s="6">
        <v>40</v>
      </c>
      <c r="L414" s="6">
        <v>40</v>
      </c>
      <c r="M414" s="6">
        <v>39.931505999999999</v>
      </c>
      <c r="N414" s="6">
        <v>39.962778999999998</v>
      </c>
      <c r="O414" s="6">
        <v>39.971750999999998</v>
      </c>
      <c r="P414" s="6">
        <v>39.969020999999998</v>
      </c>
      <c r="Q414" s="6">
        <v>39.963768000000002</v>
      </c>
      <c r="R414" s="6">
        <v>39.972496999999997</v>
      </c>
      <c r="S414" s="6">
        <v>39.969659999999998</v>
      </c>
      <c r="T414" s="6">
        <v>39.867787999999997</v>
      </c>
      <c r="U414" s="6">
        <v>39.928649</v>
      </c>
      <c r="V414" s="6">
        <v>39.945453999999998</v>
      </c>
    </row>
    <row r="415" spans="2:22">
      <c r="B415" s="6">
        <v>31505</v>
      </c>
      <c r="C415" s="6" t="s">
        <v>119</v>
      </c>
      <c r="D415" s="6">
        <v>20902</v>
      </c>
      <c r="E415" s="6" t="s">
        <v>53</v>
      </c>
      <c r="F415" s="6" t="s">
        <v>16</v>
      </c>
      <c r="G415" s="6" t="s">
        <v>1295</v>
      </c>
      <c r="H415" s="6">
        <v>30</v>
      </c>
      <c r="I415" s="6">
        <v>30</v>
      </c>
      <c r="J415" s="6">
        <v>30</v>
      </c>
      <c r="K415" s="6">
        <v>27.111111000000001</v>
      </c>
      <c r="L415" s="6">
        <v>25.059170999999999</v>
      </c>
      <c r="M415" s="6">
        <v>26.5625</v>
      </c>
      <c r="N415" s="6">
        <v>27.102803000000002</v>
      </c>
      <c r="O415" s="6">
        <v>26.100322999999999</v>
      </c>
      <c r="P415" s="6">
        <v>27.578899</v>
      </c>
      <c r="Q415" s="6">
        <v>27.102803000000002</v>
      </c>
      <c r="R415" s="6">
        <v>26.100322999999999</v>
      </c>
      <c r="S415" s="6">
        <v>27.558453</v>
      </c>
      <c r="T415" s="6">
        <v>26.737159999999999</v>
      </c>
      <c r="U415" s="6">
        <v>25.752351000000001</v>
      </c>
      <c r="V415" s="6">
        <v>27.323633000000001</v>
      </c>
    </row>
    <row r="416" spans="2:22">
      <c r="B416" s="6">
        <v>31505</v>
      </c>
      <c r="C416" s="6" t="s">
        <v>119</v>
      </c>
      <c r="D416" s="6">
        <v>20902</v>
      </c>
      <c r="E416" s="6" t="s">
        <v>53</v>
      </c>
      <c r="F416" s="6" t="s">
        <v>13</v>
      </c>
      <c r="G416" s="6" t="s">
        <v>14</v>
      </c>
      <c r="H416" s="6">
        <v>20</v>
      </c>
      <c r="I416" s="6">
        <v>20</v>
      </c>
      <c r="J416" s="6">
        <v>20</v>
      </c>
      <c r="K416" s="6">
        <v>18.635802000000002</v>
      </c>
      <c r="L416" s="6">
        <v>18.195121</v>
      </c>
      <c r="M416" s="6">
        <v>17.625368000000002</v>
      </c>
      <c r="N416" s="6">
        <v>19.181818</v>
      </c>
      <c r="O416" s="6">
        <v>19.119288999999998</v>
      </c>
      <c r="P416" s="6">
        <v>18.784502</v>
      </c>
      <c r="Q416" s="6">
        <v>19.181818</v>
      </c>
      <c r="R416" s="6">
        <v>19.101835999999999</v>
      </c>
      <c r="S416" s="6">
        <v>18.763134000000001</v>
      </c>
      <c r="T416" s="6">
        <v>19.181818</v>
      </c>
      <c r="U416" s="6">
        <v>19.101835999999999</v>
      </c>
      <c r="V416" s="6">
        <v>18.763134000000001</v>
      </c>
    </row>
    <row r="417" spans="2:22">
      <c r="B417" s="6">
        <v>31505</v>
      </c>
      <c r="C417" s="6" t="s">
        <v>119</v>
      </c>
      <c r="D417" s="6">
        <v>20906</v>
      </c>
      <c r="E417" s="6" t="s">
        <v>48</v>
      </c>
      <c r="F417" s="6" t="s">
        <v>49</v>
      </c>
      <c r="G417" s="6" t="s">
        <v>1296</v>
      </c>
      <c r="H417" s="6">
        <v>17</v>
      </c>
      <c r="I417" s="6">
        <v>17</v>
      </c>
      <c r="J417" s="6">
        <v>17.428571000000002</v>
      </c>
      <c r="K417" s="6">
        <v>16.992394999999998</v>
      </c>
      <c r="L417" s="6">
        <v>16.951830000000001</v>
      </c>
      <c r="M417" s="6">
        <v>17.405908</v>
      </c>
      <c r="N417" s="6">
        <v>17.016705999999999</v>
      </c>
      <c r="O417" s="6">
        <v>16.954350000000002</v>
      </c>
      <c r="P417" s="6">
        <v>17.537869000000001</v>
      </c>
      <c r="Q417" s="6">
        <v>17.016335999999999</v>
      </c>
      <c r="R417" s="6">
        <v>16.958155999999999</v>
      </c>
      <c r="S417" s="6">
        <v>17.538882000000001</v>
      </c>
      <c r="T417" s="6">
        <v>17.016335999999999</v>
      </c>
      <c r="U417" s="6">
        <v>16.958155999999999</v>
      </c>
      <c r="V417" s="6">
        <v>17.538882000000001</v>
      </c>
    </row>
    <row r="418" spans="2:22">
      <c r="B418" s="6">
        <v>31510</v>
      </c>
      <c r="C418" s="6" t="s">
        <v>1127</v>
      </c>
      <c r="D418" s="6">
        <v>20500</v>
      </c>
      <c r="E418" s="6" t="s">
        <v>31</v>
      </c>
      <c r="F418" s="6" t="s">
        <v>17</v>
      </c>
      <c r="G418" s="6" t="s">
        <v>1294</v>
      </c>
      <c r="H418" s="6">
        <v>0</v>
      </c>
      <c r="I418" s="6">
        <v>0</v>
      </c>
      <c r="J418" s="6">
        <v>27</v>
      </c>
      <c r="K418" s="6">
        <v>26.046875</v>
      </c>
      <c r="L418" s="6">
        <v>26.199541</v>
      </c>
      <c r="M418" s="6">
        <v>26.109717</v>
      </c>
      <c r="N418" s="6">
        <v>26.108958000000001</v>
      </c>
      <c r="O418" s="6">
        <v>26.328648000000001</v>
      </c>
      <c r="P418" s="6">
        <v>26.003786000000002</v>
      </c>
      <c r="Q418" s="6">
        <v>26.101534000000001</v>
      </c>
      <c r="R418" s="6">
        <v>26.316153</v>
      </c>
      <c r="S418" s="6">
        <v>25.991613999999998</v>
      </c>
      <c r="T418" s="6">
        <v>25.645997000000001</v>
      </c>
      <c r="U418" s="6">
        <v>25.223958</v>
      </c>
      <c r="V418" s="6">
        <v>24.770192999999999</v>
      </c>
    </row>
    <row r="419" spans="2:22">
      <c r="B419" s="6">
        <v>31510</v>
      </c>
      <c r="C419" s="6" t="s">
        <v>1127</v>
      </c>
      <c r="D419" s="6">
        <v>20706</v>
      </c>
      <c r="E419" s="6" t="s">
        <v>52</v>
      </c>
      <c r="F419" s="6" t="s">
        <v>17</v>
      </c>
      <c r="G419" s="6" t="s">
        <v>1294</v>
      </c>
      <c r="H419" s="6">
        <v>0</v>
      </c>
      <c r="I419" s="6">
        <v>0</v>
      </c>
      <c r="J419" s="6">
        <v>40</v>
      </c>
      <c r="K419" s="6">
        <v>39.625</v>
      </c>
      <c r="L419" s="6">
        <v>39.852941000000001</v>
      </c>
      <c r="M419" s="6">
        <v>39.894365999999998</v>
      </c>
      <c r="N419" s="6">
        <v>39.962778999999998</v>
      </c>
      <c r="O419" s="6">
        <v>39.971750999999998</v>
      </c>
      <c r="P419" s="6">
        <v>39.969020999999998</v>
      </c>
      <c r="Q419" s="6">
        <v>39.963768000000002</v>
      </c>
      <c r="R419" s="6">
        <v>39.972496999999997</v>
      </c>
      <c r="S419" s="6">
        <v>39.969659999999998</v>
      </c>
      <c r="T419" s="6">
        <v>39.867787999999997</v>
      </c>
      <c r="U419" s="6">
        <v>39.928649</v>
      </c>
      <c r="V419" s="6">
        <v>39.945453999999998</v>
      </c>
    </row>
    <row r="420" spans="2:22">
      <c r="B420" s="6">
        <v>31510</v>
      </c>
      <c r="C420" s="6" t="s">
        <v>1127</v>
      </c>
      <c r="D420" s="6">
        <v>20902</v>
      </c>
      <c r="E420" s="6" t="s">
        <v>53</v>
      </c>
      <c r="F420" s="6" t="s">
        <v>13</v>
      </c>
      <c r="G420" s="6" t="s">
        <v>14</v>
      </c>
      <c r="H420" s="6">
        <v>0</v>
      </c>
      <c r="I420" s="6">
        <v>0</v>
      </c>
      <c r="J420" s="6">
        <v>20</v>
      </c>
      <c r="K420" s="6">
        <v>18.622046999999998</v>
      </c>
      <c r="L420" s="6">
        <v>18.557046</v>
      </c>
      <c r="M420" s="6">
        <v>18.643459</v>
      </c>
      <c r="N420" s="6">
        <v>19.181818</v>
      </c>
      <c r="O420" s="6">
        <v>19.119288999999998</v>
      </c>
      <c r="P420" s="6">
        <v>18.784502</v>
      </c>
      <c r="Q420" s="6">
        <v>19.181818</v>
      </c>
      <c r="R420" s="6">
        <v>19.101835999999999</v>
      </c>
      <c r="S420" s="6">
        <v>18.763134000000001</v>
      </c>
      <c r="T420" s="6">
        <v>19.181818</v>
      </c>
      <c r="U420" s="6">
        <v>19.101835999999999</v>
      </c>
      <c r="V420" s="6">
        <v>18.763134000000001</v>
      </c>
    </row>
    <row r="421" spans="2:22">
      <c r="B421" s="6">
        <v>31510</v>
      </c>
      <c r="C421" s="6" t="s">
        <v>1127</v>
      </c>
      <c r="D421" s="6">
        <v>20906</v>
      </c>
      <c r="E421" s="6" t="s">
        <v>48</v>
      </c>
      <c r="F421" s="6" t="s">
        <v>49</v>
      </c>
      <c r="G421" s="6" t="s">
        <v>1296</v>
      </c>
      <c r="H421" s="6">
        <v>0</v>
      </c>
      <c r="I421" s="6">
        <v>0</v>
      </c>
      <c r="J421" s="6">
        <v>20</v>
      </c>
      <c r="K421" s="6">
        <v>17.229590999999999</v>
      </c>
      <c r="L421" s="6">
        <v>17.052391</v>
      </c>
      <c r="M421" s="6">
        <v>17.431988</v>
      </c>
      <c r="N421" s="6">
        <v>17.016705999999999</v>
      </c>
      <c r="O421" s="6">
        <v>16.954350000000002</v>
      </c>
      <c r="P421" s="6">
        <v>17.537869000000001</v>
      </c>
      <c r="Q421" s="6">
        <v>17.016335999999999</v>
      </c>
      <c r="R421" s="6">
        <v>16.958155999999999</v>
      </c>
      <c r="S421" s="6">
        <v>17.538882000000001</v>
      </c>
      <c r="T421" s="6">
        <v>17.016335999999999</v>
      </c>
      <c r="U421" s="6">
        <v>16.958155999999999</v>
      </c>
      <c r="V421" s="6">
        <v>17.538882000000001</v>
      </c>
    </row>
    <row r="422" spans="2:22">
      <c r="B422" s="6">
        <v>31534</v>
      </c>
      <c r="C422" s="6" t="s">
        <v>1023</v>
      </c>
      <c r="D422" s="6">
        <v>12400</v>
      </c>
      <c r="E422" s="6" t="s">
        <v>217</v>
      </c>
      <c r="F422" s="6" t="s">
        <v>16</v>
      </c>
      <c r="G422" s="6" t="s">
        <v>1295</v>
      </c>
      <c r="H422" s="6">
        <v>0</v>
      </c>
      <c r="I422" s="6">
        <v>0</v>
      </c>
      <c r="J422" s="6">
        <v>8</v>
      </c>
      <c r="K422" s="6">
        <v>8.2173909999999992</v>
      </c>
      <c r="L422" s="6">
        <v>8.1046829999999996</v>
      </c>
      <c r="M422" s="6">
        <v>8.2384710000000005</v>
      </c>
      <c r="N422" s="6">
        <v>9.2387090000000001</v>
      </c>
      <c r="O422" s="6">
        <v>8.7126429999999999</v>
      </c>
      <c r="P422" s="6">
        <v>8.6856360000000006</v>
      </c>
      <c r="Q422" s="6">
        <v>9.2387090000000001</v>
      </c>
      <c r="R422" s="6">
        <v>8.7126429999999999</v>
      </c>
      <c r="S422" s="6">
        <v>8.6856360000000006</v>
      </c>
      <c r="T422" s="6">
        <v>8.8875729999999997</v>
      </c>
      <c r="U422" s="6">
        <v>8.6089380000000002</v>
      </c>
      <c r="V422" s="6">
        <v>8.6174140000000001</v>
      </c>
    </row>
    <row r="423" spans="2:22">
      <c r="B423" s="6">
        <v>31534</v>
      </c>
      <c r="C423" s="6" t="s">
        <v>1023</v>
      </c>
      <c r="D423" s="6">
        <v>23311</v>
      </c>
      <c r="E423" s="6" t="s">
        <v>221</v>
      </c>
      <c r="F423" s="6" t="s">
        <v>16</v>
      </c>
      <c r="G423" s="6" t="s">
        <v>1295</v>
      </c>
      <c r="H423" s="6">
        <v>0</v>
      </c>
      <c r="I423" s="6">
        <v>0</v>
      </c>
      <c r="J423" s="6">
        <v>10</v>
      </c>
      <c r="K423" s="6">
        <v>10.144926999999999</v>
      </c>
      <c r="L423" s="6">
        <v>10.029239</v>
      </c>
      <c r="M423" s="6">
        <v>10.013888</v>
      </c>
      <c r="N423" s="6">
        <v>10.099009000000001</v>
      </c>
      <c r="O423" s="6">
        <v>10.02364</v>
      </c>
      <c r="P423" s="6">
        <v>10.011260999999999</v>
      </c>
      <c r="Q423" s="6">
        <v>10.099009000000001</v>
      </c>
      <c r="R423" s="6">
        <v>10.02364</v>
      </c>
      <c r="S423" s="6">
        <v>10.011260999999999</v>
      </c>
      <c r="T423" s="6">
        <v>10.099009000000001</v>
      </c>
      <c r="U423" s="6">
        <v>10.02364</v>
      </c>
      <c r="V423" s="6">
        <v>10.011260999999999</v>
      </c>
    </row>
    <row r="424" spans="2:22">
      <c r="B424" s="6">
        <v>31538</v>
      </c>
      <c r="C424" s="6" t="s">
        <v>1186</v>
      </c>
      <c r="D424" s="6">
        <v>25000</v>
      </c>
      <c r="E424" s="6" t="s">
        <v>1226</v>
      </c>
      <c r="F424" s="6" t="s">
        <v>16</v>
      </c>
      <c r="G424" s="6" t="s">
        <v>1295</v>
      </c>
      <c r="H424" s="6">
        <v>0</v>
      </c>
      <c r="I424" s="6">
        <v>0</v>
      </c>
      <c r="J424" s="6">
        <v>20</v>
      </c>
      <c r="K424" s="6">
        <v>0</v>
      </c>
      <c r="L424" s="6">
        <v>0</v>
      </c>
      <c r="M424" s="6">
        <v>10.714285</v>
      </c>
      <c r="N424" s="6">
        <v>13.076923000000001</v>
      </c>
      <c r="O424" s="6">
        <v>14.533333000000001</v>
      </c>
      <c r="P424" s="6">
        <v>15.139533999999999</v>
      </c>
      <c r="Q424" s="6">
        <v>13.076923000000001</v>
      </c>
      <c r="R424" s="6">
        <v>14.533333000000001</v>
      </c>
      <c r="S424" s="6">
        <v>15.139533999999999</v>
      </c>
      <c r="T424" s="6">
        <v>13.076923000000001</v>
      </c>
      <c r="U424" s="6">
        <v>14.533333000000001</v>
      </c>
      <c r="V424" s="6">
        <v>15.139533999999999</v>
      </c>
    </row>
    <row r="425" spans="2:22">
      <c r="B425" s="6">
        <v>31539</v>
      </c>
      <c r="C425" s="6" t="s">
        <v>26</v>
      </c>
      <c r="D425" s="6">
        <v>20300</v>
      </c>
      <c r="E425" s="6" t="s">
        <v>12</v>
      </c>
      <c r="F425" s="6" t="s">
        <v>16</v>
      </c>
      <c r="G425" s="6" t="s">
        <v>1295</v>
      </c>
      <c r="H425" s="6">
        <v>0</v>
      </c>
      <c r="I425" s="6">
        <v>15</v>
      </c>
      <c r="J425" s="6">
        <v>15</v>
      </c>
      <c r="K425" s="6">
        <v>29.444444000000001</v>
      </c>
      <c r="L425" s="6">
        <v>26.333333</v>
      </c>
      <c r="M425" s="6">
        <v>27.477063999999999</v>
      </c>
      <c r="N425" s="6">
        <v>29.444444000000001</v>
      </c>
      <c r="O425" s="6">
        <v>26.333333</v>
      </c>
      <c r="P425" s="6">
        <v>27.477063999999999</v>
      </c>
      <c r="Q425" s="6">
        <v>29.444444000000001</v>
      </c>
      <c r="R425" s="6">
        <v>26.333333</v>
      </c>
      <c r="S425" s="6">
        <v>27.477063999999999</v>
      </c>
      <c r="T425" s="6">
        <v>29.444444000000001</v>
      </c>
      <c r="U425" s="6">
        <v>26.333333</v>
      </c>
      <c r="V425" s="6">
        <v>27.477063999999999</v>
      </c>
    </row>
    <row r="426" spans="2:22">
      <c r="B426" s="6">
        <v>31539</v>
      </c>
      <c r="C426" s="6" t="s">
        <v>26</v>
      </c>
      <c r="D426" s="6">
        <v>20300</v>
      </c>
      <c r="E426" s="6" t="s">
        <v>12</v>
      </c>
      <c r="F426" s="6" t="s">
        <v>13</v>
      </c>
      <c r="G426" s="6" t="s">
        <v>14</v>
      </c>
      <c r="H426" s="6">
        <v>0</v>
      </c>
      <c r="I426" s="6">
        <v>17.5</v>
      </c>
      <c r="J426" s="6">
        <v>22.567567</v>
      </c>
      <c r="K426" s="6">
        <v>27.651897999999999</v>
      </c>
      <c r="L426" s="6">
        <v>28.025188</v>
      </c>
      <c r="M426" s="6">
        <v>28.089873000000001</v>
      </c>
      <c r="N426" s="6">
        <v>27.651897999999999</v>
      </c>
      <c r="O426" s="6">
        <v>28.025188</v>
      </c>
      <c r="P426" s="6">
        <v>28.089873000000001</v>
      </c>
      <c r="Q426" s="6">
        <v>27.651897999999999</v>
      </c>
      <c r="R426" s="6">
        <v>28.025188</v>
      </c>
      <c r="S426" s="6">
        <v>28.089873000000001</v>
      </c>
      <c r="T426" s="6">
        <v>27.651897999999999</v>
      </c>
      <c r="U426" s="6">
        <v>28.025188</v>
      </c>
      <c r="V426" s="6">
        <v>28.089873000000001</v>
      </c>
    </row>
    <row r="427" spans="2:22">
      <c r="B427" s="6">
        <v>31539</v>
      </c>
      <c r="C427" s="6" t="s">
        <v>26</v>
      </c>
      <c r="D427" s="6">
        <v>20700</v>
      </c>
      <c r="E427" s="6" t="s">
        <v>15</v>
      </c>
      <c r="F427" s="6" t="s">
        <v>17</v>
      </c>
      <c r="G427" s="6" t="s">
        <v>1294</v>
      </c>
      <c r="H427" s="6">
        <v>0</v>
      </c>
      <c r="I427" s="6">
        <v>40</v>
      </c>
      <c r="J427" s="6">
        <v>40</v>
      </c>
      <c r="K427" s="6">
        <v>40</v>
      </c>
      <c r="L427" s="6">
        <v>40</v>
      </c>
      <c r="M427" s="6">
        <v>40</v>
      </c>
      <c r="N427" s="6">
        <v>40</v>
      </c>
      <c r="O427" s="6">
        <v>40</v>
      </c>
      <c r="P427" s="6">
        <v>40</v>
      </c>
      <c r="Q427" s="6">
        <v>39.560809999999996</v>
      </c>
      <c r="R427" s="6">
        <v>39.612546000000002</v>
      </c>
      <c r="S427" s="6">
        <v>39.702897999999998</v>
      </c>
      <c r="T427" s="6">
        <v>37.594695999999999</v>
      </c>
      <c r="U427" s="6">
        <v>37.122718999999996</v>
      </c>
      <c r="V427" s="6">
        <v>37.548872000000003</v>
      </c>
    </row>
    <row r="428" spans="2:22">
      <c r="B428" s="6">
        <v>31540</v>
      </c>
      <c r="C428" s="6" t="s">
        <v>27</v>
      </c>
      <c r="D428" s="6">
        <v>20300</v>
      </c>
      <c r="E428" s="6" t="s">
        <v>12</v>
      </c>
      <c r="F428" s="6" t="s">
        <v>13</v>
      </c>
      <c r="G428" s="6" t="s">
        <v>14</v>
      </c>
      <c r="H428" s="6">
        <v>0</v>
      </c>
      <c r="I428" s="6">
        <v>20</v>
      </c>
      <c r="J428" s="6">
        <v>23.297872000000002</v>
      </c>
      <c r="K428" s="6">
        <v>27.651897999999999</v>
      </c>
      <c r="L428" s="6">
        <v>28.025188</v>
      </c>
      <c r="M428" s="6">
        <v>28.089873000000001</v>
      </c>
      <c r="N428" s="6">
        <v>27.651897999999999</v>
      </c>
      <c r="O428" s="6">
        <v>28.025188</v>
      </c>
      <c r="P428" s="6">
        <v>28.089873000000001</v>
      </c>
      <c r="Q428" s="6">
        <v>27.651897999999999</v>
      </c>
      <c r="R428" s="6">
        <v>28.025188</v>
      </c>
      <c r="S428" s="6">
        <v>28.089873000000001</v>
      </c>
      <c r="T428" s="6">
        <v>27.651897999999999</v>
      </c>
      <c r="U428" s="6">
        <v>28.025188</v>
      </c>
      <c r="V428" s="6">
        <v>28.089873000000001</v>
      </c>
    </row>
    <row r="429" spans="2:22">
      <c r="B429" s="6">
        <v>31540</v>
      </c>
      <c r="C429" s="6" t="s">
        <v>27</v>
      </c>
      <c r="D429" s="6">
        <v>20700</v>
      </c>
      <c r="E429" s="6" t="s">
        <v>15</v>
      </c>
      <c r="F429" s="6" t="s">
        <v>17</v>
      </c>
      <c r="G429" s="6" t="s">
        <v>1294</v>
      </c>
      <c r="H429" s="6">
        <v>0</v>
      </c>
      <c r="I429" s="6">
        <v>40</v>
      </c>
      <c r="J429" s="6">
        <v>40</v>
      </c>
      <c r="K429" s="6">
        <v>40</v>
      </c>
      <c r="L429" s="6">
        <v>40</v>
      </c>
      <c r="M429" s="6">
        <v>40</v>
      </c>
      <c r="N429" s="6">
        <v>40</v>
      </c>
      <c r="O429" s="6">
        <v>40</v>
      </c>
      <c r="P429" s="6">
        <v>40</v>
      </c>
      <c r="Q429" s="6">
        <v>39.560809999999996</v>
      </c>
      <c r="R429" s="6">
        <v>39.612546000000002</v>
      </c>
      <c r="S429" s="6">
        <v>39.702897999999998</v>
      </c>
      <c r="T429" s="6">
        <v>37.594695999999999</v>
      </c>
      <c r="U429" s="6">
        <v>37.122718999999996</v>
      </c>
      <c r="V429" s="6">
        <v>37.548872000000003</v>
      </c>
    </row>
    <row r="430" spans="2:22">
      <c r="B430" s="6">
        <v>31541</v>
      </c>
      <c r="C430" s="6" t="s">
        <v>28</v>
      </c>
      <c r="D430" s="6">
        <v>20300</v>
      </c>
      <c r="E430" s="6" t="s">
        <v>12</v>
      </c>
      <c r="F430" s="6" t="s">
        <v>13</v>
      </c>
      <c r="G430" s="6" t="s">
        <v>14</v>
      </c>
      <c r="H430" s="6">
        <v>0</v>
      </c>
      <c r="I430" s="6">
        <v>25</v>
      </c>
      <c r="J430" s="6">
        <v>25</v>
      </c>
      <c r="K430" s="6">
        <v>27.651897999999999</v>
      </c>
      <c r="L430" s="6">
        <v>28.025188</v>
      </c>
      <c r="M430" s="6">
        <v>28.089873000000001</v>
      </c>
      <c r="N430" s="6">
        <v>27.651897999999999</v>
      </c>
      <c r="O430" s="6">
        <v>28.025188</v>
      </c>
      <c r="P430" s="6">
        <v>28.089873000000001</v>
      </c>
      <c r="Q430" s="6">
        <v>27.651897999999999</v>
      </c>
      <c r="R430" s="6">
        <v>28.025188</v>
      </c>
      <c r="S430" s="6">
        <v>28.089873000000001</v>
      </c>
      <c r="T430" s="6">
        <v>27.651897999999999</v>
      </c>
      <c r="U430" s="6">
        <v>28.025188</v>
      </c>
      <c r="V430" s="6">
        <v>28.089873000000001</v>
      </c>
    </row>
    <row r="431" spans="2:22">
      <c r="B431" s="6">
        <v>31541</v>
      </c>
      <c r="C431" s="6" t="s">
        <v>28</v>
      </c>
      <c r="D431" s="6">
        <v>20700</v>
      </c>
      <c r="E431" s="6" t="s">
        <v>15</v>
      </c>
      <c r="F431" s="6" t="s">
        <v>17</v>
      </c>
      <c r="G431" s="6" t="s">
        <v>1294</v>
      </c>
      <c r="H431" s="6">
        <v>0</v>
      </c>
      <c r="I431" s="6">
        <v>40</v>
      </c>
      <c r="J431" s="6">
        <v>40</v>
      </c>
      <c r="K431" s="6">
        <v>40</v>
      </c>
      <c r="L431" s="6">
        <v>40</v>
      </c>
      <c r="M431" s="6">
        <v>40</v>
      </c>
      <c r="N431" s="6">
        <v>40</v>
      </c>
      <c r="O431" s="6">
        <v>40</v>
      </c>
      <c r="P431" s="6">
        <v>40</v>
      </c>
      <c r="Q431" s="6">
        <v>39.560809999999996</v>
      </c>
      <c r="R431" s="6">
        <v>39.612546000000002</v>
      </c>
      <c r="S431" s="6">
        <v>39.702897999999998</v>
      </c>
      <c r="T431" s="6">
        <v>37.594695999999999</v>
      </c>
      <c r="U431" s="6">
        <v>37.122718999999996</v>
      </c>
      <c r="V431" s="6">
        <v>37.548872000000003</v>
      </c>
    </row>
    <row r="432" spans="2:22">
      <c r="B432" s="6">
        <v>31567</v>
      </c>
      <c r="C432" s="6" t="s">
        <v>222</v>
      </c>
      <c r="D432" s="6">
        <v>12400</v>
      </c>
      <c r="E432" s="6" t="s">
        <v>217</v>
      </c>
      <c r="F432" s="6" t="s">
        <v>16</v>
      </c>
      <c r="G432" s="6" t="s">
        <v>1295</v>
      </c>
      <c r="H432" s="6">
        <v>0</v>
      </c>
      <c r="I432" s="6">
        <v>0</v>
      </c>
      <c r="J432" s="6">
        <v>8</v>
      </c>
      <c r="K432" s="6">
        <v>8.2173909999999992</v>
      </c>
      <c r="L432" s="6">
        <v>8.1046829999999996</v>
      </c>
      <c r="M432" s="6">
        <v>8.2384710000000005</v>
      </c>
      <c r="N432" s="6">
        <v>9.2387090000000001</v>
      </c>
      <c r="O432" s="6">
        <v>8.7126429999999999</v>
      </c>
      <c r="P432" s="6">
        <v>8.6856360000000006</v>
      </c>
      <c r="Q432" s="6">
        <v>9.2387090000000001</v>
      </c>
      <c r="R432" s="6">
        <v>8.7126429999999999</v>
      </c>
      <c r="S432" s="6">
        <v>8.6856360000000006</v>
      </c>
      <c r="T432" s="6">
        <v>8.8875729999999997</v>
      </c>
      <c r="U432" s="6">
        <v>8.6089380000000002</v>
      </c>
      <c r="V432" s="6">
        <v>8.6174140000000001</v>
      </c>
    </row>
    <row r="433" spans="2:22">
      <c r="B433" s="6">
        <v>31567</v>
      </c>
      <c r="C433" s="6" t="s">
        <v>222</v>
      </c>
      <c r="D433" s="6">
        <v>23311</v>
      </c>
      <c r="E433" s="6" t="s">
        <v>221</v>
      </c>
      <c r="F433" s="6" t="s">
        <v>16</v>
      </c>
      <c r="G433" s="6" t="s">
        <v>1295</v>
      </c>
      <c r="H433" s="6">
        <v>0</v>
      </c>
      <c r="I433" s="6">
        <v>0</v>
      </c>
      <c r="J433" s="6">
        <v>10</v>
      </c>
      <c r="K433" s="6">
        <v>10.144926999999999</v>
      </c>
      <c r="L433" s="6">
        <v>10.029239</v>
      </c>
      <c r="M433" s="6">
        <v>10.013888</v>
      </c>
      <c r="N433" s="6">
        <v>10.099009000000001</v>
      </c>
      <c r="O433" s="6">
        <v>10.02364</v>
      </c>
      <c r="P433" s="6">
        <v>10.011260999999999</v>
      </c>
      <c r="Q433" s="6">
        <v>10.099009000000001</v>
      </c>
      <c r="R433" s="6">
        <v>10.02364</v>
      </c>
      <c r="S433" s="6">
        <v>10.011260999999999</v>
      </c>
      <c r="T433" s="6">
        <v>10.099009000000001</v>
      </c>
      <c r="U433" s="6">
        <v>10.02364</v>
      </c>
      <c r="V433" s="6">
        <v>10.011260999999999</v>
      </c>
    </row>
    <row r="434" spans="2:22">
      <c r="B434" s="6">
        <v>31591</v>
      </c>
      <c r="C434" s="6" t="s">
        <v>1048</v>
      </c>
      <c r="D434" s="6">
        <v>20500</v>
      </c>
      <c r="E434" s="6" t="s">
        <v>31</v>
      </c>
      <c r="F434" s="6" t="s">
        <v>17</v>
      </c>
      <c r="G434" s="6" t="s">
        <v>1294</v>
      </c>
      <c r="H434" s="6">
        <v>0</v>
      </c>
      <c r="I434" s="6">
        <v>0</v>
      </c>
      <c r="J434" s="6">
        <v>27</v>
      </c>
      <c r="K434" s="6">
        <v>26.093993999999999</v>
      </c>
      <c r="L434" s="6">
        <v>26.469746000000001</v>
      </c>
      <c r="M434" s="6">
        <v>26.000619</v>
      </c>
      <c r="N434" s="6">
        <v>26.108958000000001</v>
      </c>
      <c r="O434" s="6">
        <v>26.328648000000001</v>
      </c>
      <c r="P434" s="6">
        <v>26.003786000000002</v>
      </c>
      <c r="Q434" s="6">
        <v>26.101534000000001</v>
      </c>
      <c r="R434" s="6">
        <v>26.316153</v>
      </c>
      <c r="S434" s="6">
        <v>25.991613999999998</v>
      </c>
      <c r="T434" s="6">
        <v>25.645997000000001</v>
      </c>
      <c r="U434" s="6">
        <v>25.223958</v>
      </c>
      <c r="V434" s="6">
        <v>24.770192999999999</v>
      </c>
    </row>
    <row r="435" spans="2:22">
      <c r="B435" s="6">
        <v>31591</v>
      </c>
      <c r="C435" s="6" t="s">
        <v>1048</v>
      </c>
      <c r="D435" s="6">
        <v>20706</v>
      </c>
      <c r="E435" s="6" t="s">
        <v>52</v>
      </c>
      <c r="F435" s="6" t="s">
        <v>17</v>
      </c>
      <c r="G435" s="6" t="s">
        <v>1294</v>
      </c>
      <c r="H435" s="6">
        <v>0</v>
      </c>
      <c r="I435" s="6">
        <v>0</v>
      </c>
      <c r="J435" s="6">
        <v>40</v>
      </c>
      <c r="K435" s="6">
        <v>40</v>
      </c>
      <c r="L435" s="6">
        <v>39.985993999999998</v>
      </c>
      <c r="M435" s="6">
        <v>39.981146000000003</v>
      </c>
      <c r="N435" s="6">
        <v>39.962778999999998</v>
      </c>
      <c r="O435" s="6">
        <v>39.971750999999998</v>
      </c>
      <c r="P435" s="6">
        <v>39.969020999999998</v>
      </c>
      <c r="Q435" s="6">
        <v>39.963768000000002</v>
      </c>
      <c r="R435" s="6">
        <v>39.972496999999997</v>
      </c>
      <c r="S435" s="6">
        <v>39.969659999999998</v>
      </c>
      <c r="T435" s="6">
        <v>39.867787999999997</v>
      </c>
      <c r="U435" s="6">
        <v>39.928649</v>
      </c>
      <c r="V435" s="6">
        <v>39.945453999999998</v>
      </c>
    </row>
    <row r="436" spans="2:22">
      <c r="B436" s="6">
        <v>31591</v>
      </c>
      <c r="C436" s="6" t="s">
        <v>1048</v>
      </c>
      <c r="D436" s="6">
        <v>20902</v>
      </c>
      <c r="E436" s="6" t="s">
        <v>53</v>
      </c>
      <c r="F436" s="6" t="s">
        <v>13</v>
      </c>
      <c r="G436" s="6" t="s">
        <v>14</v>
      </c>
      <c r="H436" s="6">
        <v>0</v>
      </c>
      <c r="I436" s="6">
        <v>0</v>
      </c>
      <c r="J436" s="6">
        <v>20</v>
      </c>
      <c r="K436" s="6">
        <v>19.956309999999998</v>
      </c>
      <c r="L436" s="6">
        <v>19.965827000000001</v>
      </c>
      <c r="M436" s="6">
        <v>19.613216000000001</v>
      </c>
      <c r="N436" s="6">
        <v>19.181818</v>
      </c>
      <c r="O436" s="6">
        <v>19.119288999999998</v>
      </c>
      <c r="P436" s="6">
        <v>18.784502</v>
      </c>
      <c r="Q436" s="6">
        <v>19.181818</v>
      </c>
      <c r="R436" s="6">
        <v>19.101835999999999</v>
      </c>
      <c r="S436" s="6">
        <v>18.763134000000001</v>
      </c>
      <c r="T436" s="6">
        <v>19.181818</v>
      </c>
      <c r="U436" s="6">
        <v>19.101835999999999</v>
      </c>
      <c r="V436" s="6">
        <v>18.763134000000001</v>
      </c>
    </row>
    <row r="437" spans="2:22">
      <c r="B437" s="6">
        <v>31591</v>
      </c>
      <c r="C437" s="6" t="s">
        <v>1048</v>
      </c>
      <c r="D437" s="6">
        <v>20906</v>
      </c>
      <c r="E437" s="6" t="s">
        <v>48</v>
      </c>
      <c r="F437" s="6" t="s">
        <v>49</v>
      </c>
      <c r="G437" s="6" t="s">
        <v>1296</v>
      </c>
      <c r="H437" s="6">
        <v>0</v>
      </c>
      <c r="I437" s="6">
        <v>0</v>
      </c>
      <c r="J437" s="6">
        <v>19</v>
      </c>
      <c r="K437" s="6">
        <v>16.923482</v>
      </c>
      <c r="L437" s="6">
        <v>16.908185</v>
      </c>
      <c r="M437" s="6">
        <v>17.652851999999999</v>
      </c>
      <c r="N437" s="6">
        <v>17.016705999999999</v>
      </c>
      <c r="O437" s="6">
        <v>16.954350000000002</v>
      </c>
      <c r="P437" s="6">
        <v>17.537869000000001</v>
      </c>
      <c r="Q437" s="6">
        <v>17.016335999999999</v>
      </c>
      <c r="R437" s="6">
        <v>16.958155999999999</v>
      </c>
      <c r="S437" s="6">
        <v>17.538882000000001</v>
      </c>
      <c r="T437" s="6">
        <v>17.016335999999999</v>
      </c>
      <c r="U437" s="6">
        <v>16.958155999999999</v>
      </c>
      <c r="V437" s="6">
        <v>17.538882000000001</v>
      </c>
    </row>
    <row r="438" spans="2:22">
      <c r="B438" s="6">
        <v>31600</v>
      </c>
      <c r="C438" s="6" t="s">
        <v>120</v>
      </c>
      <c r="D438" s="6">
        <v>20500</v>
      </c>
      <c r="E438" s="6" t="s">
        <v>31</v>
      </c>
      <c r="F438" s="6" t="s">
        <v>17</v>
      </c>
      <c r="G438" s="6" t="s">
        <v>1294</v>
      </c>
      <c r="H438" s="6">
        <v>25</v>
      </c>
      <c r="I438" s="6">
        <v>25</v>
      </c>
      <c r="J438" s="6">
        <v>24.333333</v>
      </c>
      <c r="K438" s="6">
        <v>26.179282000000001</v>
      </c>
      <c r="L438" s="6">
        <v>26.186138</v>
      </c>
      <c r="M438" s="6">
        <v>25.935728999999998</v>
      </c>
      <c r="N438" s="6">
        <v>26.108958000000001</v>
      </c>
      <c r="O438" s="6">
        <v>26.328648000000001</v>
      </c>
      <c r="P438" s="6">
        <v>26.003786000000002</v>
      </c>
      <c r="Q438" s="6">
        <v>26.101534000000001</v>
      </c>
      <c r="R438" s="6">
        <v>26.316153</v>
      </c>
      <c r="S438" s="6">
        <v>25.991613999999998</v>
      </c>
      <c r="T438" s="6">
        <v>25.645997000000001</v>
      </c>
      <c r="U438" s="6">
        <v>25.223958</v>
      </c>
      <c r="V438" s="6">
        <v>24.770192999999999</v>
      </c>
    </row>
    <row r="439" spans="2:22">
      <c r="B439" s="6">
        <v>31600</v>
      </c>
      <c r="C439" s="6" t="s">
        <v>120</v>
      </c>
      <c r="D439" s="6">
        <v>20705</v>
      </c>
      <c r="E439" s="6" t="s">
        <v>59</v>
      </c>
      <c r="F439" s="6" t="s">
        <v>17</v>
      </c>
      <c r="G439" s="6" t="s">
        <v>1294</v>
      </c>
      <c r="H439" s="6">
        <v>30</v>
      </c>
      <c r="I439" s="6">
        <v>30</v>
      </c>
      <c r="J439" s="6">
        <v>30</v>
      </c>
      <c r="K439" s="6">
        <v>30</v>
      </c>
      <c r="L439" s="6">
        <v>30</v>
      </c>
      <c r="M439" s="6">
        <v>30</v>
      </c>
      <c r="N439" s="6">
        <v>30</v>
      </c>
      <c r="O439" s="6">
        <v>30</v>
      </c>
      <c r="P439" s="6">
        <v>30</v>
      </c>
      <c r="Q439" s="6">
        <v>30</v>
      </c>
      <c r="R439" s="6">
        <v>30</v>
      </c>
      <c r="S439" s="6">
        <v>29.784172000000002</v>
      </c>
      <c r="T439" s="6">
        <v>30</v>
      </c>
      <c r="U439" s="6">
        <v>30</v>
      </c>
      <c r="V439" s="6">
        <v>29.784172000000002</v>
      </c>
    </row>
    <row r="440" spans="2:22">
      <c r="B440" s="6">
        <v>31600</v>
      </c>
      <c r="C440" s="6" t="s">
        <v>120</v>
      </c>
      <c r="D440" s="6">
        <v>20902</v>
      </c>
      <c r="E440" s="6" t="s">
        <v>53</v>
      </c>
      <c r="F440" s="6" t="s">
        <v>16</v>
      </c>
      <c r="G440" s="6" t="s">
        <v>1295</v>
      </c>
      <c r="H440" s="6">
        <v>20</v>
      </c>
      <c r="I440" s="6">
        <v>20</v>
      </c>
      <c r="J440" s="6">
        <v>20</v>
      </c>
      <c r="K440" s="6">
        <v>27.111111000000001</v>
      </c>
      <c r="L440" s="6">
        <v>25.059170999999999</v>
      </c>
      <c r="M440" s="6">
        <v>26.5625</v>
      </c>
      <c r="N440" s="6">
        <v>27.102803000000002</v>
      </c>
      <c r="O440" s="6">
        <v>26.100322999999999</v>
      </c>
      <c r="P440" s="6">
        <v>27.578899</v>
      </c>
      <c r="Q440" s="6">
        <v>27.102803000000002</v>
      </c>
      <c r="R440" s="6">
        <v>26.100322999999999</v>
      </c>
      <c r="S440" s="6">
        <v>27.558453</v>
      </c>
      <c r="T440" s="6">
        <v>26.737159999999999</v>
      </c>
      <c r="U440" s="6">
        <v>25.752351000000001</v>
      </c>
      <c r="V440" s="6">
        <v>27.323633000000001</v>
      </c>
    </row>
    <row r="441" spans="2:22">
      <c r="B441" s="6">
        <v>31600</v>
      </c>
      <c r="C441" s="6" t="s">
        <v>120</v>
      </c>
      <c r="D441" s="6">
        <v>20902</v>
      </c>
      <c r="E441" s="6" t="s">
        <v>53</v>
      </c>
      <c r="F441" s="6" t="s">
        <v>13</v>
      </c>
      <c r="G441" s="6" t="s">
        <v>14</v>
      </c>
      <c r="H441" s="6">
        <v>0</v>
      </c>
      <c r="I441" s="6">
        <v>0</v>
      </c>
      <c r="J441" s="6">
        <v>15</v>
      </c>
      <c r="K441" s="6">
        <v>18.635802000000002</v>
      </c>
      <c r="L441" s="6">
        <v>18.195121</v>
      </c>
      <c r="M441" s="6">
        <v>17.625368000000002</v>
      </c>
      <c r="N441" s="6">
        <v>19.181818</v>
      </c>
      <c r="O441" s="6">
        <v>19.119288999999998</v>
      </c>
      <c r="P441" s="6">
        <v>18.784502</v>
      </c>
      <c r="Q441" s="6">
        <v>19.181818</v>
      </c>
      <c r="R441" s="6">
        <v>19.101835999999999</v>
      </c>
      <c r="S441" s="6">
        <v>18.763134000000001</v>
      </c>
      <c r="T441" s="6">
        <v>19.181818</v>
      </c>
      <c r="U441" s="6">
        <v>19.101835999999999</v>
      </c>
      <c r="V441" s="6">
        <v>18.763134000000001</v>
      </c>
    </row>
    <row r="442" spans="2:22">
      <c r="B442" s="6">
        <v>31600</v>
      </c>
      <c r="C442" s="6" t="s">
        <v>120</v>
      </c>
      <c r="D442" s="6">
        <v>20906</v>
      </c>
      <c r="E442" s="6" t="s">
        <v>48</v>
      </c>
      <c r="F442" s="6" t="s">
        <v>49</v>
      </c>
      <c r="G442" s="6" t="s">
        <v>1296</v>
      </c>
      <c r="H442" s="6">
        <v>17</v>
      </c>
      <c r="I442" s="6">
        <v>17</v>
      </c>
      <c r="J442" s="6">
        <v>18.033332999999999</v>
      </c>
      <c r="K442" s="6">
        <v>16.992394999999998</v>
      </c>
      <c r="L442" s="6">
        <v>16.951830000000001</v>
      </c>
      <c r="M442" s="6">
        <v>17.405908</v>
      </c>
      <c r="N442" s="6">
        <v>17.016705999999999</v>
      </c>
      <c r="O442" s="6">
        <v>16.954350000000002</v>
      </c>
      <c r="P442" s="6">
        <v>17.537869000000001</v>
      </c>
      <c r="Q442" s="6">
        <v>17.016335999999999</v>
      </c>
      <c r="R442" s="6">
        <v>16.958155999999999</v>
      </c>
      <c r="S442" s="6">
        <v>17.538882000000001</v>
      </c>
      <c r="T442" s="6">
        <v>17.016335999999999</v>
      </c>
      <c r="U442" s="6">
        <v>16.958155999999999</v>
      </c>
      <c r="V442" s="6">
        <v>17.538882000000001</v>
      </c>
    </row>
    <row r="443" spans="2:22">
      <c r="B443" s="6">
        <v>31601</v>
      </c>
      <c r="C443" s="6" t="s">
        <v>121</v>
      </c>
      <c r="D443" s="6">
        <v>20500</v>
      </c>
      <c r="E443" s="6" t="s">
        <v>31</v>
      </c>
      <c r="F443" s="6" t="s">
        <v>13</v>
      </c>
      <c r="G443" s="6" t="s">
        <v>14</v>
      </c>
      <c r="H443" s="6">
        <v>25</v>
      </c>
      <c r="I443" s="6">
        <v>25</v>
      </c>
      <c r="J443" s="6">
        <v>25</v>
      </c>
      <c r="K443" s="6">
        <v>25</v>
      </c>
      <c r="L443" s="6">
        <v>25</v>
      </c>
      <c r="M443" s="6">
        <v>20.555554999999998</v>
      </c>
      <c r="N443" s="6">
        <v>25</v>
      </c>
      <c r="O443" s="6">
        <v>22.5</v>
      </c>
      <c r="P443" s="6">
        <v>20.123965999999999</v>
      </c>
      <c r="Q443" s="6">
        <v>25</v>
      </c>
      <c r="R443" s="6">
        <v>22.5</v>
      </c>
      <c r="S443" s="6">
        <v>20.122949999999999</v>
      </c>
      <c r="T443" s="6">
        <v>28.409089999999999</v>
      </c>
      <c r="U443" s="6">
        <v>28.088235000000001</v>
      </c>
      <c r="V443" s="6">
        <v>22.096774</v>
      </c>
    </row>
    <row r="444" spans="2:22">
      <c r="B444" s="6">
        <v>31601</v>
      </c>
      <c r="C444" s="6" t="s">
        <v>121</v>
      </c>
      <c r="D444" s="6">
        <v>20500</v>
      </c>
      <c r="E444" s="6" t="s">
        <v>31</v>
      </c>
      <c r="F444" s="6" t="s">
        <v>17</v>
      </c>
      <c r="G444" s="6" t="s">
        <v>1294</v>
      </c>
      <c r="H444" s="6">
        <v>25.8</v>
      </c>
      <c r="I444" s="6">
        <v>25.4</v>
      </c>
      <c r="J444" s="6">
        <v>24.65625</v>
      </c>
      <c r="K444" s="6">
        <v>26.179282000000001</v>
      </c>
      <c r="L444" s="6">
        <v>26.186138</v>
      </c>
      <c r="M444" s="6">
        <v>25.935728999999998</v>
      </c>
      <c r="N444" s="6">
        <v>26.108958000000001</v>
      </c>
      <c r="O444" s="6">
        <v>26.328648000000001</v>
      </c>
      <c r="P444" s="6">
        <v>26.003786000000002</v>
      </c>
      <c r="Q444" s="6">
        <v>26.101534000000001</v>
      </c>
      <c r="R444" s="6">
        <v>26.316153</v>
      </c>
      <c r="S444" s="6">
        <v>25.991613999999998</v>
      </c>
      <c r="T444" s="6">
        <v>25.645997000000001</v>
      </c>
      <c r="U444" s="6">
        <v>25.223958</v>
      </c>
      <c r="V444" s="6">
        <v>24.770192999999999</v>
      </c>
    </row>
    <row r="445" spans="2:22">
      <c r="B445" s="6">
        <v>31601</v>
      </c>
      <c r="C445" s="6" t="s">
        <v>121</v>
      </c>
      <c r="D445" s="6">
        <v>20705</v>
      </c>
      <c r="E445" s="6" t="s">
        <v>59</v>
      </c>
      <c r="F445" s="6" t="s">
        <v>17</v>
      </c>
      <c r="G445" s="6" t="s">
        <v>1294</v>
      </c>
      <c r="H445" s="6">
        <v>30</v>
      </c>
      <c r="I445" s="6">
        <v>30</v>
      </c>
      <c r="J445" s="6">
        <v>30</v>
      </c>
      <c r="K445" s="6">
        <v>30</v>
      </c>
      <c r="L445" s="6">
        <v>30</v>
      </c>
      <c r="M445" s="6">
        <v>30</v>
      </c>
      <c r="N445" s="6">
        <v>30</v>
      </c>
      <c r="O445" s="6">
        <v>30</v>
      </c>
      <c r="P445" s="6">
        <v>30</v>
      </c>
      <c r="Q445" s="6">
        <v>30</v>
      </c>
      <c r="R445" s="6">
        <v>30</v>
      </c>
      <c r="S445" s="6">
        <v>29.784172000000002</v>
      </c>
      <c r="T445" s="6">
        <v>30</v>
      </c>
      <c r="U445" s="6">
        <v>30</v>
      </c>
      <c r="V445" s="6">
        <v>29.784172000000002</v>
      </c>
    </row>
    <row r="446" spans="2:22">
      <c r="B446" s="6">
        <v>31601</v>
      </c>
      <c r="C446" s="6" t="s">
        <v>121</v>
      </c>
      <c r="D446" s="6">
        <v>20902</v>
      </c>
      <c r="E446" s="6" t="s">
        <v>53</v>
      </c>
      <c r="F446" s="6" t="s">
        <v>13</v>
      </c>
      <c r="G446" s="6" t="s">
        <v>14</v>
      </c>
      <c r="H446" s="6">
        <v>15</v>
      </c>
      <c r="I446" s="6">
        <v>15</v>
      </c>
      <c r="J446" s="6">
        <v>15</v>
      </c>
      <c r="K446" s="6">
        <v>18.635802000000002</v>
      </c>
      <c r="L446" s="6">
        <v>18.195121</v>
      </c>
      <c r="M446" s="6">
        <v>17.625368000000002</v>
      </c>
      <c r="N446" s="6">
        <v>19.181818</v>
      </c>
      <c r="O446" s="6">
        <v>19.119288999999998</v>
      </c>
      <c r="P446" s="6">
        <v>18.784502</v>
      </c>
      <c r="Q446" s="6">
        <v>19.181818</v>
      </c>
      <c r="R446" s="6">
        <v>19.101835999999999</v>
      </c>
      <c r="S446" s="6">
        <v>18.763134000000001</v>
      </c>
      <c r="T446" s="6">
        <v>19.181818</v>
      </c>
      <c r="U446" s="6">
        <v>19.101835999999999</v>
      </c>
      <c r="V446" s="6">
        <v>18.763134000000001</v>
      </c>
    </row>
    <row r="447" spans="2:22">
      <c r="B447" s="6">
        <v>31601</v>
      </c>
      <c r="C447" s="6" t="s">
        <v>121</v>
      </c>
      <c r="D447" s="6">
        <v>20906</v>
      </c>
      <c r="E447" s="6" t="s">
        <v>48</v>
      </c>
      <c r="F447" s="6" t="s">
        <v>49</v>
      </c>
      <c r="G447" s="6" t="s">
        <v>1296</v>
      </c>
      <c r="H447" s="6">
        <v>17.857142</v>
      </c>
      <c r="I447" s="6">
        <v>17.5</v>
      </c>
      <c r="J447" s="6">
        <v>17.735294</v>
      </c>
      <c r="K447" s="6">
        <v>16.992394999999998</v>
      </c>
      <c r="L447" s="6">
        <v>16.951830000000001</v>
      </c>
      <c r="M447" s="6">
        <v>17.405908</v>
      </c>
      <c r="N447" s="6">
        <v>17.016705999999999</v>
      </c>
      <c r="O447" s="6">
        <v>16.954350000000002</v>
      </c>
      <c r="P447" s="6">
        <v>17.537869000000001</v>
      </c>
      <c r="Q447" s="6">
        <v>17.016335999999999</v>
      </c>
      <c r="R447" s="6">
        <v>16.958155999999999</v>
      </c>
      <c r="S447" s="6">
        <v>17.538882000000001</v>
      </c>
      <c r="T447" s="6">
        <v>17.016335999999999</v>
      </c>
      <c r="U447" s="6">
        <v>16.958155999999999</v>
      </c>
      <c r="V447" s="6">
        <v>17.538882000000001</v>
      </c>
    </row>
    <row r="448" spans="2:22">
      <c r="B448" s="6">
        <v>31602</v>
      </c>
      <c r="C448" s="6" t="s">
        <v>122</v>
      </c>
      <c r="D448" s="6">
        <v>20500</v>
      </c>
      <c r="E448" s="6" t="s">
        <v>31</v>
      </c>
      <c r="F448" s="6" t="s">
        <v>17</v>
      </c>
      <c r="G448" s="6" t="s">
        <v>1294</v>
      </c>
      <c r="H448" s="6">
        <v>25.4</v>
      </c>
      <c r="I448" s="6">
        <v>25.2</v>
      </c>
      <c r="J448" s="6">
        <v>24.4</v>
      </c>
      <c r="K448" s="6">
        <v>26.179282000000001</v>
      </c>
      <c r="L448" s="6">
        <v>26.186138</v>
      </c>
      <c r="M448" s="6">
        <v>25.935728999999998</v>
      </c>
      <c r="N448" s="6">
        <v>26.108958000000001</v>
      </c>
      <c r="O448" s="6">
        <v>26.328648000000001</v>
      </c>
      <c r="P448" s="6">
        <v>26.003786000000002</v>
      </c>
      <c r="Q448" s="6">
        <v>26.101534000000001</v>
      </c>
      <c r="R448" s="6">
        <v>26.316153</v>
      </c>
      <c r="S448" s="6">
        <v>25.991613999999998</v>
      </c>
      <c r="T448" s="6">
        <v>25.645997000000001</v>
      </c>
      <c r="U448" s="6">
        <v>25.223958</v>
      </c>
      <c r="V448" s="6">
        <v>24.770192999999999</v>
      </c>
    </row>
    <row r="449" spans="2:22">
      <c r="B449" s="6">
        <v>31602</v>
      </c>
      <c r="C449" s="6" t="s">
        <v>122</v>
      </c>
      <c r="D449" s="6">
        <v>20705</v>
      </c>
      <c r="E449" s="6" t="s">
        <v>59</v>
      </c>
      <c r="F449" s="6" t="s">
        <v>17</v>
      </c>
      <c r="G449" s="6" t="s">
        <v>1294</v>
      </c>
      <c r="H449" s="6">
        <v>30</v>
      </c>
      <c r="I449" s="6">
        <v>30</v>
      </c>
      <c r="J449" s="6">
        <v>30</v>
      </c>
      <c r="K449" s="6">
        <v>30</v>
      </c>
      <c r="L449" s="6">
        <v>30</v>
      </c>
      <c r="M449" s="6">
        <v>30</v>
      </c>
      <c r="N449" s="6">
        <v>30</v>
      </c>
      <c r="O449" s="6">
        <v>30</v>
      </c>
      <c r="P449" s="6">
        <v>30</v>
      </c>
      <c r="Q449" s="6">
        <v>30</v>
      </c>
      <c r="R449" s="6">
        <v>30</v>
      </c>
      <c r="S449" s="6">
        <v>29.784172000000002</v>
      </c>
      <c r="T449" s="6">
        <v>30</v>
      </c>
      <c r="U449" s="6">
        <v>30</v>
      </c>
      <c r="V449" s="6">
        <v>29.784172000000002</v>
      </c>
    </row>
    <row r="450" spans="2:22">
      <c r="B450" s="6">
        <v>31602</v>
      </c>
      <c r="C450" s="6" t="s">
        <v>122</v>
      </c>
      <c r="D450" s="6">
        <v>20902</v>
      </c>
      <c r="E450" s="6" t="s">
        <v>53</v>
      </c>
      <c r="F450" s="6" t="s">
        <v>13</v>
      </c>
      <c r="G450" s="6" t="s">
        <v>14</v>
      </c>
      <c r="H450" s="6">
        <v>15</v>
      </c>
      <c r="I450" s="6">
        <v>15</v>
      </c>
      <c r="J450" s="6">
        <v>15</v>
      </c>
      <c r="K450" s="6">
        <v>18.635802000000002</v>
      </c>
      <c r="L450" s="6">
        <v>18.195121</v>
      </c>
      <c r="M450" s="6">
        <v>17.625368000000002</v>
      </c>
      <c r="N450" s="6">
        <v>19.181818</v>
      </c>
      <c r="O450" s="6">
        <v>19.119288999999998</v>
      </c>
      <c r="P450" s="6">
        <v>18.784502</v>
      </c>
      <c r="Q450" s="6">
        <v>19.181818</v>
      </c>
      <c r="R450" s="6">
        <v>19.101835999999999</v>
      </c>
      <c r="S450" s="6">
        <v>18.763134000000001</v>
      </c>
      <c r="T450" s="6">
        <v>19.181818</v>
      </c>
      <c r="U450" s="6">
        <v>19.101835999999999</v>
      </c>
      <c r="V450" s="6">
        <v>18.763134000000001</v>
      </c>
    </row>
    <row r="451" spans="2:22">
      <c r="B451" s="6">
        <v>31602</v>
      </c>
      <c r="C451" s="6" t="s">
        <v>122</v>
      </c>
      <c r="D451" s="6">
        <v>20906</v>
      </c>
      <c r="E451" s="6" t="s">
        <v>48</v>
      </c>
      <c r="F451" s="6" t="s">
        <v>49</v>
      </c>
      <c r="G451" s="6" t="s">
        <v>1296</v>
      </c>
      <c r="H451" s="6">
        <v>17</v>
      </c>
      <c r="I451" s="6">
        <v>17</v>
      </c>
      <c r="J451" s="6">
        <v>17.8</v>
      </c>
      <c r="K451" s="6">
        <v>16.992394999999998</v>
      </c>
      <c r="L451" s="6">
        <v>16.951830000000001</v>
      </c>
      <c r="M451" s="6">
        <v>17.405908</v>
      </c>
      <c r="N451" s="6">
        <v>17.016705999999999</v>
      </c>
      <c r="O451" s="6">
        <v>16.954350000000002</v>
      </c>
      <c r="P451" s="6">
        <v>17.537869000000001</v>
      </c>
      <c r="Q451" s="6">
        <v>17.016335999999999</v>
      </c>
      <c r="R451" s="6">
        <v>16.958155999999999</v>
      </c>
      <c r="S451" s="6">
        <v>17.538882000000001</v>
      </c>
      <c r="T451" s="6">
        <v>17.016335999999999</v>
      </c>
      <c r="U451" s="6">
        <v>16.958155999999999</v>
      </c>
      <c r="V451" s="6">
        <v>17.538882000000001</v>
      </c>
    </row>
    <row r="452" spans="2:22">
      <c r="B452" s="6">
        <v>31651</v>
      </c>
      <c r="C452" s="6" t="s">
        <v>1128</v>
      </c>
      <c r="D452" s="6">
        <v>20500</v>
      </c>
      <c r="E452" s="6" t="s">
        <v>31</v>
      </c>
      <c r="F452" s="6" t="s">
        <v>17</v>
      </c>
      <c r="G452" s="6" t="s">
        <v>1294</v>
      </c>
      <c r="H452" s="6">
        <v>27</v>
      </c>
      <c r="I452" s="6">
        <v>27</v>
      </c>
      <c r="J452" s="6">
        <v>26</v>
      </c>
      <c r="K452" s="6">
        <v>26.179282000000001</v>
      </c>
      <c r="L452" s="6">
        <v>26.186138</v>
      </c>
      <c r="M452" s="6">
        <v>25.935728999999998</v>
      </c>
      <c r="N452" s="6">
        <v>26.108958000000001</v>
      </c>
      <c r="O452" s="6">
        <v>26.328648000000001</v>
      </c>
      <c r="P452" s="6">
        <v>26.003786000000002</v>
      </c>
      <c r="Q452" s="6">
        <v>26.101534000000001</v>
      </c>
      <c r="R452" s="6">
        <v>26.316153</v>
      </c>
      <c r="S452" s="6">
        <v>25.991613999999998</v>
      </c>
      <c r="T452" s="6">
        <v>25.645997000000001</v>
      </c>
      <c r="U452" s="6">
        <v>25.223958</v>
      </c>
      <c r="V452" s="6">
        <v>24.770192999999999</v>
      </c>
    </row>
    <row r="453" spans="2:22">
      <c r="B453" s="6">
        <v>31651</v>
      </c>
      <c r="C453" s="6" t="s">
        <v>1128</v>
      </c>
      <c r="D453" s="6">
        <v>20706</v>
      </c>
      <c r="E453" s="6" t="s">
        <v>52</v>
      </c>
      <c r="F453" s="6" t="s">
        <v>17</v>
      </c>
      <c r="G453" s="6" t="s">
        <v>1294</v>
      </c>
      <c r="H453" s="6">
        <v>40</v>
      </c>
      <c r="I453" s="6">
        <v>40</v>
      </c>
      <c r="J453" s="6">
        <v>40</v>
      </c>
      <c r="K453" s="6">
        <v>40</v>
      </c>
      <c r="L453" s="6">
        <v>40</v>
      </c>
      <c r="M453" s="6">
        <v>39.931505999999999</v>
      </c>
      <c r="N453" s="6">
        <v>39.962778999999998</v>
      </c>
      <c r="O453" s="6">
        <v>39.971750999999998</v>
      </c>
      <c r="P453" s="6">
        <v>39.969020999999998</v>
      </c>
      <c r="Q453" s="6">
        <v>39.963768000000002</v>
      </c>
      <c r="R453" s="6">
        <v>39.972496999999997</v>
      </c>
      <c r="S453" s="6">
        <v>39.969659999999998</v>
      </c>
      <c r="T453" s="6">
        <v>39.867787999999997</v>
      </c>
      <c r="U453" s="6">
        <v>39.928649</v>
      </c>
      <c r="V453" s="6">
        <v>39.945453999999998</v>
      </c>
    </row>
    <row r="454" spans="2:22">
      <c r="B454" s="6">
        <v>31651</v>
      </c>
      <c r="C454" s="6" t="s">
        <v>1128</v>
      </c>
      <c r="D454" s="6">
        <v>20902</v>
      </c>
      <c r="E454" s="6" t="s">
        <v>53</v>
      </c>
      <c r="F454" s="6" t="s">
        <v>16</v>
      </c>
      <c r="G454" s="6" t="s">
        <v>1295</v>
      </c>
      <c r="H454" s="6">
        <v>20</v>
      </c>
      <c r="I454" s="6">
        <v>20</v>
      </c>
      <c r="J454" s="6">
        <v>20</v>
      </c>
      <c r="K454" s="6">
        <v>27.111111000000001</v>
      </c>
      <c r="L454" s="6">
        <v>25.059170999999999</v>
      </c>
      <c r="M454" s="6">
        <v>26.5625</v>
      </c>
      <c r="N454" s="6">
        <v>27.102803000000002</v>
      </c>
      <c r="O454" s="6">
        <v>26.100322999999999</v>
      </c>
      <c r="P454" s="6">
        <v>27.578899</v>
      </c>
      <c r="Q454" s="6">
        <v>27.102803000000002</v>
      </c>
      <c r="R454" s="6">
        <v>26.100322999999999</v>
      </c>
      <c r="S454" s="6">
        <v>27.558453</v>
      </c>
      <c r="T454" s="6">
        <v>26.737159999999999</v>
      </c>
      <c r="U454" s="6">
        <v>25.752351000000001</v>
      </c>
      <c r="V454" s="6">
        <v>27.323633000000001</v>
      </c>
    </row>
    <row r="455" spans="2:22">
      <c r="B455" s="6">
        <v>31651</v>
      </c>
      <c r="C455" s="6" t="s">
        <v>1128</v>
      </c>
      <c r="D455" s="6">
        <v>20902</v>
      </c>
      <c r="E455" s="6" t="s">
        <v>53</v>
      </c>
      <c r="F455" s="6" t="s">
        <v>13</v>
      </c>
      <c r="G455" s="6" t="s">
        <v>14</v>
      </c>
      <c r="H455" s="6">
        <v>0</v>
      </c>
      <c r="I455" s="6">
        <v>0</v>
      </c>
      <c r="J455" s="6">
        <v>15</v>
      </c>
      <c r="K455" s="6">
        <v>18.635802000000002</v>
      </c>
      <c r="L455" s="6">
        <v>18.195121</v>
      </c>
      <c r="M455" s="6">
        <v>17.625368000000002</v>
      </c>
      <c r="N455" s="6">
        <v>19.181818</v>
      </c>
      <c r="O455" s="6">
        <v>19.119288999999998</v>
      </c>
      <c r="P455" s="6">
        <v>18.784502</v>
      </c>
      <c r="Q455" s="6">
        <v>19.181818</v>
      </c>
      <c r="R455" s="6">
        <v>19.101835999999999</v>
      </c>
      <c r="S455" s="6">
        <v>18.763134000000001</v>
      </c>
      <c r="T455" s="6">
        <v>19.181818</v>
      </c>
      <c r="U455" s="6">
        <v>19.101835999999999</v>
      </c>
      <c r="V455" s="6">
        <v>18.763134000000001</v>
      </c>
    </row>
    <row r="456" spans="2:22">
      <c r="B456" s="6">
        <v>31651</v>
      </c>
      <c r="C456" s="6" t="s">
        <v>1128</v>
      </c>
      <c r="D456" s="6">
        <v>20906</v>
      </c>
      <c r="E456" s="6" t="s">
        <v>48</v>
      </c>
      <c r="F456" s="6" t="s">
        <v>49</v>
      </c>
      <c r="G456" s="6" t="s">
        <v>1296</v>
      </c>
      <c r="H456" s="6">
        <v>17</v>
      </c>
      <c r="I456" s="6">
        <v>17</v>
      </c>
      <c r="J456" s="6">
        <v>16.5</v>
      </c>
      <c r="K456" s="6">
        <v>16.992394999999998</v>
      </c>
      <c r="L456" s="6">
        <v>16.951830000000001</v>
      </c>
      <c r="M456" s="6">
        <v>17.405908</v>
      </c>
      <c r="N456" s="6">
        <v>17.016705999999999</v>
      </c>
      <c r="O456" s="6">
        <v>16.954350000000002</v>
      </c>
      <c r="P456" s="6">
        <v>17.537869000000001</v>
      </c>
      <c r="Q456" s="6">
        <v>17.016335999999999</v>
      </c>
      <c r="R456" s="6">
        <v>16.958155999999999</v>
      </c>
      <c r="S456" s="6">
        <v>17.538882000000001</v>
      </c>
      <c r="T456" s="6">
        <v>17.016335999999999</v>
      </c>
      <c r="U456" s="6">
        <v>16.958155999999999</v>
      </c>
      <c r="V456" s="6">
        <v>17.538882000000001</v>
      </c>
    </row>
    <row r="457" spans="2:22">
      <c r="B457" s="6">
        <v>31652</v>
      </c>
      <c r="C457" s="6" t="s">
        <v>123</v>
      </c>
      <c r="D457" s="6">
        <v>20500</v>
      </c>
      <c r="E457" s="6" t="s">
        <v>31</v>
      </c>
      <c r="F457" s="6" t="s">
        <v>17</v>
      </c>
      <c r="G457" s="6" t="s">
        <v>1294</v>
      </c>
      <c r="H457" s="6">
        <v>25</v>
      </c>
      <c r="I457" s="6">
        <v>25</v>
      </c>
      <c r="J457" s="6">
        <v>25</v>
      </c>
      <c r="K457" s="6">
        <v>26.179282000000001</v>
      </c>
      <c r="L457" s="6">
        <v>26.186138</v>
      </c>
      <c r="M457" s="6">
        <v>25.935728999999998</v>
      </c>
      <c r="N457" s="6">
        <v>26.108958000000001</v>
      </c>
      <c r="O457" s="6">
        <v>26.328648000000001</v>
      </c>
      <c r="P457" s="6">
        <v>26.003786000000002</v>
      </c>
      <c r="Q457" s="6">
        <v>26.101534000000001</v>
      </c>
      <c r="R457" s="6">
        <v>26.316153</v>
      </c>
      <c r="S457" s="6">
        <v>25.991613999999998</v>
      </c>
      <c r="T457" s="6">
        <v>25.645997000000001</v>
      </c>
      <c r="U457" s="6">
        <v>25.223958</v>
      </c>
      <c r="V457" s="6">
        <v>24.770192999999999</v>
      </c>
    </row>
    <row r="458" spans="2:22">
      <c r="B458" s="6">
        <v>31652</v>
      </c>
      <c r="C458" s="6" t="s">
        <v>123</v>
      </c>
      <c r="D458" s="6">
        <v>20706</v>
      </c>
      <c r="E458" s="6" t="s">
        <v>52</v>
      </c>
      <c r="F458" s="6" t="s">
        <v>17</v>
      </c>
      <c r="G458" s="6" t="s">
        <v>1294</v>
      </c>
      <c r="H458" s="6">
        <v>40</v>
      </c>
      <c r="I458" s="6">
        <v>40</v>
      </c>
      <c r="J458" s="6">
        <v>40</v>
      </c>
      <c r="K458" s="6">
        <v>40</v>
      </c>
      <c r="L458" s="6">
        <v>40</v>
      </c>
      <c r="M458" s="6">
        <v>39.931505999999999</v>
      </c>
      <c r="N458" s="6">
        <v>39.962778999999998</v>
      </c>
      <c r="O458" s="6">
        <v>39.971750999999998</v>
      </c>
      <c r="P458" s="6">
        <v>39.969020999999998</v>
      </c>
      <c r="Q458" s="6">
        <v>39.963768000000002</v>
      </c>
      <c r="R458" s="6">
        <v>39.972496999999997</v>
      </c>
      <c r="S458" s="6">
        <v>39.969659999999998</v>
      </c>
      <c r="T458" s="6">
        <v>39.867787999999997</v>
      </c>
      <c r="U458" s="6">
        <v>39.928649</v>
      </c>
      <c r="V458" s="6">
        <v>39.945453999999998</v>
      </c>
    </row>
    <row r="459" spans="2:22">
      <c r="B459" s="6">
        <v>31652</v>
      </c>
      <c r="C459" s="6" t="s">
        <v>123</v>
      </c>
      <c r="D459" s="6">
        <v>20902</v>
      </c>
      <c r="E459" s="6" t="s">
        <v>53</v>
      </c>
      <c r="F459" s="6" t="s">
        <v>13</v>
      </c>
      <c r="G459" s="6" t="s">
        <v>14</v>
      </c>
      <c r="H459" s="6">
        <v>15</v>
      </c>
      <c r="I459" s="6">
        <v>15</v>
      </c>
      <c r="J459" s="6">
        <v>15</v>
      </c>
      <c r="K459" s="6">
        <v>18.635802000000002</v>
      </c>
      <c r="L459" s="6">
        <v>18.195121</v>
      </c>
      <c r="M459" s="6">
        <v>17.625368000000002</v>
      </c>
      <c r="N459" s="6">
        <v>19.181818</v>
      </c>
      <c r="O459" s="6">
        <v>19.119288999999998</v>
      </c>
      <c r="P459" s="6">
        <v>18.784502</v>
      </c>
      <c r="Q459" s="6">
        <v>19.181818</v>
      </c>
      <c r="R459" s="6">
        <v>19.101835999999999</v>
      </c>
      <c r="S459" s="6">
        <v>18.763134000000001</v>
      </c>
      <c r="T459" s="6">
        <v>19.181818</v>
      </c>
      <c r="U459" s="6">
        <v>19.101835999999999</v>
      </c>
      <c r="V459" s="6">
        <v>18.763134000000001</v>
      </c>
    </row>
    <row r="460" spans="2:22">
      <c r="B460" s="6">
        <v>31652</v>
      </c>
      <c r="C460" s="6" t="s">
        <v>123</v>
      </c>
      <c r="D460" s="6">
        <v>20906</v>
      </c>
      <c r="E460" s="6" t="s">
        <v>48</v>
      </c>
      <c r="F460" s="6" t="s">
        <v>49</v>
      </c>
      <c r="G460" s="6" t="s">
        <v>1296</v>
      </c>
      <c r="H460" s="6">
        <v>17</v>
      </c>
      <c r="I460" s="6">
        <v>16.5</v>
      </c>
      <c r="J460" s="6">
        <v>16.571428000000001</v>
      </c>
      <c r="K460" s="6">
        <v>16.992394999999998</v>
      </c>
      <c r="L460" s="6">
        <v>16.951830000000001</v>
      </c>
      <c r="M460" s="6">
        <v>17.405908</v>
      </c>
      <c r="N460" s="6">
        <v>17.016705999999999</v>
      </c>
      <c r="O460" s="6">
        <v>16.954350000000002</v>
      </c>
      <c r="P460" s="6">
        <v>17.537869000000001</v>
      </c>
      <c r="Q460" s="6">
        <v>17.016335999999999</v>
      </c>
      <c r="R460" s="6">
        <v>16.958155999999999</v>
      </c>
      <c r="S460" s="6">
        <v>17.538882000000001</v>
      </c>
      <c r="T460" s="6">
        <v>17.016335999999999</v>
      </c>
      <c r="U460" s="6">
        <v>16.958155999999999</v>
      </c>
      <c r="V460" s="6">
        <v>17.538882000000001</v>
      </c>
    </row>
    <row r="461" spans="2:22">
      <c r="B461" s="6">
        <v>31653</v>
      </c>
      <c r="C461" s="6" t="s">
        <v>124</v>
      </c>
      <c r="D461" s="6">
        <v>20500</v>
      </c>
      <c r="E461" s="6" t="s">
        <v>31</v>
      </c>
      <c r="F461" s="6" t="s">
        <v>17</v>
      </c>
      <c r="G461" s="6" t="s">
        <v>1294</v>
      </c>
      <c r="H461" s="6">
        <v>0</v>
      </c>
      <c r="I461" s="6">
        <v>25</v>
      </c>
      <c r="J461" s="6">
        <v>25</v>
      </c>
      <c r="K461" s="6">
        <v>26.179282000000001</v>
      </c>
      <c r="L461" s="6">
        <v>26.186138</v>
      </c>
      <c r="M461" s="6">
        <v>25.935728999999998</v>
      </c>
      <c r="N461" s="6">
        <v>26.108958000000001</v>
      </c>
      <c r="O461" s="6">
        <v>26.328648000000001</v>
      </c>
      <c r="P461" s="6">
        <v>26.003786000000002</v>
      </c>
      <c r="Q461" s="6">
        <v>26.101534000000001</v>
      </c>
      <c r="R461" s="6">
        <v>26.316153</v>
      </c>
      <c r="S461" s="6">
        <v>25.991613999999998</v>
      </c>
      <c r="T461" s="6">
        <v>25.645997000000001</v>
      </c>
      <c r="U461" s="6">
        <v>25.223958</v>
      </c>
      <c r="V461" s="6">
        <v>24.770192999999999</v>
      </c>
    </row>
    <row r="462" spans="2:22">
      <c r="B462" s="6">
        <v>31653</v>
      </c>
      <c r="C462" s="6" t="s">
        <v>124</v>
      </c>
      <c r="D462" s="6">
        <v>20705</v>
      </c>
      <c r="E462" s="6" t="s">
        <v>59</v>
      </c>
      <c r="F462" s="6" t="s">
        <v>17</v>
      </c>
      <c r="G462" s="6" t="s">
        <v>1294</v>
      </c>
      <c r="H462" s="6">
        <v>0</v>
      </c>
      <c r="I462" s="6">
        <v>30</v>
      </c>
      <c r="J462" s="6">
        <v>30</v>
      </c>
      <c r="K462" s="6">
        <v>30</v>
      </c>
      <c r="L462" s="6">
        <v>30</v>
      </c>
      <c r="M462" s="6">
        <v>30</v>
      </c>
      <c r="N462" s="6">
        <v>30</v>
      </c>
      <c r="O462" s="6">
        <v>30</v>
      </c>
      <c r="P462" s="6">
        <v>30</v>
      </c>
      <c r="Q462" s="6">
        <v>30</v>
      </c>
      <c r="R462" s="6">
        <v>30</v>
      </c>
      <c r="S462" s="6">
        <v>29.784172000000002</v>
      </c>
      <c r="T462" s="6">
        <v>30</v>
      </c>
      <c r="U462" s="6">
        <v>30</v>
      </c>
      <c r="V462" s="6">
        <v>29.784172000000002</v>
      </c>
    </row>
    <row r="463" spans="2:22">
      <c r="B463" s="6">
        <v>31653</v>
      </c>
      <c r="C463" s="6" t="s">
        <v>124</v>
      </c>
      <c r="D463" s="6">
        <v>20902</v>
      </c>
      <c r="E463" s="6" t="s">
        <v>53</v>
      </c>
      <c r="F463" s="6" t="s">
        <v>13</v>
      </c>
      <c r="G463" s="6" t="s">
        <v>14</v>
      </c>
      <c r="H463" s="6">
        <v>0</v>
      </c>
      <c r="I463" s="6">
        <v>15</v>
      </c>
      <c r="J463" s="6">
        <v>15</v>
      </c>
      <c r="K463" s="6">
        <v>18.635802000000002</v>
      </c>
      <c r="L463" s="6">
        <v>18.195121</v>
      </c>
      <c r="M463" s="6">
        <v>17.625368000000002</v>
      </c>
      <c r="N463" s="6">
        <v>19.181818</v>
      </c>
      <c r="O463" s="6">
        <v>19.119288999999998</v>
      </c>
      <c r="P463" s="6">
        <v>18.784502</v>
      </c>
      <c r="Q463" s="6">
        <v>19.181818</v>
      </c>
      <c r="R463" s="6">
        <v>19.101835999999999</v>
      </c>
      <c r="S463" s="6">
        <v>18.763134000000001</v>
      </c>
      <c r="T463" s="6">
        <v>19.181818</v>
      </c>
      <c r="U463" s="6">
        <v>19.101835999999999</v>
      </c>
      <c r="V463" s="6">
        <v>18.763134000000001</v>
      </c>
    </row>
    <row r="464" spans="2:22">
      <c r="B464" s="6">
        <v>31653</v>
      </c>
      <c r="C464" s="6" t="s">
        <v>124</v>
      </c>
      <c r="D464" s="6">
        <v>20906</v>
      </c>
      <c r="E464" s="6" t="s">
        <v>48</v>
      </c>
      <c r="F464" s="6" t="s">
        <v>49</v>
      </c>
      <c r="G464" s="6" t="s">
        <v>1296</v>
      </c>
      <c r="H464" s="6">
        <v>0</v>
      </c>
      <c r="I464" s="6">
        <v>17</v>
      </c>
      <c r="J464" s="6">
        <v>18.714285</v>
      </c>
      <c r="K464" s="6">
        <v>16.992394999999998</v>
      </c>
      <c r="L464" s="6">
        <v>16.951830000000001</v>
      </c>
      <c r="M464" s="6">
        <v>17.405908</v>
      </c>
      <c r="N464" s="6">
        <v>17.016705999999999</v>
      </c>
      <c r="O464" s="6">
        <v>16.954350000000002</v>
      </c>
      <c r="P464" s="6">
        <v>17.537869000000001</v>
      </c>
      <c r="Q464" s="6">
        <v>17.016335999999999</v>
      </c>
      <c r="R464" s="6">
        <v>16.958155999999999</v>
      </c>
      <c r="S464" s="6">
        <v>17.538882000000001</v>
      </c>
      <c r="T464" s="6">
        <v>17.016335999999999</v>
      </c>
      <c r="U464" s="6">
        <v>16.958155999999999</v>
      </c>
      <c r="V464" s="6">
        <v>17.538882000000001</v>
      </c>
    </row>
    <row r="465" spans="2:22">
      <c r="B465" s="6">
        <v>31655</v>
      </c>
      <c r="C465" s="6" t="s">
        <v>223</v>
      </c>
      <c r="D465" s="6">
        <v>12400</v>
      </c>
      <c r="E465" s="6" t="s">
        <v>217</v>
      </c>
      <c r="F465" s="6" t="s">
        <v>16</v>
      </c>
      <c r="G465" s="6" t="s">
        <v>1295</v>
      </c>
      <c r="H465" s="6">
        <v>8</v>
      </c>
      <c r="I465" s="6">
        <v>9</v>
      </c>
      <c r="J465" s="6">
        <v>9.6666659999999993</v>
      </c>
      <c r="K465" s="6">
        <v>8.2173909999999992</v>
      </c>
      <c r="L465" s="6">
        <v>8.1046829999999996</v>
      </c>
      <c r="M465" s="6">
        <v>8.2384710000000005</v>
      </c>
      <c r="N465" s="6">
        <v>9.2387090000000001</v>
      </c>
      <c r="O465" s="6">
        <v>8.7126429999999999</v>
      </c>
      <c r="P465" s="6">
        <v>8.6856360000000006</v>
      </c>
      <c r="Q465" s="6">
        <v>9.2387090000000001</v>
      </c>
      <c r="R465" s="6">
        <v>8.7126429999999999</v>
      </c>
      <c r="S465" s="6">
        <v>8.6856360000000006</v>
      </c>
      <c r="T465" s="6">
        <v>8.8875729999999997</v>
      </c>
      <c r="U465" s="6">
        <v>8.6089380000000002</v>
      </c>
      <c r="V465" s="6">
        <v>8.6174140000000001</v>
      </c>
    </row>
    <row r="466" spans="2:22">
      <c r="B466" s="6">
        <v>31655</v>
      </c>
      <c r="C466" s="6" t="s">
        <v>223</v>
      </c>
      <c r="D466" s="6">
        <v>23311</v>
      </c>
      <c r="E466" s="6" t="s">
        <v>221</v>
      </c>
      <c r="F466" s="6" t="s">
        <v>16</v>
      </c>
      <c r="G466" s="6" t="s">
        <v>1295</v>
      </c>
      <c r="H466" s="6">
        <v>0</v>
      </c>
      <c r="I466" s="6">
        <v>10</v>
      </c>
      <c r="J466" s="6">
        <v>10</v>
      </c>
      <c r="K466" s="6">
        <v>10.144926999999999</v>
      </c>
      <c r="L466" s="6">
        <v>10.029239</v>
      </c>
      <c r="M466" s="6">
        <v>10.013888</v>
      </c>
      <c r="N466" s="6">
        <v>10.099009000000001</v>
      </c>
      <c r="O466" s="6">
        <v>10.02364</v>
      </c>
      <c r="P466" s="6">
        <v>10.011260999999999</v>
      </c>
      <c r="Q466" s="6">
        <v>10.099009000000001</v>
      </c>
      <c r="R466" s="6">
        <v>10.02364</v>
      </c>
      <c r="S466" s="6">
        <v>10.011260999999999</v>
      </c>
      <c r="T466" s="6">
        <v>10.099009000000001</v>
      </c>
      <c r="U466" s="6">
        <v>10.02364</v>
      </c>
      <c r="V466" s="6">
        <v>10.011260999999999</v>
      </c>
    </row>
    <row r="467" spans="2:22">
      <c r="B467" s="6">
        <v>31655</v>
      </c>
      <c r="C467" s="6" t="s">
        <v>223</v>
      </c>
      <c r="D467" s="6">
        <v>24000</v>
      </c>
      <c r="E467" s="6" t="s">
        <v>72</v>
      </c>
      <c r="F467" s="6" t="s">
        <v>17</v>
      </c>
      <c r="G467" s="6" t="s">
        <v>1294</v>
      </c>
      <c r="H467" s="6">
        <v>0</v>
      </c>
      <c r="I467" s="6">
        <v>0</v>
      </c>
      <c r="J467" s="6">
        <v>20</v>
      </c>
      <c r="K467" s="6">
        <v>0</v>
      </c>
      <c r="L467" s="6">
        <v>0</v>
      </c>
      <c r="M467" s="6">
        <v>20</v>
      </c>
      <c r="N467" s="6">
        <v>0</v>
      </c>
      <c r="O467" s="6">
        <v>0</v>
      </c>
      <c r="P467" s="6">
        <v>20</v>
      </c>
      <c r="Q467" s="6">
        <v>0</v>
      </c>
      <c r="R467" s="6">
        <v>0</v>
      </c>
      <c r="S467" s="6">
        <v>20</v>
      </c>
      <c r="T467" s="6">
        <v>0</v>
      </c>
      <c r="U467" s="6">
        <v>0</v>
      </c>
      <c r="V467" s="6">
        <v>20</v>
      </c>
    </row>
    <row r="468" spans="2:22">
      <c r="B468" s="6">
        <v>31655</v>
      </c>
      <c r="C468" s="6" t="s">
        <v>223</v>
      </c>
      <c r="D468" s="6">
        <v>24000</v>
      </c>
      <c r="E468" s="6" t="s">
        <v>72</v>
      </c>
      <c r="F468" s="6" t="s">
        <v>73</v>
      </c>
      <c r="G468" s="6" t="s">
        <v>1299</v>
      </c>
      <c r="H468" s="6">
        <v>0</v>
      </c>
      <c r="I468" s="6">
        <v>0</v>
      </c>
      <c r="J468" s="6">
        <v>20</v>
      </c>
      <c r="K468" s="6">
        <v>0</v>
      </c>
      <c r="L468" s="6">
        <v>0</v>
      </c>
      <c r="M468" s="6">
        <v>20</v>
      </c>
      <c r="N468" s="6">
        <v>0</v>
      </c>
      <c r="O468" s="6">
        <v>0</v>
      </c>
      <c r="P468" s="6">
        <v>20</v>
      </c>
      <c r="Q468" s="6">
        <v>0</v>
      </c>
      <c r="R468" s="6">
        <v>0</v>
      </c>
      <c r="S468" s="6">
        <v>20</v>
      </c>
      <c r="T468" s="6">
        <v>15</v>
      </c>
      <c r="U468" s="6">
        <v>15</v>
      </c>
      <c r="V468" s="6">
        <v>16.363636</v>
      </c>
    </row>
    <row r="469" spans="2:22">
      <c r="B469" s="6">
        <v>31668</v>
      </c>
      <c r="C469" s="6" t="s">
        <v>224</v>
      </c>
      <c r="D469" s="6">
        <v>20600</v>
      </c>
      <c r="E469" s="6" t="s">
        <v>32</v>
      </c>
      <c r="F469" s="6" t="s">
        <v>16</v>
      </c>
      <c r="G469" s="6" t="s">
        <v>1295</v>
      </c>
      <c r="H469" s="6">
        <v>0</v>
      </c>
      <c r="I469" s="6">
        <v>0</v>
      </c>
      <c r="J469" s="6">
        <v>50</v>
      </c>
      <c r="K469" s="6">
        <v>50</v>
      </c>
      <c r="L469" s="6">
        <v>50</v>
      </c>
      <c r="M469" s="6">
        <v>50</v>
      </c>
      <c r="N469" s="6">
        <v>50</v>
      </c>
      <c r="O469" s="6">
        <v>50</v>
      </c>
      <c r="P469" s="6">
        <v>50</v>
      </c>
      <c r="Q469" s="6">
        <v>50</v>
      </c>
      <c r="R469" s="6">
        <v>50</v>
      </c>
      <c r="S469" s="6">
        <v>50</v>
      </c>
      <c r="T469" s="6">
        <v>37.272727000000003</v>
      </c>
      <c r="U469" s="6">
        <v>35.853658000000003</v>
      </c>
      <c r="V469" s="6">
        <v>40.728476000000001</v>
      </c>
    </row>
    <row r="470" spans="2:22">
      <c r="B470" s="6">
        <v>31686</v>
      </c>
      <c r="C470" s="6" t="s">
        <v>125</v>
      </c>
      <c r="D470" s="6">
        <v>20500</v>
      </c>
      <c r="E470" s="6" t="s">
        <v>31</v>
      </c>
      <c r="F470" s="6" t="s">
        <v>17</v>
      </c>
      <c r="G470" s="6" t="s">
        <v>1294</v>
      </c>
      <c r="H470" s="6">
        <v>27</v>
      </c>
      <c r="I470" s="6">
        <v>27</v>
      </c>
      <c r="J470" s="6">
        <v>27</v>
      </c>
      <c r="K470" s="6">
        <v>26.179282000000001</v>
      </c>
      <c r="L470" s="6">
        <v>26.186138</v>
      </c>
      <c r="M470" s="6">
        <v>25.935728999999998</v>
      </c>
      <c r="N470" s="6">
        <v>26.108958000000001</v>
      </c>
      <c r="O470" s="6">
        <v>26.328648000000001</v>
      </c>
      <c r="P470" s="6">
        <v>26.003786000000002</v>
      </c>
      <c r="Q470" s="6">
        <v>26.101534000000001</v>
      </c>
      <c r="R470" s="6">
        <v>26.316153</v>
      </c>
      <c r="S470" s="6">
        <v>25.991613999999998</v>
      </c>
      <c r="T470" s="6">
        <v>25.645997000000001</v>
      </c>
      <c r="U470" s="6">
        <v>25.223958</v>
      </c>
      <c r="V470" s="6">
        <v>24.770192999999999</v>
      </c>
    </row>
    <row r="471" spans="2:22">
      <c r="B471" s="6">
        <v>31686</v>
      </c>
      <c r="C471" s="6" t="s">
        <v>125</v>
      </c>
      <c r="D471" s="6">
        <v>20702</v>
      </c>
      <c r="E471" s="6" t="s">
        <v>44</v>
      </c>
      <c r="F471" s="6" t="s">
        <v>17</v>
      </c>
      <c r="G471" s="6" t="s">
        <v>1294</v>
      </c>
      <c r="H471" s="6">
        <v>35</v>
      </c>
      <c r="I471" s="6">
        <v>35</v>
      </c>
      <c r="J471" s="6">
        <v>35</v>
      </c>
      <c r="K471" s="6">
        <v>34.902597</v>
      </c>
      <c r="L471" s="6">
        <v>34.946427999999997</v>
      </c>
      <c r="M471" s="6">
        <v>34.934041999999998</v>
      </c>
      <c r="N471" s="6">
        <v>34.893103000000004</v>
      </c>
      <c r="O471" s="6">
        <v>34.949179999999998</v>
      </c>
      <c r="P471" s="6">
        <v>34.926701000000001</v>
      </c>
      <c r="Q471" s="6">
        <v>34.894556999999999</v>
      </c>
      <c r="R471" s="6">
        <v>34.950949000000001</v>
      </c>
      <c r="S471" s="6">
        <v>34.883485</v>
      </c>
      <c r="T471" s="6">
        <v>34.894556999999999</v>
      </c>
      <c r="U471" s="6">
        <v>34.950949000000001</v>
      </c>
      <c r="V471" s="6">
        <v>34.883485</v>
      </c>
    </row>
    <row r="472" spans="2:22">
      <c r="B472" s="6">
        <v>31686</v>
      </c>
      <c r="C472" s="6" t="s">
        <v>125</v>
      </c>
      <c r="D472" s="6">
        <v>20902</v>
      </c>
      <c r="E472" s="6" t="s">
        <v>53</v>
      </c>
      <c r="F472" s="6" t="s">
        <v>16</v>
      </c>
      <c r="G472" s="6" t="s">
        <v>1295</v>
      </c>
      <c r="H472" s="6">
        <v>0</v>
      </c>
      <c r="I472" s="6">
        <v>20</v>
      </c>
      <c r="J472" s="6">
        <v>20</v>
      </c>
      <c r="K472" s="6">
        <v>27.111111000000001</v>
      </c>
      <c r="L472" s="6">
        <v>25.059170999999999</v>
      </c>
      <c r="M472" s="6">
        <v>26.5625</v>
      </c>
      <c r="N472" s="6">
        <v>27.102803000000002</v>
      </c>
      <c r="O472" s="6">
        <v>26.100322999999999</v>
      </c>
      <c r="P472" s="6">
        <v>27.578899</v>
      </c>
      <c r="Q472" s="6">
        <v>27.102803000000002</v>
      </c>
      <c r="R472" s="6">
        <v>26.100322999999999</v>
      </c>
      <c r="S472" s="6">
        <v>27.558453</v>
      </c>
      <c r="T472" s="6">
        <v>26.737159999999999</v>
      </c>
      <c r="U472" s="6">
        <v>25.752351000000001</v>
      </c>
      <c r="V472" s="6">
        <v>27.323633000000001</v>
      </c>
    </row>
    <row r="473" spans="2:22">
      <c r="B473" s="6">
        <v>31686</v>
      </c>
      <c r="C473" s="6" t="s">
        <v>125</v>
      </c>
      <c r="D473" s="6">
        <v>20902</v>
      </c>
      <c r="E473" s="6" t="s">
        <v>53</v>
      </c>
      <c r="F473" s="6" t="s">
        <v>13</v>
      </c>
      <c r="G473" s="6" t="s">
        <v>14</v>
      </c>
      <c r="H473" s="6">
        <v>20</v>
      </c>
      <c r="I473" s="6">
        <v>20</v>
      </c>
      <c r="J473" s="6">
        <v>20</v>
      </c>
      <c r="K473" s="6">
        <v>18.635802000000002</v>
      </c>
      <c r="L473" s="6">
        <v>18.195121</v>
      </c>
      <c r="M473" s="6">
        <v>17.625368000000002</v>
      </c>
      <c r="N473" s="6">
        <v>19.181818</v>
      </c>
      <c r="O473" s="6">
        <v>19.119288999999998</v>
      </c>
      <c r="P473" s="6">
        <v>18.784502</v>
      </c>
      <c r="Q473" s="6">
        <v>19.181818</v>
      </c>
      <c r="R473" s="6">
        <v>19.101835999999999</v>
      </c>
      <c r="S473" s="6">
        <v>18.763134000000001</v>
      </c>
      <c r="T473" s="6">
        <v>19.181818</v>
      </c>
      <c r="U473" s="6">
        <v>19.101835999999999</v>
      </c>
      <c r="V473" s="6">
        <v>18.763134000000001</v>
      </c>
    </row>
    <row r="474" spans="2:22">
      <c r="B474" s="6">
        <v>31686</v>
      </c>
      <c r="C474" s="6" t="s">
        <v>125</v>
      </c>
      <c r="D474" s="6">
        <v>20906</v>
      </c>
      <c r="E474" s="6" t="s">
        <v>48</v>
      </c>
      <c r="F474" s="6" t="s">
        <v>49</v>
      </c>
      <c r="G474" s="6" t="s">
        <v>1296</v>
      </c>
      <c r="H474" s="6">
        <v>17</v>
      </c>
      <c r="I474" s="6">
        <v>17</v>
      </c>
      <c r="J474" s="6">
        <v>18.125</v>
      </c>
      <c r="K474" s="6">
        <v>16.992394999999998</v>
      </c>
      <c r="L474" s="6">
        <v>16.951830000000001</v>
      </c>
      <c r="M474" s="6">
        <v>17.405908</v>
      </c>
      <c r="N474" s="6">
        <v>17.016705999999999</v>
      </c>
      <c r="O474" s="6">
        <v>16.954350000000002</v>
      </c>
      <c r="P474" s="6">
        <v>17.537869000000001</v>
      </c>
      <c r="Q474" s="6">
        <v>17.016335999999999</v>
      </c>
      <c r="R474" s="6">
        <v>16.958155999999999</v>
      </c>
      <c r="S474" s="6">
        <v>17.538882000000001</v>
      </c>
      <c r="T474" s="6">
        <v>17.016335999999999</v>
      </c>
      <c r="U474" s="6">
        <v>16.958155999999999</v>
      </c>
      <c r="V474" s="6">
        <v>17.538882000000001</v>
      </c>
    </row>
    <row r="475" spans="2:22">
      <c r="B475" s="6">
        <v>31697</v>
      </c>
      <c r="C475" s="6" t="s">
        <v>1175</v>
      </c>
      <c r="D475" s="6">
        <v>21500</v>
      </c>
      <c r="E475" s="6" t="s">
        <v>1219</v>
      </c>
      <c r="F475" s="6" t="s">
        <v>38</v>
      </c>
      <c r="G475" s="6" t="s">
        <v>1302</v>
      </c>
      <c r="H475" s="6">
        <v>0</v>
      </c>
      <c r="I475" s="6">
        <v>0</v>
      </c>
      <c r="J475" s="6">
        <v>10</v>
      </c>
      <c r="K475" s="6">
        <v>0</v>
      </c>
      <c r="L475" s="6">
        <v>0</v>
      </c>
      <c r="M475" s="6">
        <v>10</v>
      </c>
      <c r="N475" s="6">
        <v>0</v>
      </c>
      <c r="O475" s="6">
        <v>0</v>
      </c>
      <c r="P475" s="6">
        <v>10</v>
      </c>
      <c r="Q475" s="6">
        <v>0</v>
      </c>
      <c r="R475" s="6">
        <v>0</v>
      </c>
      <c r="S475" s="6">
        <v>10</v>
      </c>
      <c r="T475" s="6">
        <v>0</v>
      </c>
      <c r="U475" s="6">
        <v>0</v>
      </c>
      <c r="V475" s="6">
        <v>10</v>
      </c>
    </row>
    <row r="476" spans="2:22">
      <c r="B476" s="6">
        <v>31697</v>
      </c>
      <c r="C476" s="6" t="s">
        <v>1175</v>
      </c>
      <c r="D476" s="6">
        <v>25000</v>
      </c>
      <c r="E476" s="6" t="s">
        <v>1226</v>
      </c>
      <c r="F476" s="6" t="s">
        <v>16</v>
      </c>
      <c r="G476" s="6" t="s">
        <v>1295</v>
      </c>
      <c r="H476" s="6">
        <v>0</v>
      </c>
      <c r="I476" s="6">
        <v>0</v>
      </c>
      <c r="J476" s="6">
        <v>20</v>
      </c>
      <c r="K476" s="6">
        <v>13.076923000000001</v>
      </c>
      <c r="L476" s="6">
        <v>14.533333000000001</v>
      </c>
      <c r="M476" s="6">
        <v>15.393442</v>
      </c>
      <c r="N476" s="6">
        <v>13.076923000000001</v>
      </c>
      <c r="O476" s="6">
        <v>14.533333000000001</v>
      </c>
      <c r="P476" s="6">
        <v>15.139533999999999</v>
      </c>
      <c r="Q476" s="6">
        <v>13.076923000000001</v>
      </c>
      <c r="R476" s="6">
        <v>14.533333000000001</v>
      </c>
      <c r="S476" s="6">
        <v>15.139533999999999</v>
      </c>
      <c r="T476" s="6">
        <v>13.076923000000001</v>
      </c>
      <c r="U476" s="6">
        <v>14.533333000000001</v>
      </c>
      <c r="V476" s="6">
        <v>15.139533999999999</v>
      </c>
    </row>
    <row r="477" spans="2:22">
      <c r="B477" s="6">
        <v>31702</v>
      </c>
      <c r="C477" s="6" t="s">
        <v>1185</v>
      </c>
      <c r="D477" s="6">
        <v>25000</v>
      </c>
      <c r="E477" s="6" t="s">
        <v>1226</v>
      </c>
      <c r="F477" s="6" t="s">
        <v>16</v>
      </c>
      <c r="G477" s="6" t="s">
        <v>1295</v>
      </c>
      <c r="H477" s="6">
        <v>0</v>
      </c>
      <c r="I477" s="6">
        <v>10</v>
      </c>
      <c r="J477" s="6">
        <v>10</v>
      </c>
      <c r="K477" s="6">
        <v>13.076923000000001</v>
      </c>
      <c r="L477" s="6">
        <v>14.533333000000001</v>
      </c>
      <c r="M477" s="6">
        <v>15.393442</v>
      </c>
      <c r="N477" s="6">
        <v>13.076923000000001</v>
      </c>
      <c r="O477" s="6">
        <v>14.533333000000001</v>
      </c>
      <c r="P477" s="6">
        <v>15.139533999999999</v>
      </c>
      <c r="Q477" s="6">
        <v>13.076923000000001</v>
      </c>
      <c r="R477" s="6">
        <v>14.533333000000001</v>
      </c>
      <c r="S477" s="6">
        <v>15.139533999999999</v>
      </c>
      <c r="T477" s="6">
        <v>13.076923000000001</v>
      </c>
      <c r="U477" s="6">
        <v>14.533333000000001</v>
      </c>
      <c r="V477" s="6">
        <v>15.139533999999999</v>
      </c>
    </row>
    <row r="478" spans="2:22">
      <c r="B478" s="6">
        <v>31704</v>
      </c>
      <c r="C478" s="6" t="s">
        <v>225</v>
      </c>
      <c r="D478" s="6">
        <v>12400</v>
      </c>
      <c r="E478" s="6" t="s">
        <v>217</v>
      </c>
      <c r="F478" s="6" t="s">
        <v>16</v>
      </c>
      <c r="G478" s="6" t="s">
        <v>1295</v>
      </c>
      <c r="H478" s="6">
        <v>8</v>
      </c>
      <c r="I478" s="6">
        <v>8</v>
      </c>
      <c r="J478" s="6">
        <v>8.2380949999999995</v>
      </c>
      <c r="K478" s="6">
        <v>8.2173909999999992</v>
      </c>
      <c r="L478" s="6">
        <v>8.1046829999999996</v>
      </c>
      <c r="M478" s="6">
        <v>8.2384710000000005</v>
      </c>
      <c r="N478" s="6">
        <v>9.2387090000000001</v>
      </c>
      <c r="O478" s="6">
        <v>8.7126429999999999</v>
      </c>
      <c r="P478" s="6">
        <v>8.6856360000000006</v>
      </c>
      <c r="Q478" s="6">
        <v>9.2387090000000001</v>
      </c>
      <c r="R478" s="6">
        <v>8.7126429999999999</v>
      </c>
      <c r="S478" s="6">
        <v>8.6856360000000006</v>
      </c>
      <c r="T478" s="6">
        <v>8.8875729999999997</v>
      </c>
      <c r="U478" s="6">
        <v>8.6089380000000002</v>
      </c>
      <c r="V478" s="6">
        <v>8.6174140000000001</v>
      </c>
    </row>
    <row r="479" spans="2:22">
      <c r="B479" s="6">
        <v>31704</v>
      </c>
      <c r="C479" s="6" t="s">
        <v>225</v>
      </c>
      <c r="D479" s="6">
        <v>23311</v>
      </c>
      <c r="E479" s="6" t="s">
        <v>221</v>
      </c>
      <c r="F479" s="6" t="s">
        <v>16</v>
      </c>
      <c r="G479" s="6" t="s">
        <v>1295</v>
      </c>
      <c r="H479" s="6">
        <v>10</v>
      </c>
      <c r="I479" s="6">
        <v>10</v>
      </c>
      <c r="J479" s="6">
        <v>10</v>
      </c>
      <c r="K479" s="6">
        <v>10.144926999999999</v>
      </c>
      <c r="L479" s="6">
        <v>10.029239</v>
      </c>
      <c r="M479" s="6">
        <v>10.013888</v>
      </c>
      <c r="N479" s="6">
        <v>10.099009000000001</v>
      </c>
      <c r="O479" s="6">
        <v>10.02364</v>
      </c>
      <c r="P479" s="6">
        <v>10.011260999999999</v>
      </c>
      <c r="Q479" s="6">
        <v>10.099009000000001</v>
      </c>
      <c r="R479" s="6">
        <v>10.02364</v>
      </c>
      <c r="S479" s="6">
        <v>10.011260999999999</v>
      </c>
      <c r="T479" s="6">
        <v>10.099009000000001</v>
      </c>
      <c r="U479" s="6">
        <v>10.02364</v>
      </c>
      <c r="V479" s="6">
        <v>10.011260999999999</v>
      </c>
    </row>
    <row r="480" spans="2:22">
      <c r="B480" s="6">
        <v>31709</v>
      </c>
      <c r="C480" s="6" t="s">
        <v>126</v>
      </c>
      <c r="D480" s="6">
        <v>20500</v>
      </c>
      <c r="E480" s="6" t="s">
        <v>31</v>
      </c>
      <c r="F480" s="6" t="s">
        <v>17</v>
      </c>
      <c r="G480" s="6" t="s">
        <v>1294</v>
      </c>
      <c r="H480" s="6">
        <v>25</v>
      </c>
      <c r="I480" s="6">
        <v>25</v>
      </c>
      <c r="J480" s="6">
        <v>24.333333</v>
      </c>
      <c r="K480" s="6">
        <v>26.179282000000001</v>
      </c>
      <c r="L480" s="6">
        <v>26.186138</v>
      </c>
      <c r="M480" s="6">
        <v>25.935728999999998</v>
      </c>
      <c r="N480" s="6">
        <v>26.108958000000001</v>
      </c>
      <c r="O480" s="6">
        <v>26.328648000000001</v>
      </c>
      <c r="P480" s="6">
        <v>26.003786000000002</v>
      </c>
      <c r="Q480" s="6">
        <v>26.101534000000001</v>
      </c>
      <c r="R480" s="6">
        <v>26.316153</v>
      </c>
      <c r="S480" s="6">
        <v>25.991613999999998</v>
      </c>
      <c r="T480" s="6">
        <v>25.645997000000001</v>
      </c>
      <c r="U480" s="6">
        <v>25.223958</v>
      </c>
      <c r="V480" s="6">
        <v>24.770192999999999</v>
      </c>
    </row>
    <row r="481" spans="2:22">
      <c r="B481" s="6">
        <v>31709</v>
      </c>
      <c r="C481" s="6" t="s">
        <v>126</v>
      </c>
      <c r="D481" s="6">
        <v>20705</v>
      </c>
      <c r="E481" s="6" t="s">
        <v>59</v>
      </c>
      <c r="F481" s="6" t="s">
        <v>17</v>
      </c>
      <c r="G481" s="6" t="s">
        <v>1294</v>
      </c>
      <c r="H481" s="6">
        <v>30</v>
      </c>
      <c r="I481" s="6">
        <v>30</v>
      </c>
      <c r="J481" s="6">
        <v>30</v>
      </c>
      <c r="K481" s="6">
        <v>30</v>
      </c>
      <c r="L481" s="6">
        <v>30</v>
      </c>
      <c r="M481" s="6">
        <v>30</v>
      </c>
      <c r="N481" s="6">
        <v>30</v>
      </c>
      <c r="O481" s="6">
        <v>30</v>
      </c>
      <c r="P481" s="6">
        <v>30</v>
      </c>
      <c r="Q481" s="6">
        <v>30</v>
      </c>
      <c r="R481" s="6">
        <v>30</v>
      </c>
      <c r="S481" s="6">
        <v>29.784172000000002</v>
      </c>
      <c r="T481" s="6">
        <v>30</v>
      </c>
      <c r="U481" s="6">
        <v>30</v>
      </c>
      <c r="V481" s="6">
        <v>29.784172000000002</v>
      </c>
    </row>
    <row r="482" spans="2:22">
      <c r="B482" s="6">
        <v>31709</v>
      </c>
      <c r="C482" s="6" t="s">
        <v>126</v>
      </c>
      <c r="D482" s="6">
        <v>20902</v>
      </c>
      <c r="E482" s="6" t="s">
        <v>53</v>
      </c>
      <c r="F482" s="6" t="s">
        <v>13</v>
      </c>
      <c r="G482" s="6" t="s">
        <v>14</v>
      </c>
      <c r="H482" s="6">
        <v>15</v>
      </c>
      <c r="I482" s="6">
        <v>15</v>
      </c>
      <c r="J482" s="6">
        <v>15</v>
      </c>
      <c r="K482" s="6">
        <v>18.635802000000002</v>
      </c>
      <c r="L482" s="6">
        <v>18.195121</v>
      </c>
      <c r="M482" s="6">
        <v>17.625368000000002</v>
      </c>
      <c r="N482" s="6">
        <v>19.181818</v>
      </c>
      <c r="O482" s="6">
        <v>19.119288999999998</v>
      </c>
      <c r="P482" s="6">
        <v>18.784502</v>
      </c>
      <c r="Q482" s="6">
        <v>19.181818</v>
      </c>
      <c r="R482" s="6">
        <v>19.101835999999999</v>
      </c>
      <c r="S482" s="6">
        <v>18.763134000000001</v>
      </c>
      <c r="T482" s="6">
        <v>19.181818</v>
      </c>
      <c r="U482" s="6">
        <v>19.101835999999999</v>
      </c>
      <c r="V482" s="6">
        <v>18.763134000000001</v>
      </c>
    </row>
    <row r="483" spans="2:22">
      <c r="B483" s="6">
        <v>31709</v>
      </c>
      <c r="C483" s="6" t="s">
        <v>126</v>
      </c>
      <c r="D483" s="6">
        <v>20906</v>
      </c>
      <c r="E483" s="6" t="s">
        <v>48</v>
      </c>
      <c r="F483" s="6" t="s">
        <v>49</v>
      </c>
      <c r="G483" s="6" t="s">
        <v>1296</v>
      </c>
      <c r="H483" s="6">
        <v>17</v>
      </c>
      <c r="I483" s="6">
        <v>17</v>
      </c>
      <c r="J483" s="6">
        <v>17.666665999999999</v>
      </c>
      <c r="K483" s="6">
        <v>16.992394999999998</v>
      </c>
      <c r="L483" s="6">
        <v>16.951830000000001</v>
      </c>
      <c r="M483" s="6">
        <v>17.405908</v>
      </c>
      <c r="N483" s="6">
        <v>17.016705999999999</v>
      </c>
      <c r="O483" s="6">
        <v>16.954350000000002</v>
      </c>
      <c r="P483" s="6">
        <v>17.537869000000001</v>
      </c>
      <c r="Q483" s="6">
        <v>17.016335999999999</v>
      </c>
      <c r="R483" s="6">
        <v>16.958155999999999</v>
      </c>
      <c r="S483" s="6">
        <v>17.538882000000001</v>
      </c>
      <c r="T483" s="6">
        <v>17.016335999999999</v>
      </c>
      <c r="U483" s="6">
        <v>16.958155999999999</v>
      </c>
      <c r="V483" s="6">
        <v>17.538882000000001</v>
      </c>
    </row>
    <row r="484" spans="2:22">
      <c r="B484" s="6">
        <v>31722</v>
      </c>
      <c r="C484" s="6" t="s">
        <v>226</v>
      </c>
      <c r="D484" s="6">
        <v>12400</v>
      </c>
      <c r="E484" s="6" t="s">
        <v>217</v>
      </c>
      <c r="F484" s="6" t="s">
        <v>16</v>
      </c>
      <c r="G484" s="6" t="s">
        <v>1295</v>
      </c>
      <c r="H484" s="6">
        <v>8</v>
      </c>
      <c r="I484" s="6">
        <v>8</v>
      </c>
      <c r="J484" s="6">
        <v>8.5546209999999991</v>
      </c>
      <c r="K484" s="6">
        <v>8.2173909999999992</v>
      </c>
      <c r="L484" s="6">
        <v>8.1046829999999996</v>
      </c>
      <c r="M484" s="6">
        <v>8.2384710000000005</v>
      </c>
      <c r="N484" s="6">
        <v>9.2387090000000001</v>
      </c>
      <c r="O484" s="6">
        <v>8.7126429999999999</v>
      </c>
      <c r="P484" s="6">
        <v>8.6856360000000006</v>
      </c>
      <c r="Q484" s="6">
        <v>9.2387090000000001</v>
      </c>
      <c r="R484" s="6">
        <v>8.7126429999999999</v>
      </c>
      <c r="S484" s="6">
        <v>8.6856360000000006</v>
      </c>
      <c r="T484" s="6">
        <v>8.8875729999999997</v>
      </c>
      <c r="U484" s="6">
        <v>8.6089380000000002</v>
      </c>
      <c r="V484" s="6">
        <v>8.6174140000000001</v>
      </c>
    </row>
    <row r="485" spans="2:22">
      <c r="B485" s="6">
        <v>31722</v>
      </c>
      <c r="C485" s="6" t="s">
        <v>226</v>
      </c>
      <c r="D485" s="6">
        <v>23311</v>
      </c>
      <c r="E485" s="6" t="s">
        <v>221</v>
      </c>
      <c r="F485" s="6" t="s">
        <v>16</v>
      </c>
      <c r="G485" s="6" t="s">
        <v>1295</v>
      </c>
      <c r="H485" s="6">
        <v>10</v>
      </c>
      <c r="I485" s="6">
        <v>10</v>
      </c>
      <c r="J485" s="6">
        <v>10</v>
      </c>
      <c r="K485" s="6">
        <v>10.144926999999999</v>
      </c>
      <c r="L485" s="6">
        <v>10.029239</v>
      </c>
      <c r="M485" s="6">
        <v>10.013888</v>
      </c>
      <c r="N485" s="6">
        <v>10.099009000000001</v>
      </c>
      <c r="O485" s="6">
        <v>10.02364</v>
      </c>
      <c r="P485" s="6">
        <v>10.011260999999999</v>
      </c>
      <c r="Q485" s="6">
        <v>10.099009000000001</v>
      </c>
      <c r="R485" s="6">
        <v>10.02364</v>
      </c>
      <c r="S485" s="6">
        <v>10.011260999999999</v>
      </c>
      <c r="T485" s="6">
        <v>10.099009000000001</v>
      </c>
      <c r="U485" s="6">
        <v>10.02364</v>
      </c>
      <c r="V485" s="6">
        <v>10.011260999999999</v>
      </c>
    </row>
    <row r="486" spans="2:22">
      <c r="B486" s="6">
        <v>31726</v>
      </c>
      <c r="C486" s="6" t="s">
        <v>127</v>
      </c>
      <c r="D486" s="6">
        <v>20500</v>
      </c>
      <c r="E486" s="6" t="s">
        <v>31</v>
      </c>
      <c r="F486" s="6" t="s">
        <v>17</v>
      </c>
      <c r="G486" s="6" t="s">
        <v>1294</v>
      </c>
      <c r="H486" s="6">
        <v>0</v>
      </c>
      <c r="I486" s="6">
        <v>25</v>
      </c>
      <c r="J486" s="6">
        <v>25</v>
      </c>
      <c r="K486" s="6">
        <v>26.046875</v>
      </c>
      <c r="L486" s="6">
        <v>26.199541</v>
      </c>
      <c r="M486" s="6">
        <v>26.109717</v>
      </c>
      <c r="N486" s="6">
        <v>26.108958000000001</v>
      </c>
      <c r="O486" s="6">
        <v>26.328648000000001</v>
      </c>
      <c r="P486" s="6">
        <v>26.003786000000002</v>
      </c>
      <c r="Q486" s="6">
        <v>26.101534000000001</v>
      </c>
      <c r="R486" s="6">
        <v>26.316153</v>
      </c>
      <c r="S486" s="6">
        <v>25.991613999999998</v>
      </c>
      <c r="T486" s="6">
        <v>25.645997000000001</v>
      </c>
      <c r="U486" s="6">
        <v>25.223958</v>
      </c>
      <c r="V486" s="6">
        <v>24.770192999999999</v>
      </c>
    </row>
    <row r="487" spans="2:22">
      <c r="B487" s="6">
        <v>31726</v>
      </c>
      <c r="C487" s="6" t="s">
        <v>127</v>
      </c>
      <c r="D487" s="6">
        <v>20706</v>
      </c>
      <c r="E487" s="6" t="s">
        <v>52</v>
      </c>
      <c r="F487" s="6" t="s">
        <v>17</v>
      </c>
      <c r="G487" s="6" t="s">
        <v>1294</v>
      </c>
      <c r="H487" s="6">
        <v>0</v>
      </c>
      <c r="I487" s="6">
        <v>40</v>
      </c>
      <c r="J487" s="6">
        <v>40</v>
      </c>
      <c r="K487" s="6">
        <v>39.625</v>
      </c>
      <c r="L487" s="6">
        <v>39.852941000000001</v>
      </c>
      <c r="M487" s="6">
        <v>39.894365999999998</v>
      </c>
      <c r="N487" s="6">
        <v>39.962778999999998</v>
      </c>
      <c r="O487" s="6">
        <v>39.971750999999998</v>
      </c>
      <c r="P487" s="6">
        <v>39.969020999999998</v>
      </c>
      <c r="Q487" s="6">
        <v>39.963768000000002</v>
      </c>
      <c r="R487" s="6">
        <v>39.972496999999997</v>
      </c>
      <c r="S487" s="6">
        <v>39.969659999999998</v>
      </c>
      <c r="T487" s="6">
        <v>39.867787999999997</v>
      </c>
      <c r="U487" s="6">
        <v>39.928649</v>
      </c>
      <c r="V487" s="6">
        <v>39.945453999999998</v>
      </c>
    </row>
    <row r="488" spans="2:22">
      <c r="B488" s="6">
        <v>31726</v>
      </c>
      <c r="C488" s="6" t="s">
        <v>127</v>
      </c>
      <c r="D488" s="6">
        <v>20902</v>
      </c>
      <c r="E488" s="6" t="s">
        <v>53</v>
      </c>
      <c r="F488" s="6" t="s">
        <v>13</v>
      </c>
      <c r="G488" s="6" t="s">
        <v>14</v>
      </c>
      <c r="H488" s="6">
        <v>0</v>
      </c>
      <c r="I488" s="6">
        <v>15</v>
      </c>
      <c r="J488" s="6">
        <v>15</v>
      </c>
      <c r="K488" s="6">
        <v>18.622046999999998</v>
      </c>
      <c r="L488" s="6">
        <v>18.557046</v>
      </c>
      <c r="M488" s="6">
        <v>18.643459</v>
      </c>
      <c r="N488" s="6">
        <v>19.181818</v>
      </c>
      <c r="O488" s="6">
        <v>19.119288999999998</v>
      </c>
      <c r="P488" s="6">
        <v>18.784502</v>
      </c>
      <c r="Q488" s="6">
        <v>19.181818</v>
      </c>
      <c r="R488" s="6">
        <v>19.101835999999999</v>
      </c>
      <c r="S488" s="6">
        <v>18.763134000000001</v>
      </c>
      <c r="T488" s="6">
        <v>19.181818</v>
      </c>
      <c r="U488" s="6">
        <v>19.101835999999999</v>
      </c>
      <c r="V488" s="6">
        <v>18.763134000000001</v>
      </c>
    </row>
    <row r="489" spans="2:22">
      <c r="B489" s="6">
        <v>31726</v>
      </c>
      <c r="C489" s="6" t="s">
        <v>127</v>
      </c>
      <c r="D489" s="6">
        <v>20906</v>
      </c>
      <c r="E489" s="6" t="s">
        <v>48</v>
      </c>
      <c r="F489" s="6" t="s">
        <v>49</v>
      </c>
      <c r="G489" s="6" t="s">
        <v>1296</v>
      </c>
      <c r="H489" s="6">
        <v>0</v>
      </c>
      <c r="I489" s="6">
        <v>17</v>
      </c>
      <c r="J489" s="6">
        <v>17</v>
      </c>
      <c r="K489" s="6">
        <v>17.229590999999999</v>
      </c>
      <c r="L489" s="6">
        <v>17.052391</v>
      </c>
      <c r="M489" s="6">
        <v>17.431988</v>
      </c>
      <c r="N489" s="6">
        <v>17.016705999999999</v>
      </c>
      <c r="O489" s="6">
        <v>16.954350000000002</v>
      </c>
      <c r="P489" s="6">
        <v>17.537869000000001</v>
      </c>
      <c r="Q489" s="6">
        <v>17.016335999999999</v>
      </c>
      <c r="R489" s="6">
        <v>16.958155999999999</v>
      </c>
      <c r="S489" s="6">
        <v>17.538882000000001</v>
      </c>
      <c r="T489" s="6">
        <v>17.016335999999999</v>
      </c>
      <c r="U489" s="6">
        <v>16.958155999999999</v>
      </c>
      <c r="V489" s="6">
        <v>17.538882000000001</v>
      </c>
    </row>
    <row r="490" spans="2:22">
      <c r="B490" s="6">
        <v>31727</v>
      </c>
      <c r="C490" s="6" t="s">
        <v>128</v>
      </c>
      <c r="D490" s="6">
        <v>20500</v>
      </c>
      <c r="E490" s="6" t="s">
        <v>31</v>
      </c>
      <c r="F490" s="6" t="s">
        <v>17</v>
      </c>
      <c r="G490" s="6" t="s">
        <v>1294</v>
      </c>
      <c r="H490" s="6">
        <v>0</v>
      </c>
      <c r="I490" s="6">
        <v>25</v>
      </c>
      <c r="J490" s="6">
        <v>25</v>
      </c>
      <c r="K490" s="6">
        <v>26.046875</v>
      </c>
      <c r="L490" s="6">
        <v>26.199541</v>
      </c>
      <c r="M490" s="6">
        <v>26.109717</v>
      </c>
      <c r="N490" s="6">
        <v>26.108958000000001</v>
      </c>
      <c r="O490" s="6">
        <v>26.328648000000001</v>
      </c>
      <c r="P490" s="6">
        <v>26.003786000000002</v>
      </c>
      <c r="Q490" s="6">
        <v>26.101534000000001</v>
      </c>
      <c r="R490" s="6">
        <v>26.316153</v>
      </c>
      <c r="S490" s="6">
        <v>25.991613999999998</v>
      </c>
      <c r="T490" s="6">
        <v>25.645997000000001</v>
      </c>
      <c r="U490" s="6">
        <v>25.223958</v>
      </c>
      <c r="V490" s="6">
        <v>24.770192999999999</v>
      </c>
    </row>
    <row r="491" spans="2:22">
      <c r="B491" s="6">
        <v>31727</v>
      </c>
      <c r="C491" s="6" t="s">
        <v>128</v>
      </c>
      <c r="D491" s="6">
        <v>20702</v>
      </c>
      <c r="E491" s="6" t="s">
        <v>44</v>
      </c>
      <c r="F491" s="6" t="s">
        <v>17</v>
      </c>
      <c r="G491" s="6" t="s">
        <v>1294</v>
      </c>
      <c r="H491" s="6">
        <v>0</v>
      </c>
      <c r="I491" s="6">
        <v>35</v>
      </c>
      <c r="J491" s="6">
        <v>35</v>
      </c>
      <c r="K491" s="6">
        <v>34.851851000000003</v>
      </c>
      <c r="L491" s="6">
        <v>34.933332999999998</v>
      </c>
      <c r="M491" s="6">
        <v>34.897097000000002</v>
      </c>
      <c r="N491" s="6">
        <v>34.893103000000004</v>
      </c>
      <c r="O491" s="6">
        <v>34.949179999999998</v>
      </c>
      <c r="P491" s="6">
        <v>34.926701000000001</v>
      </c>
      <c r="Q491" s="6">
        <v>34.894556999999999</v>
      </c>
      <c r="R491" s="6">
        <v>34.950949000000001</v>
      </c>
      <c r="S491" s="6">
        <v>34.883485</v>
      </c>
      <c r="T491" s="6">
        <v>34.894556999999999</v>
      </c>
      <c r="U491" s="6">
        <v>34.950949000000001</v>
      </c>
      <c r="V491" s="6">
        <v>34.883485</v>
      </c>
    </row>
    <row r="492" spans="2:22">
      <c r="B492" s="6">
        <v>31727</v>
      </c>
      <c r="C492" s="6" t="s">
        <v>128</v>
      </c>
      <c r="D492" s="6">
        <v>20902</v>
      </c>
      <c r="E492" s="6" t="s">
        <v>53</v>
      </c>
      <c r="F492" s="6" t="s">
        <v>13</v>
      </c>
      <c r="G492" s="6" t="s">
        <v>14</v>
      </c>
      <c r="H492" s="6">
        <v>0</v>
      </c>
      <c r="I492" s="6">
        <v>15</v>
      </c>
      <c r="J492" s="6">
        <v>15</v>
      </c>
      <c r="K492" s="6">
        <v>18.622046999999998</v>
      </c>
      <c r="L492" s="6">
        <v>18.557046</v>
      </c>
      <c r="M492" s="6">
        <v>18.643459</v>
      </c>
      <c r="N492" s="6">
        <v>19.181818</v>
      </c>
      <c r="O492" s="6">
        <v>19.119288999999998</v>
      </c>
      <c r="P492" s="6">
        <v>18.784502</v>
      </c>
      <c r="Q492" s="6">
        <v>19.181818</v>
      </c>
      <c r="R492" s="6">
        <v>19.101835999999999</v>
      </c>
      <c r="S492" s="6">
        <v>18.763134000000001</v>
      </c>
      <c r="T492" s="6">
        <v>19.181818</v>
      </c>
      <c r="U492" s="6">
        <v>19.101835999999999</v>
      </c>
      <c r="V492" s="6">
        <v>18.763134000000001</v>
      </c>
    </row>
    <row r="493" spans="2:22">
      <c r="B493" s="6">
        <v>31727</v>
      </c>
      <c r="C493" s="6" t="s">
        <v>128</v>
      </c>
      <c r="D493" s="6">
        <v>20906</v>
      </c>
      <c r="E493" s="6" t="s">
        <v>48</v>
      </c>
      <c r="F493" s="6" t="s">
        <v>49</v>
      </c>
      <c r="G493" s="6" t="s">
        <v>1296</v>
      </c>
      <c r="H493" s="6">
        <v>0</v>
      </c>
      <c r="I493" s="6">
        <v>17</v>
      </c>
      <c r="J493" s="6">
        <v>17</v>
      </c>
      <c r="K493" s="6">
        <v>17.229590999999999</v>
      </c>
      <c r="L493" s="6">
        <v>17.052391</v>
      </c>
      <c r="M493" s="6">
        <v>17.431988</v>
      </c>
      <c r="N493" s="6">
        <v>17.016705999999999</v>
      </c>
      <c r="O493" s="6">
        <v>16.954350000000002</v>
      </c>
      <c r="P493" s="6">
        <v>17.537869000000001</v>
      </c>
      <c r="Q493" s="6">
        <v>17.016335999999999</v>
      </c>
      <c r="R493" s="6">
        <v>16.958155999999999</v>
      </c>
      <c r="S493" s="6">
        <v>17.538882000000001</v>
      </c>
      <c r="T493" s="6">
        <v>17.016335999999999</v>
      </c>
      <c r="U493" s="6">
        <v>16.958155999999999</v>
      </c>
      <c r="V493" s="6">
        <v>17.538882000000001</v>
      </c>
    </row>
    <row r="494" spans="2:22">
      <c r="B494" s="6">
        <v>31729</v>
      </c>
      <c r="C494" s="6" t="s">
        <v>227</v>
      </c>
      <c r="D494" s="6">
        <v>20700</v>
      </c>
      <c r="E494" s="6" t="s">
        <v>15</v>
      </c>
      <c r="F494" s="6" t="s">
        <v>17</v>
      </c>
      <c r="G494" s="6" t="s">
        <v>1294</v>
      </c>
      <c r="H494" s="6">
        <v>35</v>
      </c>
      <c r="I494" s="6">
        <v>35</v>
      </c>
      <c r="J494" s="6">
        <v>35.133333</v>
      </c>
      <c r="K494" s="6">
        <v>35</v>
      </c>
      <c r="L494" s="6">
        <v>35</v>
      </c>
      <c r="M494" s="6">
        <v>35.133333</v>
      </c>
      <c r="N494" s="6">
        <v>35</v>
      </c>
      <c r="O494" s="6">
        <v>35</v>
      </c>
      <c r="P494" s="6">
        <v>35.133333</v>
      </c>
      <c r="Q494" s="6">
        <v>35</v>
      </c>
      <c r="R494" s="6">
        <v>35</v>
      </c>
      <c r="S494" s="6">
        <v>35.133333</v>
      </c>
      <c r="T494" s="6">
        <v>37.594695999999999</v>
      </c>
      <c r="U494" s="6">
        <v>37.122718999999996</v>
      </c>
      <c r="V494" s="6">
        <v>37.548872000000003</v>
      </c>
    </row>
    <row r="495" spans="2:22">
      <c r="B495" s="6">
        <v>31737</v>
      </c>
      <c r="C495" s="6" t="s">
        <v>129</v>
      </c>
      <c r="D495" s="6">
        <v>20500</v>
      </c>
      <c r="E495" s="6" t="s">
        <v>31</v>
      </c>
      <c r="F495" s="6" t="s">
        <v>17</v>
      </c>
      <c r="G495" s="6" t="s">
        <v>1294</v>
      </c>
      <c r="H495" s="6">
        <v>27</v>
      </c>
      <c r="I495" s="6">
        <v>27</v>
      </c>
      <c r="J495" s="6">
        <v>27</v>
      </c>
      <c r="K495" s="6">
        <v>26.179282000000001</v>
      </c>
      <c r="L495" s="6">
        <v>26.186138</v>
      </c>
      <c r="M495" s="6">
        <v>25.935728999999998</v>
      </c>
      <c r="N495" s="6">
        <v>26.108958000000001</v>
      </c>
      <c r="O495" s="6">
        <v>26.328648000000001</v>
      </c>
      <c r="P495" s="6">
        <v>26.003786000000002</v>
      </c>
      <c r="Q495" s="6">
        <v>26.101534000000001</v>
      </c>
      <c r="R495" s="6">
        <v>26.316153</v>
      </c>
      <c r="S495" s="6">
        <v>25.991613999999998</v>
      </c>
      <c r="T495" s="6">
        <v>25.645997000000001</v>
      </c>
      <c r="U495" s="6">
        <v>25.223958</v>
      </c>
      <c r="V495" s="6">
        <v>24.770192999999999</v>
      </c>
    </row>
    <row r="496" spans="2:22">
      <c r="B496" s="6">
        <v>31737</v>
      </c>
      <c r="C496" s="6" t="s">
        <v>129</v>
      </c>
      <c r="D496" s="6">
        <v>20702</v>
      </c>
      <c r="E496" s="6" t="s">
        <v>44</v>
      </c>
      <c r="F496" s="6" t="s">
        <v>17</v>
      </c>
      <c r="G496" s="6" t="s">
        <v>1294</v>
      </c>
      <c r="H496" s="6">
        <v>35</v>
      </c>
      <c r="I496" s="6">
        <v>35</v>
      </c>
      <c r="J496" s="6">
        <v>35</v>
      </c>
      <c r="K496" s="6">
        <v>34.902597</v>
      </c>
      <c r="L496" s="6">
        <v>34.946427999999997</v>
      </c>
      <c r="M496" s="6">
        <v>34.934041999999998</v>
      </c>
      <c r="N496" s="6">
        <v>34.893103000000004</v>
      </c>
      <c r="O496" s="6">
        <v>34.949179999999998</v>
      </c>
      <c r="P496" s="6">
        <v>34.926701000000001</v>
      </c>
      <c r="Q496" s="6">
        <v>34.894556999999999</v>
      </c>
      <c r="R496" s="6">
        <v>34.950949000000001</v>
      </c>
      <c r="S496" s="6">
        <v>34.883485</v>
      </c>
      <c r="T496" s="6">
        <v>34.894556999999999</v>
      </c>
      <c r="U496" s="6">
        <v>34.950949000000001</v>
      </c>
      <c r="V496" s="6">
        <v>34.883485</v>
      </c>
    </row>
    <row r="497" spans="2:22">
      <c r="B497" s="6">
        <v>31737</v>
      </c>
      <c r="C497" s="6" t="s">
        <v>129</v>
      </c>
      <c r="D497" s="6">
        <v>20902</v>
      </c>
      <c r="E497" s="6" t="s">
        <v>53</v>
      </c>
      <c r="F497" s="6" t="s">
        <v>16</v>
      </c>
      <c r="G497" s="6" t="s">
        <v>1295</v>
      </c>
      <c r="H497" s="6">
        <v>20</v>
      </c>
      <c r="I497" s="6">
        <v>20</v>
      </c>
      <c r="J497" s="6">
        <v>24.285713999999999</v>
      </c>
      <c r="K497" s="6">
        <v>27.111111000000001</v>
      </c>
      <c r="L497" s="6">
        <v>25.059170999999999</v>
      </c>
      <c r="M497" s="6">
        <v>26.5625</v>
      </c>
      <c r="N497" s="6">
        <v>27.102803000000002</v>
      </c>
      <c r="O497" s="6">
        <v>26.100322999999999</v>
      </c>
      <c r="P497" s="6">
        <v>27.578899</v>
      </c>
      <c r="Q497" s="6">
        <v>27.102803000000002</v>
      </c>
      <c r="R497" s="6">
        <v>26.100322999999999</v>
      </c>
      <c r="S497" s="6">
        <v>27.558453</v>
      </c>
      <c r="T497" s="6">
        <v>26.737159999999999</v>
      </c>
      <c r="U497" s="6">
        <v>25.752351000000001</v>
      </c>
      <c r="V497" s="6">
        <v>27.323633000000001</v>
      </c>
    </row>
    <row r="498" spans="2:22">
      <c r="B498" s="6">
        <v>31737</v>
      </c>
      <c r="C498" s="6" t="s">
        <v>129</v>
      </c>
      <c r="D498" s="6">
        <v>20902</v>
      </c>
      <c r="E498" s="6" t="s">
        <v>53</v>
      </c>
      <c r="F498" s="6" t="s">
        <v>13</v>
      </c>
      <c r="G498" s="6" t="s">
        <v>14</v>
      </c>
      <c r="H498" s="6">
        <v>15</v>
      </c>
      <c r="I498" s="6">
        <v>15</v>
      </c>
      <c r="J498" s="6">
        <v>15</v>
      </c>
      <c r="K498" s="6">
        <v>18.635802000000002</v>
      </c>
      <c r="L498" s="6">
        <v>18.195121</v>
      </c>
      <c r="M498" s="6">
        <v>17.625368000000002</v>
      </c>
      <c r="N498" s="6">
        <v>19.181818</v>
      </c>
      <c r="O498" s="6">
        <v>19.119288999999998</v>
      </c>
      <c r="P498" s="6">
        <v>18.784502</v>
      </c>
      <c r="Q498" s="6">
        <v>19.181818</v>
      </c>
      <c r="R498" s="6">
        <v>19.101835999999999</v>
      </c>
      <c r="S498" s="6">
        <v>18.763134000000001</v>
      </c>
      <c r="T498" s="6">
        <v>19.181818</v>
      </c>
      <c r="U498" s="6">
        <v>19.101835999999999</v>
      </c>
      <c r="V498" s="6">
        <v>18.763134000000001</v>
      </c>
    </row>
    <row r="499" spans="2:22">
      <c r="B499" s="6">
        <v>31737</v>
      </c>
      <c r="C499" s="6" t="s">
        <v>129</v>
      </c>
      <c r="D499" s="6">
        <v>20906</v>
      </c>
      <c r="E499" s="6" t="s">
        <v>48</v>
      </c>
      <c r="F499" s="6" t="s">
        <v>49</v>
      </c>
      <c r="G499" s="6" t="s">
        <v>1296</v>
      </c>
      <c r="H499" s="6">
        <v>17</v>
      </c>
      <c r="I499" s="6">
        <v>17</v>
      </c>
      <c r="J499" s="6">
        <v>17.789473000000001</v>
      </c>
      <c r="K499" s="6">
        <v>16.992394999999998</v>
      </c>
      <c r="L499" s="6">
        <v>16.951830000000001</v>
      </c>
      <c r="M499" s="6">
        <v>17.405908</v>
      </c>
      <c r="N499" s="6">
        <v>17.016705999999999</v>
      </c>
      <c r="O499" s="6">
        <v>16.954350000000002</v>
      </c>
      <c r="P499" s="6">
        <v>17.537869000000001</v>
      </c>
      <c r="Q499" s="6">
        <v>17.016335999999999</v>
      </c>
      <c r="R499" s="6">
        <v>16.958155999999999</v>
      </c>
      <c r="S499" s="6">
        <v>17.538882000000001</v>
      </c>
      <c r="T499" s="6">
        <v>17.016335999999999</v>
      </c>
      <c r="U499" s="6">
        <v>16.958155999999999</v>
      </c>
      <c r="V499" s="6">
        <v>17.538882000000001</v>
      </c>
    </row>
    <row r="500" spans="2:22">
      <c r="B500" s="6">
        <v>31738</v>
      </c>
      <c r="C500" s="6" t="s">
        <v>130</v>
      </c>
      <c r="D500" s="6">
        <v>20500</v>
      </c>
      <c r="E500" s="6" t="s">
        <v>31</v>
      </c>
      <c r="F500" s="6" t="s">
        <v>17</v>
      </c>
      <c r="G500" s="6" t="s">
        <v>1294</v>
      </c>
      <c r="H500" s="6">
        <v>27</v>
      </c>
      <c r="I500" s="6">
        <v>27</v>
      </c>
      <c r="J500" s="6">
        <v>25.6</v>
      </c>
      <c r="K500" s="6">
        <v>26.179282000000001</v>
      </c>
      <c r="L500" s="6">
        <v>26.186138</v>
      </c>
      <c r="M500" s="6">
        <v>25.935728999999998</v>
      </c>
      <c r="N500" s="6">
        <v>26.108958000000001</v>
      </c>
      <c r="O500" s="6">
        <v>26.328648000000001</v>
      </c>
      <c r="P500" s="6">
        <v>26.003786000000002</v>
      </c>
      <c r="Q500" s="6">
        <v>26.101534000000001</v>
      </c>
      <c r="R500" s="6">
        <v>26.316153</v>
      </c>
      <c r="S500" s="6">
        <v>25.991613999999998</v>
      </c>
      <c r="T500" s="6">
        <v>25.645997000000001</v>
      </c>
      <c r="U500" s="6">
        <v>25.223958</v>
      </c>
      <c r="V500" s="6">
        <v>24.770192999999999</v>
      </c>
    </row>
    <row r="501" spans="2:22">
      <c r="B501" s="6">
        <v>31738</v>
      </c>
      <c r="C501" s="6" t="s">
        <v>130</v>
      </c>
      <c r="D501" s="6">
        <v>20702</v>
      </c>
      <c r="E501" s="6" t="s">
        <v>44</v>
      </c>
      <c r="F501" s="6" t="s">
        <v>17</v>
      </c>
      <c r="G501" s="6" t="s">
        <v>1294</v>
      </c>
      <c r="H501" s="6">
        <v>35</v>
      </c>
      <c r="I501" s="6">
        <v>35</v>
      </c>
      <c r="J501" s="6">
        <v>35</v>
      </c>
      <c r="K501" s="6">
        <v>34.902597</v>
      </c>
      <c r="L501" s="6">
        <v>34.946427999999997</v>
      </c>
      <c r="M501" s="6">
        <v>34.934041999999998</v>
      </c>
      <c r="N501" s="6">
        <v>34.893103000000004</v>
      </c>
      <c r="O501" s="6">
        <v>34.949179999999998</v>
      </c>
      <c r="P501" s="6">
        <v>34.926701000000001</v>
      </c>
      <c r="Q501" s="6">
        <v>34.894556999999999</v>
      </c>
      <c r="R501" s="6">
        <v>34.950949000000001</v>
      </c>
      <c r="S501" s="6">
        <v>34.883485</v>
      </c>
      <c r="T501" s="6">
        <v>34.894556999999999</v>
      </c>
      <c r="U501" s="6">
        <v>34.950949000000001</v>
      </c>
      <c r="V501" s="6">
        <v>34.883485</v>
      </c>
    </row>
    <row r="502" spans="2:22">
      <c r="B502" s="6">
        <v>31738</v>
      </c>
      <c r="C502" s="6" t="s">
        <v>130</v>
      </c>
      <c r="D502" s="6">
        <v>20902</v>
      </c>
      <c r="E502" s="6" t="s">
        <v>53</v>
      </c>
      <c r="F502" s="6" t="s">
        <v>16</v>
      </c>
      <c r="G502" s="6" t="s">
        <v>1295</v>
      </c>
      <c r="H502" s="6">
        <v>30</v>
      </c>
      <c r="I502" s="6">
        <v>30</v>
      </c>
      <c r="J502" s="6">
        <v>30</v>
      </c>
      <c r="K502" s="6">
        <v>27.111111000000001</v>
      </c>
      <c r="L502" s="6">
        <v>25.059170999999999</v>
      </c>
      <c r="M502" s="6">
        <v>26.5625</v>
      </c>
      <c r="N502" s="6">
        <v>27.102803000000002</v>
      </c>
      <c r="O502" s="6">
        <v>26.100322999999999</v>
      </c>
      <c r="P502" s="6">
        <v>27.578899</v>
      </c>
      <c r="Q502" s="6">
        <v>27.102803000000002</v>
      </c>
      <c r="R502" s="6">
        <v>26.100322999999999</v>
      </c>
      <c r="S502" s="6">
        <v>27.558453</v>
      </c>
      <c r="T502" s="6">
        <v>26.737159999999999</v>
      </c>
      <c r="U502" s="6">
        <v>25.752351000000001</v>
      </c>
      <c r="V502" s="6">
        <v>27.323633000000001</v>
      </c>
    </row>
    <row r="503" spans="2:22">
      <c r="B503" s="6">
        <v>31738</v>
      </c>
      <c r="C503" s="6" t="s">
        <v>130</v>
      </c>
      <c r="D503" s="6">
        <v>20902</v>
      </c>
      <c r="E503" s="6" t="s">
        <v>53</v>
      </c>
      <c r="F503" s="6" t="s">
        <v>13</v>
      </c>
      <c r="G503" s="6" t="s">
        <v>14</v>
      </c>
      <c r="H503" s="6">
        <v>0</v>
      </c>
      <c r="I503" s="6">
        <v>20</v>
      </c>
      <c r="J503" s="6">
        <v>19.642856999999999</v>
      </c>
      <c r="K503" s="6">
        <v>18.635802000000002</v>
      </c>
      <c r="L503" s="6">
        <v>18.195121</v>
      </c>
      <c r="M503" s="6">
        <v>17.625368000000002</v>
      </c>
      <c r="N503" s="6">
        <v>19.181818</v>
      </c>
      <c r="O503" s="6">
        <v>19.119288999999998</v>
      </c>
      <c r="P503" s="6">
        <v>18.784502</v>
      </c>
      <c r="Q503" s="6">
        <v>19.181818</v>
      </c>
      <c r="R503" s="6">
        <v>19.101835999999999</v>
      </c>
      <c r="S503" s="6">
        <v>18.763134000000001</v>
      </c>
      <c r="T503" s="6">
        <v>19.181818</v>
      </c>
      <c r="U503" s="6">
        <v>19.101835999999999</v>
      </c>
      <c r="V503" s="6">
        <v>18.763134000000001</v>
      </c>
    </row>
    <row r="504" spans="2:22">
      <c r="B504" s="6">
        <v>31738</v>
      </c>
      <c r="C504" s="6" t="s">
        <v>130</v>
      </c>
      <c r="D504" s="6">
        <v>20906</v>
      </c>
      <c r="E504" s="6" t="s">
        <v>48</v>
      </c>
      <c r="F504" s="6" t="s">
        <v>49</v>
      </c>
      <c r="G504" s="6" t="s">
        <v>1296</v>
      </c>
      <c r="H504" s="6">
        <v>17</v>
      </c>
      <c r="I504" s="6">
        <v>17</v>
      </c>
      <c r="J504" s="6">
        <v>17.466666</v>
      </c>
      <c r="K504" s="6">
        <v>16.992394999999998</v>
      </c>
      <c r="L504" s="6">
        <v>16.951830000000001</v>
      </c>
      <c r="M504" s="6">
        <v>17.405908</v>
      </c>
      <c r="N504" s="6">
        <v>17.016705999999999</v>
      </c>
      <c r="O504" s="6">
        <v>16.954350000000002</v>
      </c>
      <c r="P504" s="6">
        <v>17.537869000000001</v>
      </c>
      <c r="Q504" s="6">
        <v>17.016335999999999</v>
      </c>
      <c r="R504" s="6">
        <v>16.958155999999999</v>
      </c>
      <c r="S504" s="6">
        <v>17.538882000000001</v>
      </c>
      <c r="T504" s="6">
        <v>17.016335999999999</v>
      </c>
      <c r="U504" s="6">
        <v>16.958155999999999</v>
      </c>
      <c r="V504" s="6">
        <v>17.538882000000001</v>
      </c>
    </row>
    <row r="505" spans="2:22">
      <c r="B505" s="6">
        <v>31739</v>
      </c>
      <c r="C505" s="6" t="s">
        <v>131</v>
      </c>
      <c r="D505" s="6">
        <v>20500</v>
      </c>
      <c r="E505" s="6" t="s">
        <v>31</v>
      </c>
      <c r="F505" s="6" t="s">
        <v>17</v>
      </c>
      <c r="G505" s="6" t="s">
        <v>1294</v>
      </c>
      <c r="H505" s="6">
        <v>27</v>
      </c>
      <c r="I505" s="6">
        <v>27</v>
      </c>
      <c r="J505" s="6">
        <v>26.192307</v>
      </c>
      <c r="K505" s="6">
        <v>26.179282000000001</v>
      </c>
      <c r="L505" s="6">
        <v>26.186138</v>
      </c>
      <c r="M505" s="6">
        <v>25.935728999999998</v>
      </c>
      <c r="N505" s="6">
        <v>26.108958000000001</v>
      </c>
      <c r="O505" s="6">
        <v>26.328648000000001</v>
      </c>
      <c r="P505" s="6">
        <v>26.003786000000002</v>
      </c>
      <c r="Q505" s="6">
        <v>26.101534000000001</v>
      </c>
      <c r="R505" s="6">
        <v>26.316153</v>
      </c>
      <c r="S505" s="6">
        <v>25.991613999999998</v>
      </c>
      <c r="T505" s="6">
        <v>25.645997000000001</v>
      </c>
      <c r="U505" s="6">
        <v>25.223958</v>
      </c>
      <c r="V505" s="6">
        <v>24.770192999999999</v>
      </c>
    </row>
    <row r="506" spans="2:22">
      <c r="B506" s="6">
        <v>31739</v>
      </c>
      <c r="C506" s="6" t="s">
        <v>131</v>
      </c>
      <c r="D506" s="6">
        <v>20702</v>
      </c>
      <c r="E506" s="6" t="s">
        <v>44</v>
      </c>
      <c r="F506" s="6" t="s">
        <v>17</v>
      </c>
      <c r="G506" s="6" t="s">
        <v>1294</v>
      </c>
      <c r="H506" s="6">
        <v>35</v>
      </c>
      <c r="I506" s="6">
        <v>35</v>
      </c>
      <c r="J506" s="6">
        <v>34.384614999999997</v>
      </c>
      <c r="K506" s="6">
        <v>34.902597</v>
      </c>
      <c r="L506" s="6">
        <v>34.946427999999997</v>
      </c>
      <c r="M506" s="6">
        <v>34.934041999999998</v>
      </c>
      <c r="N506" s="6">
        <v>34.893103000000004</v>
      </c>
      <c r="O506" s="6">
        <v>34.949179999999998</v>
      </c>
      <c r="P506" s="6">
        <v>34.926701000000001</v>
      </c>
      <c r="Q506" s="6">
        <v>34.894556999999999</v>
      </c>
      <c r="R506" s="6">
        <v>34.950949000000001</v>
      </c>
      <c r="S506" s="6">
        <v>34.883485</v>
      </c>
      <c r="T506" s="6">
        <v>34.894556999999999</v>
      </c>
      <c r="U506" s="6">
        <v>34.950949000000001</v>
      </c>
      <c r="V506" s="6">
        <v>34.883485</v>
      </c>
    </row>
    <row r="507" spans="2:22">
      <c r="B507" s="6">
        <v>31739</v>
      </c>
      <c r="C507" s="6" t="s">
        <v>131</v>
      </c>
      <c r="D507" s="6">
        <v>20902</v>
      </c>
      <c r="E507" s="6" t="s">
        <v>53</v>
      </c>
      <c r="F507" s="6" t="s">
        <v>16</v>
      </c>
      <c r="G507" s="6" t="s">
        <v>1295</v>
      </c>
      <c r="H507" s="6">
        <v>30</v>
      </c>
      <c r="I507" s="6">
        <v>30</v>
      </c>
      <c r="J507" s="6">
        <v>30</v>
      </c>
      <c r="K507" s="6">
        <v>27.111111000000001</v>
      </c>
      <c r="L507" s="6">
        <v>25.059170999999999</v>
      </c>
      <c r="M507" s="6">
        <v>26.5625</v>
      </c>
      <c r="N507" s="6">
        <v>27.102803000000002</v>
      </c>
      <c r="O507" s="6">
        <v>26.100322999999999</v>
      </c>
      <c r="P507" s="6">
        <v>27.578899</v>
      </c>
      <c r="Q507" s="6">
        <v>27.102803000000002</v>
      </c>
      <c r="R507" s="6">
        <v>26.100322999999999</v>
      </c>
      <c r="S507" s="6">
        <v>27.558453</v>
      </c>
      <c r="T507" s="6">
        <v>26.737159999999999</v>
      </c>
      <c r="U507" s="6">
        <v>25.752351000000001</v>
      </c>
      <c r="V507" s="6">
        <v>27.323633000000001</v>
      </c>
    </row>
    <row r="508" spans="2:22">
      <c r="B508" s="6">
        <v>31739</v>
      </c>
      <c r="C508" s="6" t="s">
        <v>131</v>
      </c>
      <c r="D508" s="6">
        <v>20902</v>
      </c>
      <c r="E508" s="6" t="s">
        <v>53</v>
      </c>
      <c r="F508" s="6" t="s">
        <v>13</v>
      </c>
      <c r="G508" s="6" t="s">
        <v>14</v>
      </c>
      <c r="H508" s="6">
        <v>20</v>
      </c>
      <c r="I508" s="6">
        <v>20</v>
      </c>
      <c r="J508" s="6">
        <v>19.705881999999999</v>
      </c>
      <c r="K508" s="6">
        <v>18.635802000000002</v>
      </c>
      <c r="L508" s="6">
        <v>18.195121</v>
      </c>
      <c r="M508" s="6">
        <v>17.625368000000002</v>
      </c>
      <c r="N508" s="6">
        <v>19.181818</v>
      </c>
      <c r="O508" s="6">
        <v>19.119288999999998</v>
      </c>
      <c r="P508" s="6">
        <v>18.784502</v>
      </c>
      <c r="Q508" s="6">
        <v>19.181818</v>
      </c>
      <c r="R508" s="6">
        <v>19.101835999999999</v>
      </c>
      <c r="S508" s="6">
        <v>18.763134000000001</v>
      </c>
      <c r="T508" s="6">
        <v>19.181818</v>
      </c>
      <c r="U508" s="6">
        <v>19.101835999999999</v>
      </c>
      <c r="V508" s="6">
        <v>18.763134000000001</v>
      </c>
    </row>
    <row r="509" spans="2:22">
      <c r="B509" s="6">
        <v>31739</v>
      </c>
      <c r="C509" s="6" t="s">
        <v>131</v>
      </c>
      <c r="D509" s="6">
        <v>20906</v>
      </c>
      <c r="E509" s="6" t="s">
        <v>48</v>
      </c>
      <c r="F509" s="6" t="s">
        <v>49</v>
      </c>
      <c r="G509" s="6" t="s">
        <v>1296</v>
      </c>
      <c r="H509" s="6">
        <v>17</v>
      </c>
      <c r="I509" s="6">
        <v>17</v>
      </c>
      <c r="J509" s="6">
        <v>17.214285</v>
      </c>
      <c r="K509" s="6">
        <v>16.992394999999998</v>
      </c>
      <c r="L509" s="6">
        <v>16.951830000000001</v>
      </c>
      <c r="M509" s="6">
        <v>17.405908</v>
      </c>
      <c r="N509" s="6">
        <v>17.016705999999999</v>
      </c>
      <c r="O509" s="6">
        <v>16.954350000000002</v>
      </c>
      <c r="P509" s="6">
        <v>17.537869000000001</v>
      </c>
      <c r="Q509" s="6">
        <v>17.016335999999999</v>
      </c>
      <c r="R509" s="6">
        <v>16.958155999999999</v>
      </c>
      <c r="S509" s="6">
        <v>17.538882000000001</v>
      </c>
      <c r="T509" s="6">
        <v>17.016335999999999</v>
      </c>
      <c r="U509" s="6">
        <v>16.958155999999999</v>
      </c>
      <c r="V509" s="6">
        <v>17.538882000000001</v>
      </c>
    </row>
    <row r="510" spans="2:22">
      <c r="B510" s="6">
        <v>31763</v>
      </c>
      <c r="C510" s="6" t="s">
        <v>1143</v>
      </c>
      <c r="D510" s="6">
        <v>21300</v>
      </c>
      <c r="E510" s="6" t="s">
        <v>1218</v>
      </c>
      <c r="F510" s="6" t="s">
        <v>1303</v>
      </c>
      <c r="G510" s="6" t="s">
        <v>1304</v>
      </c>
      <c r="H510" s="6">
        <v>0</v>
      </c>
      <c r="I510" s="6">
        <v>15</v>
      </c>
      <c r="J510" s="6">
        <v>15</v>
      </c>
      <c r="K510" s="6">
        <v>0</v>
      </c>
      <c r="L510" s="6">
        <v>15</v>
      </c>
      <c r="M510" s="6">
        <v>15</v>
      </c>
      <c r="N510" s="6">
        <v>0</v>
      </c>
      <c r="O510" s="6">
        <v>15</v>
      </c>
      <c r="P510" s="6">
        <v>15</v>
      </c>
      <c r="Q510" s="6">
        <v>0</v>
      </c>
      <c r="R510" s="6">
        <v>15</v>
      </c>
      <c r="S510" s="6">
        <v>15</v>
      </c>
      <c r="T510" s="6">
        <v>0</v>
      </c>
      <c r="U510" s="6">
        <v>15</v>
      </c>
      <c r="V510" s="6">
        <v>15</v>
      </c>
    </row>
    <row r="511" spans="2:22">
      <c r="B511" s="6">
        <v>31772</v>
      </c>
      <c r="C511" s="6" t="s">
        <v>213</v>
      </c>
      <c r="D511" s="6">
        <v>20710</v>
      </c>
      <c r="E511" s="6" t="s">
        <v>214</v>
      </c>
      <c r="F511" s="6" t="s">
        <v>16</v>
      </c>
      <c r="G511" s="6" t="s">
        <v>1295</v>
      </c>
      <c r="H511" s="6">
        <v>12.15</v>
      </c>
      <c r="I511" s="6">
        <v>12.127659</v>
      </c>
      <c r="J511" s="6">
        <v>12.038709000000001</v>
      </c>
      <c r="K511" s="6">
        <v>12.103448</v>
      </c>
      <c r="L511" s="6">
        <v>12.1</v>
      </c>
      <c r="M511" s="6">
        <v>12.04186</v>
      </c>
      <c r="N511" s="6">
        <v>12.103448</v>
      </c>
      <c r="O511" s="6">
        <v>12.1</v>
      </c>
      <c r="P511" s="6">
        <v>12.04186</v>
      </c>
      <c r="Q511" s="6">
        <v>12.103448</v>
      </c>
      <c r="R511" s="6">
        <v>12.1</v>
      </c>
      <c r="S511" s="6">
        <v>12.04186</v>
      </c>
      <c r="T511" s="6">
        <v>12.103448</v>
      </c>
      <c r="U511" s="6">
        <v>12.1</v>
      </c>
      <c r="V511" s="6">
        <v>12.04186</v>
      </c>
    </row>
    <row r="512" spans="2:22">
      <c r="B512" s="6">
        <v>31772</v>
      </c>
      <c r="C512" s="6" t="s">
        <v>213</v>
      </c>
      <c r="D512" s="6">
        <v>23100</v>
      </c>
      <c r="E512" s="6" t="s">
        <v>54</v>
      </c>
      <c r="F512" s="6" t="s">
        <v>16</v>
      </c>
      <c r="G512" s="6" t="s">
        <v>1295</v>
      </c>
      <c r="H512" s="6">
        <v>15.125</v>
      </c>
      <c r="I512" s="6">
        <v>15.053191</v>
      </c>
      <c r="J512" s="6">
        <v>15.032258000000001</v>
      </c>
      <c r="K512" s="6">
        <v>15.086206000000001</v>
      </c>
      <c r="L512" s="6">
        <v>15.133333</v>
      </c>
      <c r="M512" s="6">
        <v>15.093896000000001</v>
      </c>
      <c r="N512" s="6">
        <v>15.086206000000001</v>
      </c>
      <c r="O512" s="6">
        <v>15.133333</v>
      </c>
      <c r="P512" s="6">
        <v>15.093896000000001</v>
      </c>
      <c r="Q512" s="6">
        <v>17.533783</v>
      </c>
      <c r="R512" s="6">
        <v>16.700679999999998</v>
      </c>
      <c r="S512" s="6">
        <v>17.127882</v>
      </c>
      <c r="T512" s="6">
        <v>17.533783</v>
      </c>
      <c r="U512" s="6">
        <v>16.700679999999998</v>
      </c>
      <c r="V512" s="6">
        <v>17.127882</v>
      </c>
    </row>
    <row r="513" spans="2:22">
      <c r="B513" s="6">
        <v>31792</v>
      </c>
      <c r="C513" s="6" t="s">
        <v>632</v>
      </c>
      <c r="D513" s="6">
        <v>20400</v>
      </c>
      <c r="E513" s="6" t="s">
        <v>34</v>
      </c>
      <c r="F513" s="6" t="s">
        <v>13</v>
      </c>
      <c r="G513" s="6" t="s">
        <v>14</v>
      </c>
      <c r="H513" s="6">
        <v>0</v>
      </c>
      <c r="I513" s="6">
        <v>30</v>
      </c>
      <c r="J513" s="6">
        <v>30</v>
      </c>
      <c r="K513" s="6">
        <v>0</v>
      </c>
      <c r="L513" s="6">
        <v>30</v>
      </c>
      <c r="M513" s="6">
        <v>30</v>
      </c>
      <c r="N513" s="6">
        <v>27.058823</v>
      </c>
      <c r="O513" s="6">
        <v>27.368421000000001</v>
      </c>
      <c r="P513" s="6">
        <v>27.368421000000001</v>
      </c>
      <c r="Q513" s="6">
        <v>27.058823</v>
      </c>
      <c r="R513" s="6">
        <v>27.368421000000001</v>
      </c>
      <c r="S513" s="6">
        <v>27.368421000000001</v>
      </c>
      <c r="T513" s="6">
        <v>27.058823</v>
      </c>
      <c r="U513" s="6">
        <v>27.619046999999998</v>
      </c>
      <c r="V513" s="6">
        <v>27.619046999999998</v>
      </c>
    </row>
    <row r="514" spans="2:22">
      <c r="B514" s="6">
        <v>31792</v>
      </c>
      <c r="C514" s="6" t="s">
        <v>632</v>
      </c>
      <c r="D514" s="6">
        <v>20500</v>
      </c>
      <c r="E514" s="6" t="s">
        <v>31</v>
      </c>
      <c r="F514" s="6" t="s">
        <v>17</v>
      </c>
      <c r="G514" s="6" t="s">
        <v>1294</v>
      </c>
      <c r="H514" s="6">
        <v>0</v>
      </c>
      <c r="I514" s="6">
        <v>27</v>
      </c>
      <c r="J514" s="6">
        <v>27</v>
      </c>
      <c r="K514" s="6">
        <v>0</v>
      </c>
      <c r="L514" s="6">
        <v>27</v>
      </c>
      <c r="M514" s="6">
        <v>26.714285</v>
      </c>
      <c r="N514" s="6">
        <v>0</v>
      </c>
      <c r="O514" s="6">
        <v>27</v>
      </c>
      <c r="P514" s="6">
        <v>26.714285</v>
      </c>
      <c r="Q514" s="6">
        <v>16</v>
      </c>
      <c r="R514" s="6">
        <v>16.289473000000001</v>
      </c>
      <c r="S514" s="6">
        <v>16.174417999999999</v>
      </c>
      <c r="T514" s="6">
        <v>25.645997000000001</v>
      </c>
      <c r="U514" s="6">
        <v>25.223958</v>
      </c>
      <c r="V514" s="6">
        <v>24.770192999999999</v>
      </c>
    </row>
    <row r="515" spans="2:22">
      <c r="B515" s="6">
        <v>31792</v>
      </c>
      <c r="C515" s="6" t="s">
        <v>632</v>
      </c>
      <c r="D515" s="6">
        <v>20700</v>
      </c>
      <c r="E515" s="6" t="s">
        <v>15</v>
      </c>
      <c r="F515" s="6" t="s">
        <v>17</v>
      </c>
      <c r="G515" s="6" t="s">
        <v>1294</v>
      </c>
      <c r="H515" s="6">
        <v>0</v>
      </c>
      <c r="I515" s="6">
        <v>25</v>
      </c>
      <c r="J515" s="6">
        <v>25</v>
      </c>
      <c r="K515" s="6">
        <v>32.777777</v>
      </c>
      <c r="L515" s="6">
        <v>33.823529000000001</v>
      </c>
      <c r="M515" s="6">
        <v>34.318181000000003</v>
      </c>
      <c r="N515" s="6">
        <v>35</v>
      </c>
      <c r="O515" s="6">
        <v>35</v>
      </c>
      <c r="P515" s="6">
        <v>35.192307</v>
      </c>
      <c r="Q515" s="6">
        <v>39.560809999999996</v>
      </c>
      <c r="R515" s="6">
        <v>39.612546000000002</v>
      </c>
      <c r="S515" s="6">
        <v>39.702897999999998</v>
      </c>
      <c r="T515" s="6">
        <v>37.594695999999999</v>
      </c>
      <c r="U515" s="6">
        <v>37.122718999999996</v>
      </c>
      <c r="V515" s="6">
        <v>37.548872000000003</v>
      </c>
    </row>
    <row r="516" spans="2:22">
      <c r="B516" s="6">
        <v>31798</v>
      </c>
      <c r="C516" s="6" t="s">
        <v>132</v>
      </c>
      <c r="D516" s="6">
        <v>20500</v>
      </c>
      <c r="E516" s="6" t="s">
        <v>31</v>
      </c>
      <c r="F516" s="6" t="s">
        <v>13</v>
      </c>
      <c r="G516" s="6" t="s">
        <v>14</v>
      </c>
      <c r="H516" s="6">
        <v>0</v>
      </c>
      <c r="I516" s="6">
        <v>0</v>
      </c>
      <c r="J516" s="6">
        <v>20</v>
      </c>
      <c r="K516" s="6">
        <v>25</v>
      </c>
      <c r="L516" s="6">
        <v>21.25</v>
      </c>
      <c r="M516" s="6">
        <v>20.070422000000001</v>
      </c>
      <c r="N516" s="6">
        <v>25</v>
      </c>
      <c r="O516" s="6">
        <v>22.5</v>
      </c>
      <c r="P516" s="6">
        <v>20.123965999999999</v>
      </c>
      <c r="Q516" s="6">
        <v>25</v>
      </c>
      <c r="R516" s="6">
        <v>22.5</v>
      </c>
      <c r="S516" s="6">
        <v>20.122949999999999</v>
      </c>
      <c r="T516" s="6">
        <v>28.409089999999999</v>
      </c>
      <c r="U516" s="6">
        <v>28.088235000000001</v>
      </c>
      <c r="V516" s="6">
        <v>22.096774</v>
      </c>
    </row>
    <row r="517" spans="2:22">
      <c r="B517" s="6">
        <v>31798</v>
      </c>
      <c r="C517" s="6" t="s">
        <v>132</v>
      </c>
      <c r="D517" s="6">
        <v>20500</v>
      </c>
      <c r="E517" s="6" t="s">
        <v>31</v>
      </c>
      <c r="F517" s="6" t="s">
        <v>17</v>
      </c>
      <c r="G517" s="6" t="s">
        <v>1294</v>
      </c>
      <c r="H517" s="6">
        <v>27</v>
      </c>
      <c r="I517" s="6">
        <v>27</v>
      </c>
      <c r="J517" s="6">
        <v>27</v>
      </c>
      <c r="K517" s="6">
        <v>26.093993999999999</v>
      </c>
      <c r="L517" s="6">
        <v>26.469746000000001</v>
      </c>
      <c r="M517" s="6">
        <v>26.000619</v>
      </c>
      <c r="N517" s="6">
        <v>26.108958000000001</v>
      </c>
      <c r="O517" s="6">
        <v>26.328648000000001</v>
      </c>
      <c r="P517" s="6">
        <v>26.003786000000002</v>
      </c>
      <c r="Q517" s="6">
        <v>26.101534000000001</v>
      </c>
      <c r="R517" s="6">
        <v>26.316153</v>
      </c>
      <c r="S517" s="6">
        <v>25.991613999999998</v>
      </c>
      <c r="T517" s="6">
        <v>25.645997000000001</v>
      </c>
      <c r="U517" s="6">
        <v>25.223958</v>
      </c>
      <c r="V517" s="6">
        <v>24.770192999999999</v>
      </c>
    </row>
    <row r="518" spans="2:22">
      <c r="B518" s="6">
        <v>31798</v>
      </c>
      <c r="C518" s="6" t="s">
        <v>132</v>
      </c>
      <c r="D518" s="6">
        <v>20706</v>
      </c>
      <c r="E518" s="6" t="s">
        <v>52</v>
      </c>
      <c r="F518" s="6" t="s">
        <v>17</v>
      </c>
      <c r="G518" s="6" t="s">
        <v>1294</v>
      </c>
      <c r="H518" s="6">
        <v>40</v>
      </c>
      <c r="I518" s="6">
        <v>40</v>
      </c>
      <c r="J518" s="6">
        <v>40</v>
      </c>
      <c r="K518" s="6">
        <v>40</v>
      </c>
      <c r="L518" s="6">
        <v>39.985993999999998</v>
      </c>
      <c r="M518" s="6">
        <v>39.981146000000003</v>
      </c>
      <c r="N518" s="6">
        <v>39.962778999999998</v>
      </c>
      <c r="O518" s="6">
        <v>39.971750999999998</v>
      </c>
      <c r="P518" s="6">
        <v>39.969020999999998</v>
      </c>
      <c r="Q518" s="6">
        <v>39.963768000000002</v>
      </c>
      <c r="R518" s="6">
        <v>39.972496999999997</v>
      </c>
      <c r="S518" s="6">
        <v>39.969659999999998</v>
      </c>
      <c r="T518" s="6">
        <v>39.867787999999997</v>
      </c>
      <c r="U518" s="6">
        <v>39.928649</v>
      </c>
      <c r="V518" s="6">
        <v>39.945453999999998</v>
      </c>
    </row>
    <row r="519" spans="2:22">
      <c r="B519" s="6">
        <v>31798</v>
      </c>
      <c r="C519" s="6" t="s">
        <v>132</v>
      </c>
      <c r="D519" s="6">
        <v>20902</v>
      </c>
      <c r="E519" s="6" t="s">
        <v>53</v>
      </c>
      <c r="F519" s="6" t="s">
        <v>16</v>
      </c>
      <c r="G519" s="6" t="s">
        <v>1295</v>
      </c>
      <c r="H519" s="6">
        <v>30</v>
      </c>
      <c r="I519" s="6">
        <v>24.545453999999999</v>
      </c>
      <c r="J519" s="6">
        <v>24.545453999999999</v>
      </c>
      <c r="K519" s="6">
        <v>27.235294</v>
      </c>
      <c r="L519" s="6">
        <v>26.730157999999999</v>
      </c>
      <c r="M519" s="6">
        <v>28.302752000000002</v>
      </c>
      <c r="N519" s="6">
        <v>27.102803000000002</v>
      </c>
      <c r="O519" s="6">
        <v>26.100322999999999</v>
      </c>
      <c r="P519" s="6">
        <v>27.578899</v>
      </c>
      <c r="Q519" s="6">
        <v>27.102803000000002</v>
      </c>
      <c r="R519" s="6">
        <v>26.100322999999999</v>
      </c>
      <c r="S519" s="6">
        <v>27.558453</v>
      </c>
      <c r="T519" s="6">
        <v>26.737159999999999</v>
      </c>
      <c r="U519" s="6">
        <v>25.752351000000001</v>
      </c>
      <c r="V519" s="6">
        <v>27.323633000000001</v>
      </c>
    </row>
    <row r="520" spans="2:22">
      <c r="B520" s="6">
        <v>31798</v>
      </c>
      <c r="C520" s="6" t="s">
        <v>132</v>
      </c>
      <c r="D520" s="6">
        <v>20902</v>
      </c>
      <c r="E520" s="6" t="s">
        <v>53</v>
      </c>
      <c r="F520" s="6" t="s">
        <v>13</v>
      </c>
      <c r="G520" s="6" t="s">
        <v>14</v>
      </c>
      <c r="H520" s="6">
        <v>0</v>
      </c>
      <c r="I520" s="6">
        <v>0</v>
      </c>
      <c r="J520" s="6">
        <v>15</v>
      </c>
      <c r="K520" s="6">
        <v>19.956309999999998</v>
      </c>
      <c r="L520" s="6">
        <v>19.965827000000001</v>
      </c>
      <c r="M520" s="6">
        <v>19.613216000000001</v>
      </c>
      <c r="N520" s="6">
        <v>19.181818</v>
      </c>
      <c r="O520" s="6">
        <v>19.119288999999998</v>
      </c>
      <c r="P520" s="6">
        <v>18.784502</v>
      </c>
      <c r="Q520" s="6">
        <v>19.181818</v>
      </c>
      <c r="R520" s="6">
        <v>19.101835999999999</v>
      </c>
      <c r="S520" s="6">
        <v>18.763134000000001</v>
      </c>
      <c r="T520" s="6">
        <v>19.181818</v>
      </c>
      <c r="U520" s="6">
        <v>19.101835999999999</v>
      </c>
      <c r="V520" s="6">
        <v>18.763134000000001</v>
      </c>
    </row>
    <row r="521" spans="2:22">
      <c r="B521" s="6">
        <v>31798</v>
      </c>
      <c r="C521" s="6" t="s">
        <v>132</v>
      </c>
      <c r="D521" s="6">
        <v>20906</v>
      </c>
      <c r="E521" s="6" t="s">
        <v>48</v>
      </c>
      <c r="F521" s="6" t="s">
        <v>49</v>
      </c>
      <c r="G521" s="6" t="s">
        <v>1296</v>
      </c>
      <c r="H521" s="6">
        <v>17</v>
      </c>
      <c r="I521" s="6">
        <v>17</v>
      </c>
      <c r="J521" s="6">
        <v>17.5</v>
      </c>
      <c r="K521" s="6">
        <v>16.923482</v>
      </c>
      <c r="L521" s="6">
        <v>16.908185</v>
      </c>
      <c r="M521" s="6">
        <v>17.652851999999999</v>
      </c>
      <c r="N521" s="6">
        <v>17.016705999999999</v>
      </c>
      <c r="O521" s="6">
        <v>16.954350000000002</v>
      </c>
      <c r="P521" s="6">
        <v>17.537869000000001</v>
      </c>
      <c r="Q521" s="6">
        <v>17.016335999999999</v>
      </c>
      <c r="R521" s="6">
        <v>16.958155999999999</v>
      </c>
      <c r="S521" s="6">
        <v>17.538882000000001</v>
      </c>
      <c r="T521" s="6">
        <v>17.016335999999999</v>
      </c>
      <c r="U521" s="6">
        <v>16.958155999999999</v>
      </c>
      <c r="V521" s="6">
        <v>17.538882000000001</v>
      </c>
    </row>
    <row r="522" spans="2:22">
      <c r="B522" s="6">
        <v>31799</v>
      </c>
      <c r="C522" s="6" t="s">
        <v>133</v>
      </c>
      <c r="D522" s="6">
        <v>20500</v>
      </c>
      <c r="E522" s="6" t="s">
        <v>31</v>
      </c>
      <c r="F522" s="6" t="s">
        <v>17</v>
      </c>
      <c r="G522" s="6" t="s">
        <v>1294</v>
      </c>
      <c r="H522" s="6">
        <v>27</v>
      </c>
      <c r="I522" s="6">
        <v>27</v>
      </c>
      <c r="J522" s="6">
        <v>27</v>
      </c>
      <c r="K522" s="6">
        <v>26.093993999999999</v>
      </c>
      <c r="L522" s="6">
        <v>26.469746000000001</v>
      </c>
      <c r="M522" s="6">
        <v>26.000619</v>
      </c>
      <c r="N522" s="6">
        <v>26.108958000000001</v>
      </c>
      <c r="O522" s="6">
        <v>26.328648000000001</v>
      </c>
      <c r="P522" s="6">
        <v>26.003786000000002</v>
      </c>
      <c r="Q522" s="6">
        <v>26.101534000000001</v>
      </c>
      <c r="R522" s="6">
        <v>26.316153</v>
      </c>
      <c r="S522" s="6">
        <v>25.991613999999998</v>
      </c>
      <c r="T522" s="6">
        <v>25.645997000000001</v>
      </c>
      <c r="U522" s="6">
        <v>25.223958</v>
      </c>
      <c r="V522" s="6">
        <v>24.770192999999999</v>
      </c>
    </row>
    <row r="523" spans="2:22">
      <c r="B523" s="6">
        <v>31799</v>
      </c>
      <c r="C523" s="6" t="s">
        <v>133</v>
      </c>
      <c r="D523" s="6">
        <v>20706</v>
      </c>
      <c r="E523" s="6" t="s">
        <v>52</v>
      </c>
      <c r="F523" s="6" t="s">
        <v>17</v>
      </c>
      <c r="G523" s="6" t="s">
        <v>1294</v>
      </c>
      <c r="H523" s="6">
        <v>40</v>
      </c>
      <c r="I523" s="6">
        <v>40</v>
      </c>
      <c r="J523" s="6">
        <v>40</v>
      </c>
      <c r="K523" s="6">
        <v>40</v>
      </c>
      <c r="L523" s="6">
        <v>39.985993999999998</v>
      </c>
      <c r="M523" s="6">
        <v>39.981146000000003</v>
      </c>
      <c r="N523" s="6">
        <v>39.962778999999998</v>
      </c>
      <c r="O523" s="6">
        <v>39.971750999999998</v>
      </c>
      <c r="P523" s="6">
        <v>39.969020999999998</v>
      </c>
      <c r="Q523" s="6">
        <v>39.963768000000002</v>
      </c>
      <c r="R523" s="6">
        <v>39.972496999999997</v>
      </c>
      <c r="S523" s="6">
        <v>39.969659999999998</v>
      </c>
      <c r="T523" s="6">
        <v>39.867787999999997</v>
      </c>
      <c r="U523" s="6">
        <v>39.928649</v>
      </c>
      <c r="V523" s="6">
        <v>39.945453999999998</v>
      </c>
    </row>
    <row r="524" spans="2:22">
      <c r="B524" s="6">
        <v>31799</v>
      </c>
      <c r="C524" s="6" t="s">
        <v>133</v>
      </c>
      <c r="D524" s="6">
        <v>20902</v>
      </c>
      <c r="E524" s="6" t="s">
        <v>53</v>
      </c>
      <c r="F524" s="6" t="s">
        <v>16</v>
      </c>
      <c r="G524" s="6" t="s">
        <v>1295</v>
      </c>
      <c r="H524" s="6">
        <v>30</v>
      </c>
      <c r="I524" s="6">
        <v>23.333333</v>
      </c>
      <c r="J524" s="6">
        <v>23.333333</v>
      </c>
      <c r="K524" s="6">
        <v>27.235294</v>
      </c>
      <c r="L524" s="6">
        <v>26.730157999999999</v>
      </c>
      <c r="M524" s="6">
        <v>28.302752000000002</v>
      </c>
      <c r="N524" s="6">
        <v>27.102803000000002</v>
      </c>
      <c r="O524" s="6">
        <v>26.100322999999999</v>
      </c>
      <c r="P524" s="6">
        <v>27.578899</v>
      </c>
      <c r="Q524" s="6">
        <v>27.102803000000002</v>
      </c>
      <c r="R524" s="6">
        <v>26.100322999999999</v>
      </c>
      <c r="S524" s="6">
        <v>27.558453</v>
      </c>
      <c r="T524" s="6">
        <v>26.737159999999999</v>
      </c>
      <c r="U524" s="6">
        <v>25.752351000000001</v>
      </c>
      <c r="V524" s="6">
        <v>27.323633000000001</v>
      </c>
    </row>
    <row r="525" spans="2:22">
      <c r="B525" s="6">
        <v>31799</v>
      </c>
      <c r="C525" s="6" t="s">
        <v>133</v>
      </c>
      <c r="D525" s="6">
        <v>20902</v>
      </c>
      <c r="E525" s="6" t="s">
        <v>53</v>
      </c>
      <c r="F525" s="6" t="s">
        <v>13</v>
      </c>
      <c r="G525" s="6" t="s">
        <v>14</v>
      </c>
      <c r="H525" s="6">
        <v>0</v>
      </c>
      <c r="I525" s="6">
        <v>0</v>
      </c>
      <c r="J525" s="6">
        <v>20</v>
      </c>
      <c r="K525" s="6">
        <v>19.956309999999998</v>
      </c>
      <c r="L525" s="6">
        <v>19.965827000000001</v>
      </c>
      <c r="M525" s="6">
        <v>19.613216000000001</v>
      </c>
      <c r="N525" s="6">
        <v>19.181818</v>
      </c>
      <c r="O525" s="6">
        <v>19.119288999999998</v>
      </c>
      <c r="P525" s="6">
        <v>18.784502</v>
      </c>
      <c r="Q525" s="6">
        <v>19.181818</v>
      </c>
      <c r="R525" s="6">
        <v>19.101835999999999</v>
      </c>
      <c r="S525" s="6">
        <v>18.763134000000001</v>
      </c>
      <c r="T525" s="6">
        <v>19.181818</v>
      </c>
      <c r="U525" s="6">
        <v>19.101835999999999</v>
      </c>
      <c r="V525" s="6">
        <v>18.763134000000001</v>
      </c>
    </row>
    <row r="526" spans="2:22">
      <c r="B526" s="6">
        <v>31799</v>
      </c>
      <c r="C526" s="6" t="s">
        <v>133</v>
      </c>
      <c r="D526" s="6">
        <v>20906</v>
      </c>
      <c r="E526" s="6" t="s">
        <v>48</v>
      </c>
      <c r="F526" s="6" t="s">
        <v>49</v>
      </c>
      <c r="G526" s="6" t="s">
        <v>1296</v>
      </c>
      <c r="H526" s="6">
        <v>17</v>
      </c>
      <c r="I526" s="6">
        <v>17</v>
      </c>
      <c r="J526" s="6">
        <v>17.75</v>
      </c>
      <c r="K526" s="6">
        <v>16.923482</v>
      </c>
      <c r="L526" s="6">
        <v>16.908185</v>
      </c>
      <c r="M526" s="6">
        <v>17.652851999999999</v>
      </c>
      <c r="N526" s="6">
        <v>17.016705999999999</v>
      </c>
      <c r="O526" s="6">
        <v>16.954350000000002</v>
      </c>
      <c r="P526" s="6">
        <v>17.537869000000001</v>
      </c>
      <c r="Q526" s="6">
        <v>17.016335999999999</v>
      </c>
      <c r="R526" s="6">
        <v>16.958155999999999</v>
      </c>
      <c r="S526" s="6">
        <v>17.538882000000001</v>
      </c>
      <c r="T526" s="6">
        <v>17.016335999999999</v>
      </c>
      <c r="U526" s="6">
        <v>16.958155999999999</v>
      </c>
      <c r="V526" s="6">
        <v>17.538882000000001</v>
      </c>
    </row>
    <row r="527" spans="2:22">
      <c r="B527" s="6">
        <v>31800</v>
      </c>
      <c r="C527" s="6" t="s">
        <v>134</v>
      </c>
      <c r="D527" s="6">
        <v>20500</v>
      </c>
      <c r="E527" s="6" t="s">
        <v>31</v>
      </c>
      <c r="F527" s="6" t="s">
        <v>17</v>
      </c>
      <c r="G527" s="6" t="s">
        <v>1294</v>
      </c>
      <c r="H527" s="6">
        <v>27</v>
      </c>
      <c r="I527" s="6">
        <v>27</v>
      </c>
      <c r="J527" s="6">
        <v>26.533332999999999</v>
      </c>
      <c r="K527" s="6">
        <v>26.093993999999999</v>
      </c>
      <c r="L527" s="6">
        <v>26.469746000000001</v>
      </c>
      <c r="M527" s="6">
        <v>26.000619</v>
      </c>
      <c r="N527" s="6">
        <v>26.108958000000001</v>
      </c>
      <c r="O527" s="6">
        <v>26.328648000000001</v>
      </c>
      <c r="P527" s="6">
        <v>26.003786000000002</v>
      </c>
      <c r="Q527" s="6">
        <v>26.101534000000001</v>
      </c>
      <c r="R527" s="6">
        <v>26.316153</v>
      </c>
      <c r="S527" s="6">
        <v>25.991613999999998</v>
      </c>
      <c r="T527" s="6">
        <v>25.645997000000001</v>
      </c>
      <c r="U527" s="6">
        <v>25.223958</v>
      </c>
      <c r="V527" s="6">
        <v>24.770192999999999</v>
      </c>
    </row>
    <row r="528" spans="2:22">
      <c r="B528" s="6">
        <v>31800</v>
      </c>
      <c r="C528" s="6" t="s">
        <v>134</v>
      </c>
      <c r="D528" s="6">
        <v>20706</v>
      </c>
      <c r="E528" s="6" t="s">
        <v>52</v>
      </c>
      <c r="F528" s="6" t="s">
        <v>17</v>
      </c>
      <c r="G528" s="6" t="s">
        <v>1294</v>
      </c>
      <c r="H528" s="6">
        <v>40</v>
      </c>
      <c r="I528" s="6">
        <v>40</v>
      </c>
      <c r="J528" s="6">
        <v>40</v>
      </c>
      <c r="K528" s="6">
        <v>40</v>
      </c>
      <c r="L528" s="6">
        <v>39.985993999999998</v>
      </c>
      <c r="M528" s="6">
        <v>39.981146000000003</v>
      </c>
      <c r="N528" s="6">
        <v>39.962778999999998</v>
      </c>
      <c r="O528" s="6">
        <v>39.971750999999998</v>
      </c>
      <c r="P528" s="6">
        <v>39.969020999999998</v>
      </c>
      <c r="Q528" s="6">
        <v>39.963768000000002</v>
      </c>
      <c r="R528" s="6">
        <v>39.972496999999997</v>
      </c>
      <c r="S528" s="6">
        <v>39.969659999999998</v>
      </c>
      <c r="T528" s="6">
        <v>39.867787999999997</v>
      </c>
      <c r="U528" s="6">
        <v>39.928649</v>
      </c>
      <c r="V528" s="6">
        <v>39.945453999999998</v>
      </c>
    </row>
    <row r="529" spans="2:22">
      <c r="B529" s="6">
        <v>31800</v>
      </c>
      <c r="C529" s="6" t="s">
        <v>134</v>
      </c>
      <c r="D529" s="6">
        <v>20902</v>
      </c>
      <c r="E529" s="6" t="s">
        <v>53</v>
      </c>
      <c r="F529" s="6" t="s">
        <v>16</v>
      </c>
      <c r="G529" s="6" t="s">
        <v>1295</v>
      </c>
      <c r="H529" s="6">
        <v>21.666665999999999</v>
      </c>
      <c r="I529" s="6">
        <v>24.444444000000001</v>
      </c>
      <c r="J529" s="6">
        <v>25.454545</v>
      </c>
      <c r="K529" s="6">
        <v>27.235294</v>
      </c>
      <c r="L529" s="6">
        <v>26.730157999999999</v>
      </c>
      <c r="M529" s="6">
        <v>28.302752000000002</v>
      </c>
      <c r="N529" s="6">
        <v>27.102803000000002</v>
      </c>
      <c r="O529" s="6">
        <v>26.100322999999999</v>
      </c>
      <c r="P529" s="6">
        <v>27.578899</v>
      </c>
      <c r="Q529" s="6">
        <v>27.102803000000002</v>
      </c>
      <c r="R529" s="6">
        <v>26.100322999999999</v>
      </c>
      <c r="S529" s="6">
        <v>27.558453</v>
      </c>
      <c r="T529" s="6">
        <v>26.737159999999999</v>
      </c>
      <c r="U529" s="6">
        <v>25.752351000000001</v>
      </c>
      <c r="V529" s="6">
        <v>27.323633000000001</v>
      </c>
    </row>
    <row r="530" spans="2:22">
      <c r="B530" s="6">
        <v>31800</v>
      </c>
      <c r="C530" s="6" t="s">
        <v>134</v>
      </c>
      <c r="D530" s="6">
        <v>20902</v>
      </c>
      <c r="E530" s="6" t="s">
        <v>53</v>
      </c>
      <c r="F530" s="6" t="s">
        <v>13</v>
      </c>
      <c r="G530" s="6" t="s">
        <v>14</v>
      </c>
      <c r="H530" s="6">
        <v>0</v>
      </c>
      <c r="I530" s="6">
        <v>20</v>
      </c>
      <c r="J530" s="6">
        <v>21.052631000000002</v>
      </c>
      <c r="K530" s="6">
        <v>19.956309999999998</v>
      </c>
      <c r="L530" s="6">
        <v>19.965827000000001</v>
      </c>
      <c r="M530" s="6">
        <v>19.613216000000001</v>
      </c>
      <c r="N530" s="6">
        <v>19.181818</v>
      </c>
      <c r="O530" s="6">
        <v>19.119288999999998</v>
      </c>
      <c r="P530" s="6">
        <v>18.784502</v>
      </c>
      <c r="Q530" s="6">
        <v>19.181818</v>
      </c>
      <c r="R530" s="6">
        <v>19.101835999999999</v>
      </c>
      <c r="S530" s="6">
        <v>18.763134000000001</v>
      </c>
      <c r="T530" s="6">
        <v>19.181818</v>
      </c>
      <c r="U530" s="6">
        <v>19.101835999999999</v>
      </c>
      <c r="V530" s="6">
        <v>18.763134000000001</v>
      </c>
    </row>
    <row r="531" spans="2:22">
      <c r="B531" s="6">
        <v>31800</v>
      </c>
      <c r="C531" s="6" t="s">
        <v>134</v>
      </c>
      <c r="D531" s="6">
        <v>20906</v>
      </c>
      <c r="E531" s="6" t="s">
        <v>48</v>
      </c>
      <c r="F531" s="6" t="s">
        <v>49</v>
      </c>
      <c r="G531" s="6" t="s">
        <v>1296</v>
      </c>
      <c r="H531" s="6">
        <v>17</v>
      </c>
      <c r="I531" s="6">
        <v>17</v>
      </c>
      <c r="J531" s="6">
        <v>17.600000000000001</v>
      </c>
      <c r="K531" s="6">
        <v>16.923482</v>
      </c>
      <c r="L531" s="6">
        <v>16.908185</v>
      </c>
      <c r="M531" s="6">
        <v>17.652851999999999</v>
      </c>
      <c r="N531" s="6">
        <v>17.016705999999999</v>
      </c>
      <c r="O531" s="6">
        <v>16.954350000000002</v>
      </c>
      <c r="P531" s="6">
        <v>17.537869000000001</v>
      </c>
      <c r="Q531" s="6">
        <v>17.016335999999999</v>
      </c>
      <c r="R531" s="6">
        <v>16.958155999999999</v>
      </c>
      <c r="S531" s="6">
        <v>17.538882000000001</v>
      </c>
      <c r="T531" s="6">
        <v>17.016335999999999</v>
      </c>
      <c r="U531" s="6">
        <v>16.958155999999999</v>
      </c>
      <c r="V531" s="6">
        <v>17.538882000000001</v>
      </c>
    </row>
    <row r="532" spans="2:22">
      <c r="B532" s="6">
        <v>31801</v>
      </c>
      <c r="C532" s="6" t="s">
        <v>745</v>
      </c>
      <c r="D532" s="6">
        <v>20500</v>
      </c>
      <c r="E532" s="6" t="s">
        <v>31</v>
      </c>
      <c r="F532" s="6" t="s">
        <v>17</v>
      </c>
      <c r="G532" s="6" t="s">
        <v>1294</v>
      </c>
      <c r="H532" s="6">
        <v>0</v>
      </c>
      <c r="I532" s="6">
        <v>0</v>
      </c>
      <c r="J532" s="6">
        <v>27</v>
      </c>
      <c r="K532" s="6">
        <v>26.093993999999999</v>
      </c>
      <c r="L532" s="6">
        <v>26.469746000000001</v>
      </c>
      <c r="M532" s="6">
        <v>26.000619</v>
      </c>
      <c r="N532" s="6">
        <v>26.108958000000001</v>
      </c>
      <c r="O532" s="6">
        <v>26.328648000000001</v>
      </c>
      <c r="P532" s="6">
        <v>26.003786000000002</v>
      </c>
      <c r="Q532" s="6">
        <v>26.101534000000001</v>
      </c>
      <c r="R532" s="6">
        <v>26.316153</v>
      </c>
      <c r="S532" s="6">
        <v>25.991613999999998</v>
      </c>
      <c r="T532" s="6">
        <v>25.645997000000001</v>
      </c>
      <c r="U532" s="6">
        <v>25.223958</v>
      </c>
      <c r="V532" s="6">
        <v>24.770192999999999</v>
      </c>
    </row>
    <row r="533" spans="2:22">
      <c r="B533" s="6">
        <v>31801</v>
      </c>
      <c r="C533" s="6" t="s">
        <v>745</v>
      </c>
      <c r="D533" s="6">
        <v>20706</v>
      </c>
      <c r="E533" s="6" t="s">
        <v>52</v>
      </c>
      <c r="F533" s="6" t="s">
        <v>17</v>
      </c>
      <c r="G533" s="6" t="s">
        <v>1294</v>
      </c>
      <c r="H533" s="6">
        <v>0</v>
      </c>
      <c r="I533" s="6">
        <v>0</v>
      </c>
      <c r="J533" s="6">
        <v>40</v>
      </c>
      <c r="K533" s="6">
        <v>40</v>
      </c>
      <c r="L533" s="6">
        <v>39.985993999999998</v>
      </c>
      <c r="M533" s="6">
        <v>39.981146000000003</v>
      </c>
      <c r="N533" s="6">
        <v>39.962778999999998</v>
      </c>
      <c r="O533" s="6">
        <v>39.971750999999998</v>
      </c>
      <c r="P533" s="6">
        <v>39.969020999999998</v>
      </c>
      <c r="Q533" s="6">
        <v>39.963768000000002</v>
      </c>
      <c r="R533" s="6">
        <v>39.972496999999997</v>
      </c>
      <c r="S533" s="6">
        <v>39.969659999999998</v>
      </c>
      <c r="T533" s="6">
        <v>39.867787999999997</v>
      </c>
      <c r="U533" s="6">
        <v>39.928649</v>
      </c>
      <c r="V533" s="6">
        <v>39.945453999999998</v>
      </c>
    </row>
    <row r="534" spans="2:22">
      <c r="B534" s="6">
        <v>31801</v>
      </c>
      <c r="C534" s="6" t="s">
        <v>745</v>
      </c>
      <c r="D534" s="6">
        <v>20902</v>
      </c>
      <c r="E534" s="6" t="s">
        <v>53</v>
      </c>
      <c r="F534" s="6" t="s">
        <v>13</v>
      </c>
      <c r="G534" s="6" t="s">
        <v>14</v>
      </c>
      <c r="H534" s="6">
        <v>0</v>
      </c>
      <c r="I534" s="6">
        <v>0</v>
      </c>
      <c r="J534" s="6">
        <v>20</v>
      </c>
      <c r="K534" s="6">
        <v>19.956309999999998</v>
      </c>
      <c r="L534" s="6">
        <v>19.965827000000001</v>
      </c>
      <c r="M534" s="6">
        <v>19.613216000000001</v>
      </c>
      <c r="N534" s="6">
        <v>19.181818</v>
      </c>
      <c r="O534" s="6">
        <v>19.119288999999998</v>
      </c>
      <c r="P534" s="6">
        <v>18.784502</v>
      </c>
      <c r="Q534" s="6">
        <v>19.181818</v>
      </c>
      <c r="R534" s="6">
        <v>19.101835999999999</v>
      </c>
      <c r="S534" s="6">
        <v>18.763134000000001</v>
      </c>
      <c r="T534" s="6">
        <v>19.181818</v>
      </c>
      <c r="U534" s="6">
        <v>19.101835999999999</v>
      </c>
      <c r="V534" s="6">
        <v>18.763134000000001</v>
      </c>
    </row>
    <row r="535" spans="2:22">
      <c r="B535" s="6">
        <v>31801</v>
      </c>
      <c r="C535" s="6" t="s">
        <v>745</v>
      </c>
      <c r="D535" s="6">
        <v>20906</v>
      </c>
      <c r="E535" s="6" t="s">
        <v>48</v>
      </c>
      <c r="F535" s="6" t="s">
        <v>49</v>
      </c>
      <c r="G535" s="6" t="s">
        <v>1296</v>
      </c>
      <c r="H535" s="6">
        <v>0</v>
      </c>
      <c r="I535" s="6">
        <v>17</v>
      </c>
      <c r="J535" s="6">
        <v>17</v>
      </c>
      <c r="K535" s="6">
        <v>16.923482</v>
      </c>
      <c r="L535" s="6">
        <v>16.908185</v>
      </c>
      <c r="M535" s="6">
        <v>17.652851999999999</v>
      </c>
      <c r="N535" s="6">
        <v>17.016705999999999</v>
      </c>
      <c r="O535" s="6">
        <v>16.954350000000002</v>
      </c>
      <c r="P535" s="6">
        <v>17.537869000000001</v>
      </c>
      <c r="Q535" s="6">
        <v>17.016335999999999</v>
      </c>
      <c r="R535" s="6">
        <v>16.958155999999999</v>
      </c>
      <c r="S535" s="6">
        <v>17.538882000000001</v>
      </c>
      <c r="T535" s="6">
        <v>17.016335999999999</v>
      </c>
      <c r="U535" s="6">
        <v>16.958155999999999</v>
      </c>
      <c r="V535" s="6">
        <v>17.538882000000001</v>
      </c>
    </row>
    <row r="536" spans="2:22">
      <c r="B536" s="6">
        <v>31802</v>
      </c>
      <c r="C536" s="6" t="s">
        <v>135</v>
      </c>
      <c r="D536" s="6">
        <v>20500</v>
      </c>
      <c r="E536" s="6" t="s">
        <v>31</v>
      </c>
      <c r="F536" s="6" t="s">
        <v>17</v>
      </c>
      <c r="G536" s="6" t="s">
        <v>1294</v>
      </c>
      <c r="H536" s="6">
        <v>27</v>
      </c>
      <c r="I536" s="6">
        <v>27</v>
      </c>
      <c r="J536" s="6">
        <v>26.620688999999999</v>
      </c>
      <c r="K536" s="6">
        <v>26.093993999999999</v>
      </c>
      <c r="L536" s="6">
        <v>26.469746000000001</v>
      </c>
      <c r="M536" s="6">
        <v>26.000619</v>
      </c>
      <c r="N536" s="6">
        <v>26.108958000000001</v>
      </c>
      <c r="O536" s="6">
        <v>26.328648000000001</v>
      </c>
      <c r="P536" s="6">
        <v>26.003786000000002</v>
      </c>
      <c r="Q536" s="6">
        <v>26.101534000000001</v>
      </c>
      <c r="R536" s="6">
        <v>26.316153</v>
      </c>
      <c r="S536" s="6">
        <v>25.991613999999998</v>
      </c>
      <c r="T536" s="6">
        <v>25.645997000000001</v>
      </c>
      <c r="U536" s="6">
        <v>25.223958</v>
      </c>
      <c r="V536" s="6">
        <v>24.770192999999999</v>
      </c>
    </row>
    <row r="537" spans="2:22">
      <c r="B537" s="6">
        <v>31802</v>
      </c>
      <c r="C537" s="6" t="s">
        <v>135</v>
      </c>
      <c r="D537" s="6">
        <v>20706</v>
      </c>
      <c r="E537" s="6" t="s">
        <v>52</v>
      </c>
      <c r="F537" s="6" t="s">
        <v>17</v>
      </c>
      <c r="G537" s="6" t="s">
        <v>1294</v>
      </c>
      <c r="H537" s="6">
        <v>40</v>
      </c>
      <c r="I537" s="6">
        <v>40</v>
      </c>
      <c r="J537" s="6">
        <v>40</v>
      </c>
      <c r="K537" s="6">
        <v>40</v>
      </c>
      <c r="L537" s="6">
        <v>39.985993999999998</v>
      </c>
      <c r="M537" s="6">
        <v>39.981146000000003</v>
      </c>
      <c r="N537" s="6">
        <v>39.962778999999998</v>
      </c>
      <c r="O537" s="6">
        <v>39.971750999999998</v>
      </c>
      <c r="P537" s="6">
        <v>39.969020999999998</v>
      </c>
      <c r="Q537" s="6">
        <v>39.963768000000002</v>
      </c>
      <c r="R537" s="6">
        <v>39.972496999999997</v>
      </c>
      <c r="S537" s="6">
        <v>39.969659999999998</v>
      </c>
      <c r="T537" s="6">
        <v>39.867787999999997</v>
      </c>
      <c r="U537" s="6">
        <v>39.928649</v>
      </c>
      <c r="V537" s="6">
        <v>39.945453999999998</v>
      </c>
    </row>
    <row r="538" spans="2:22">
      <c r="B538" s="6">
        <v>31802</v>
      </c>
      <c r="C538" s="6" t="s">
        <v>135</v>
      </c>
      <c r="D538" s="6">
        <v>20706</v>
      </c>
      <c r="E538" s="6" t="s">
        <v>52</v>
      </c>
      <c r="F538" s="6" t="s">
        <v>73</v>
      </c>
      <c r="G538" s="6" t="s">
        <v>1299</v>
      </c>
      <c r="H538" s="6">
        <v>0</v>
      </c>
      <c r="I538" s="6">
        <v>0</v>
      </c>
      <c r="J538" s="6">
        <v>35</v>
      </c>
      <c r="K538" s="6">
        <v>0</v>
      </c>
      <c r="L538" s="6">
        <v>30</v>
      </c>
      <c r="M538" s="6">
        <v>33.059700999999997</v>
      </c>
      <c r="N538" s="6">
        <v>0</v>
      </c>
      <c r="O538" s="6">
        <v>30</v>
      </c>
      <c r="P538" s="6">
        <v>33.014704999999999</v>
      </c>
      <c r="Q538" s="6">
        <v>0</v>
      </c>
      <c r="R538" s="6">
        <v>30</v>
      </c>
      <c r="S538" s="6">
        <v>33.014704999999999</v>
      </c>
      <c r="T538" s="6">
        <v>0</v>
      </c>
      <c r="U538" s="6">
        <v>30</v>
      </c>
      <c r="V538" s="6">
        <v>33.014704999999999</v>
      </c>
    </row>
    <row r="539" spans="2:22">
      <c r="B539" s="6">
        <v>31802</v>
      </c>
      <c r="C539" s="6" t="s">
        <v>135</v>
      </c>
      <c r="D539" s="6">
        <v>20902</v>
      </c>
      <c r="E539" s="6" t="s">
        <v>53</v>
      </c>
      <c r="F539" s="6" t="s">
        <v>16</v>
      </c>
      <c r="G539" s="6" t="s">
        <v>1295</v>
      </c>
      <c r="H539" s="6">
        <v>30</v>
      </c>
      <c r="I539" s="6">
        <v>30</v>
      </c>
      <c r="J539" s="6">
        <v>30</v>
      </c>
      <c r="K539" s="6">
        <v>27.235294</v>
      </c>
      <c r="L539" s="6">
        <v>26.730157999999999</v>
      </c>
      <c r="M539" s="6">
        <v>28.302752000000002</v>
      </c>
      <c r="N539" s="6">
        <v>27.102803000000002</v>
      </c>
      <c r="O539" s="6">
        <v>26.100322999999999</v>
      </c>
      <c r="P539" s="6">
        <v>27.578899</v>
      </c>
      <c r="Q539" s="6">
        <v>27.102803000000002</v>
      </c>
      <c r="R539" s="6">
        <v>26.100322999999999</v>
      </c>
      <c r="S539" s="6">
        <v>27.558453</v>
      </c>
      <c r="T539" s="6">
        <v>26.737159999999999</v>
      </c>
      <c r="U539" s="6">
        <v>25.752351000000001</v>
      </c>
      <c r="V539" s="6">
        <v>27.323633000000001</v>
      </c>
    </row>
    <row r="540" spans="2:22">
      <c r="B540" s="6">
        <v>31802</v>
      </c>
      <c r="C540" s="6" t="s">
        <v>135</v>
      </c>
      <c r="D540" s="6">
        <v>20902</v>
      </c>
      <c r="E540" s="6" t="s">
        <v>53</v>
      </c>
      <c r="F540" s="6" t="s">
        <v>13</v>
      </c>
      <c r="G540" s="6" t="s">
        <v>14</v>
      </c>
      <c r="H540" s="6">
        <v>20</v>
      </c>
      <c r="I540" s="6">
        <v>20</v>
      </c>
      <c r="J540" s="6">
        <v>20</v>
      </c>
      <c r="K540" s="6">
        <v>19.956309999999998</v>
      </c>
      <c r="L540" s="6">
        <v>19.965827000000001</v>
      </c>
      <c r="M540" s="6">
        <v>19.613216000000001</v>
      </c>
      <c r="N540" s="6">
        <v>19.181818</v>
      </c>
      <c r="O540" s="6">
        <v>19.119288999999998</v>
      </c>
      <c r="P540" s="6">
        <v>18.784502</v>
      </c>
      <c r="Q540" s="6">
        <v>19.181818</v>
      </c>
      <c r="R540" s="6">
        <v>19.101835999999999</v>
      </c>
      <c r="S540" s="6">
        <v>18.763134000000001</v>
      </c>
      <c r="T540" s="6">
        <v>19.181818</v>
      </c>
      <c r="U540" s="6">
        <v>19.101835999999999</v>
      </c>
      <c r="V540" s="6">
        <v>18.763134000000001</v>
      </c>
    </row>
    <row r="541" spans="2:22">
      <c r="B541" s="6">
        <v>31802</v>
      </c>
      <c r="C541" s="6" t="s">
        <v>135</v>
      </c>
      <c r="D541" s="6">
        <v>20906</v>
      </c>
      <c r="E541" s="6" t="s">
        <v>48</v>
      </c>
      <c r="F541" s="6" t="s">
        <v>49</v>
      </c>
      <c r="G541" s="6" t="s">
        <v>1296</v>
      </c>
      <c r="H541" s="6">
        <v>17</v>
      </c>
      <c r="I541" s="6">
        <v>17</v>
      </c>
      <c r="J541" s="6">
        <v>17.482758</v>
      </c>
      <c r="K541" s="6">
        <v>16.923482</v>
      </c>
      <c r="L541" s="6">
        <v>16.908185</v>
      </c>
      <c r="M541" s="6">
        <v>17.652851999999999</v>
      </c>
      <c r="N541" s="6">
        <v>17.016705999999999</v>
      </c>
      <c r="O541" s="6">
        <v>16.954350000000002</v>
      </c>
      <c r="P541" s="6">
        <v>17.537869000000001</v>
      </c>
      <c r="Q541" s="6">
        <v>17.016335999999999</v>
      </c>
      <c r="R541" s="6">
        <v>16.958155999999999</v>
      </c>
      <c r="S541" s="6">
        <v>17.538882000000001</v>
      </c>
      <c r="T541" s="6">
        <v>17.016335999999999</v>
      </c>
      <c r="U541" s="6">
        <v>16.958155999999999</v>
      </c>
      <c r="V541" s="6">
        <v>17.538882000000001</v>
      </c>
    </row>
    <row r="542" spans="2:22">
      <c r="B542" s="6">
        <v>31804</v>
      </c>
      <c r="C542" s="6" t="s">
        <v>743</v>
      </c>
      <c r="D542" s="6">
        <v>20500</v>
      </c>
      <c r="E542" s="6" t="s">
        <v>31</v>
      </c>
      <c r="F542" s="6" t="s">
        <v>17</v>
      </c>
      <c r="G542" s="6" t="s">
        <v>1294</v>
      </c>
      <c r="H542" s="6">
        <v>0</v>
      </c>
      <c r="I542" s="6">
        <v>25</v>
      </c>
      <c r="J542" s="6">
        <v>25</v>
      </c>
      <c r="K542" s="6">
        <v>26.179282000000001</v>
      </c>
      <c r="L542" s="6">
        <v>26.186138</v>
      </c>
      <c r="M542" s="6">
        <v>25.935728999999998</v>
      </c>
      <c r="N542" s="6">
        <v>26.108958000000001</v>
      </c>
      <c r="O542" s="6">
        <v>26.328648000000001</v>
      </c>
      <c r="P542" s="6">
        <v>26.003786000000002</v>
      </c>
      <c r="Q542" s="6">
        <v>26.101534000000001</v>
      </c>
      <c r="R542" s="6">
        <v>26.316153</v>
      </c>
      <c r="S542" s="6">
        <v>25.991613999999998</v>
      </c>
      <c r="T542" s="6">
        <v>25.645997000000001</v>
      </c>
      <c r="U542" s="6">
        <v>25.223958</v>
      </c>
      <c r="V542" s="6">
        <v>24.770192999999999</v>
      </c>
    </row>
    <row r="543" spans="2:22">
      <c r="B543" s="6">
        <v>31804</v>
      </c>
      <c r="C543" s="6" t="s">
        <v>743</v>
      </c>
      <c r="D543" s="6">
        <v>20702</v>
      </c>
      <c r="E543" s="6" t="s">
        <v>44</v>
      </c>
      <c r="F543" s="6" t="s">
        <v>17</v>
      </c>
      <c r="G543" s="6" t="s">
        <v>1294</v>
      </c>
      <c r="H543" s="6">
        <v>0</v>
      </c>
      <c r="I543" s="6">
        <v>35</v>
      </c>
      <c r="J543" s="6">
        <v>35</v>
      </c>
      <c r="K543" s="6">
        <v>34.902597</v>
      </c>
      <c r="L543" s="6">
        <v>34.946427999999997</v>
      </c>
      <c r="M543" s="6">
        <v>34.934041999999998</v>
      </c>
      <c r="N543" s="6">
        <v>34.893103000000004</v>
      </c>
      <c r="O543" s="6">
        <v>34.949179999999998</v>
      </c>
      <c r="P543" s="6">
        <v>34.926701000000001</v>
      </c>
      <c r="Q543" s="6">
        <v>34.894556999999999</v>
      </c>
      <c r="R543" s="6">
        <v>34.950949000000001</v>
      </c>
      <c r="S543" s="6">
        <v>34.883485</v>
      </c>
      <c r="T543" s="6">
        <v>34.894556999999999</v>
      </c>
      <c r="U543" s="6">
        <v>34.950949000000001</v>
      </c>
      <c r="V543" s="6">
        <v>34.883485</v>
      </c>
    </row>
    <row r="544" spans="2:22">
      <c r="B544" s="6">
        <v>31804</v>
      </c>
      <c r="C544" s="6" t="s">
        <v>743</v>
      </c>
      <c r="D544" s="6">
        <v>20902</v>
      </c>
      <c r="E544" s="6" t="s">
        <v>53</v>
      </c>
      <c r="F544" s="6" t="s">
        <v>13</v>
      </c>
      <c r="G544" s="6" t="s">
        <v>14</v>
      </c>
      <c r="H544" s="6">
        <v>0</v>
      </c>
      <c r="I544" s="6">
        <v>15</v>
      </c>
      <c r="J544" s="6">
        <v>15</v>
      </c>
      <c r="K544" s="6">
        <v>18.635802000000002</v>
      </c>
      <c r="L544" s="6">
        <v>18.195121</v>
      </c>
      <c r="M544" s="6">
        <v>17.625368000000002</v>
      </c>
      <c r="N544" s="6">
        <v>19.181818</v>
      </c>
      <c r="O544" s="6">
        <v>19.119288999999998</v>
      </c>
      <c r="P544" s="6">
        <v>18.784502</v>
      </c>
      <c r="Q544" s="6">
        <v>19.181818</v>
      </c>
      <c r="R544" s="6">
        <v>19.101835999999999</v>
      </c>
      <c r="S544" s="6">
        <v>18.763134000000001</v>
      </c>
      <c r="T544" s="6">
        <v>19.181818</v>
      </c>
      <c r="U544" s="6">
        <v>19.101835999999999</v>
      </c>
      <c r="V544" s="6">
        <v>18.763134000000001</v>
      </c>
    </row>
    <row r="545" spans="2:22">
      <c r="B545" s="6">
        <v>31804</v>
      </c>
      <c r="C545" s="6" t="s">
        <v>743</v>
      </c>
      <c r="D545" s="6">
        <v>20906</v>
      </c>
      <c r="E545" s="6" t="s">
        <v>48</v>
      </c>
      <c r="F545" s="6" t="s">
        <v>49</v>
      </c>
      <c r="G545" s="6" t="s">
        <v>1296</v>
      </c>
      <c r="H545" s="6">
        <v>0</v>
      </c>
      <c r="I545" s="6">
        <v>17</v>
      </c>
      <c r="J545" s="6">
        <v>17</v>
      </c>
      <c r="K545" s="6">
        <v>16.992394999999998</v>
      </c>
      <c r="L545" s="6">
        <v>16.951830000000001</v>
      </c>
      <c r="M545" s="6">
        <v>17.405908</v>
      </c>
      <c r="N545" s="6">
        <v>17.016705999999999</v>
      </c>
      <c r="O545" s="6">
        <v>16.954350000000002</v>
      </c>
      <c r="P545" s="6">
        <v>17.537869000000001</v>
      </c>
      <c r="Q545" s="6">
        <v>17.016335999999999</v>
      </c>
      <c r="R545" s="6">
        <v>16.958155999999999</v>
      </c>
      <c r="S545" s="6">
        <v>17.538882000000001</v>
      </c>
      <c r="T545" s="6">
        <v>17.016335999999999</v>
      </c>
      <c r="U545" s="6">
        <v>16.958155999999999</v>
      </c>
      <c r="V545" s="6">
        <v>17.538882000000001</v>
      </c>
    </row>
    <row r="546" spans="2:22">
      <c r="B546" s="6">
        <v>31809</v>
      </c>
      <c r="C546" s="6" t="s">
        <v>228</v>
      </c>
      <c r="D546" s="6">
        <v>12400</v>
      </c>
      <c r="E546" s="6" t="s">
        <v>217</v>
      </c>
      <c r="F546" s="6" t="s">
        <v>16</v>
      </c>
      <c r="G546" s="6" t="s">
        <v>1295</v>
      </c>
      <c r="H546" s="6">
        <v>0</v>
      </c>
      <c r="I546" s="6">
        <v>8</v>
      </c>
      <c r="J546" s="6">
        <v>8</v>
      </c>
      <c r="K546" s="6">
        <v>8</v>
      </c>
      <c r="L546" s="6">
        <v>8</v>
      </c>
      <c r="M546" s="6">
        <v>8</v>
      </c>
      <c r="N546" s="6">
        <v>9.2387090000000001</v>
      </c>
      <c r="O546" s="6">
        <v>8.7126429999999999</v>
      </c>
      <c r="P546" s="6">
        <v>8.6856360000000006</v>
      </c>
      <c r="Q546" s="6">
        <v>9.2387090000000001</v>
      </c>
      <c r="R546" s="6">
        <v>8.7126429999999999</v>
      </c>
      <c r="S546" s="6">
        <v>8.6856360000000006</v>
      </c>
      <c r="T546" s="6">
        <v>8.8875729999999997</v>
      </c>
      <c r="U546" s="6">
        <v>8.6089380000000002</v>
      </c>
      <c r="V546" s="6">
        <v>8.6174140000000001</v>
      </c>
    </row>
    <row r="547" spans="2:22">
      <c r="B547" s="6">
        <v>31809</v>
      </c>
      <c r="C547" s="6" t="s">
        <v>228</v>
      </c>
      <c r="D547" s="6">
        <v>20500</v>
      </c>
      <c r="E547" s="6" t="s">
        <v>31</v>
      </c>
      <c r="F547" s="6" t="s">
        <v>16</v>
      </c>
      <c r="G547" s="6" t="s">
        <v>1295</v>
      </c>
      <c r="H547" s="6">
        <v>0</v>
      </c>
      <c r="I547" s="6">
        <v>10</v>
      </c>
      <c r="J547" s="6">
        <v>10</v>
      </c>
      <c r="K547" s="6">
        <v>10</v>
      </c>
      <c r="L547" s="6">
        <v>10</v>
      </c>
      <c r="M547" s="6">
        <v>10</v>
      </c>
      <c r="N547" s="6">
        <v>10</v>
      </c>
      <c r="O547" s="6">
        <v>10</v>
      </c>
      <c r="P547" s="6">
        <v>9.9904759999999992</v>
      </c>
      <c r="Q547" s="6">
        <v>10</v>
      </c>
      <c r="R547" s="6">
        <v>10</v>
      </c>
      <c r="S547" s="6">
        <v>9.9904759999999992</v>
      </c>
      <c r="T547" s="6">
        <v>16.909089999999999</v>
      </c>
      <c r="U547" s="6">
        <v>13.130081000000001</v>
      </c>
      <c r="V547" s="6">
        <v>12.707865</v>
      </c>
    </row>
    <row r="548" spans="2:22">
      <c r="B548" s="6">
        <v>31809</v>
      </c>
      <c r="C548" s="6" t="s">
        <v>228</v>
      </c>
      <c r="D548" s="6">
        <v>20902</v>
      </c>
      <c r="E548" s="6" t="s">
        <v>53</v>
      </c>
      <c r="F548" s="6" t="s">
        <v>16</v>
      </c>
      <c r="G548" s="6" t="s">
        <v>1295</v>
      </c>
      <c r="H548" s="6">
        <v>0</v>
      </c>
      <c r="I548" s="6">
        <v>15</v>
      </c>
      <c r="J548" s="6">
        <v>17.5</v>
      </c>
      <c r="K548" s="6">
        <v>15</v>
      </c>
      <c r="L548" s="6">
        <v>15</v>
      </c>
      <c r="M548" s="6">
        <v>17.5</v>
      </c>
      <c r="N548" s="6">
        <v>15</v>
      </c>
      <c r="O548" s="6">
        <v>15</v>
      </c>
      <c r="P548" s="6">
        <v>15.454545</v>
      </c>
      <c r="Q548" s="6">
        <v>15</v>
      </c>
      <c r="R548" s="6">
        <v>15</v>
      </c>
      <c r="S548" s="6">
        <v>15.454545</v>
      </c>
      <c r="T548" s="6">
        <v>26.737159999999999</v>
      </c>
      <c r="U548" s="6">
        <v>25.752351000000001</v>
      </c>
      <c r="V548" s="6">
        <v>27.323633000000001</v>
      </c>
    </row>
    <row r="549" spans="2:22">
      <c r="B549" s="6">
        <v>31849</v>
      </c>
      <c r="C549" s="6" t="s">
        <v>229</v>
      </c>
      <c r="D549" s="6">
        <v>12400</v>
      </c>
      <c r="E549" s="6" t="s">
        <v>217</v>
      </c>
      <c r="F549" s="6" t="s">
        <v>16</v>
      </c>
      <c r="G549" s="6" t="s">
        <v>1295</v>
      </c>
      <c r="H549" s="6">
        <v>8</v>
      </c>
      <c r="I549" s="6">
        <v>8</v>
      </c>
      <c r="J549" s="6">
        <v>8</v>
      </c>
      <c r="K549" s="6">
        <v>8</v>
      </c>
      <c r="L549" s="6">
        <v>8</v>
      </c>
      <c r="M549" s="6">
        <v>8</v>
      </c>
      <c r="N549" s="6">
        <v>9.2387090000000001</v>
      </c>
      <c r="O549" s="6">
        <v>8.7126429999999999</v>
      </c>
      <c r="P549" s="6">
        <v>8.6856360000000006</v>
      </c>
      <c r="Q549" s="6">
        <v>9.2387090000000001</v>
      </c>
      <c r="R549" s="6">
        <v>8.7126429999999999</v>
      </c>
      <c r="S549" s="6">
        <v>8.6856360000000006</v>
      </c>
      <c r="T549" s="6">
        <v>8.8875729999999997</v>
      </c>
      <c r="U549" s="6">
        <v>8.6089380000000002</v>
      </c>
      <c r="V549" s="6">
        <v>8.6174140000000001</v>
      </c>
    </row>
    <row r="550" spans="2:22">
      <c r="B550" s="6">
        <v>31849</v>
      </c>
      <c r="C550" s="6" t="s">
        <v>229</v>
      </c>
      <c r="D550" s="6">
        <v>20500</v>
      </c>
      <c r="E550" s="6" t="s">
        <v>31</v>
      </c>
      <c r="F550" s="6" t="s">
        <v>16</v>
      </c>
      <c r="G550" s="6" t="s">
        <v>1295</v>
      </c>
      <c r="H550" s="6">
        <v>10</v>
      </c>
      <c r="I550" s="6">
        <v>10</v>
      </c>
      <c r="J550" s="6">
        <v>10</v>
      </c>
      <c r="K550" s="6">
        <v>10</v>
      </c>
      <c r="L550" s="6">
        <v>10</v>
      </c>
      <c r="M550" s="6">
        <v>10</v>
      </c>
      <c r="N550" s="6">
        <v>10</v>
      </c>
      <c r="O550" s="6">
        <v>10</v>
      </c>
      <c r="P550" s="6">
        <v>9.9904759999999992</v>
      </c>
      <c r="Q550" s="6">
        <v>10</v>
      </c>
      <c r="R550" s="6">
        <v>10</v>
      </c>
      <c r="S550" s="6">
        <v>9.9904759999999992</v>
      </c>
      <c r="T550" s="6">
        <v>16.909089999999999</v>
      </c>
      <c r="U550" s="6">
        <v>13.130081000000001</v>
      </c>
      <c r="V550" s="6">
        <v>12.707865</v>
      </c>
    </row>
    <row r="551" spans="2:22">
      <c r="B551" s="6">
        <v>31849</v>
      </c>
      <c r="C551" s="6" t="s">
        <v>229</v>
      </c>
      <c r="D551" s="6">
        <v>20902</v>
      </c>
      <c r="E551" s="6" t="s">
        <v>53</v>
      </c>
      <c r="F551" s="6" t="s">
        <v>16</v>
      </c>
      <c r="G551" s="6" t="s">
        <v>1295</v>
      </c>
      <c r="H551" s="6">
        <v>15</v>
      </c>
      <c r="I551" s="6">
        <v>15</v>
      </c>
      <c r="J551" s="6">
        <v>17.5</v>
      </c>
      <c r="K551" s="6">
        <v>15</v>
      </c>
      <c r="L551" s="6">
        <v>15</v>
      </c>
      <c r="M551" s="6">
        <v>17.5</v>
      </c>
      <c r="N551" s="6">
        <v>15</v>
      </c>
      <c r="O551" s="6">
        <v>15</v>
      </c>
      <c r="P551" s="6">
        <v>15.454545</v>
      </c>
      <c r="Q551" s="6">
        <v>15</v>
      </c>
      <c r="R551" s="6">
        <v>15</v>
      </c>
      <c r="S551" s="6">
        <v>15.454545</v>
      </c>
      <c r="T551" s="6">
        <v>26.737159999999999</v>
      </c>
      <c r="U551" s="6">
        <v>25.752351000000001</v>
      </c>
      <c r="V551" s="6">
        <v>27.323633000000001</v>
      </c>
    </row>
    <row r="552" spans="2:22">
      <c r="B552" s="6">
        <v>31864</v>
      </c>
      <c r="C552" s="6" t="s">
        <v>29</v>
      </c>
      <c r="D552" s="6">
        <v>20300</v>
      </c>
      <c r="E552" s="6" t="s">
        <v>12</v>
      </c>
      <c r="F552" s="6" t="s">
        <v>13</v>
      </c>
      <c r="G552" s="6" t="s">
        <v>14</v>
      </c>
      <c r="H552" s="6">
        <v>0</v>
      </c>
      <c r="I552" s="6">
        <v>25</v>
      </c>
      <c r="J552" s="6">
        <v>25</v>
      </c>
      <c r="K552" s="6">
        <v>27.651897999999999</v>
      </c>
      <c r="L552" s="6">
        <v>28.025188</v>
      </c>
      <c r="M552" s="6">
        <v>28.089873000000001</v>
      </c>
      <c r="N552" s="6">
        <v>27.651897999999999</v>
      </c>
      <c r="O552" s="6">
        <v>28.025188</v>
      </c>
      <c r="P552" s="6">
        <v>28.089873000000001</v>
      </c>
      <c r="Q552" s="6">
        <v>27.651897999999999</v>
      </c>
      <c r="R552" s="6">
        <v>28.025188</v>
      </c>
      <c r="S552" s="6">
        <v>28.089873000000001</v>
      </c>
      <c r="T552" s="6">
        <v>27.651897999999999</v>
      </c>
      <c r="U552" s="6">
        <v>28.025188</v>
      </c>
      <c r="V552" s="6">
        <v>28.089873000000001</v>
      </c>
    </row>
    <row r="553" spans="2:22">
      <c r="B553" s="6">
        <v>31864</v>
      </c>
      <c r="C553" s="6" t="s">
        <v>29</v>
      </c>
      <c r="D553" s="6">
        <v>20700</v>
      </c>
      <c r="E553" s="6" t="s">
        <v>15</v>
      </c>
      <c r="F553" s="6" t="s">
        <v>17</v>
      </c>
      <c r="G553" s="6" t="s">
        <v>1294</v>
      </c>
      <c r="H553" s="6">
        <v>0</v>
      </c>
      <c r="I553" s="6">
        <v>40</v>
      </c>
      <c r="J553" s="6">
        <v>40</v>
      </c>
      <c r="K553" s="6">
        <v>40</v>
      </c>
      <c r="L553" s="6">
        <v>40</v>
      </c>
      <c r="M553" s="6">
        <v>40</v>
      </c>
      <c r="N553" s="6">
        <v>40</v>
      </c>
      <c r="O553" s="6">
        <v>40</v>
      </c>
      <c r="P553" s="6">
        <v>40</v>
      </c>
      <c r="Q553" s="6">
        <v>39.560809999999996</v>
      </c>
      <c r="R553" s="6">
        <v>39.612546000000002</v>
      </c>
      <c r="S553" s="6">
        <v>39.702897999999998</v>
      </c>
      <c r="T553" s="6">
        <v>37.594695999999999</v>
      </c>
      <c r="U553" s="6">
        <v>37.122718999999996</v>
      </c>
      <c r="V553" s="6">
        <v>37.548872000000003</v>
      </c>
    </row>
    <row r="554" spans="2:22">
      <c r="B554" s="6">
        <v>31869</v>
      </c>
      <c r="C554" s="6" t="s">
        <v>1177</v>
      </c>
      <c r="D554" s="6">
        <v>25000</v>
      </c>
      <c r="E554" s="6" t="s">
        <v>1226</v>
      </c>
      <c r="F554" s="6" t="s">
        <v>16</v>
      </c>
      <c r="G554" s="6" t="s">
        <v>1295</v>
      </c>
      <c r="H554" s="6">
        <v>0</v>
      </c>
      <c r="I554" s="6">
        <v>0</v>
      </c>
      <c r="J554" s="6">
        <v>7</v>
      </c>
      <c r="K554" s="6">
        <v>0</v>
      </c>
      <c r="L554" s="6">
        <v>0</v>
      </c>
      <c r="M554" s="6">
        <v>10.714285</v>
      </c>
      <c r="N554" s="6">
        <v>13.076923000000001</v>
      </c>
      <c r="O554" s="6">
        <v>14.533333000000001</v>
      </c>
      <c r="P554" s="6">
        <v>15.139533999999999</v>
      </c>
      <c r="Q554" s="6">
        <v>13.076923000000001</v>
      </c>
      <c r="R554" s="6">
        <v>14.533333000000001</v>
      </c>
      <c r="S554" s="6">
        <v>15.139533999999999</v>
      </c>
      <c r="T554" s="6">
        <v>13.076923000000001</v>
      </c>
      <c r="U554" s="6">
        <v>14.533333000000001</v>
      </c>
      <c r="V554" s="6">
        <v>15.139533999999999</v>
      </c>
    </row>
    <row r="555" spans="2:22">
      <c r="B555" s="6">
        <v>31869</v>
      </c>
      <c r="C555" s="6" t="s">
        <v>1177</v>
      </c>
      <c r="D555" s="6">
        <v>25000</v>
      </c>
      <c r="E555" s="6" t="s">
        <v>1226</v>
      </c>
      <c r="F555" s="6" t="s">
        <v>16</v>
      </c>
      <c r="G555" s="6" t="s">
        <v>1295</v>
      </c>
      <c r="H555" s="6">
        <v>0</v>
      </c>
      <c r="I555" s="6">
        <v>0</v>
      </c>
      <c r="J555" s="6">
        <v>7</v>
      </c>
      <c r="K555" s="6">
        <v>0</v>
      </c>
      <c r="L555" s="6">
        <v>0</v>
      </c>
      <c r="M555" s="6">
        <v>10.714285</v>
      </c>
      <c r="N555" s="6">
        <v>13.076923000000001</v>
      </c>
      <c r="O555" s="6">
        <v>14.533333000000001</v>
      </c>
      <c r="P555" s="6">
        <v>15.139533999999999</v>
      </c>
      <c r="Q555" s="6">
        <v>13.076923000000001</v>
      </c>
      <c r="R555" s="6">
        <v>14.533333000000001</v>
      </c>
      <c r="S555" s="6">
        <v>15.139533999999999</v>
      </c>
      <c r="T555" s="6">
        <v>13.076923000000001</v>
      </c>
      <c r="U555" s="6">
        <v>14.533333000000001</v>
      </c>
      <c r="V555" s="6">
        <v>15.139533999999999</v>
      </c>
    </row>
    <row r="556" spans="2:22">
      <c r="B556" s="6">
        <v>31871</v>
      </c>
      <c r="C556" s="6" t="s">
        <v>136</v>
      </c>
      <c r="D556" s="6">
        <v>20500</v>
      </c>
      <c r="E556" s="6" t="s">
        <v>31</v>
      </c>
      <c r="F556" s="6" t="s">
        <v>17</v>
      </c>
      <c r="G556" s="6" t="s">
        <v>1294</v>
      </c>
      <c r="H556" s="6">
        <v>27</v>
      </c>
      <c r="I556" s="6">
        <v>27</v>
      </c>
      <c r="J556" s="6">
        <v>27</v>
      </c>
      <c r="K556" s="6">
        <v>26.179282000000001</v>
      </c>
      <c r="L556" s="6">
        <v>26.186138</v>
      </c>
      <c r="M556" s="6">
        <v>25.935728999999998</v>
      </c>
      <c r="N556" s="6">
        <v>26.108958000000001</v>
      </c>
      <c r="O556" s="6">
        <v>26.328648000000001</v>
      </c>
      <c r="P556" s="6">
        <v>26.003786000000002</v>
      </c>
      <c r="Q556" s="6">
        <v>26.101534000000001</v>
      </c>
      <c r="R556" s="6">
        <v>26.316153</v>
      </c>
      <c r="S556" s="6">
        <v>25.991613999999998</v>
      </c>
      <c r="T556" s="6">
        <v>25.645997000000001</v>
      </c>
      <c r="U556" s="6">
        <v>25.223958</v>
      </c>
      <c r="V556" s="6">
        <v>24.770192999999999</v>
      </c>
    </row>
    <row r="557" spans="2:22">
      <c r="B557" s="6">
        <v>31871</v>
      </c>
      <c r="C557" s="6" t="s">
        <v>136</v>
      </c>
      <c r="D557" s="6">
        <v>20702</v>
      </c>
      <c r="E557" s="6" t="s">
        <v>44</v>
      </c>
      <c r="F557" s="6" t="s">
        <v>17</v>
      </c>
      <c r="G557" s="6" t="s">
        <v>1294</v>
      </c>
      <c r="H557" s="6">
        <v>35</v>
      </c>
      <c r="I557" s="6">
        <v>35</v>
      </c>
      <c r="J557" s="6">
        <v>35</v>
      </c>
      <c r="K557" s="6">
        <v>34.902597</v>
      </c>
      <c r="L557" s="6">
        <v>34.946427999999997</v>
      </c>
      <c r="M557" s="6">
        <v>34.934041999999998</v>
      </c>
      <c r="N557" s="6">
        <v>34.893103000000004</v>
      </c>
      <c r="O557" s="6">
        <v>34.949179999999998</v>
      </c>
      <c r="P557" s="6">
        <v>34.926701000000001</v>
      </c>
      <c r="Q557" s="6">
        <v>34.894556999999999</v>
      </c>
      <c r="R557" s="6">
        <v>34.950949000000001</v>
      </c>
      <c r="S557" s="6">
        <v>34.883485</v>
      </c>
      <c r="T557" s="6">
        <v>34.894556999999999</v>
      </c>
      <c r="U557" s="6">
        <v>34.950949000000001</v>
      </c>
      <c r="V557" s="6">
        <v>34.883485</v>
      </c>
    </row>
    <row r="558" spans="2:22">
      <c r="B558" s="6">
        <v>31871</v>
      </c>
      <c r="C558" s="6" t="s">
        <v>136</v>
      </c>
      <c r="D558" s="6">
        <v>20902</v>
      </c>
      <c r="E558" s="6" t="s">
        <v>53</v>
      </c>
      <c r="F558" s="6" t="s">
        <v>13</v>
      </c>
      <c r="G558" s="6" t="s">
        <v>14</v>
      </c>
      <c r="H558" s="6">
        <v>20</v>
      </c>
      <c r="I558" s="6">
        <v>20</v>
      </c>
      <c r="J558" s="6">
        <v>20</v>
      </c>
      <c r="K558" s="6">
        <v>18.635802000000002</v>
      </c>
      <c r="L558" s="6">
        <v>18.195121</v>
      </c>
      <c r="M558" s="6">
        <v>17.625368000000002</v>
      </c>
      <c r="N558" s="6">
        <v>19.181818</v>
      </c>
      <c r="O558" s="6">
        <v>19.119288999999998</v>
      </c>
      <c r="P558" s="6">
        <v>18.784502</v>
      </c>
      <c r="Q558" s="6">
        <v>19.181818</v>
      </c>
      <c r="R558" s="6">
        <v>19.101835999999999</v>
      </c>
      <c r="S558" s="6">
        <v>18.763134000000001</v>
      </c>
      <c r="T558" s="6">
        <v>19.181818</v>
      </c>
      <c r="U558" s="6">
        <v>19.101835999999999</v>
      </c>
      <c r="V558" s="6">
        <v>18.763134000000001</v>
      </c>
    </row>
    <row r="559" spans="2:22">
      <c r="B559" s="6">
        <v>31871</v>
      </c>
      <c r="C559" s="6" t="s">
        <v>136</v>
      </c>
      <c r="D559" s="6">
        <v>20906</v>
      </c>
      <c r="E559" s="6" t="s">
        <v>48</v>
      </c>
      <c r="F559" s="6" t="s">
        <v>49</v>
      </c>
      <c r="G559" s="6" t="s">
        <v>1296</v>
      </c>
      <c r="H559" s="6">
        <v>17</v>
      </c>
      <c r="I559" s="6">
        <v>17</v>
      </c>
      <c r="J559" s="6">
        <v>17</v>
      </c>
      <c r="K559" s="6">
        <v>16.992394999999998</v>
      </c>
      <c r="L559" s="6">
        <v>16.951830000000001</v>
      </c>
      <c r="M559" s="6">
        <v>17.405908</v>
      </c>
      <c r="N559" s="6">
        <v>17.016705999999999</v>
      </c>
      <c r="O559" s="6">
        <v>16.954350000000002</v>
      </c>
      <c r="P559" s="6">
        <v>17.537869000000001</v>
      </c>
      <c r="Q559" s="6">
        <v>17.016335999999999</v>
      </c>
      <c r="R559" s="6">
        <v>16.958155999999999</v>
      </c>
      <c r="S559" s="6">
        <v>17.538882000000001</v>
      </c>
      <c r="T559" s="6">
        <v>17.016335999999999</v>
      </c>
      <c r="U559" s="6">
        <v>16.958155999999999</v>
      </c>
      <c r="V559" s="6">
        <v>17.538882000000001</v>
      </c>
    </row>
    <row r="560" spans="2:22">
      <c r="B560" s="6">
        <v>31895</v>
      </c>
      <c r="C560" s="6" t="s">
        <v>1102</v>
      </c>
      <c r="D560" s="6">
        <v>20702</v>
      </c>
      <c r="E560" s="6" t="s">
        <v>44</v>
      </c>
      <c r="F560" s="6" t="s">
        <v>17</v>
      </c>
      <c r="G560" s="6" t="s">
        <v>1294</v>
      </c>
      <c r="H560" s="6">
        <v>0</v>
      </c>
      <c r="I560" s="6">
        <v>0</v>
      </c>
      <c r="J560" s="6">
        <v>20</v>
      </c>
      <c r="K560" s="6">
        <v>0</v>
      </c>
      <c r="L560" s="6">
        <v>35</v>
      </c>
      <c r="M560" s="6">
        <v>33.200000000000003</v>
      </c>
      <c r="N560" s="6">
        <v>35</v>
      </c>
      <c r="O560" s="6">
        <v>35</v>
      </c>
      <c r="P560" s="6">
        <v>33.5</v>
      </c>
      <c r="Q560" s="6">
        <v>34.894556999999999</v>
      </c>
      <c r="R560" s="6">
        <v>34.950949000000001</v>
      </c>
      <c r="S560" s="6">
        <v>34.883485</v>
      </c>
      <c r="T560" s="6">
        <v>34.894556999999999</v>
      </c>
      <c r="U560" s="6">
        <v>34.950949000000001</v>
      </c>
      <c r="V560" s="6">
        <v>34.883485</v>
      </c>
    </row>
    <row r="561" spans="2:22">
      <c r="B561" s="6">
        <v>31895</v>
      </c>
      <c r="C561" s="6" t="s">
        <v>1102</v>
      </c>
      <c r="D561" s="6">
        <v>20902</v>
      </c>
      <c r="E561" s="6" t="s">
        <v>53</v>
      </c>
      <c r="F561" s="6" t="s">
        <v>13</v>
      </c>
      <c r="G561" s="6" t="s">
        <v>14</v>
      </c>
      <c r="H561" s="6">
        <v>0</v>
      </c>
      <c r="I561" s="6">
        <v>0</v>
      </c>
      <c r="J561" s="6">
        <v>15</v>
      </c>
      <c r="K561" s="6">
        <v>0</v>
      </c>
      <c r="L561" s="6">
        <v>17.5</v>
      </c>
      <c r="M561" s="6">
        <v>16.842105</v>
      </c>
      <c r="N561" s="6">
        <v>0</v>
      </c>
      <c r="O561" s="6">
        <v>17.8125</v>
      </c>
      <c r="P561" s="6">
        <v>16.8</v>
      </c>
      <c r="Q561" s="6">
        <v>19.181818</v>
      </c>
      <c r="R561" s="6">
        <v>19.101835999999999</v>
      </c>
      <c r="S561" s="6">
        <v>18.763134000000001</v>
      </c>
      <c r="T561" s="6">
        <v>19.181818</v>
      </c>
      <c r="U561" s="6">
        <v>19.101835999999999</v>
      </c>
      <c r="V561" s="6">
        <v>18.763134000000001</v>
      </c>
    </row>
    <row r="562" spans="2:22">
      <c r="B562" s="6">
        <v>31895</v>
      </c>
      <c r="C562" s="6" t="s">
        <v>1102</v>
      </c>
      <c r="D562" s="6">
        <v>23100</v>
      </c>
      <c r="E562" s="6" t="s">
        <v>54</v>
      </c>
      <c r="F562" s="6" t="s">
        <v>16</v>
      </c>
      <c r="G562" s="6" t="s">
        <v>1295</v>
      </c>
      <c r="H562" s="6">
        <v>0</v>
      </c>
      <c r="I562" s="6">
        <v>0</v>
      </c>
      <c r="J562" s="6">
        <v>20</v>
      </c>
      <c r="K562" s="6">
        <v>0</v>
      </c>
      <c r="L562" s="6">
        <v>20</v>
      </c>
      <c r="M562" s="6">
        <v>20</v>
      </c>
      <c r="N562" s="6">
        <v>20</v>
      </c>
      <c r="O562" s="6">
        <v>20</v>
      </c>
      <c r="P562" s="6">
        <v>20</v>
      </c>
      <c r="Q562" s="6">
        <v>17.533783</v>
      </c>
      <c r="R562" s="6">
        <v>16.700679999999998</v>
      </c>
      <c r="S562" s="6">
        <v>17.127882</v>
      </c>
      <c r="T562" s="6">
        <v>17.533783</v>
      </c>
      <c r="U562" s="6">
        <v>16.700679999999998</v>
      </c>
      <c r="V562" s="6">
        <v>17.127882</v>
      </c>
    </row>
    <row r="563" spans="2:22">
      <c r="B563" s="6">
        <v>31896</v>
      </c>
      <c r="C563" s="6" t="s">
        <v>1093</v>
      </c>
      <c r="D563" s="6">
        <v>20702</v>
      </c>
      <c r="E563" s="6" t="s">
        <v>44</v>
      </c>
      <c r="F563" s="6" t="s">
        <v>17</v>
      </c>
      <c r="G563" s="6" t="s">
        <v>1294</v>
      </c>
      <c r="H563" s="6">
        <v>0</v>
      </c>
      <c r="I563" s="6">
        <v>0</v>
      </c>
      <c r="J563" s="6">
        <v>20</v>
      </c>
      <c r="K563" s="6">
        <v>0</v>
      </c>
      <c r="L563" s="6">
        <v>35</v>
      </c>
      <c r="M563" s="6">
        <v>33.200000000000003</v>
      </c>
      <c r="N563" s="6">
        <v>35</v>
      </c>
      <c r="O563" s="6">
        <v>35</v>
      </c>
      <c r="P563" s="6">
        <v>33.5</v>
      </c>
      <c r="Q563" s="6">
        <v>34.894556999999999</v>
      </c>
      <c r="R563" s="6">
        <v>34.950949000000001</v>
      </c>
      <c r="S563" s="6">
        <v>34.883485</v>
      </c>
      <c r="T563" s="6">
        <v>34.894556999999999</v>
      </c>
      <c r="U563" s="6">
        <v>34.950949000000001</v>
      </c>
      <c r="V563" s="6">
        <v>34.883485</v>
      </c>
    </row>
    <row r="564" spans="2:22">
      <c r="B564" s="6">
        <v>31896</v>
      </c>
      <c r="C564" s="6" t="s">
        <v>1093</v>
      </c>
      <c r="D564" s="6">
        <v>20902</v>
      </c>
      <c r="E564" s="6" t="s">
        <v>53</v>
      </c>
      <c r="F564" s="6" t="s">
        <v>13</v>
      </c>
      <c r="G564" s="6" t="s">
        <v>14</v>
      </c>
      <c r="H564" s="6">
        <v>0</v>
      </c>
      <c r="I564" s="6">
        <v>0</v>
      </c>
      <c r="J564" s="6">
        <v>15</v>
      </c>
      <c r="K564" s="6">
        <v>0</v>
      </c>
      <c r="L564" s="6">
        <v>17.5</v>
      </c>
      <c r="M564" s="6">
        <v>16.842105</v>
      </c>
      <c r="N564" s="6">
        <v>0</v>
      </c>
      <c r="O564" s="6">
        <v>17.8125</v>
      </c>
      <c r="P564" s="6">
        <v>16.8</v>
      </c>
      <c r="Q564" s="6">
        <v>19.181818</v>
      </c>
      <c r="R564" s="6">
        <v>19.101835999999999</v>
      </c>
      <c r="S564" s="6">
        <v>18.763134000000001</v>
      </c>
      <c r="T564" s="6">
        <v>19.181818</v>
      </c>
      <c r="U564" s="6">
        <v>19.101835999999999</v>
      </c>
      <c r="V564" s="6">
        <v>18.763134000000001</v>
      </c>
    </row>
    <row r="565" spans="2:22">
      <c r="B565" s="6">
        <v>31896</v>
      </c>
      <c r="C565" s="6" t="s">
        <v>1093</v>
      </c>
      <c r="D565" s="6">
        <v>23100</v>
      </c>
      <c r="E565" s="6" t="s">
        <v>54</v>
      </c>
      <c r="F565" s="6" t="s">
        <v>16</v>
      </c>
      <c r="G565" s="6" t="s">
        <v>1295</v>
      </c>
      <c r="H565" s="6">
        <v>0</v>
      </c>
      <c r="I565" s="6">
        <v>0</v>
      </c>
      <c r="J565" s="6">
        <v>20</v>
      </c>
      <c r="K565" s="6">
        <v>0</v>
      </c>
      <c r="L565" s="6">
        <v>20</v>
      </c>
      <c r="M565" s="6">
        <v>20</v>
      </c>
      <c r="N565" s="6">
        <v>20</v>
      </c>
      <c r="O565" s="6">
        <v>20</v>
      </c>
      <c r="P565" s="6">
        <v>20</v>
      </c>
      <c r="Q565" s="6">
        <v>17.533783</v>
      </c>
      <c r="R565" s="6">
        <v>16.700679999999998</v>
      </c>
      <c r="S565" s="6">
        <v>17.127882</v>
      </c>
      <c r="T565" s="6">
        <v>17.533783</v>
      </c>
      <c r="U565" s="6">
        <v>16.700679999999998</v>
      </c>
      <c r="V565" s="6">
        <v>17.127882</v>
      </c>
    </row>
    <row r="566" spans="2:22">
      <c r="B566" s="6">
        <v>31898</v>
      </c>
      <c r="C566" s="6" t="s">
        <v>55</v>
      </c>
      <c r="D566" s="6">
        <v>20702</v>
      </c>
      <c r="E566" s="6" t="s">
        <v>44</v>
      </c>
      <c r="F566" s="6" t="s">
        <v>17</v>
      </c>
      <c r="G566" s="6" t="s">
        <v>1294</v>
      </c>
      <c r="H566" s="6">
        <v>0</v>
      </c>
      <c r="I566" s="6">
        <v>35</v>
      </c>
      <c r="J566" s="6">
        <v>35</v>
      </c>
      <c r="K566" s="6">
        <v>0</v>
      </c>
      <c r="L566" s="6">
        <v>35</v>
      </c>
      <c r="M566" s="6">
        <v>33.200000000000003</v>
      </c>
      <c r="N566" s="6">
        <v>35</v>
      </c>
      <c r="O566" s="6">
        <v>35</v>
      </c>
      <c r="P566" s="6">
        <v>33.5</v>
      </c>
      <c r="Q566" s="6">
        <v>34.894556999999999</v>
      </c>
      <c r="R566" s="6">
        <v>34.950949000000001</v>
      </c>
      <c r="S566" s="6">
        <v>34.883485</v>
      </c>
      <c r="T566" s="6">
        <v>34.894556999999999</v>
      </c>
      <c r="U566" s="6">
        <v>34.950949000000001</v>
      </c>
      <c r="V566" s="6">
        <v>34.883485</v>
      </c>
    </row>
    <row r="567" spans="2:22">
      <c r="B567" s="6">
        <v>31898</v>
      </c>
      <c r="C567" s="6" t="s">
        <v>55</v>
      </c>
      <c r="D567" s="6">
        <v>20902</v>
      </c>
      <c r="E567" s="6" t="s">
        <v>53</v>
      </c>
      <c r="F567" s="6" t="s">
        <v>13</v>
      </c>
      <c r="G567" s="6" t="s">
        <v>14</v>
      </c>
      <c r="H567" s="6">
        <v>0</v>
      </c>
      <c r="I567" s="6">
        <v>20</v>
      </c>
      <c r="J567" s="6">
        <v>20</v>
      </c>
      <c r="K567" s="6">
        <v>0</v>
      </c>
      <c r="L567" s="6">
        <v>17.5</v>
      </c>
      <c r="M567" s="6">
        <v>16.842105</v>
      </c>
      <c r="N567" s="6">
        <v>0</v>
      </c>
      <c r="O567" s="6">
        <v>17.8125</v>
      </c>
      <c r="P567" s="6">
        <v>16.8</v>
      </c>
      <c r="Q567" s="6">
        <v>19.181818</v>
      </c>
      <c r="R567" s="6">
        <v>19.101835999999999</v>
      </c>
      <c r="S567" s="6">
        <v>18.763134000000001</v>
      </c>
      <c r="T567" s="6">
        <v>19.181818</v>
      </c>
      <c r="U567" s="6">
        <v>19.101835999999999</v>
      </c>
      <c r="V567" s="6">
        <v>18.763134000000001</v>
      </c>
    </row>
    <row r="568" spans="2:22">
      <c r="B568" s="6">
        <v>31898</v>
      </c>
      <c r="C568" s="6" t="s">
        <v>55</v>
      </c>
      <c r="D568" s="6">
        <v>23100</v>
      </c>
      <c r="E568" s="6" t="s">
        <v>54</v>
      </c>
      <c r="F568" s="6" t="s">
        <v>13</v>
      </c>
      <c r="G568" s="6" t="s">
        <v>14</v>
      </c>
      <c r="H568" s="6">
        <v>0</v>
      </c>
      <c r="I568" s="6">
        <v>15</v>
      </c>
      <c r="J568" s="6">
        <v>15</v>
      </c>
      <c r="K568" s="6">
        <v>0</v>
      </c>
      <c r="L568" s="6">
        <v>15</v>
      </c>
      <c r="M568" s="6">
        <v>15</v>
      </c>
      <c r="N568" s="6">
        <v>0</v>
      </c>
      <c r="O568" s="6">
        <v>15</v>
      </c>
      <c r="P568" s="6">
        <v>15</v>
      </c>
      <c r="Q568" s="6">
        <v>15</v>
      </c>
      <c r="R568" s="6">
        <v>15</v>
      </c>
      <c r="S568" s="6">
        <v>15</v>
      </c>
      <c r="T568" s="6">
        <v>15</v>
      </c>
      <c r="U568" s="6">
        <v>15</v>
      </c>
      <c r="V568" s="6">
        <v>15</v>
      </c>
    </row>
    <row r="569" spans="2:22">
      <c r="B569" s="6">
        <v>31899</v>
      </c>
      <c r="C569" s="6" t="s">
        <v>1103</v>
      </c>
      <c r="D569" s="6">
        <v>20702</v>
      </c>
      <c r="E569" s="6" t="s">
        <v>44</v>
      </c>
      <c r="F569" s="6" t="s">
        <v>17</v>
      </c>
      <c r="G569" s="6" t="s">
        <v>1294</v>
      </c>
      <c r="H569" s="6">
        <v>0</v>
      </c>
      <c r="I569" s="6">
        <v>35</v>
      </c>
      <c r="J569" s="6">
        <v>35</v>
      </c>
      <c r="K569" s="6">
        <v>0</v>
      </c>
      <c r="L569" s="6">
        <v>35</v>
      </c>
      <c r="M569" s="6">
        <v>33.200000000000003</v>
      </c>
      <c r="N569" s="6">
        <v>35</v>
      </c>
      <c r="O569" s="6">
        <v>35</v>
      </c>
      <c r="P569" s="6">
        <v>33.5</v>
      </c>
      <c r="Q569" s="6">
        <v>34.894556999999999</v>
      </c>
      <c r="R569" s="6">
        <v>34.950949000000001</v>
      </c>
      <c r="S569" s="6">
        <v>34.883485</v>
      </c>
      <c r="T569" s="6">
        <v>34.894556999999999</v>
      </c>
      <c r="U569" s="6">
        <v>34.950949000000001</v>
      </c>
      <c r="V569" s="6">
        <v>34.883485</v>
      </c>
    </row>
    <row r="570" spans="2:22">
      <c r="B570" s="6">
        <v>31899</v>
      </c>
      <c r="C570" s="6" t="s">
        <v>1103</v>
      </c>
      <c r="D570" s="6">
        <v>20902</v>
      </c>
      <c r="E570" s="6" t="s">
        <v>53</v>
      </c>
      <c r="F570" s="6" t="s">
        <v>13</v>
      </c>
      <c r="G570" s="6" t="s">
        <v>14</v>
      </c>
      <c r="H570" s="6">
        <v>0</v>
      </c>
      <c r="I570" s="6">
        <v>15</v>
      </c>
      <c r="J570" s="6">
        <v>15</v>
      </c>
      <c r="K570" s="6">
        <v>0</v>
      </c>
      <c r="L570" s="6">
        <v>17.5</v>
      </c>
      <c r="M570" s="6">
        <v>16.842105</v>
      </c>
      <c r="N570" s="6">
        <v>0</v>
      </c>
      <c r="O570" s="6">
        <v>17.8125</v>
      </c>
      <c r="P570" s="6">
        <v>16.8</v>
      </c>
      <c r="Q570" s="6">
        <v>19.181818</v>
      </c>
      <c r="R570" s="6">
        <v>19.101835999999999</v>
      </c>
      <c r="S570" s="6">
        <v>18.763134000000001</v>
      </c>
      <c r="T570" s="6">
        <v>19.181818</v>
      </c>
      <c r="U570" s="6">
        <v>19.101835999999999</v>
      </c>
      <c r="V570" s="6">
        <v>18.763134000000001</v>
      </c>
    </row>
    <row r="571" spans="2:22">
      <c r="B571" s="6">
        <v>31899</v>
      </c>
      <c r="C571" s="6" t="s">
        <v>1103</v>
      </c>
      <c r="D571" s="6">
        <v>23100</v>
      </c>
      <c r="E571" s="6" t="s">
        <v>54</v>
      </c>
      <c r="F571" s="6" t="s">
        <v>13</v>
      </c>
      <c r="G571" s="6" t="s">
        <v>14</v>
      </c>
      <c r="H571" s="6">
        <v>0</v>
      </c>
      <c r="I571" s="6">
        <v>15</v>
      </c>
      <c r="J571" s="6">
        <v>15</v>
      </c>
      <c r="K571" s="6">
        <v>0</v>
      </c>
      <c r="L571" s="6">
        <v>15</v>
      </c>
      <c r="M571" s="6">
        <v>15</v>
      </c>
      <c r="N571" s="6">
        <v>0</v>
      </c>
      <c r="O571" s="6">
        <v>15</v>
      </c>
      <c r="P571" s="6">
        <v>15</v>
      </c>
      <c r="Q571" s="6">
        <v>15</v>
      </c>
      <c r="R571" s="6">
        <v>15</v>
      </c>
      <c r="S571" s="6">
        <v>15</v>
      </c>
      <c r="T571" s="6">
        <v>15</v>
      </c>
      <c r="U571" s="6">
        <v>15</v>
      </c>
      <c r="V571" s="6">
        <v>15</v>
      </c>
    </row>
    <row r="572" spans="2:22">
      <c r="B572" s="6">
        <v>31915</v>
      </c>
      <c r="C572" s="6" t="s">
        <v>856</v>
      </c>
      <c r="D572" s="6">
        <v>20600</v>
      </c>
      <c r="E572" s="6" t="s">
        <v>32</v>
      </c>
      <c r="F572" s="6" t="s">
        <v>13</v>
      </c>
      <c r="G572" s="6" t="s">
        <v>14</v>
      </c>
      <c r="H572" s="6">
        <v>0</v>
      </c>
      <c r="I572" s="6">
        <v>15</v>
      </c>
      <c r="J572" s="6">
        <v>15</v>
      </c>
      <c r="K572" s="6">
        <v>0</v>
      </c>
      <c r="L572" s="6">
        <v>15</v>
      </c>
      <c r="M572" s="6">
        <v>15</v>
      </c>
      <c r="N572" s="6">
        <v>0</v>
      </c>
      <c r="O572" s="6">
        <v>15</v>
      </c>
      <c r="P572" s="6">
        <v>15</v>
      </c>
      <c r="Q572" s="6">
        <v>0</v>
      </c>
      <c r="R572" s="6">
        <v>15</v>
      </c>
      <c r="S572" s="6">
        <v>15</v>
      </c>
      <c r="T572" s="6">
        <v>20</v>
      </c>
      <c r="U572" s="6">
        <v>18.75</v>
      </c>
      <c r="V572" s="6">
        <v>21.428571000000002</v>
      </c>
    </row>
    <row r="573" spans="2:22">
      <c r="B573" s="6">
        <v>31915</v>
      </c>
      <c r="C573" s="6" t="s">
        <v>856</v>
      </c>
      <c r="D573" s="6">
        <v>20601</v>
      </c>
      <c r="E573" s="6" t="s">
        <v>43</v>
      </c>
      <c r="F573" s="6" t="s">
        <v>13</v>
      </c>
      <c r="G573" s="6" t="s">
        <v>14</v>
      </c>
      <c r="H573" s="6">
        <v>0</v>
      </c>
      <c r="I573" s="6">
        <v>15</v>
      </c>
      <c r="J573" s="6">
        <v>15</v>
      </c>
      <c r="K573" s="6">
        <v>20</v>
      </c>
      <c r="L573" s="6">
        <v>18.181818</v>
      </c>
      <c r="M573" s="6">
        <v>18.571428000000001</v>
      </c>
      <c r="N573" s="6">
        <v>19.047619000000001</v>
      </c>
      <c r="O573" s="6">
        <v>18.378378000000001</v>
      </c>
      <c r="P573" s="6">
        <v>18.8</v>
      </c>
      <c r="Q573" s="6">
        <v>19.047619000000001</v>
      </c>
      <c r="R573" s="6">
        <v>18.378378000000001</v>
      </c>
      <c r="S573" s="6">
        <v>18.8</v>
      </c>
      <c r="T573" s="6">
        <v>19.047619000000001</v>
      </c>
      <c r="U573" s="6">
        <v>18.378378000000001</v>
      </c>
      <c r="V573" s="6">
        <v>18.8</v>
      </c>
    </row>
    <row r="574" spans="2:22">
      <c r="B574" s="6">
        <v>31915</v>
      </c>
      <c r="C574" s="6" t="s">
        <v>856</v>
      </c>
      <c r="D574" s="6">
        <v>20706</v>
      </c>
      <c r="E574" s="6" t="s">
        <v>52</v>
      </c>
      <c r="F574" s="6" t="s">
        <v>17</v>
      </c>
      <c r="G574" s="6" t="s">
        <v>1294</v>
      </c>
      <c r="H574" s="6">
        <v>0</v>
      </c>
      <c r="I574" s="6">
        <v>40</v>
      </c>
      <c r="J574" s="6">
        <v>40</v>
      </c>
      <c r="K574" s="6">
        <v>40</v>
      </c>
      <c r="L574" s="6">
        <v>40</v>
      </c>
      <c r="M574" s="6">
        <v>40</v>
      </c>
      <c r="N574" s="6">
        <v>40</v>
      </c>
      <c r="O574" s="6">
        <v>40</v>
      </c>
      <c r="P574" s="6">
        <v>40</v>
      </c>
      <c r="Q574" s="6">
        <v>39.963768000000002</v>
      </c>
      <c r="R574" s="6">
        <v>39.972496999999997</v>
      </c>
      <c r="S574" s="6">
        <v>39.969659999999998</v>
      </c>
      <c r="T574" s="6">
        <v>39.867787999999997</v>
      </c>
      <c r="U574" s="6">
        <v>39.928649</v>
      </c>
      <c r="V574" s="6">
        <v>39.945453999999998</v>
      </c>
    </row>
    <row r="575" spans="2:22">
      <c r="B575" s="6">
        <v>31915</v>
      </c>
      <c r="C575" s="6" t="s">
        <v>856</v>
      </c>
      <c r="D575" s="6">
        <v>23100</v>
      </c>
      <c r="E575" s="6" t="s">
        <v>54</v>
      </c>
      <c r="F575" s="6" t="s">
        <v>16</v>
      </c>
      <c r="G575" s="6" t="s">
        <v>1295</v>
      </c>
      <c r="H575" s="6">
        <v>0</v>
      </c>
      <c r="I575" s="6">
        <v>20</v>
      </c>
      <c r="J575" s="6">
        <v>20</v>
      </c>
      <c r="K575" s="6">
        <v>0</v>
      </c>
      <c r="L575" s="6">
        <v>20</v>
      </c>
      <c r="M575" s="6">
        <v>20</v>
      </c>
      <c r="N575" s="6">
        <v>20</v>
      </c>
      <c r="O575" s="6">
        <v>20</v>
      </c>
      <c r="P575" s="6">
        <v>20</v>
      </c>
      <c r="Q575" s="6">
        <v>17.533783</v>
      </c>
      <c r="R575" s="6">
        <v>16.700679999999998</v>
      </c>
      <c r="S575" s="6">
        <v>17.127882</v>
      </c>
      <c r="T575" s="6">
        <v>17.533783</v>
      </c>
      <c r="U575" s="6">
        <v>16.700679999999998</v>
      </c>
      <c r="V575" s="6">
        <v>17.127882</v>
      </c>
    </row>
    <row r="576" spans="2:22">
      <c r="B576" s="6">
        <v>31922</v>
      </c>
      <c r="C576" s="6" t="s">
        <v>137</v>
      </c>
      <c r="D576" s="6">
        <v>20500</v>
      </c>
      <c r="E576" s="6" t="s">
        <v>31</v>
      </c>
      <c r="F576" s="6" t="s">
        <v>17</v>
      </c>
      <c r="G576" s="6" t="s">
        <v>1294</v>
      </c>
      <c r="H576" s="6">
        <v>0</v>
      </c>
      <c r="I576" s="6">
        <v>0</v>
      </c>
      <c r="J576" s="6">
        <v>25</v>
      </c>
      <c r="K576" s="6">
        <v>26.046875</v>
      </c>
      <c r="L576" s="6">
        <v>26.199541</v>
      </c>
      <c r="M576" s="6">
        <v>26.109717</v>
      </c>
      <c r="N576" s="6">
        <v>26.108958000000001</v>
      </c>
      <c r="O576" s="6">
        <v>26.328648000000001</v>
      </c>
      <c r="P576" s="6">
        <v>26.003786000000002</v>
      </c>
      <c r="Q576" s="6">
        <v>26.101534000000001</v>
      </c>
      <c r="R576" s="6">
        <v>26.316153</v>
      </c>
      <c r="S576" s="6">
        <v>25.991613999999998</v>
      </c>
      <c r="T576" s="6">
        <v>25.645997000000001</v>
      </c>
      <c r="U576" s="6">
        <v>25.223958</v>
      </c>
      <c r="V576" s="6">
        <v>24.770192999999999</v>
      </c>
    </row>
    <row r="577" spans="2:22">
      <c r="B577" s="6">
        <v>31922</v>
      </c>
      <c r="C577" s="6" t="s">
        <v>137</v>
      </c>
      <c r="D577" s="6">
        <v>20706</v>
      </c>
      <c r="E577" s="6" t="s">
        <v>52</v>
      </c>
      <c r="F577" s="6" t="s">
        <v>17</v>
      </c>
      <c r="G577" s="6" t="s">
        <v>1294</v>
      </c>
      <c r="H577" s="6">
        <v>0</v>
      </c>
      <c r="I577" s="6">
        <v>0</v>
      </c>
      <c r="J577" s="6">
        <v>40</v>
      </c>
      <c r="K577" s="6">
        <v>39.625</v>
      </c>
      <c r="L577" s="6">
        <v>39.852941000000001</v>
      </c>
      <c r="M577" s="6">
        <v>39.894365999999998</v>
      </c>
      <c r="N577" s="6">
        <v>39.962778999999998</v>
      </c>
      <c r="O577" s="6">
        <v>39.971750999999998</v>
      </c>
      <c r="P577" s="6">
        <v>39.969020999999998</v>
      </c>
      <c r="Q577" s="6">
        <v>39.963768000000002</v>
      </c>
      <c r="R577" s="6">
        <v>39.972496999999997</v>
      </c>
      <c r="S577" s="6">
        <v>39.969659999999998</v>
      </c>
      <c r="T577" s="6">
        <v>39.867787999999997</v>
      </c>
      <c r="U577" s="6">
        <v>39.928649</v>
      </c>
      <c r="V577" s="6">
        <v>39.945453999999998</v>
      </c>
    </row>
    <row r="578" spans="2:22">
      <c r="B578" s="6">
        <v>31922</v>
      </c>
      <c r="C578" s="6" t="s">
        <v>137</v>
      </c>
      <c r="D578" s="6">
        <v>20902</v>
      </c>
      <c r="E578" s="6" t="s">
        <v>53</v>
      </c>
      <c r="F578" s="6" t="s">
        <v>16</v>
      </c>
      <c r="G578" s="6" t="s">
        <v>1295</v>
      </c>
      <c r="H578" s="6">
        <v>0</v>
      </c>
      <c r="I578" s="6">
        <v>0</v>
      </c>
      <c r="J578" s="6">
        <v>20</v>
      </c>
      <c r="K578" s="6">
        <v>26.721311</v>
      </c>
      <c r="L578" s="6">
        <v>25.932835000000001</v>
      </c>
      <c r="M578" s="6">
        <v>26.507536999999999</v>
      </c>
      <c r="N578" s="6">
        <v>27.102803000000002</v>
      </c>
      <c r="O578" s="6">
        <v>26.100322999999999</v>
      </c>
      <c r="P578" s="6">
        <v>27.578899</v>
      </c>
      <c r="Q578" s="6">
        <v>27.102803000000002</v>
      </c>
      <c r="R578" s="6">
        <v>26.100322999999999</v>
      </c>
      <c r="S578" s="6">
        <v>27.558453</v>
      </c>
      <c r="T578" s="6">
        <v>26.737159999999999</v>
      </c>
      <c r="U578" s="6">
        <v>25.752351000000001</v>
      </c>
      <c r="V578" s="6">
        <v>27.323633000000001</v>
      </c>
    </row>
    <row r="579" spans="2:22">
      <c r="B579" s="6">
        <v>31922</v>
      </c>
      <c r="C579" s="6" t="s">
        <v>137</v>
      </c>
      <c r="D579" s="6">
        <v>20906</v>
      </c>
      <c r="E579" s="6" t="s">
        <v>48</v>
      </c>
      <c r="F579" s="6" t="s">
        <v>49</v>
      </c>
      <c r="G579" s="6" t="s">
        <v>1296</v>
      </c>
      <c r="H579" s="6">
        <v>0</v>
      </c>
      <c r="I579" s="6">
        <v>0</v>
      </c>
      <c r="J579" s="6">
        <v>17</v>
      </c>
      <c r="K579" s="6">
        <v>17.229590999999999</v>
      </c>
      <c r="L579" s="6">
        <v>17.052391</v>
      </c>
      <c r="M579" s="6">
        <v>17.431988</v>
      </c>
      <c r="N579" s="6">
        <v>17.016705999999999</v>
      </c>
      <c r="O579" s="6">
        <v>16.954350000000002</v>
      </c>
      <c r="P579" s="6">
        <v>17.537869000000001</v>
      </c>
      <c r="Q579" s="6">
        <v>17.016335999999999</v>
      </c>
      <c r="R579" s="6">
        <v>16.958155999999999</v>
      </c>
      <c r="S579" s="6">
        <v>17.538882000000001</v>
      </c>
      <c r="T579" s="6">
        <v>17.016335999999999</v>
      </c>
      <c r="U579" s="6">
        <v>16.958155999999999</v>
      </c>
      <c r="V579" s="6">
        <v>17.538882000000001</v>
      </c>
    </row>
    <row r="580" spans="2:22">
      <c r="B580" s="6">
        <v>31923</v>
      </c>
      <c r="C580" s="6" t="s">
        <v>1111</v>
      </c>
      <c r="D580" s="6">
        <v>20500</v>
      </c>
      <c r="E580" s="6" t="s">
        <v>31</v>
      </c>
      <c r="F580" s="6" t="s">
        <v>17</v>
      </c>
      <c r="G580" s="6" t="s">
        <v>1294</v>
      </c>
      <c r="H580" s="6">
        <v>25</v>
      </c>
      <c r="I580" s="6">
        <v>25</v>
      </c>
      <c r="J580" s="6">
        <v>25</v>
      </c>
      <c r="K580" s="6">
        <v>26.046875</v>
      </c>
      <c r="L580" s="6">
        <v>26.199541</v>
      </c>
      <c r="M580" s="6">
        <v>26.109717</v>
      </c>
      <c r="N580" s="6">
        <v>26.108958000000001</v>
      </c>
      <c r="O580" s="6">
        <v>26.328648000000001</v>
      </c>
      <c r="P580" s="6">
        <v>26.003786000000002</v>
      </c>
      <c r="Q580" s="6">
        <v>26.101534000000001</v>
      </c>
      <c r="R580" s="6">
        <v>26.316153</v>
      </c>
      <c r="S580" s="6">
        <v>25.991613999999998</v>
      </c>
      <c r="T580" s="6">
        <v>25.645997000000001</v>
      </c>
      <c r="U580" s="6">
        <v>25.223958</v>
      </c>
      <c r="V580" s="6">
        <v>24.770192999999999</v>
      </c>
    </row>
    <row r="581" spans="2:22">
      <c r="B581" s="6">
        <v>31923</v>
      </c>
      <c r="C581" s="6" t="s">
        <v>1111</v>
      </c>
      <c r="D581" s="6">
        <v>20706</v>
      </c>
      <c r="E581" s="6" t="s">
        <v>52</v>
      </c>
      <c r="F581" s="6" t="s">
        <v>17</v>
      </c>
      <c r="G581" s="6" t="s">
        <v>1294</v>
      </c>
      <c r="H581" s="6">
        <v>40</v>
      </c>
      <c r="I581" s="6">
        <v>40</v>
      </c>
      <c r="J581" s="6">
        <v>40</v>
      </c>
      <c r="K581" s="6">
        <v>39.625</v>
      </c>
      <c r="L581" s="6">
        <v>39.852941000000001</v>
      </c>
      <c r="M581" s="6">
        <v>39.894365999999998</v>
      </c>
      <c r="N581" s="6">
        <v>39.962778999999998</v>
      </c>
      <c r="O581" s="6">
        <v>39.971750999999998</v>
      </c>
      <c r="P581" s="6">
        <v>39.969020999999998</v>
      </c>
      <c r="Q581" s="6">
        <v>39.963768000000002</v>
      </c>
      <c r="R581" s="6">
        <v>39.972496999999997</v>
      </c>
      <c r="S581" s="6">
        <v>39.969659999999998</v>
      </c>
      <c r="T581" s="6">
        <v>39.867787999999997</v>
      </c>
      <c r="U581" s="6">
        <v>39.928649</v>
      </c>
      <c r="V581" s="6">
        <v>39.945453999999998</v>
      </c>
    </row>
    <row r="582" spans="2:22">
      <c r="B582" s="6">
        <v>31923</v>
      </c>
      <c r="C582" s="6" t="s">
        <v>1111</v>
      </c>
      <c r="D582" s="6">
        <v>20902</v>
      </c>
      <c r="E582" s="6" t="s">
        <v>53</v>
      </c>
      <c r="F582" s="6" t="s">
        <v>13</v>
      </c>
      <c r="G582" s="6" t="s">
        <v>14</v>
      </c>
      <c r="H582" s="6">
        <v>15</v>
      </c>
      <c r="I582" s="6">
        <v>15</v>
      </c>
      <c r="J582" s="6">
        <v>15</v>
      </c>
      <c r="K582" s="6">
        <v>18.622046999999998</v>
      </c>
      <c r="L582" s="6">
        <v>18.557046</v>
      </c>
      <c r="M582" s="6">
        <v>18.643459</v>
      </c>
      <c r="N582" s="6">
        <v>19.181818</v>
      </c>
      <c r="O582" s="6">
        <v>19.119288999999998</v>
      </c>
      <c r="P582" s="6">
        <v>18.784502</v>
      </c>
      <c r="Q582" s="6">
        <v>19.181818</v>
      </c>
      <c r="R582" s="6">
        <v>19.101835999999999</v>
      </c>
      <c r="S582" s="6">
        <v>18.763134000000001</v>
      </c>
      <c r="T582" s="6">
        <v>19.181818</v>
      </c>
      <c r="U582" s="6">
        <v>19.101835999999999</v>
      </c>
      <c r="V582" s="6">
        <v>18.763134000000001</v>
      </c>
    </row>
    <row r="583" spans="2:22">
      <c r="B583" s="6">
        <v>31923</v>
      </c>
      <c r="C583" s="6" t="s">
        <v>1111</v>
      </c>
      <c r="D583" s="6">
        <v>20906</v>
      </c>
      <c r="E583" s="6" t="s">
        <v>48</v>
      </c>
      <c r="F583" s="6" t="s">
        <v>49</v>
      </c>
      <c r="G583" s="6" t="s">
        <v>1296</v>
      </c>
      <c r="H583" s="6">
        <v>17</v>
      </c>
      <c r="I583" s="6">
        <v>17</v>
      </c>
      <c r="J583" s="6">
        <v>17</v>
      </c>
      <c r="K583" s="6">
        <v>17.229590999999999</v>
      </c>
      <c r="L583" s="6">
        <v>17.052391</v>
      </c>
      <c r="M583" s="6">
        <v>17.431988</v>
      </c>
      <c r="N583" s="6">
        <v>17.016705999999999</v>
      </c>
      <c r="O583" s="6">
        <v>16.954350000000002</v>
      </c>
      <c r="P583" s="6">
        <v>17.537869000000001</v>
      </c>
      <c r="Q583" s="6">
        <v>17.016335999999999</v>
      </c>
      <c r="R583" s="6">
        <v>16.958155999999999</v>
      </c>
      <c r="S583" s="6">
        <v>17.538882000000001</v>
      </c>
      <c r="T583" s="6">
        <v>17.016335999999999</v>
      </c>
      <c r="U583" s="6">
        <v>16.958155999999999</v>
      </c>
      <c r="V583" s="6">
        <v>17.538882000000001</v>
      </c>
    </row>
    <row r="584" spans="2:22">
      <c r="B584" s="6">
        <v>31924</v>
      </c>
      <c r="C584" s="6" t="s">
        <v>1160</v>
      </c>
      <c r="D584" s="6">
        <v>21505</v>
      </c>
      <c r="E584" s="6" t="s">
        <v>1224</v>
      </c>
      <c r="F584" s="6" t="s">
        <v>38</v>
      </c>
      <c r="G584" s="6" t="s">
        <v>1302</v>
      </c>
      <c r="H584" s="6">
        <v>10</v>
      </c>
      <c r="I584" s="6">
        <v>10</v>
      </c>
      <c r="J584" s="6">
        <v>10</v>
      </c>
      <c r="K584" s="6">
        <v>10</v>
      </c>
      <c r="L584" s="6">
        <v>10</v>
      </c>
      <c r="M584" s="6">
        <v>10</v>
      </c>
      <c r="N584" s="6">
        <v>10</v>
      </c>
      <c r="O584" s="6">
        <v>10</v>
      </c>
      <c r="P584" s="6">
        <v>10</v>
      </c>
      <c r="Q584" s="6">
        <v>10</v>
      </c>
      <c r="R584" s="6">
        <v>10</v>
      </c>
      <c r="S584" s="6">
        <v>10</v>
      </c>
      <c r="T584" s="6">
        <v>10</v>
      </c>
      <c r="U584" s="6">
        <v>10</v>
      </c>
      <c r="V584" s="6">
        <v>10</v>
      </c>
    </row>
    <row r="585" spans="2:22">
      <c r="B585" s="6">
        <v>31924</v>
      </c>
      <c r="C585" s="6" t="s">
        <v>1160</v>
      </c>
      <c r="D585" s="6">
        <v>21506</v>
      </c>
      <c r="E585" s="6" t="s">
        <v>1225</v>
      </c>
      <c r="F585" s="6" t="s">
        <v>38</v>
      </c>
      <c r="G585" s="6" t="s">
        <v>1302</v>
      </c>
      <c r="H585" s="6">
        <v>10</v>
      </c>
      <c r="I585" s="6">
        <v>10</v>
      </c>
      <c r="J585" s="6">
        <v>10</v>
      </c>
      <c r="K585" s="6">
        <v>10</v>
      </c>
      <c r="L585" s="6">
        <v>10</v>
      </c>
      <c r="M585" s="6">
        <v>10</v>
      </c>
      <c r="N585" s="6">
        <v>10</v>
      </c>
      <c r="O585" s="6">
        <v>10</v>
      </c>
      <c r="P585" s="6">
        <v>10</v>
      </c>
      <c r="Q585" s="6">
        <v>10</v>
      </c>
      <c r="R585" s="6">
        <v>10</v>
      </c>
      <c r="S585" s="6">
        <v>10</v>
      </c>
      <c r="T585" s="6">
        <v>10</v>
      </c>
      <c r="U585" s="6">
        <v>10</v>
      </c>
      <c r="V585" s="6">
        <v>10</v>
      </c>
    </row>
    <row r="586" spans="2:22">
      <c r="B586" s="6">
        <v>31925</v>
      </c>
      <c r="C586" s="6" t="s">
        <v>138</v>
      </c>
      <c r="D586" s="6">
        <v>20500</v>
      </c>
      <c r="E586" s="6" t="s">
        <v>31</v>
      </c>
      <c r="F586" s="6" t="s">
        <v>17</v>
      </c>
      <c r="G586" s="6" t="s">
        <v>1294</v>
      </c>
      <c r="H586" s="6">
        <v>0</v>
      </c>
      <c r="I586" s="6">
        <v>25</v>
      </c>
      <c r="J586" s="6">
        <v>25</v>
      </c>
      <c r="K586" s="6">
        <v>26.046875</v>
      </c>
      <c r="L586" s="6">
        <v>26.199541</v>
      </c>
      <c r="M586" s="6">
        <v>26.109717</v>
      </c>
      <c r="N586" s="6">
        <v>26.108958000000001</v>
      </c>
      <c r="O586" s="6">
        <v>26.328648000000001</v>
      </c>
      <c r="P586" s="6">
        <v>26.003786000000002</v>
      </c>
      <c r="Q586" s="6">
        <v>26.101534000000001</v>
      </c>
      <c r="R586" s="6">
        <v>26.316153</v>
      </c>
      <c r="S586" s="6">
        <v>25.991613999999998</v>
      </c>
      <c r="T586" s="6">
        <v>25.645997000000001</v>
      </c>
      <c r="U586" s="6">
        <v>25.223958</v>
      </c>
      <c r="V586" s="6">
        <v>24.770192999999999</v>
      </c>
    </row>
    <row r="587" spans="2:22">
      <c r="B587" s="6">
        <v>31925</v>
      </c>
      <c r="C587" s="6" t="s">
        <v>138</v>
      </c>
      <c r="D587" s="6">
        <v>20706</v>
      </c>
      <c r="E587" s="6" t="s">
        <v>52</v>
      </c>
      <c r="F587" s="6" t="s">
        <v>17</v>
      </c>
      <c r="G587" s="6" t="s">
        <v>1294</v>
      </c>
      <c r="H587" s="6">
        <v>0</v>
      </c>
      <c r="I587" s="6">
        <v>40</v>
      </c>
      <c r="J587" s="6">
        <v>40</v>
      </c>
      <c r="K587" s="6">
        <v>39.625</v>
      </c>
      <c r="L587" s="6">
        <v>39.852941000000001</v>
      </c>
      <c r="M587" s="6">
        <v>39.894365999999998</v>
      </c>
      <c r="N587" s="6">
        <v>39.962778999999998</v>
      </c>
      <c r="O587" s="6">
        <v>39.971750999999998</v>
      </c>
      <c r="P587" s="6">
        <v>39.969020999999998</v>
      </c>
      <c r="Q587" s="6">
        <v>39.963768000000002</v>
      </c>
      <c r="R587" s="6">
        <v>39.972496999999997</v>
      </c>
      <c r="S587" s="6">
        <v>39.969659999999998</v>
      </c>
      <c r="T587" s="6">
        <v>39.867787999999997</v>
      </c>
      <c r="U587" s="6">
        <v>39.928649</v>
      </c>
      <c r="V587" s="6">
        <v>39.945453999999998</v>
      </c>
    </row>
    <row r="588" spans="2:22">
      <c r="B588" s="6">
        <v>31925</v>
      </c>
      <c r="C588" s="6" t="s">
        <v>138</v>
      </c>
      <c r="D588" s="6">
        <v>20902</v>
      </c>
      <c r="E588" s="6" t="s">
        <v>53</v>
      </c>
      <c r="F588" s="6" t="s">
        <v>16</v>
      </c>
      <c r="G588" s="6" t="s">
        <v>1295</v>
      </c>
      <c r="H588" s="6">
        <v>0</v>
      </c>
      <c r="I588" s="6">
        <v>0</v>
      </c>
      <c r="J588" s="6">
        <v>20</v>
      </c>
      <c r="K588" s="6">
        <v>26.721311</v>
      </c>
      <c r="L588" s="6">
        <v>25.932835000000001</v>
      </c>
      <c r="M588" s="6">
        <v>26.507536999999999</v>
      </c>
      <c r="N588" s="6">
        <v>27.102803000000002</v>
      </c>
      <c r="O588" s="6">
        <v>26.100322999999999</v>
      </c>
      <c r="P588" s="6">
        <v>27.578899</v>
      </c>
      <c r="Q588" s="6">
        <v>27.102803000000002</v>
      </c>
      <c r="R588" s="6">
        <v>26.100322999999999</v>
      </c>
      <c r="S588" s="6">
        <v>27.558453</v>
      </c>
      <c r="T588" s="6">
        <v>26.737159999999999</v>
      </c>
      <c r="U588" s="6">
        <v>25.752351000000001</v>
      </c>
      <c r="V588" s="6">
        <v>27.323633000000001</v>
      </c>
    </row>
    <row r="589" spans="2:22">
      <c r="B589" s="6">
        <v>31925</v>
      </c>
      <c r="C589" s="6" t="s">
        <v>138</v>
      </c>
      <c r="D589" s="6">
        <v>20902</v>
      </c>
      <c r="E589" s="6" t="s">
        <v>53</v>
      </c>
      <c r="F589" s="6" t="s">
        <v>13</v>
      </c>
      <c r="G589" s="6" t="s">
        <v>14</v>
      </c>
      <c r="H589" s="6">
        <v>0</v>
      </c>
      <c r="I589" s="6">
        <v>15</v>
      </c>
      <c r="J589" s="6">
        <v>15</v>
      </c>
      <c r="K589" s="6">
        <v>18.622046999999998</v>
      </c>
      <c r="L589" s="6">
        <v>18.557046</v>
      </c>
      <c r="M589" s="6">
        <v>18.643459</v>
      </c>
      <c r="N589" s="6">
        <v>19.181818</v>
      </c>
      <c r="O589" s="6">
        <v>19.119288999999998</v>
      </c>
      <c r="P589" s="6">
        <v>18.784502</v>
      </c>
      <c r="Q589" s="6">
        <v>19.181818</v>
      </c>
      <c r="R589" s="6">
        <v>19.101835999999999</v>
      </c>
      <c r="S589" s="6">
        <v>18.763134000000001</v>
      </c>
      <c r="T589" s="6">
        <v>19.181818</v>
      </c>
      <c r="U589" s="6">
        <v>19.101835999999999</v>
      </c>
      <c r="V589" s="6">
        <v>18.763134000000001</v>
      </c>
    </row>
    <row r="590" spans="2:22">
      <c r="B590" s="6">
        <v>31925</v>
      </c>
      <c r="C590" s="6" t="s">
        <v>138</v>
      </c>
      <c r="D590" s="6">
        <v>20906</v>
      </c>
      <c r="E590" s="6" t="s">
        <v>48</v>
      </c>
      <c r="F590" s="6" t="s">
        <v>49</v>
      </c>
      <c r="G590" s="6" t="s">
        <v>1296</v>
      </c>
      <c r="H590" s="6">
        <v>0</v>
      </c>
      <c r="I590" s="6">
        <v>17</v>
      </c>
      <c r="J590" s="6">
        <v>17</v>
      </c>
      <c r="K590" s="6">
        <v>17.229590999999999</v>
      </c>
      <c r="L590" s="6">
        <v>17.052391</v>
      </c>
      <c r="M590" s="6">
        <v>17.431988</v>
      </c>
      <c r="N590" s="6">
        <v>17.016705999999999</v>
      </c>
      <c r="O590" s="6">
        <v>16.954350000000002</v>
      </c>
      <c r="P590" s="6">
        <v>17.537869000000001</v>
      </c>
      <c r="Q590" s="6">
        <v>17.016335999999999</v>
      </c>
      <c r="R590" s="6">
        <v>16.958155999999999</v>
      </c>
      <c r="S590" s="6">
        <v>17.538882000000001</v>
      </c>
      <c r="T590" s="6">
        <v>17.016335999999999</v>
      </c>
      <c r="U590" s="6">
        <v>16.958155999999999</v>
      </c>
      <c r="V590" s="6">
        <v>17.538882000000001</v>
      </c>
    </row>
    <row r="591" spans="2:22">
      <c r="B591" s="6">
        <v>31930</v>
      </c>
      <c r="C591" s="6" t="s">
        <v>1055</v>
      </c>
      <c r="D591" s="6">
        <v>20500</v>
      </c>
      <c r="E591" s="6" t="s">
        <v>31</v>
      </c>
      <c r="F591" s="6" t="s">
        <v>17</v>
      </c>
      <c r="G591" s="6" t="s">
        <v>1294</v>
      </c>
      <c r="H591" s="6">
        <v>0</v>
      </c>
      <c r="I591" s="6">
        <v>0</v>
      </c>
      <c r="J591" s="6">
        <v>25</v>
      </c>
      <c r="K591" s="6">
        <v>26.046875</v>
      </c>
      <c r="L591" s="6">
        <v>26.199541</v>
      </c>
      <c r="M591" s="6">
        <v>26.109717</v>
      </c>
      <c r="N591" s="6">
        <v>26.108958000000001</v>
      </c>
      <c r="O591" s="6">
        <v>26.328648000000001</v>
      </c>
      <c r="P591" s="6">
        <v>26.003786000000002</v>
      </c>
      <c r="Q591" s="6">
        <v>26.101534000000001</v>
      </c>
      <c r="R591" s="6">
        <v>26.316153</v>
      </c>
      <c r="S591" s="6">
        <v>25.991613999999998</v>
      </c>
      <c r="T591" s="6">
        <v>25.645997000000001</v>
      </c>
      <c r="U591" s="6">
        <v>25.223958</v>
      </c>
      <c r="V591" s="6">
        <v>24.770192999999999</v>
      </c>
    </row>
    <row r="592" spans="2:22">
      <c r="B592" s="6">
        <v>31930</v>
      </c>
      <c r="C592" s="6" t="s">
        <v>1055</v>
      </c>
      <c r="D592" s="6">
        <v>20706</v>
      </c>
      <c r="E592" s="6" t="s">
        <v>52</v>
      </c>
      <c r="F592" s="6" t="s">
        <v>17</v>
      </c>
      <c r="G592" s="6" t="s">
        <v>1294</v>
      </c>
      <c r="H592" s="6">
        <v>0</v>
      </c>
      <c r="I592" s="6">
        <v>0</v>
      </c>
      <c r="J592" s="6">
        <v>40</v>
      </c>
      <c r="K592" s="6">
        <v>39.625</v>
      </c>
      <c r="L592" s="6">
        <v>39.852941000000001</v>
      </c>
      <c r="M592" s="6">
        <v>39.894365999999998</v>
      </c>
      <c r="N592" s="6">
        <v>39.962778999999998</v>
      </c>
      <c r="O592" s="6">
        <v>39.971750999999998</v>
      </c>
      <c r="P592" s="6">
        <v>39.969020999999998</v>
      </c>
      <c r="Q592" s="6">
        <v>39.963768000000002</v>
      </c>
      <c r="R592" s="6">
        <v>39.972496999999997</v>
      </c>
      <c r="S592" s="6">
        <v>39.969659999999998</v>
      </c>
      <c r="T592" s="6">
        <v>39.867787999999997</v>
      </c>
      <c r="U592" s="6">
        <v>39.928649</v>
      </c>
      <c r="V592" s="6">
        <v>39.945453999999998</v>
      </c>
    </row>
    <row r="593" spans="2:22">
      <c r="B593" s="6">
        <v>31930</v>
      </c>
      <c r="C593" s="6" t="s">
        <v>1055</v>
      </c>
      <c r="D593" s="6">
        <v>20902</v>
      </c>
      <c r="E593" s="6" t="s">
        <v>53</v>
      </c>
      <c r="F593" s="6" t="s">
        <v>13</v>
      </c>
      <c r="G593" s="6" t="s">
        <v>14</v>
      </c>
      <c r="H593" s="6">
        <v>0</v>
      </c>
      <c r="I593" s="6">
        <v>0</v>
      </c>
      <c r="J593" s="6">
        <v>15</v>
      </c>
      <c r="K593" s="6">
        <v>18.622046999999998</v>
      </c>
      <c r="L593" s="6">
        <v>18.557046</v>
      </c>
      <c r="M593" s="6">
        <v>18.643459</v>
      </c>
      <c r="N593" s="6">
        <v>19.181818</v>
      </c>
      <c r="O593" s="6">
        <v>19.119288999999998</v>
      </c>
      <c r="P593" s="6">
        <v>18.784502</v>
      </c>
      <c r="Q593" s="6">
        <v>19.181818</v>
      </c>
      <c r="R593" s="6">
        <v>19.101835999999999</v>
      </c>
      <c r="S593" s="6">
        <v>18.763134000000001</v>
      </c>
      <c r="T593" s="6">
        <v>19.181818</v>
      </c>
      <c r="U593" s="6">
        <v>19.101835999999999</v>
      </c>
      <c r="V593" s="6">
        <v>18.763134000000001</v>
      </c>
    </row>
    <row r="594" spans="2:22">
      <c r="B594" s="6">
        <v>31930</v>
      </c>
      <c r="C594" s="6" t="s">
        <v>1055</v>
      </c>
      <c r="D594" s="6">
        <v>20906</v>
      </c>
      <c r="E594" s="6" t="s">
        <v>48</v>
      </c>
      <c r="F594" s="6" t="s">
        <v>49</v>
      </c>
      <c r="G594" s="6" t="s">
        <v>1296</v>
      </c>
      <c r="H594" s="6">
        <v>0</v>
      </c>
      <c r="I594" s="6">
        <v>0</v>
      </c>
      <c r="J594" s="6">
        <v>17</v>
      </c>
      <c r="K594" s="6">
        <v>17.229590999999999</v>
      </c>
      <c r="L594" s="6">
        <v>17.052391</v>
      </c>
      <c r="M594" s="6">
        <v>17.431988</v>
      </c>
      <c r="N594" s="6">
        <v>17.016705999999999</v>
      </c>
      <c r="O594" s="6">
        <v>16.954350000000002</v>
      </c>
      <c r="P594" s="6">
        <v>17.537869000000001</v>
      </c>
      <c r="Q594" s="6">
        <v>17.016335999999999</v>
      </c>
      <c r="R594" s="6">
        <v>16.958155999999999</v>
      </c>
      <c r="S594" s="6">
        <v>17.538882000000001</v>
      </c>
      <c r="T594" s="6">
        <v>17.016335999999999</v>
      </c>
      <c r="U594" s="6">
        <v>16.958155999999999</v>
      </c>
      <c r="V594" s="6">
        <v>17.538882000000001</v>
      </c>
    </row>
    <row r="595" spans="2:22">
      <c r="B595" s="6">
        <v>31940</v>
      </c>
      <c r="C595" s="6" t="s">
        <v>230</v>
      </c>
      <c r="D595" s="6">
        <v>12400</v>
      </c>
      <c r="E595" s="6" t="s">
        <v>217</v>
      </c>
      <c r="F595" s="6" t="s">
        <v>16</v>
      </c>
      <c r="G595" s="6" t="s">
        <v>1295</v>
      </c>
      <c r="H595" s="6">
        <v>10</v>
      </c>
      <c r="I595" s="6">
        <v>10</v>
      </c>
      <c r="J595" s="6">
        <v>10</v>
      </c>
      <c r="K595" s="6">
        <v>13.375</v>
      </c>
      <c r="L595" s="6">
        <v>10.9375</v>
      </c>
      <c r="M595" s="6">
        <v>9.2653060000000007</v>
      </c>
      <c r="N595" s="6">
        <v>9.2387090000000001</v>
      </c>
      <c r="O595" s="6">
        <v>8.7126429999999999</v>
      </c>
      <c r="P595" s="6">
        <v>8.6856360000000006</v>
      </c>
      <c r="Q595" s="6">
        <v>9.2387090000000001</v>
      </c>
      <c r="R595" s="6">
        <v>8.7126429999999999</v>
      </c>
      <c r="S595" s="6">
        <v>8.6856360000000006</v>
      </c>
      <c r="T595" s="6">
        <v>8.8875729999999997</v>
      </c>
      <c r="U595" s="6">
        <v>8.6089380000000002</v>
      </c>
      <c r="V595" s="6">
        <v>8.6174140000000001</v>
      </c>
    </row>
    <row r="596" spans="2:22">
      <c r="B596" s="6">
        <v>31940</v>
      </c>
      <c r="C596" s="6" t="s">
        <v>230</v>
      </c>
      <c r="D596" s="6">
        <v>20500</v>
      </c>
      <c r="E596" s="6" t="s">
        <v>31</v>
      </c>
      <c r="F596" s="6" t="s">
        <v>16</v>
      </c>
      <c r="G596" s="6" t="s">
        <v>1295</v>
      </c>
      <c r="H596" s="6">
        <v>10</v>
      </c>
      <c r="I596" s="6">
        <v>10</v>
      </c>
      <c r="J596" s="6">
        <v>10</v>
      </c>
      <c r="K596" s="6">
        <v>10</v>
      </c>
      <c r="L596" s="6">
        <v>10</v>
      </c>
      <c r="M596" s="6">
        <v>9.9722220000000004</v>
      </c>
      <c r="N596" s="6">
        <v>10</v>
      </c>
      <c r="O596" s="6">
        <v>10</v>
      </c>
      <c r="P596" s="6">
        <v>9.9904759999999992</v>
      </c>
      <c r="Q596" s="6">
        <v>10</v>
      </c>
      <c r="R596" s="6">
        <v>10</v>
      </c>
      <c r="S596" s="6">
        <v>9.9904759999999992</v>
      </c>
      <c r="T596" s="6">
        <v>16.909089999999999</v>
      </c>
      <c r="U596" s="6">
        <v>13.130081000000001</v>
      </c>
      <c r="V596" s="6">
        <v>12.707865</v>
      </c>
    </row>
    <row r="597" spans="2:22">
      <c r="B597" s="6">
        <v>31940</v>
      </c>
      <c r="C597" s="6" t="s">
        <v>230</v>
      </c>
      <c r="D597" s="6">
        <v>20920</v>
      </c>
      <c r="E597" s="6" t="s">
        <v>231</v>
      </c>
      <c r="F597" s="6" t="s">
        <v>16</v>
      </c>
      <c r="G597" s="6" t="s">
        <v>1295</v>
      </c>
      <c r="H597" s="6">
        <v>7</v>
      </c>
      <c r="I597" s="6">
        <v>7</v>
      </c>
      <c r="J597" s="6">
        <v>7</v>
      </c>
      <c r="K597" s="6">
        <v>8.1999999999999993</v>
      </c>
      <c r="L597" s="6">
        <v>8</v>
      </c>
      <c r="M597" s="6">
        <v>7.2068960000000004</v>
      </c>
      <c r="N597" s="6">
        <v>8.1999999999999993</v>
      </c>
      <c r="O597" s="6">
        <v>8.0909089999999999</v>
      </c>
      <c r="P597" s="6">
        <v>7.923076</v>
      </c>
      <c r="Q597" s="6">
        <v>8.1999999999999993</v>
      </c>
      <c r="R597" s="6">
        <v>8.0909089999999999</v>
      </c>
      <c r="S597" s="6">
        <v>7.923076</v>
      </c>
      <c r="T597" s="6">
        <v>8.1999999999999993</v>
      </c>
      <c r="U597" s="6">
        <v>8.0909089999999999</v>
      </c>
      <c r="V597" s="6">
        <v>7.923076</v>
      </c>
    </row>
    <row r="598" spans="2:22">
      <c r="B598" s="6">
        <v>31940</v>
      </c>
      <c r="C598" s="6" t="s">
        <v>230</v>
      </c>
      <c r="D598" s="6">
        <v>23500</v>
      </c>
      <c r="E598" s="6" t="s">
        <v>37</v>
      </c>
      <c r="F598" s="6" t="s">
        <v>38</v>
      </c>
      <c r="G598" s="6" t="s">
        <v>1302</v>
      </c>
      <c r="H598" s="6">
        <v>9</v>
      </c>
      <c r="I598" s="6">
        <v>9</v>
      </c>
      <c r="J598" s="6">
        <v>9</v>
      </c>
      <c r="K598" s="6">
        <v>9</v>
      </c>
      <c r="L598" s="6">
        <v>9</v>
      </c>
      <c r="M598" s="6">
        <v>9.1</v>
      </c>
      <c r="N598" s="6">
        <v>9</v>
      </c>
      <c r="O598" s="6">
        <v>9</v>
      </c>
      <c r="P598" s="6">
        <v>9.0625</v>
      </c>
      <c r="Q598" s="6">
        <v>9</v>
      </c>
      <c r="R598" s="6">
        <v>9</v>
      </c>
      <c r="S598" s="6">
        <v>9.0625</v>
      </c>
      <c r="T598" s="6">
        <v>11.785714</v>
      </c>
      <c r="U598" s="6">
        <v>11.76</v>
      </c>
      <c r="V598" s="6">
        <v>11.773755</v>
      </c>
    </row>
    <row r="599" spans="2:22">
      <c r="B599" s="6">
        <v>31940</v>
      </c>
      <c r="C599" s="6" t="s">
        <v>230</v>
      </c>
      <c r="D599" s="6">
        <v>25005</v>
      </c>
      <c r="E599" s="6" t="s">
        <v>232</v>
      </c>
      <c r="F599" s="6" t="s">
        <v>16</v>
      </c>
      <c r="G599" s="6" t="s">
        <v>1295</v>
      </c>
      <c r="H599" s="6">
        <v>10</v>
      </c>
      <c r="I599" s="6">
        <v>10</v>
      </c>
      <c r="J599" s="6">
        <v>10</v>
      </c>
      <c r="K599" s="6">
        <v>10</v>
      </c>
      <c r="L599" s="6">
        <v>10</v>
      </c>
      <c r="M599" s="6">
        <v>10</v>
      </c>
      <c r="N599" s="6">
        <v>10</v>
      </c>
      <c r="O599" s="6">
        <v>10</v>
      </c>
      <c r="P599" s="6">
        <v>10</v>
      </c>
      <c r="Q599" s="6">
        <v>10</v>
      </c>
      <c r="R599" s="6">
        <v>10</v>
      </c>
      <c r="S599" s="6">
        <v>10</v>
      </c>
      <c r="T599" s="6">
        <v>10</v>
      </c>
      <c r="U599" s="6">
        <v>10</v>
      </c>
      <c r="V599" s="6">
        <v>10</v>
      </c>
    </row>
    <row r="600" spans="2:22">
      <c r="B600" s="6">
        <v>31959</v>
      </c>
      <c r="C600" s="6" t="s">
        <v>70</v>
      </c>
      <c r="D600" s="6">
        <v>20700</v>
      </c>
      <c r="E600" s="6" t="s">
        <v>15</v>
      </c>
      <c r="F600" s="6" t="s">
        <v>17</v>
      </c>
      <c r="G600" s="6" t="s">
        <v>1294</v>
      </c>
      <c r="H600" s="6">
        <v>0</v>
      </c>
      <c r="I600" s="6">
        <v>0</v>
      </c>
      <c r="J600" s="6">
        <v>35</v>
      </c>
      <c r="K600" s="6">
        <v>35</v>
      </c>
      <c r="L600" s="6">
        <v>35</v>
      </c>
      <c r="M600" s="6">
        <v>35</v>
      </c>
      <c r="N600" s="6">
        <v>35</v>
      </c>
      <c r="O600" s="6">
        <v>35.032466999999997</v>
      </c>
      <c r="P600" s="6">
        <v>35.15748</v>
      </c>
      <c r="Q600" s="6">
        <v>35.125</v>
      </c>
      <c r="R600" s="6">
        <v>35.188679</v>
      </c>
      <c r="S600" s="6">
        <v>35.358490000000003</v>
      </c>
      <c r="T600" s="6">
        <v>37.594695999999999</v>
      </c>
      <c r="U600" s="6">
        <v>37.122718999999996</v>
      </c>
      <c r="V600" s="6">
        <v>37.548872000000003</v>
      </c>
    </row>
    <row r="601" spans="2:22">
      <c r="B601" s="6">
        <v>31959</v>
      </c>
      <c r="C601" s="6" t="s">
        <v>70</v>
      </c>
      <c r="D601" s="6">
        <v>23100</v>
      </c>
      <c r="E601" s="6" t="s">
        <v>54</v>
      </c>
      <c r="F601" s="6" t="s">
        <v>16</v>
      </c>
      <c r="G601" s="6" t="s">
        <v>1295</v>
      </c>
      <c r="H601" s="6">
        <v>0</v>
      </c>
      <c r="I601" s="6">
        <v>0</v>
      </c>
      <c r="J601" s="6">
        <v>20</v>
      </c>
      <c r="K601" s="6">
        <v>20</v>
      </c>
      <c r="L601" s="6">
        <v>20</v>
      </c>
      <c r="M601" s="6">
        <v>20</v>
      </c>
      <c r="N601" s="6">
        <v>19.069766999999999</v>
      </c>
      <c r="O601" s="6">
        <v>18.208955</v>
      </c>
      <c r="P601" s="6">
        <v>18.689516000000001</v>
      </c>
      <c r="Q601" s="6">
        <v>17.533783</v>
      </c>
      <c r="R601" s="6">
        <v>16.700679999999998</v>
      </c>
      <c r="S601" s="6">
        <v>17.127882</v>
      </c>
      <c r="T601" s="6">
        <v>17.533783</v>
      </c>
      <c r="U601" s="6">
        <v>16.700679999999998</v>
      </c>
      <c r="V601" s="6">
        <v>17.127882</v>
      </c>
    </row>
    <row r="602" spans="2:22">
      <c r="B602" s="6">
        <v>31966</v>
      </c>
      <c r="C602" s="6" t="s">
        <v>233</v>
      </c>
      <c r="D602" s="6">
        <v>12400</v>
      </c>
      <c r="E602" s="6" t="s">
        <v>217</v>
      </c>
      <c r="F602" s="6" t="s">
        <v>16</v>
      </c>
      <c r="G602" s="6" t="s">
        <v>1295</v>
      </c>
      <c r="H602" s="6">
        <v>8</v>
      </c>
      <c r="I602" s="6">
        <v>8</v>
      </c>
      <c r="J602" s="6">
        <v>8.0411520000000003</v>
      </c>
      <c r="K602" s="6">
        <v>8.2173909999999992</v>
      </c>
      <c r="L602" s="6">
        <v>8.1046829999999996</v>
      </c>
      <c r="M602" s="6">
        <v>8.2384710000000005</v>
      </c>
      <c r="N602" s="6">
        <v>9.2387090000000001</v>
      </c>
      <c r="O602" s="6">
        <v>8.7126429999999999</v>
      </c>
      <c r="P602" s="6">
        <v>8.6856360000000006</v>
      </c>
      <c r="Q602" s="6">
        <v>9.2387090000000001</v>
      </c>
      <c r="R602" s="6">
        <v>8.7126429999999999</v>
      </c>
      <c r="S602" s="6">
        <v>8.6856360000000006</v>
      </c>
      <c r="T602" s="6">
        <v>8.8875729999999997</v>
      </c>
      <c r="U602" s="6">
        <v>8.6089380000000002</v>
      </c>
      <c r="V602" s="6">
        <v>8.6174140000000001</v>
      </c>
    </row>
    <row r="603" spans="2:22">
      <c r="B603" s="6">
        <v>31966</v>
      </c>
      <c r="C603" s="6" t="s">
        <v>233</v>
      </c>
      <c r="D603" s="6">
        <v>23311</v>
      </c>
      <c r="E603" s="6" t="s">
        <v>221</v>
      </c>
      <c r="F603" s="6" t="s">
        <v>16</v>
      </c>
      <c r="G603" s="6" t="s">
        <v>1295</v>
      </c>
      <c r="H603" s="6">
        <v>15</v>
      </c>
      <c r="I603" s="6">
        <v>10.040983000000001</v>
      </c>
      <c r="J603" s="6">
        <v>10.020576</v>
      </c>
      <c r="K603" s="6">
        <v>10.144926999999999</v>
      </c>
      <c r="L603" s="6">
        <v>10.029239</v>
      </c>
      <c r="M603" s="6">
        <v>10.013888</v>
      </c>
      <c r="N603" s="6">
        <v>10.099009000000001</v>
      </c>
      <c r="O603" s="6">
        <v>10.02364</v>
      </c>
      <c r="P603" s="6">
        <v>10.011260999999999</v>
      </c>
      <c r="Q603" s="6">
        <v>10.099009000000001</v>
      </c>
      <c r="R603" s="6">
        <v>10.02364</v>
      </c>
      <c r="S603" s="6">
        <v>10.011260999999999</v>
      </c>
      <c r="T603" s="6">
        <v>10.099009000000001</v>
      </c>
      <c r="U603" s="6">
        <v>10.02364</v>
      </c>
      <c r="V603" s="6">
        <v>10.011260999999999</v>
      </c>
    </row>
    <row r="604" spans="2:22">
      <c r="B604" s="6">
        <v>31972</v>
      </c>
      <c r="C604" s="6" t="s">
        <v>1165</v>
      </c>
      <c r="D604" s="6">
        <v>20500</v>
      </c>
      <c r="E604" s="6" t="s">
        <v>31</v>
      </c>
      <c r="F604" s="6" t="s">
        <v>16</v>
      </c>
      <c r="G604" s="6" t="s">
        <v>1295</v>
      </c>
      <c r="H604" s="6">
        <v>10</v>
      </c>
      <c r="I604" s="6">
        <v>10</v>
      </c>
      <c r="J604" s="6">
        <v>10</v>
      </c>
      <c r="K604" s="6">
        <v>10</v>
      </c>
      <c r="L604" s="6">
        <v>10</v>
      </c>
      <c r="M604" s="6">
        <v>10</v>
      </c>
      <c r="N604" s="6">
        <v>10</v>
      </c>
      <c r="O604" s="6">
        <v>10</v>
      </c>
      <c r="P604" s="6">
        <v>10</v>
      </c>
      <c r="Q604" s="6">
        <v>10</v>
      </c>
      <c r="R604" s="6">
        <v>10</v>
      </c>
      <c r="S604" s="6">
        <v>10</v>
      </c>
      <c r="T604" s="6">
        <v>10</v>
      </c>
      <c r="U604" s="6">
        <v>10</v>
      </c>
      <c r="V604" s="6">
        <v>10</v>
      </c>
    </row>
    <row r="605" spans="2:22">
      <c r="B605" s="6">
        <v>31980</v>
      </c>
      <c r="C605" s="6" t="s">
        <v>56</v>
      </c>
      <c r="D605" s="6">
        <v>20500</v>
      </c>
      <c r="E605" s="6" t="s">
        <v>31</v>
      </c>
      <c r="F605" s="6" t="s">
        <v>17</v>
      </c>
      <c r="G605" s="6" t="s">
        <v>1294</v>
      </c>
      <c r="H605" s="6">
        <v>0</v>
      </c>
      <c r="I605" s="6">
        <v>27</v>
      </c>
      <c r="J605" s="6">
        <v>27</v>
      </c>
      <c r="K605" s="6">
        <v>24.727271999999999</v>
      </c>
      <c r="L605" s="6">
        <v>24.631578000000001</v>
      </c>
      <c r="M605" s="6">
        <v>24.096774</v>
      </c>
      <c r="N605" s="6">
        <v>25.809522999999999</v>
      </c>
      <c r="O605" s="6">
        <v>25.59375</v>
      </c>
      <c r="P605" s="6">
        <v>25.235294</v>
      </c>
      <c r="Q605" s="6">
        <v>26.101534000000001</v>
      </c>
      <c r="R605" s="6">
        <v>26.316153</v>
      </c>
      <c r="S605" s="6">
        <v>25.991613999999998</v>
      </c>
      <c r="T605" s="6">
        <v>25.645997000000001</v>
      </c>
      <c r="U605" s="6">
        <v>25.223958</v>
      </c>
      <c r="V605" s="6">
        <v>24.770192999999999</v>
      </c>
    </row>
    <row r="606" spans="2:22">
      <c r="B606" s="6">
        <v>31980</v>
      </c>
      <c r="C606" s="6" t="s">
        <v>56</v>
      </c>
      <c r="D606" s="6">
        <v>20702</v>
      </c>
      <c r="E606" s="6" t="s">
        <v>44</v>
      </c>
      <c r="F606" s="6" t="s">
        <v>17</v>
      </c>
      <c r="G606" s="6" t="s">
        <v>1294</v>
      </c>
      <c r="H606" s="6">
        <v>0</v>
      </c>
      <c r="I606" s="6">
        <v>35</v>
      </c>
      <c r="J606" s="6">
        <v>35</v>
      </c>
      <c r="K606" s="6">
        <v>0</v>
      </c>
      <c r="L606" s="6">
        <v>35</v>
      </c>
      <c r="M606" s="6">
        <v>33.200000000000003</v>
      </c>
      <c r="N606" s="6">
        <v>35</v>
      </c>
      <c r="O606" s="6">
        <v>35</v>
      </c>
      <c r="P606" s="6">
        <v>33.5</v>
      </c>
      <c r="Q606" s="6">
        <v>34.894556999999999</v>
      </c>
      <c r="R606" s="6">
        <v>34.950949000000001</v>
      </c>
      <c r="S606" s="6">
        <v>34.883485</v>
      </c>
      <c r="T606" s="6">
        <v>34.894556999999999</v>
      </c>
      <c r="U606" s="6">
        <v>34.950949000000001</v>
      </c>
      <c r="V606" s="6">
        <v>34.883485</v>
      </c>
    </row>
    <row r="607" spans="2:22">
      <c r="B607" s="6">
        <v>31980</v>
      </c>
      <c r="C607" s="6" t="s">
        <v>56</v>
      </c>
      <c r="D607" s="6">
        <v>20902</v>
      </c>
      <c r="E607" s="6" t="s">
        <v>53</v>
      </c>
      <c r="F607" s="6" t="s">
        <v>13</v>
      </c>
      <c r="G607" s="6" t="s">
        <v>14</v>
      </c>
      <c r="H607" s="6">
        <v>0</v>
      </c>
      <c r="I607" s="6">
        <v>20</v>
      </c>
      <c r="J607" s="6">
        <v>20</v>
      </c>
      <c r="K607" s="6">
        <v>0</v>
      </c>
      <c r="L607" s="6">
        <v>17.5</v>
      </c>
      <c r="M607" s="6">
        <v>16.842105</v>
      </c>
      <c r="N607" s="6">
        <v>0</v>
      </c>
      <c r="O607" s="6">
        <v>17.8125</v>
      </c>
      <c r="P607" s="6">
        <v>16.8</v>
      </c>
      <c r="Q607" s="6">
        <v>19.181818</v>
      </c>
      <c r="R607" s="6">
        <v>19.101835999999999</v>
      </c>
      <c r="S607" s="6">
        <v>18.763134000000001</v>
      </c>
      <c r="T607" s="6">
        <v>19.181818</v>
      </c>
      <c r="U607" s="6">
        <v>19.101835999999999</v>
      </c>
      <c r="V607" s="6">
        <v>18.763134000000001</v>
      </c>
    </row>
    <row r="608" spans="2:22">
      <c r="B608" s="6">
        <v>31980</v>
      </c>
      <c r="C608" s="6" t="s">
        <v>56</v>
      </c>
      <c r="D608" s="6">
        <v>20906</v>
      </c>
      <c r="E608" s="6" t="s">
        <v>48</v>
      </c>
      <c r="F608" s="6" t="s">
        <v>49</v>
      </c>
      <c r="G608" s="6" t="s">
        <v>1296</v>
      </c>
      <c r="H608" s="6">
        <v>0</v>
      </c>
      <c r="I608" s="6">
        <v>17</v>
      </c>
      <c r="J608" s="6">
        <v>17</v>
      </c>
      <c r="K608" s="6">
        <v>17</v>
      </c>
      <c r="L608" s="6">
        <v>17</v>
      </c>
      <c r="M608" s="6">
        <v>17.370370000000001</v>
      </c>
      <c r="N608" s="6">
        <v>17</v>
      </c>
      <c r="O608" s="6">
        <v>17.230768999999999</v>
      </c>
      <c r="P608" s="6">
        <v>17.613636</v>
      </c>
      <c r="Q608" s="6">
        <v>17.016335999999999</v>
      </c>
      <c r="R608" s="6">
        <v>16.958155999999999</v>
      </c>
      <c r="S608" s="6">
        <v>17.538882000000001</v>
      </c>
      <c r="T608" s="6">
        <v>17.016335999999999</v>
      </c>
      <c r="U608" s="6">
        <v>16.958155999999999</v>
      </c>
      <c r="V608" s="6">
        <v>17.538882000000001</v>
      </c>
    </row>
    <row r="609" spans="2:22">
      <c r="B609" s="6">
        <v>31981</v>
      </c>
      <c r="C609" s="6" t="s">
        <v>57</v>
      </c>
      <c r="D609" s="6">
        <v>20500</v>
      </c>
      <c r="E609" s="6" t="s">
        <v>31</v>
      </c>
      <c r="F609" s="6" t="s">
        <v>17</v>
      </c>
      <c r="G609" s="6" t="s">
        <v>1294</v>
      </c>
      <c r="H609" s="6">
        <v>0</v>
      </c>
      <c r="I609" s="6">
        <v>27</v>
      </c>
      <c r="J609" s="6">
        <v>27</v>
      </c>
      <c r="K609" s="6">
        <v>27</v>
      </c>
      <c r="L609" s="6">
        <v>27</v>
      </c>
      <c r="M609" s="6">
        <v>27</v>
      </c>
      <c r="N609" s="6">
        <v>25.809522999999999</v>
      </c>
      <c r="O609" s="6">
        <v>25.59375</v>
      </c>
      <c r="P609" s="6">
        <v>25.235294</v>
      </c>
      <c r="Q609" s="6">
        <v>26.101534000000001</v>
      </c>
      <c r="R609" s="6">
        <v>26.316153</v>
      </c>
      <c r="S609" s="6">
        <v>25.991613999999998</v>
      </c>
      <c r="T609" s="6">
        <v>25.645997000000001</v>
      </c>
      <c r="U609" s="6">
        <v>25.223958</v>
      </c>
      <c r="V609" s="6">
        <v>24.770192999999999</v>
      </c>
    </row>
    <row r="610" spans="2:22">
      <c r="B610" s="6">
        <v>31981</v>
      </c>
      <c r="C610" s="6" t="s">
        <v>57</v>
      </c>
      <c r="D610" s="6">
        <v>20706</v>
      </c>
      <c r="E610" s="6" t="s">
        <v>52</v>
      </c>
      <c r="F610" s="6" t="s">
        <v>17</v>
      </c>
      <c r="G610" s="6" t="s">
        <v>1294</v>
      </c>
      <c r="H610" s="6">
        <v>0</v>
      </c>
      <c r="I610" s="6">
        <v>40</v>
      </c>
      <c r="J610" s="6">
        <v>40</v>
      </c>
      <c r="K610" s="6">
        <v>0</v>
      </c>
      <c r="L610" s="6">
        <v>40</v>
      </c>
      <c r="M610" s="6">
        <v>40</v>
      </c>
      <c r="N610" s="6">
        <v>40</v>
      </c>
      <c r="O610" s="6">
        <v>40</v>
      </c>
      <c r="P610" s="6">
        <v>40</v>
      </c>
      <c r="Q610" s="6">
        <v>39.963768000000002</v>
      </c>
      <c r="R610" s="6">
        <v>39.972496999999997</v>
      </c>
      <c r="S610" s="6">
        <v>39.969659999999998</v>
      </c>
      <c r="T610" s="6">
        <v>39.867787999999997</v>
      </c>
      <c r="U610" s="6">
        <v>39.928649</v>
      </c>
      <c r="V610" s="6">
        <v>39.945453999999998</v>
      </c>
    </row>
    <row r="611" spans="2:22">
      <c r="B611" s="6">
        <v>31981</v>
      </c>
      <c r="C611" s="6" t="s">
        <v>57</v>
      </c>
      <c r="D611" s="6">
        <v>20902</v>
      </c>
      <c r="E611" s="6" t="s">
        <v>53</v>
      </c>
      <c r="F611" s="6" t="s">
        <v>13</v>
      </c>
      <c r="G611" s="6" t="s">
        <v>14</v>
      </c>
      <c r="H611" s="6">
        <v>0</v>
      </c>
      <c r="I611" s="6">
        <v>20</v>
      </c>
      <c r="J611" s="6">
        <v>20</v>
      </c>
      <c r="K611" s="6">
        <v>0</v>
      </c>
      <c r="L611" s="6">
        <v>20</v>
      </c>
      <c r="M611" s="6">
        <v>16.666665999999999</v>
      </c>
      <c r="N611" s="6">
        <v>0</v>
      </c>
      <c r="O611" s="6">
        <v>17.8125</v>
      </c>
      <c r="P611" s="6">
        <v>16.8</v>
      </c>
      <c r="Q611" s="6">
        <v>19.181818</v>
      </c>
      <c r="R611" s="6">
        <v>19.101835999999999</v>
      </c>
      <c r="S611" s="6">
        <v>18.763134000000001</v>
      </c>
      <c r="T611" s="6">
        <v>19.181818</v>
      </c>
      <c r="U611" s="6">
        <v>19.101835999999999</v>
      </c>
      <c r="V611" s="6">
        <v>18.763134000000001</v>
      </c>
    </row>
    <row r="612" spans="2:22">
      <c r="B612" s="6">
        <v>31981</v>
      </c>
      <c r="C612" s="6" t="s">
        <v>57</v>
      </c>
      <c r="D612" s="6">
        <v>20906</v>
      </c>
      <c r="E612" s="6" t="s">
        <v>48</v>
      </c>
      <c r="F612" s="6" t="s">
        <v>49</v>
      </c>
      <c r="G612" s="6" t="s">
        <v>1296</v>
      </c>
      <c r="H612" s="6">
        <v>0</v>
      </c>
      <c r="I612" s="6">
        <v>20</v>
      </c>
      <c r="J612" s="6">
        <v>20</v>
      </c>
      <c r="K612" s="6">
        <v>17</v>
      </c>
      <c r="L612" s="6">
        <v>17.600000000000001</v>
      </c>
      <c r="M612" s="6">
        <v>18</v>
      </c>
      <c r="N612" s="6">
        <v>17</v>
      </c>
      <c r="O612" s="6">
        <v>17.230768999999999</v>
      </c>
      <c r="P612" s="6">
        <v>17.613636</v>
      </c>
      <c r="Q612" s="6">
        <v>17.016335999999999</v>
      </c>
      <c r="R612" s="6">
        <v>16.958155999999999</v>
      </c>
      <c r="S612" s="6">
        <v>17.538882000000001</v>
      </c>
      <c r="T612" s="6">
        <v>17.016335999999999</v>
      </c>
      <c r="U612" s="6">
        <v>16.958155999999999</v>
      </c>
      <c r="V612" s="6">
        <v>17.538882000000001</v>
      </c>
    </row>
    <row r="613" spans="2:22">
      <c r="B613" s="6">
        <v>31982</v>
      </c>
      <c r="C613" s="6" t="s">
        <v>1125</v>
      </c>
      <c r="D613" s="6">
        <v>20702</v>
      </c>
      <c r="E613" s="6" t="s">
        <v>44</v>
      </c>
      <c r="F613" s="6" t="s">
        <v>17</v>
      </c>
      <c r="G613" s="6" t="s">
        <v>1294</v>
      </c>
      <c r="H613" s="6">
        <v>0</v>
      </c>
      <c r="I613" s="6">
        <v>0</v>
      </c>
      <c r="J613" s="6">
        <v>35</v>
      </c>
      <c r="K613" s="6">
        <v>0</v>
      </c>
      <c r="L613" s="6">
        <v>0</v>
      </c>
      <c r="M613" s="6">
        <v>35</v>
      </c>
      <c r="N613" s="6">
        <v>0</v>
      </c>
      <c r="O613" s="6">
        <v>0</v>
      </c>
      <c r="P613" s="6">
        <v>35</v>
      </c>
      <c r="Q613" s="6">
        <v>34.894556999999999</v>
      </c>
      <c r="R613" s="6">
        <v>34.950949000000001</v>
      </c>
      <c r="S613" s="6">
        <v>34.883485</v>
      </c>
      <c r="T613" s="6">
        <v>34.894556999999999</v>
      </c>
      <c r="U613" s="6">
        <v>34.950949000000001</v>
      </c>
      <c r="V613" s="6">
        <v>34.883485</v>
      </c>
    </row>
    <row r="614" spans="2:22">
      <c r="B614" s="6">
        <v>31982</v>
      </c>
      <c r="C614" s="6" t="s">
        <v>1125</v>
      </c>
      <c r="D614" s="6">
        <v>20902</v>
      </c>
      <c r="E614" s="6" t="s">
        <v>53</v>
      </c>
      <c r="F614" s="6" t="s">
        <v>13</v>
      </c>
      <c r="G614" s="6" t="s">
        <v>14</v>
      </c>
      <c r="H614" s="6">
        <v>0</v>
      </c>
      <c r="I614" s="6">
        <v>0</v>
      </c>
      <c r="J614" s="6">
        <v>20</v>
      </c>
      <c r="K614" s="6">
        <v>0</v>
      </c>
      <c r="L614" s="6">
        <v>0</v>
      </c>
      <c r="M614" s="6">
        <v>20</v>
      </c>
      <c r="N614" s="6">
        <v>0</v>
      </c>
      <c r="O614" s="6">
        <v>0</v>
      </c>
      <c r="P614" s="6">
        <v>20</v>
      </c>
      <c r="Q614" s="6">
        <v>19.181818</v>
      </c>
      <c r="R614" s="6">
        <v>19.101835999999999</v>
      </c>
      <c r="S614" s="6">
        <v>18.763134000000001</v>
      </c>
      <c r="T614" s="6">
        <v>19.181818</v>
      </c>
      <c r="U614" s="6">
        <v>19.101835999999999</v>
      </c>
      <c r="V614" s="6">
        <v>18.763134000000001</v>
      </c>
    </row>
    <row r="615" spans="2:22">
      <c r="B615" s="6">
        <v>31982</v>
      </c>
      <c r="C615" s="6" t="s">
        <v>1125</v>
      </c>
      <c r="D615" s="6">
        <v>23100</v>
      </c>
      <c r="E615" s="6" t="s">
        <v>54</v>
      </c>
      <c r="F615" s="6" t="s">
        <v>16</v>
      </c>
      <c r="G615" s="6" t="s">
        <v>1295</v>
      </c>
      <c r="H615" s="6">
        <v>0</v>
      </c>
      <c r="I615" s="6">
        <v>0</v>
      </c>
      <c r="J615" s="6">
        <v>20</v>
      </c>
      <c r="K615" s="6">
        <v>15</v>
      </c>
      <c r="L615" s="6">
        <v>15</v>
      </c>
      <c r="M615" s="6">
        <v>16.617647000000002</v>
      </c>
      <c r="N615" s="6">
        <v>19.069766999999999</v>
      </c>
      <c r="O615" s="6">
        <v>18.208955</v>
      </c>
      <c r="P615" s="6">
        <v>18.689516000000001</v>
      </c>
      <c r="Q615" s="6">
        <v>17.533783</v>
      </c>
      <c r="R615" s="6">
        <v>16.700679999999998</v>
      </c>
      <c r="S615" s="6">
        <v>17.127882</v>
      </c>
      <c r="T615" s="6">
        <v>17.533783</v>
      </c>
      <c r="U615" s="6">
        <v>16.700679999999998</v>
      </c>
      <c r="V615" s="6">
        <v>17.127882</v>
      </c>
    </row>
    <row r="616" spans="2:22">
      <c r="B616" s="6">
        <v>31984</v>
      </c>
      <c r="C616" s="6" t="s">
        <v>234</v>
      </c>
      <c r="D616" s="6">
        <v>12400</v>
      </c>
      <c r="E616" s="6" t="s">
        <v>217</v>
      </c>
      <c r="F616" s="6" t="s">
        <v>16</v>
      </c>
      <c r="G616" s="6" t="s">
        <v>1295</v>
      </c>
      <c r="H616" s="6">
        <v>16</v>
      </c>
      <c r="I616" s="6">
        <v>12</v>
      </c>
      <c r="J616" s="6">
        <v>11.894736</v>
      </c>
      <c r="K616" s="6">
        <v>13.375</v>
      </c>
      <c r="L616" s="6">
        <v>10.9375</v>
      </c>
      <c r="M616" s="6">
        <v>9.2653060000000007</v>
      </c>
      <c r="N616" s="6">
        <v>9.2387090000000001</v>
      </c>
      <c r="O616" s="6">
        <v>8.7126429999999999</v>
      </c>
      <c r="P616" s="6">
        <v>8.6856360000000006</v>
      </c>
      <c r="Q616" s="6">
        <v>9.2387090000000001</v>
      </c>
      <c r="R616" s="6">
        <v>8.7126429999999999</v>
      </c>
      <c r="S616" s="6">
        <v>8.6856360000000006</v>
      </c>
      <c r="T616" s="6">
        <v>8.8875729999999997</v>
      </c>
      <c r="U616" s="6">
        <v>8.6089380000000002</v>
      </c>
      <c r="V616" s="6">
        <v>8.6174140000000001</v>
      </c>
    </row>
    <row r="617" spans="2:22">
      <c r="B617" s="6">
        <v>31984</v>
      </c>
      <c r="C617" s="6" t="s">
        <v>234</v>
      </c>
      <c r="D617" s="6">
        <v>20500</v>
      </c>
      <c r="E617" s="6" t="s">
        <v>31</v>
      </c>
      <c r="F617" s="6" t="s">
        <v>16</v>
      </c>
      <c r="G617" s="6" t="s">
        <v>1295</v>
      </c>
      <c r="H617" s="6">
        <v>10</v>
      </c>
      <c r="I617" s="6">
        <v>10</v>
      </c>
      <c r="J617" s="6">
        <v>10</v>
      </c>
      <c r="K617" s="6">
        <v>10</v>
      </c>
      <c r="L617" s="6">
        <v>10</v>
      </c>
      <c r="M617" s="6">
        <v>9.9722220000000004</v>
      </c>
      <c r="N617" s="6">
        <v>10</v>
      </c>
      <c r="O617" s="6">
        <v>10</v>
      </c>
      <c r="P617" s="6">
        <v>9.9904759999999992</v>
      </c>
      <c r="Q617" s="6">
        <v>10</v>
      </c>
      <c r="R617" s="6">
        <v>10</v>
      </c>
      <c r="S617" s="6">
        <v>9.9904759999999992</v>
      </c>
      <c r="T617" s="6">
        <v>16.909089999999999</v>
      </c>
      <c r="U617" s="6">
        <v>13.130081000000001</v>
      </c>
      <c r="V617" s="6">
        <v>12.707865</v>
      </c>
    </row>
    <row r="618" spans="2:22">
      <c r="B618" s="6">
        <v>31984</v>
      </c>
      <c r="C618" s="6" t="s">
        <v>234</v>
      </c>
      <c r="D618" s="6">
        <v>20902</v>
      </c>
      <c r="E618" s="6" t="s">
        <v>53</v>
      </c>
      <c r="F618" s="6" t="s">
        <v>16</v>
      </c>
      <c r="G618" s="6" t="s">
        <v>1295</v>
      </c>
      <c r="H618" s="6">
        <v>15</v>
      </c>
      <c r="I618" s="6">
        <v>15</v>
      </c>
      <c r="J618" s="6">
        <v>15</v>
      </c>
      <c r="K618" s="6">
        <v>15</v>
      </c>
      <c r="L618" s="6">
        <v>15</v>
      </c>
      <c r="M618" s="6">
        <v>15</v>
      </c>
      <c r="N618" s="6">
        <v>15</v>
      </c>
      <c r="O618" s="6">
        <v>15</v>
      </c>
      <c r="P618" s="6">
        <v>15.454545</v>
      </c>
      <c r="Q618" s="6">
        <v>15</v>
      </c>
      <c r="R618" s="6">
        <v>15</v>
      </c>
      <c r="S618" s="6">
        <v>15.454545</v>
      </c>
      <c r="T618" s="6">
        <v>26.737159999999999</v>
      </c>
      <c r="U618" s="6">
        <v>25.752351000000001</v>
      </c>
      <c r="V618" s="6">
        <v>27.323633000000001</v>
      </c>
    </row>
    <row r="619" spans="2:22">
      <c r="B619" s="6">
        <v>31985</v>
      </c>
      <c r="C619" s="6" t="s">
        <v>235</v>
      </c>
      <c r="D619" s="6">
        <v>12400</v>
      </c>
      <c r="E619" s="6" t="s">
        <v>217</v>
      </c>
      <c r="F619" s="6" t="s">
        <v>16</v>
      </c>
      <c r="G619" s="6" t="s">
        <v>1295</v>
      </c>
      <c r="H619" s="6">
        <v>10</v>
      </c>
      <c r="I619" s="6">
        <v>10</v>
      </c>
      <c r="J619" s="6">
        <v>10</v>
      </c>
      <c r="K619" s="6">
        <v>13.375</v>
      </c>
      <c r="L619" s="6">
        <v>10.9375</v>
      </c>
      <c r="M619" s="6">
        <v>9.2653060000000007</v>
      </c>
      <c r="N619" s="6">
        <v>9.2387090000000001</v>
      </c>
      <c r="O619" s="6">
        <v>8.7126429999999999</v>
      </c>
      <c r="P619" s="6">
        <v>8.6856360000000006</v>
      </c>
      <c r="Q619" s="6">
        <v>9.2387090000000001</v>
      </c>
      <c r="R619" s="6">
        <v>8.7126429999999999</v>
      </c>
      <c r="S619" s="6">
        <v>8.6856360000000006</v>
      </c>
      <c r="T619" s="6">
        <v>8.8875729999999997</v>
      </c>
      <c r="U619" s="6">
        <v>8.6089380000000002</v>
      </c>
      <c r="V619" s="6">
        <v>8.6174140000000001</v>
      </c>
    </row>
    <row r="620" spans="2:22">
      <c r="B620" s="6">
        <v>31985</v>
      </c>
      <c r="C620" s="6" t="s">
        <v>235</v>
      </c>
      <c r="D620" s="6">
        <v>20500</v>
      </c>
      <c r="E620" s="6" t="s">
        <v>31</v>
      </c>
      <c r="F620" s="6" t="s">
        <v>16</v>
      </c>
      <c r="G620" s="6" t="s">
        <v>1295</v>
      </c>
      <c r="H620" s="6">
        <v>0</v>
      </c>
      <c r="I620" s="6">
        <v>10</v>
      </c>
      <c r="J620" s="6">
        <v>10</v>
      </c>
      <c r="K620" s="6">
        <v>10</v>
      </c>
      <c r="L620" s="6">
        <v>10</v>
      </c>
      <c r="M620" s="6">
        <v>9.9722220000000004</v>
      </c>
      <c r="N620" s="6">
        <v>10</v>
      </c>
      <c r="O620" s="6">
        <v>10</v>
      </c>
      <c r="P620" s="6">
        <v>9.9904759999999992</v>
      </c>
      <c r="Q620" s="6">
        <v>10</v>
      </c>
      <c r="R620" s="6">
        <v>10</v>
      </c>
      <c r="S620" s="6">
        <v>9.9904759999999992</v>
      </c>
      <c r="T620" s="6">
        <v>16.909089999999999</v>
      </c>
      <c r="U620" s="6">
        <v>13.130081000000001</v>
      </c>
      <c r="V620" s="6">
        <v>12.707865</v>
      </c>
    </row>
    <row r="621" spans="2:22">
      <c r="B621" s="6">
        <v>31985</v>
      </c>
      <c r="C621" s="6" t="s">
        <v>235</v>
      </c>
      <c r="D621" s="6">
        <v>20920</v>
      </c>
      <c r="E621" s="6" t="s">
        <v>231</v>
      </c>
      <c r="F621" s="6" t="s">
        <v>16</v>
      </c>
      <c r="G621" s="6" t="s">
        <v>1295</v>
      </c>
      <c r="H621" s="6">
        <v>0</v>
      </c>
      <c r="I621" s="6">
        <v>7</v>
      </c>
      <c r="J621" s="6">
        <v>7</v>
      </c>
      <c r="K621" s="6">
        <v>8.1999999999999993</v>
      </c>
      <c r="L621" s="6">
        <v>8</v>
      </c>
      <c r="M621" s="6">
        <v>7.2068960000000004</v>
      </c>
      <c r="N621" s="6">
        <v>8.1999999999999993</v>
      </c>
      <c r="O621" s="6">
        <v>8.0909089999999999</v>
      </c>
      <c r="P621" s="6">
        <v>7.923076</v>
      </c>
      <c r="Q621" s="6">
        <v>8.1999999999999993</v>
      </c>
      <c r="R621" s="6">
        <v>8.0909089999999999</v>
      </c>
      <c r="S621" s="6">
        <v>7.923076</v>
      </c>
      <c r="T621" s="6">
        <v>8.1999999999999993</v>
      </c>
      <c r="U621" s="6">
        <v>8.0909089999999999</v>
      </c>
      <c r="V621" s="6">
        <v>7.923076</v>
      </c>
    </row>
    <row r="622" spans="2:22">
      <c r="B622" s="6">
        <v>31985</v>
      </c>
      <c r="C622" s="6" t="s">
        <v>235</v>
      </c>
      <c r="D622" s="6">
        <v>23500</v>
      </c>
      <c r="E622" s="6" t="s">
        <v>37</v>
      </c>
      <c r="F622" s="6" t="s">
        <v>38</v>
      </c>
      <c r="G622" s="6" t="s">
        <v>1302</v>
      </c>
      <c r="H622" s="6">
        <v>0</v>
      </c>
      <c r="I622" s="6">
        <v>0</v>
      </c>
      <c r="J622" s="6">
        <v>10</v>
      </c>
      <c r="K622" s="6">
        <v>9</v>
      </c>
      <c r="L622" s="6">
        <v>9</v>
      </c>
      <c r="M622" s="6">
        <v>9.1</v>
      </c>
      <c r="N622" s="6">
        <v>9</v>
      </c>
      <c r="O622" s="6">
        <v>9</v>
      </c>
      <c r="P622" s="6">
        <v>9.0625</v>
      </c>
      <c r="Q622" s="6">
        <v>9</v>
      </c>
      <c r="R622" s="6">
        <v>9</v>
      </c>
      <c r="S622" s="6">
        <v>9.0625</v>
      </c>
      <c r="T622" s="6">
        <v>11.785714</v>
      </c>
      <c r="U622" s="6">
        <v>11.76</v>
      </c>
      <c r="V622" s="6">
        <v>11.773755</v>
      </c>
    </row>
    <row r="623" spans="2:22">
      <c r="B623" s="6">
        <v>31985</v>
      </c>
      <c r="C623" s="6" t="s">
        <v>235</v>
      </c>
      <c r="D623" s="6">
        <v>25005</v>
      </c>
      <c r="E623" s="6" t="s">
        <v>232</v>
      </c>
      <c r="F623" s="6" t="s">
        <v>16</v>
      </c>
      <c r="G623" s="6" t="s">
        <v>1295</v>
      </c>
      <c r="H623" s="6">
        <v>10</v>
      </c>
      <c r="I623" s="6">
        <v>10</v>
      </c>
      <c r="J623" s="6">
        <v>10</v>
      </c>
      <c r="K623" s="6">
        <v>10</v>
      </c>
      <c r="L623" s="6">
        <v>10</v>
      </c>
      <c r="M623" s="6">
        <v>10</v>
      </c>
      <c r="N623" s="6">
        <v>10</v>
      </c>
      <c r="O623" s="6">
        <v>10</v>
      </c>
      <c r="P623" s="6">
        <v>10</v>
      </c>
      <c r="Q623" s="6">
        <v>10</v>
      </c>
      <c r="R623" s="6">
        <v>10</v>
      </c>
      <c r="S623" s="6">
        <v>10</v>
      </c>
      <c r="T623" s="6">
        <v>10</v>
      </c>
      <c r="U623" s="6">
        <v>10</v>
      </c>
      <c r="V623" s="6">
        <v>10</v>
      </c>
    </row>
    <row r="624" spans="2:22">
      <c r="B624" s="6">
        <v>31994</v>
      </c>
      <c r="C624" s="6" t="s">
        <v>1099</v>
      </c>
      <c r="D624" s="6">
        <v>20500</v>
      </c>
      <c r="E624" s="6" t="s">
        <v>31</v>
      </c>
      <c r="F624" s="6" t="s">
        <v>17</v>
      </c>
      <c r="G624" s="6" t="s">
        <v>1294</v>
      </c>
      <c r="H624" s="6">
        <v>0</v>
      </c>
      <c r="I624" s="6">
        <v>0</v>
      </c>
      <c r="J624" s="6">
        <v>22.333333</v>
      </c>
      <c r="K624" s="6">
        <v>26.046875</v>
      </c>
      <c r="L624" s="6">
        <v>26.199541</v>
      </c>
      <c r="M624" s="6">
        <v>26.109717</v>
      </c>
      <c r="N624" s="6">
        <v>26.108958000000001</v>
      </c>
      <c r="O624" s="6">
        <v>26.328648000000001</v>
      </c>
      <c r="P624" s="6">
        <v>26.003786000000002</v>
      </c>
      <c r="Q624" s="6">
        <v>26.101534000000001</v>
      </c>
      <c r="R624" s="6">
        <v>26.316153</v>
      </c>
      <c r="S624" s="6">
        <v>25.991613999999998</v>
      </c>
      <c r="T624" s="6">
        <v>25.645997000000001</v>
      </c>
      <c r="U624" s="6">
        <v>25.223958</v>
      </c>
      <c r="V624" s="6">
        <v>24.770192999999999</v>
      </c>
    </row>
    <row r="625" spans="2:22">
      <c r="B625" s="6">
        <v>31994</v>
      </c>
      <c r="C625" s="6" t="s">
        <v>1099</v>
      </c>
      <c r="D625" s="6">
        <v>20702</v>
      </c>
      <c r="E625" s="6" t="s">
        <v>44</v>
      </c>
      <c r="F625" s="6" t="s">
        <v>17</v>
      </c>
      <c r="G625" s="6" t="s">
        <v>1294</v>
      </c>
      <c r="H625" s="6">
        <v>0</v>
      </c>
      <c r="I625" s="6">
        <v>0</v>
      </c>
      <c r="J625" s="6">
        <v>35</v>
      </c>
      <c r="K625" s="6">
        <v>34.851851000000003</v>
      </c>
      <c r="L625" s="6">
        <v>34.933332999999998</v>
      </c>
      <c r="M625" s="6">
        <v>34.897097000000002</v>
      </c>
      <c r="N625" s="6">
        <v>34.893103000000004</v>
      </c>
      <c r="O625" s="6">
        <v>34.949179999999998</v>
      </c>
      <c r="P625" s="6">
        <v>34.926701000000001</v>
      </c>
      <c r="Q625" s="6">
        <v>34.894556999999999</v>
      </c>
      <c r="R625" s="6">
        <v>34.950949000000001</v>
      </c>
      <c r="S625" s="6">
        <v>34.883485</v>
      </c>
      <c r="T625" s="6">
        <v>34.894556999999999</v>
      </c>
      <c r="U625" s="6">
        <v>34.950949000000001</v>
      </c>
      <c r="V625" s="6">
        <v>34.883485</v>
      </c>
    </row>
    <row r="626" spans="2:22">
      <c r="B626" s="6">
        <v>31994</v>
      </c>
      <c r="C626" s="6" t="s">
        <v>1099</v>
      </c>
      <c r="D626" s="6">
        <v>20902</v>
      </c>
      <c r="E626" s="6" t="s">
        <v>53</v>
      </c>
      <c r="F626" s="6" t="s">
        <v>13</v>
      </c>
      <c r="G626" s="6" t="s">
        <v>14</v>
      </c>
      <c r="H626" s="6">
        <v>0</v>
      </c>
      <c r="I626" s="6">
        <v>0</v>
      </c>
      <c r="J626" s="6">
        <v>15</v>
      </c>
      <c r="K626" s="6">
        <v>18.622046999999998</v>
      </c>
      <c r="L626" s="6">
        <v>18.557046</v>
      </c>
      <c r="M626" s="6">
        <v>18.643459</v>
      </c>
      <c r="N626" s="6">
        <v>19.181818</v>
      </c>
      <c r="O626" s="6">
        <v>19.119288999999998</v>
      </c>
      <c r="P626" s="6">
        <v>18.784502</v>
      </c>
      <c r="Q626" s="6">
        <v>19.181818</v>
      </c>
      <c r="R626" s="6">
        <v>19.101835999999999</v>
      </c>
      <c r="S626" s="6">
        <v>18.763134000000001</v>
      </c>
      <c r="T626" s="6">
        <v>19.181818</v>
      </c>
      <c r="U626" s="6">
        <v>19.101835999999999</v>
      </c>
      <c r="V626" s="6">
        <v>18.763134000000001</v>
      </c>
    </row>
    <row r="627" spans="2:22">
      <c r="B627" s="6">
        <v>31994</v>
      </c>
      <c r="C627" s="6" t="s">
        <v>1099</v>
      </c>
      <c r="D627" s="6">
        <v>20906</v>
      </c>
      <c r="E627" s="6" t="s">
        <v>48</v>
      </c>
      <c r="F627" s="6" t="s">
        <v>49</v>
      </c>
      <c r="G627" s="6" t="s">
        <v>1296</v>
      </c>
      <c r="H627" s="6">
        <v>0</v>
      </c>
      <c r="I627" s="6">
        <v>0</v>
      </c>
      <c r="J627" s="6">
        <v>19</v>
      </c>
      <c r="K627" s="6">
        <v>17.229590999999999</v>
      </c>
      <c r="L627" s="6">
        <v>17.052391</v>
      </c>
      <c r="M627" s="6">
        <v>17.431988</v>
      </c>
      <c r="N627" s="6">
        <v>17.016705999999999</v>
      </c>
      <c r="O627" s="6">
        <v>16.954350000000002</v>
      </c>
      <c r="P627" s="6">
        <v>17.537869000000001</v>
      </c>
      <c r="Q627" s="6">
        <v>17.016335999999999</v>
      </c>
      <c r="R627" s="6">
        <v>16.958155999999999</v>
      </c>
      <c r="S627" s="6">
        <v>17.538882000000001</v>
      </c>
      <c r="T627" s="6">
        <v>17.016335999999999</v>
      </c>
      <c r="U627" s="6">
        <v>16.958155999999999</v>
      </c>
      <c r="V627" s="6">
        <v>17.538882000000001</v>
      </c>
    </row>
    <row r="628" spans="2:22">
      <c r="B628" s="6">
        <v>31995</v>
      </c>
      <c r="C628" s="6" t="s">
        <v>139</v>
      </c>
      <c r="D628" s="6">
        <v>20500</v>
      </c>
      <c r="E628" s="6" t="s">
        <v>31</v>
      </c>
      <c r="F628" s="6" t="s">
        <v>17</v>
      </c>
      <c r="G628" s="6" t="s">
        <v>1294</v>
      </c>
      <c r="H628" s="6">
        <v>0</v>
      </c>
      <c r="I628" s="6">
        <v>27</v>
      </c>
      <c r="J628" s="6">
        <v>27</v>
      </c>
      <c r="K628" s="6">
        <v>26.046875</v>
      </c>
      <c r="L628" s="6">
        <v>26.199541</v>
      </c>
      <c r="M628" s="6">
        <v>26.109717</v>
      </c>
      <c r="N628" s="6">
        <v>26.108958000000001</v>
      </c>
      <c r="O628" s="6">
        <v>26.328648000000001</v>
      </c>
      <c r="P628" s="6">
        <v>26.003786000000002</v>
      </c>
      <c r="Q628" s="6">
        <v>26.101534000000001</v>
      </c>
      <c r="R628" s="6">
        <v>26.316153</v>
      </c>
      <c r="S628" s="6">
        <v>25.991613999999998</v>
      </c>
      <c r="T628" s="6">
        <v>25.645997000000001</v>
      </c>
      <c r="U628" s="6">
        <v>25.223958</v>
      </c>
      <c r="V628" s="6">
        <v>24.770192999999999</v>
      </c>
    </row>
    <row r="629" spans="2:22">
      <c r="B629" s="6">
        <v>31995</v>
      </c>
      <c r="C629" s="6" t="s">
        <v>139</v>
      </c>
      <c r="D629" s="6">
        <v>20702</v>
      </c>
      <c r="E629" s="6" t="s">
        <v>44</v>
      </c>
      <c r="F629" s="6" t="s">
        <v>17</v>
      </c>
      <c r="G629" s="6" t="s">
        <v>1294</v>
      </c>
      <c r="H629" s="6">
        <v>0</v>
      </c>
      <c r="I629" s="6">
        <v>35</v>
      </c>
      <c r="J629" s="6">
        <v>35</v>
      </c>
      <c r="K629" s="6">
        <v>34.851851000000003</v>
      </c>
      <c r="L629" s="6">
        <v>34.933332999999998</v>
      </c>
      <c r="M629" s="6">
        <v>34.897097000000002</v>
      </c>
      <c r="N629" s="6">
        <v>34.893103000000004</v>
      </c>
      <c r="O629" s="6">
        <v>34.949179999999998</v>
      </c>
      <c r="P629" s="6">
        <v>34.926701000000001</v>
      </c>
      <c r="Q629" s="6">
        <v>34.894556999999999</v>
      </c>
      <c r="R629" s="6">
        <v>34.950949000000001</v>
      </c>
      <c r="S629" s="6">
        <v>34.883485</v>
      </c>
      <c r="T629" s="6">
        <v>34.894556999999999</v>
      </c>
      <c r="U629" s="6">
        <v>34.950949000000001</v>
      </c>
      <c r="V629" s="6">
        <v>34.883485</v>
      </c>
    </row>
    <row r="630" spans="2:22">
      <c r="B630" s="6">
        <v>31995</v>
      </c>
      <c r="C630" s="6" t="s">
        <v>139</v>
      </c>
      <c r="D630" s="6">
        <v>20902</v>
      </c>
      <c r="E630" s="6" t="s">
        <v>53</v>
      </c>
      <c r="F630" s="6" t="s">
        <v>16</v>
      </c>
      <c r="G630" s="6" t="s">
        <v>1295</v>
      </c>
      <c r="H630" s="6">
        <v>0</v>
      </c>
      <c r="I630" s="6">
        <v>30</v>
      </c>
      <c r="J630" s="6">
        <v>30</v>
      </c>
      <c r="K630" s="6">
        <v>26.721311</v>
      </c>
      <c r="L630" s="6">
        <v>25.932835000000001</v>
      </c>
      <c r="M630" s="6">
        <v>26.507536999999999</v>
      </c>
      <c r="N630" s="6">
        <v>27.102803000000002</v>
      </c>
      <c r="O630" s="6">
        <v>26.100322999999999</v>
      </c>
      <c r="P630" s="6">
        <v>27.578899</v>
      </c>
      <c r="Q630" s="6">
        <v>27.102803000000002</v>
      </c>
      <c r="R630" s="6">
        <v>26.100322999999999</v>
      </c>
      <c r="S630" s="6">
        <v>27.558453</v>
      </c>
      <c r="T630" s="6">
        <v>26.737159999999999</v>
      </c>
      <c r="U630" s="6">
        <v>25.752351000000001</v>
      </c>
      <c r="V630" s="6">
        <v>27.323633000000001</v>
      </c>
    </row>
    <row r="631" spans="2:22">
      <c r="B631" s="6">
        <v>31995</v>
      </c>
      <c r="C631" s="6" t="s">
        <v>139</v>
      </c>
      <c r="D631" s="6">
        <v>20902</v>
      </c>
      <c r="E631" s="6" t="s">
        <v>53</v>
      </c>
      <c r="F631" s="6" t="s">
        <v>13</v>
      </c>
      <c r="G631" s="6" t="s">
        <v>14</v>
      </c>
      <c r="H631" s="6">
        <v>0</v>
      </c>
      <c r="I631" s="6">
        <v>0</v>
      </c>
      <c r="J631" s="6">
        <v>20</v>
      </c>
      <c r="K631" s="6">
        <v>18.622046999999998</v>
      </c>
      <c r="L631" s="6">
        <v>18.557046</v>
      </c>
      <c r="M631" s="6">
        <v>18.643459</v>
      </c>
      <c r="N631" s="6">
        <v>19.181818</v>
      </c>
      <c r="O631" s="6">
        <v>19.119288999999998</v>
      </c>
      <c r="P631" s="6">
        <v>18.784502</v>
      </c>
      <c r="Q631" s="6">
        <v>19.181818</v>
      </c>
      <c r="R631" s="6">
        <v>19.101835999999999</v>
      </c>
      <c r="S631" s="6">
        <v>18.763134000000001</v>
      </c>
      <c r="T631" s="6">
        <v>19.181818</v>
      </c>
      <c r="U631" s="6">
        <v>19.101835999999999</v>
      </c>
      <c r="V631" s="6">
        <v>18.763134000000001</v>
      </c>
    </row>
    <row r="632" spans="2:22">
      <c r="B632" s="6">
        <v>31995</v>
      </c>
      <c r="C632" s="6" t="s">
        <v>139</v>
      </c>
      <c r="D632" s="6">
        <v>20906</v>
      </c>
      <c r="E632" s="6" t="s">
        <v>48</v>
      </c>
      <c r="F632" s="6" t="s">
        <v>49</v>
      </c>
      <c r="G632" s="6" t="s">
        <v>1296</v>
      </c>
      <c r="H632" s="6">
        <v>0</v>
      </c>
      <c r="I632" s="6">
        <v>17</v>
      </c>
      <c r="J632" s="6">
        <v>19</v>
      </c>
      <c r="K632" s="6">
        <v>17.229590999999999</v>
      </c>
      <c r="L632" s="6">
        <v>17.052391</v>
      </c>
      <c r="M632" s="6">
        <v>17.431988</v>
      </c>
      <c r="N632" s="6">
        <v>17.016705999999999</v>
      </c>
      <c r="O632" s="6">
        <v>16.954350000000002</v>
      </c>
      <c r="P632" s="6">
        <v>17.537869000000001</v>
      </c>
      <c r="Q632" s="6">
        <v>17.016335999999999</v>
      </c>
      <c r="R632" s="6">
        <v>16.958155999999999</v>
      </c>
      <c r="S632" s="6">
        <v>17.538882000000001</v>
      </c>
      <c r="T632" s="6">
        <v>17.016335999999999</v>
      </c>
      <c r="U632" s="6">
        <v>16.958155999999999</v>
      </c>
      <c r="V632" s="6">
        <v>17.538882000000001</v>
      </c>
    </row>
    <row r="633" spans="2:22">
      <c r="B633" s="6">
        <v>31996</v>
      </c>
      <c r="C633" s="6" t="s">
        <v>140</v>
      </c>
      <c r="D633" s="6">
        <v>20500</v>
      </c>
      <c r="E633" s="6" t="s">
        <v>31</v>
      </c>
      <c r="F633" s="6" t="s">
        <v>17</v>
      </c>
      <c r="G633" s="6" t="s">
        <v>1294</v>
      </c>
      <c r="H633" s="6">
        <v>27</v>
      </c>
      <c r="I633" s="6">
        <v>27</v>
      </c>
      <c r="J633" s="6">
        <v>25.5</v>
      </c>
      <c r="K633" s="6">
        <v>26.046875</v>
      </c>
      <c r="L633" s="6">
        <v>26.199541</v>
      </c>
      <c r="M633" s="6">
        <v>26.109717</v>
      </c>
      <c r="N633" s="6">
        <v>26.108958000000001</v>
      </c>
      <c r="O633" s="6">
        <v>26.328648000000001</v>
      </c>
      <c r="P633" s="6">
        <v>26.003786000000002</v>
      </c>
      <c r="Q633" s="6">
        <v>26.101534000000001</v>
      </c>
      <c r="R633" s="6">
        <v>26.316153</v>
      </c>
      <c r="S633" s="6">
        <v>25.991613999999998</v>
      </c>
      <c r="T633" s="6">
        <v>25.645997000000001</v>
      </c>
      <c r="U633" s="6">
        <v>25.223958</v>
      </c>
      <c r="V633" s="6">
        <v>24.770192999999999</v>
      </c>
    </row>
    <row r="634" spans="2:22">
      <c r="B634" s="6">
        <v>31996</v>
      </c>
      <c r="C634" s="6" t="s">
        <v>140</v>
      </c>
      <c r="D634" s="6">
        <v>20702</v>
      </c>
      <c r="E634" s="6" t="s">
        <v>44</v>
      </c>
      <c r="F634" s="6" t="s">
        <v>17</v>
      </c>
      <c r="G634" s="6" t="s">
        <v>1294</v>
      </c>
      <c r="H634" s="6">
        <v>35</v>
      </c>
      <c r="I634" s="6">
        <v>35</v>
      </c>
      <c r="J634" s="6">
        <v>34.333333000000003</v>
      </c>
      <c r="K634" s="6">
        <v>34.851851000000003</v>
      </c>
      <c r="L634" s="6">
        <v>34.933332999999998</v>
      </c>
      <c r="M634" s="6">
        <v>34.897097000000002</v>
      </c>
      <c r="N634" s="6">
        <v>34.893103000000004</v>
      </c>
      <c r="O634" s="6">
        <v>34.949179999999998</v>
      </c>
      <c r="P634" s="6">
        <v>34.926701000000001</v>
      </c>
      <c r="Q634" s="6">
        <v>34.894556999999999</v>
      </c>
      <c r="R634" s="6">
        <v>34.950949000000001</v>
      </c>
      <c r="S634" s="6">
        <v>34.883485</v>
      </c>
      <c r="T634" s="6">
        <v>34.894556999999999</v>
      </c>
      <c r="U634" s="6">
        <v>34.950949000000001</v>
      </c>
      <c r="V634" s="6">
        <v>34.883485</v>
      </c>
    </row>
    <row r="635" spans="2:22">
      <c r="B635" s="6">
        <v>31996</v>
      </c>
      <c r="C635" s="6" t="s">
        <v>140</v>
      </c>
      <c r="D635" s="6">
        <v>20902</v>
      </c>
      <c r="E635" s="6" t="s">
        <v>53</v>
      </c>
      <c r="F635" s="6" t="s">
        <v>16</v>
      </c>
      <c r="G635" s="6" t="s">
        <v>1295</v>
      </c>
      <c r="H635" s="6">
        <v>0</v>
      </c>
      <c r="I635" s="6">
        <v>0</v>
      </c>
      <c r="J635" s="6">
        <v>30</v>
      </c>
      <c r="K635" s="6">
        <v>26.721311</v>
      </c>
      <c r="L635" s="6">
        <v>25.932835000000001</v>
      </c>
      <c r="M635" s="6">
        <v>26.507536999999999</v>
      </c>
      <c r="N635" s="6">
        <v>27.102803000000002</v>
      </c>
      <c r="O635" s="6">
        <v>26.100322999999999</v>
      </c>
      <c r="P635" s="6">
        <v>27.578899</v>
      </c>
      <c r="Q635" s="6">
        <v>27.102803000000002</v>
      </c>
      <c r="R635" s="6">
        <v>26.100322999999999</v>
      </c>
      <c r="S635" s="6">
        <v>27.558453</v>
      </c>
      <c r="T635" s="6">
        <v>26.737159999999999</v>
      </c>
      <c r="U635" s="6">
        <v>25.752351000000001</v>
      </c>
      <c r="V635" s="6">
        <v>27.323633000000001</v>
      </c>
    </row>
    <row r="636" spans="2:22">
      <c r="B636" s="6">
        <v>31996</v>
      </c>
      <c r="C636" s="6" t="s">
        <v>140</v>
      </c>
      <c r="D636" s="6">
        <v>20902</v>
      </c>
      <c r="E636" s="6" t="s">
        <v>53</v>
      </c>
      <c r="F636" s="6" t="s">
        <v>13</v>
      </c>
      <c r="G636" s="6" t="s">
        <v>14</v>
      </c>
      <c r="H636" s="6">
        <v>20</v>
      </c>
      <c r="I636" s="6">
        <v>20</v>
      </c>
      <c r="J636" s="6">
        <v>20</v>
      </c>
      <c r="K636" s="6">
        <v>18.622046999999998</v>
      </c>
      <c r="L636" s="6">
        <v>18.557046</v>
      </c>
      <c r="M636" s="6">
        <v>18.643459</v>
      </c>
      <c r="N636" s="6">
        <v>19.181818</v>
      </c>
      <c r="O636" s="6">
        <v>19.119288999999998</v>
      </c>
      <c r="P636" s="6">
        <v>18.784502</v>
      </c>
      <c r="Q636" s="6">
        <v>19.181818</v>
      </c>
      <c r="R636" s="6">
        <v>19.101835999999999</v>
      </c>
      <c r="S636" s="6">
        <v>18.763134000000001</v>
      </c>
      <c r="T636" s="6">
        <v>19.181818</v>
      </c>
      <c r="U636" s="6">
        <v>19.101835999999999</v>
      </c>
      <c r="V636" s="6">
        <v>18.763134000000001</v>
      </c>
    </row>
    <row r="637" spans="2:22">
      <c r="B637" s="6">
        <v>31996</v>
      </c>
      <c r="C637" s="6" t="s">
        <v>140</v>
      </c>
      <c r="D637" s="6">
        <v>20906</v>
      </c>
      <c r="E637" s="6" t="s">
        <v>48</v>
      </c>
      <c r="F637" s="6" t="s">
        <v>49</v>
      </c>
      <c r="G637" s="6" t="s">
        <v>1296</v>
      </c>
      <c r="H637" s="6">
        <v>17</v>
      </c>
      <c r="I637" s="6">
        <v>17</v>
      </c>
      <c r="J637" s="6">
        <v>17.818180999999999</v>
      </c>
      <c r="K637" s="6">
        <v>17.229590999999999</v>
      </c>
      <c r="L637" s="6">
        <v>17.052391</v>
      </c>
      <c r="M637" s="6">
        <v>17.431988</v>
      </c>
      <c r="N637" s="6">
        <v>17.016705999999999</v>
      </c>
      <c r="O637" s="6">
        <v>16.954350000000002</v>
      </c>
      <c r="P637" s="6">
        <v>17.537869000000001</v>
      </c>
      <c r="Q637" s="6">
        <v>17.016335999999999</v>
      </c>
      <c r="R637" s="6">
        <v>16.958155999999999</v>
      </c>
      <c r="S637" s="6">
        <v>17.538882000000001</v>
      </c>
      <c r="T637" s="6">
        <v>17.016335999999999</v>
      </c>
      <c r="U637" s="6">
        <v>16.958155999999999</v>
      </c>
      <c r="V637" s="6">
        <v>17.538882000000001</v>
      </c>
    </row>
    <row r="638" spans="2:22">
      <c r="B638" s="6">
        <v>32000</v>
      </c>
      <c r="C638" s="6" t="s">
        <v>550</v>
      </c>
      <c r="D638" s="6">
        <v>20500</v>
      </c>
      <c r="E638" s="6" t="s">
        <v>31</v>
      </c>
      <c r="F638" s="6" t="s">
        <v>17</v>
      </c>
      <c r="G638" s="6" t="s">
        <v>1294</v>
      </c>
      <c r="H638" s="6">
        <v>0</v>
      </c>
      <c r="I638" s="6">
        <v>0</v>
      </c>
      <c r="J638" s="6">
        <v>27</v>
      </c>
      <c r="K638" s="6">
        <v>26.179282000000001</v>
      </c>
      <c r="L638" s="6">
        <v>26.186138</v>
      </c>
      <c r="M638" s="6">
        <v>25.935728999999998</v>
      </c>
      <c r="N638" s="6">
        <v>26.108958000000001</v>
      </c>
      <c r="O638" s="6">
        <v>26.328648000000001</v>
      </c>
      <c r="P638" s="6">
        <v>26.003786000000002</v>
      </c>
      <c r="Q638" s="6">
        <v>26.101534000000001</v>
      </c>
      <c r="R638" s="6">
        <v>26.316153</v>
      </c>
      <c r="S638" s="6">
        <v>25.991613999999998</v>
      </c>
      <c r="T638" s="6">
        <v>25.645997000000001</v>
      </c>
      <c r="U638" s="6">
        <v>25.223958</v>
      </c>
      <c r="V638" s="6">
        <v>24.770192999999999</v>
      </c>
    </row>
    <row r="639" spans="2:22">
      <c r="B639" s="6">
        <v>32000</v>
      </c>
      <c r="C639" s="6" t="s">
        <v>550</v>
      </c>
      <c r="D639" s="6">
        <v>20702</v>
      </c>
      <c r="E639" s="6" t="s">
        <v>44</v>
      </c>
      <c r="F639" s="6" t="s">
        <v>17</v>
      </c>
      <c r="G639" s="6" t="s">
        <v>1294</v>
      </c>
      <c r="H639" s="6">
        <v>0</v>
      </c>
      <c r="I639" s="6">
        <v>0</v>
      </c>
      <c r="J639" s="6">
        <v>25</v>
      </c>
      <c r="K639" s="6">
        <v>34.902597</v>
      </c>
      <c r="L639" s="6">
        <v>34.946427999999997</v>
      </c>
      <c r="M639" s="6">
        <v>34.934041999999998</v>
      </c>
      <c r="N639" s="6">
        <v>34.893103000000004</v>
      </c>
      <c r="O639" s="6">
        <v>34.949179999999998</v>
      </c>
      <c r="P639" s="6">
        <v>34.926701000000001</v>
      </c>
      <c r="Q639" s="6">
        <v>34.894556999999999</v>
      </c>
      <c r="R639" s="6">
        <v>34.950949000000001</v>
      </c>
      <c r="S639" s="6">
        <v>34.883485</v>
      </c>
      <c r="T639" s="6">
        <v>34.894556999999999</v>
      </c>
      <c r="U639" s="6">
        <v>34.950949000000001</v>
      </c>
      <c r="V639" s="6">
        <v>34.883485</v>
      </c>
    </row>
    <row r="640" spans="2:22">
      <c r="B640" s="6">
        <v>32000</v>
      </c>
      <c r="C640" s="6" t="s">
        <v>550</v>
      </c>
      <c r="D640" s="6">
        <v>20902</v>
      </c>
      <c r="E640" s="6" t="s">
        <v>53</v>
      </c>
      <c r="F640" s="6" t="s">
        <v>13</v>
      </c>
      <c r="G640" s="6" t="s">
        <v>14</v>
      </c>
      <c r="H640" s="6">
        <v>0</v>
      </c>
      <c r="I640" s="6">
        <v>0</v>
      </c>
      <c r="J640" s="6">
        <v>20</v>
      </c>
      <c r="K640" s="6">
        <v>18.635802000000002</v>
      </c>
      <c r="L640" s="6">
        <v>18.195121</v>
      </c>
      <c r="M640" s="6">
        <v>17.625368000000002</v>
      </c>
      <c r="N640" s="6">
        <v>19.181818</v>
      </c>
      <c r="O640" s="6">
        <v>19.119288999999998</v>
      </c>
      <c r="P640" s="6">
        <v>18.784502</v>
      </c>
      <c r="Q640" s="6">
        <v>19.181818</v>
      </c>
      <c r="R640" s="6">
        <v>19.101835999999999</v>
      </c>
      <c r="S640" s="6">
        <v>18.763134000000001</v>
      </c>
      <c r="T640" s="6">
        <v>19.181818</v>
      </c>
      <c r="U640" s="6">
        <v>19.101835999999999</v>
      </c>
      <c r="V640" s="6">
        <v>18.763134000000001</v>
      </c>
    </row>
    <row r="641" spans="2:22">
      <c r="B641" s="6">
        <v>32000</v>
      </c>
      <c r="C641" s="6" t="s">
        <v>550</v>
      </c>
      <c r="D641" s="6">
        <v>20906</v>
      </c>
      <c r="E641" s="6" t="s">
        <v>48</v>
      </c>
      <c r="F641" s="6" t="s">
        <v>49</v>
      </c>
      <c r="G641" s="6" t="s">
        <v>1296</v>
      </c>
      <c r="H641" s="6">
        <v>0</v>
      </c>
      <c r="I641" s="6">
        <v>0</v>
      </c>
      <c r="J641" s="6">
        <v>17</v>
      </c>
      <c r="K641" s="6">
        <v>16.992394999999998</v>
      </c>
      <c r="L641" s="6">
        <v>16.951830000000001</v>
      </c>
      <c r="M641" s="6">
        <v>17.405908</v>
      </c>
      <c r="N641" s="6">
        <v>17.016705999999999</v>
      </c>
      <c r="O641" s="6">
        <v>16.954350000000002</v>
      </c>
      <c r="P641" s="6">
        <v>17.537869000000001</v>
      </c>
      <c r="Q641" s="6">
        <v>17.016335999999999</v>
      </c>
      <c r="R641" s="6">
        <v>16.958155999999999</v>
      </c>
      <c r="S641" s="6">
        <v>17.538882000000001</v>
      </c>
      <c r="T641" s="6">
        <v>17.016335999999999</v>
      </c>
      <c r="U641" s="6">
        <v>16.958155999999999</v>
      </c>
      <c r="V641" s="6">
        <v>17.538882000000001</v>
      </c>
    </row>
    <row r="642" spans="2:22">
      <c r="B642" s="6">
        <v>32001</v>
      </c>
      <c r="C642" s="6" t="s">
        <v>141</v>
      </c>
      <c r="D642" s="6">
        <v>20500</v>
      </c>
      <c r="E642" s="6" t="s">
        <v>31</v>
      </c>
      <c r="F642" s="6" t="s">
        <v>17</v>
      </c>
      <c r="G642" s="6" t="s">
        <v>1294</v>
      </c>
      <c r="H642" s="6">
        <v>0</v>
      </c>
      <c r="I642" s="6">
        <v>25</v>
      </c>
      <c r="J642" s="6">
        <v>25</v>
      </c>
      <c r="K642" s="6">
        <v>26.046875</v>
      </c>
      <c r="L642" s="6">
        <v>26.199541</v>
      </c>
      <c r="M642" s="6">
        <v>26.109717</v>
      </c>
      <c r="N642" s="6">
        <v>26.108958000000001</v>
      </c>
      <c r="O642" s="6">
        <v>26.328648000000001</v>
      </c>
      <c r="P642" s="6">
        <v>26.003786000000002</v>
      </c>
      <c r="Q642" s="6">
        <v>26.101534000000001</v>
      </c>
      <c r="R642" s="6">
        <v>26.316153</v>
      </c>
      <c r="S642" s="6">
        <v>25.991613999999998</v>
      </c>
      <c r="T642" s="6">
        <v>25.645997000000001</v>
      </c>
      <c r="U642" s="6">
        <v>25.223958</v>
      </c>
      <c r="V642" s="6">
        <v>24.770192999999999</v>
      </c>
    </row>
    <row r="643" spans="2:22">
      <c r="B643" s="6">
        <v>32001</v>
      </c>
      <c r="C643" s="6" t="s">
        <v>141</v>
      </c>
      <c r="D643" s="6">
        <v>20702</v>
      </c>
      <c r="E643" s="6" t="s">
        <v>44</v>
      </c>
      <c r="F643" s="6" t="s">
        <v>17</v>
      </c>
      <c r="G643" s="6" t="s">
        <v>1294</v>
      </c>
      <c r="H643" s="6">
        <v>0</v>
      </c>
      <c r="I643" s="6">
        <v>35</v>
      </c>
      <c r="J643" s="6">
        <v>35</v>
      </c>
      <c r="K643" s="6">
        <v>34.851851000000003</v>
      </c>
      <c r="L643" s="6">
        <v>34.933332999999998</v>
      </c>
      <c r="M643" s="6">
        <v>34.897097000000002</v>
      </c>
      <c r="N643" s="6">
        <v>34.893103000000004</v>
      </c>
      <c r="O643" s="6">
        <v>34.949179999999998</v>
      </c>
      <c r="P643" s="6">
        <v>34.926701000000001</v>
      </c>
      <c r="Q643" s="6">
        <v>34.894556999999999</v>
      </c>
      <c r="R643" s="6">
        <v>34.950949000000001</v>
      </c>
      <c r="S643" s="6">
        <v>34.883485</v>
      </c>
      <c r="T643" s="6">
        <v>34.894556999999999</v>
      </c>
      <c r="U643" s="6">
        <v>34.950949000000001</v>
      </c>
      <c r="V643" s="6">
        <v>34.883485</v>
      </c>
    </row>
    <row r="644" spans="2:22">
      <c r="B644" s="6">
        <v>32001</v>
      </c>
      <c r="C644" s="6" t="s">
        <v>141</v>
      </c>
      <c r="D644" s="6">
        <v>20902</v>
      </c>
      <c r="E644" s="6" t="s">
        <v>53</v>
      </c>
      <c r="F644" s="6" t="s">
        <v>16</v>
      </c>
      <c r="G644" s="6" t="s">
        <v>1295</v>
      </c>
      <c r="H644" s="6">
        <v>0</v>
      </c>
      <c r="I644" s="6">
        <v>25</v>
      </c>
      <c r="J644" s="6">
        <v>22.5</v>
      </c>
      <c r="K644" s="6">
        <v>26.721311</v>
      </c>
      <c r="L644" s="6">
        <v>25.932835000000001</v>
      </c>
      <c r="M644" s="6">
        <v>26.507536999999999</v>
      </c>
      <c r="N644" s="6">
        <v>27.102803000000002</v>
      </c>
      <c r="O644" s="6">
        <v>26.100322999999999</v>
      </c>
      <c r="P644" s="6">
        <v>27.578899</v>
      </c>
      <c r="Q644" s="6">
        <v>27.102803000000002</v>
      </c>
      <c r="R644" s="6">
        <v>26.100322999999999</v>
      </c>
      <c r="S644" s="6">
        <v>27.558453</v>
      </c>
      <c r="T644" s="6">
        <v>26.737159999999999</v>
      </c>
      <c r="U644" s="6">
        <v>25.752351000000001</v>
      </c>
      <c r="V644" s="6">
        <v>27.323633000000001</v>
      </c>
    </row>
    <row r="645" spans="2:22">
      <c r="B645" s="6">
        <v>32001</v>
      </c>
      <c r="C645" s="6" t="s">
        <v>141</v>
      </c>
      <c r="D645" s="6">
        <v>20906</v>
      </c>
      <c r="E645" s="6" t="s">
        <v>48</v>
      </c>
      <c r="F645" s="6" t="s">
        <v>49</v>
      </c>
      <c r="G645" s="6" t="s">
        <v>1296</v>
      </c>
      <c r="H645" s="6">
        <v>0</v>
      </c>
      <c r="I645" s="6">
        <v>17</v>
      </c>
      <c r="J645" s="6">
        <v>17</v>
      </c>
      <c r="K645" s="6">
        <v>17.229590999999999</v>
      </c>
      <c r="L645" s="6">
        <v>17.052391</v>
      </c>
      <c r="M645" s="6">
        <v>17.431988</v>
      </c>
      <c r="N645" s="6">
        <v>17.016705999999999</v>
      </c>
      <c r="O645" s="6">
        <v>16.954350000000002</v>
      </c>
      <c r="P645" s="6">
        <v>17.537869000000001</v>
      </c>
      <c r="Q645" s="6">
        <v>17.016335999999999</v>
      </c>
      <c r="R645" s="6">
        <v>16.958155999999999</v>
      </c>
      <c r="S645" s="6">
        <v>17.538882000000001</v>
      </c>
      <c r="T645" s="6">
        <v>17.016335999999999</v>
      </c>
      <c r="U645" s="6">
        <v>16.958155999999999</v>
      </c>
      <c r="V645" s="6">
        <v>17.538882000000001</v>
      </c>
    </row>
    <row r="646" spans="2:22">
      <c r="B646" s="6">
        <v>32002</v>
      </c>
      <c r="C646" s="6" t="s">
        <v>142</v>
      </c>
      <c r="D646" s="6">
        <v>20500</v>
      </c>
      <c r="E646" s="6" t="s">
        <v>31</v>
      </c>
      <c r="F646" s="6" t="s">
        <v>17</v>
      </c>
      <c r="G646" s="6" t="s">
        <v>1294</v>
      </c>
      <c r="H646" s="6">
        <v>0</v>
      </c>
      <c r="I646" s="6">
        <v>27</v>
      </c>
      <c r="J646" s="6">
        <v>26.25</v>
      </c>
      <c r="K646" s="6">
        <v>26.046875</v>
      </c>
      <c r="L646" s="6">
        <v>26.199541</v>
      </c>
      <c r="M646" s="6">
        <v>26.109717</v>
      </c>
      <c r="N646" s="6">
        <v>26.108958000000001</v>
      </c>
      <c r="O646" s="6">
        <v>26.328648000000001</v>
      </c>
      <c r="P646" s="6">
        <v>26.003786000000002</v>
      </c>
      <c r="Q646" s="6">
        <v>26.101534000000001</v>
      </c>
      <c r="R646" s="6">
        <v>26.316153</v>
      </c>
      <c r="S646" s="6">
        <v>25.991613999999998</v>
      </c>
      <c r="T646" s="6">
        <v>25.645997000000001</v>
      </c>
      <c r="U646" s="6">
        <v>25.223958</v>
      </c>
      <c r="V646" s="6">
        <v>24.770192999999999</v>
      </c>
    </row>
    <row r="647" spans="2:22">
      <c r="B647" s="6">
        <v>32002</v>
      </c>
      <c r="C647" s="6" t="s">
        <v>142</v>
      </c>
      <c r="D647" s="6">
        <v>20702</v>
      </c>
      <c r="E647" s="6" t="s">
        <v>44</v>
      </c>
      <c r="F647" s="6" t="s">
        <v>17</v>
      </c>
      <c r="G647" s="6" t="s">
        <v>1294</v>
      </c>
      <c r="H647" s="6">
        <v>0</v>
      </c>
      <c r="I647" s="6">
        <v>35</v>
      </c>
      <c r="J647" s="6">
        <v>35</v>
      </c>
      <c r="K647" s="6">
        <v>34.851851000000003</v>
      </c>
      <c r="L647" s="6">
        <v>34.933332999999998</v>
      </c>
      <c r="M647" s="6">
        <v>34.897097000000002</v>
      </c>
      <c r="N647" s="6">
        <v>34.893103000000004</v>
      </c>
      <c r="O647" s="6">
        <v>34.949179999999998</v>
      </c>
      <c r="P647" s="6">
        <v>34.926701000000001</v>
      </c>
      <c r="Q647" s="6">
        <v>34.894556999999999</v>
      </c>
      <c r="R647" s="6">
        <v>34.950949000000001</v>
      </c>
      <c r="S647" s="6">
        <v>34.883485</v>
      </c>
      <c r="T647" s="6">
        <v>34.894556999999999</v>
      </c>
      <c r="U647" s="6">
        <v>34.950949000000001</v>
      </c>
      <c r="V647" s="6">
        <v>34.883485</v>
      </c>
    </row>
    <row r="648" spans="2:22">
      <c r="B648" s="6">
        <v>32002</v>
      </c>
      <c r="C648" s="6" t="s">
        <v>142</v>
      </c>
      <c r="D648" s="6">
        <v>20902</v>
      </c>
      <c r="E648" s="6" t="s">
        <v>53</v>
      </c>
      <c r="F648" s="6" t="s">
        <v>13</v>
      </c>
      <c r="G648" s="6" t="s">
        <v>14</v>
      </c>
      <c r="H648" s="6">
        <v>0</v>
      </c>
      <c r="I648" s="6">
        <v>15</v>
      </c>
      <c r="J648" s="6">
        <v>15</v>
      </c>
      <c r="K648" s="6">
        <v>18.622046999999998</v>
      </c>
      <c r="L648" s="6">
        <v>18.557046</v>
      </c>
      <c r="M648" s="6">
        <v>18.643459</v>
      </c>
      <c r="N648" s="6">
        <v>19.181818</v>
      </c>
      <c r="O648" s="6">
        <v>19.119288999999998</v>
      </c>
      <c r="P648" s="6">
        <v>18.784502</v>
      </c>
      <c r="Q648" s="6">
        <v>19.181818</v>
      </c>
      <c r="R648" s="6">
        <v>19.101835999999999</v>
      </c>
      <c r="S648" s="6">
        <v>18.763134000000001</v>
      </c>
      <c r="T648" s="6">
        <v>19.181818</v>
      </c>
      <c r="U648" s="6">
        <v>19.101835999999999</v>
      </c>
      <c r="V648" s="6">
        <v>18.763134000000001</v>
      </c>
    </row>
    <row r="649" spans="2:22">
      <c r="B649" s="6">
        <v>32002</v>
      </c>
      <c r="C649" s="6" t="s">
        <v>142</v>
      </c>
      <c r="D649" s="6">
        <v>20906</v>
      </c>
      <c r="E649" s="6" t="s">
        <v>48</v>
      </c>
      <c r="F649" s="6" t="s">
        <v>49</v>
      </c>
      <c r="G649" s="6" t="s">
        <v>1296</v>
      </c>
      <c r="H649" s="6">
        <v>0</v>
      </c>
      <c r="I649" s="6">
        <v>17</v>
      </c>
      <c r="J649" s="6">
        <v>17</v>
      </c>
      <c r="K649" s="6">
        <v>17.229590999999999</v>
      </c>
      <c r="L649" s="6">
        <v>17.052391</v>
      </c>
      <c r="M649" s="6">
        <v>17.431988</v>
      </c>
      <c r="N649" s="6">
        <v>17.016705999999999</v>
      </c>
      <c r="O649" s="6">
        <v>16.954350000000002</v>
      </c>
      <c r="P649" s="6">
        <v>17.537869000000001</v>
      </c>
      <c r="Q649" s="6">
        <v>17.016335999999999</v>
      </c>
      <c r="R649" s="6">
        <v>16.958155999999999</v>
      </c>
      <c r="S649" s="6">
        <v>17.538882000000001</v>
      </c>
      <c r="T649" s="6">
        <v>17.016335999999999</v>
      </c>
      <c r="U649" s="6">
        <v>16.958155999999999</v>
      </c>
      <c r="V649" s="6">
        <v>17.538882000000001</v>
      </c>
    </row>
    <row r="650" spans="2:22">
      <c r="B650" s="6">
        <v>32016</v>
      </c>
      <c r="C650" s="6" t="s">
        <v>143</v>
      </c>
      <c r="D650" s="6">
        <v>20500</v>
      </c>
      <c r="E650" s="6" t="s">
        <v>31</v>
      </c>
      <c r="F650" s="6" t="s">
        <v>17</v>
      </c>
      <c r="G650" s="6" t="s">
        <v>1294</v>
      </c>
      <c r="H650" s="6">
        <v>25</v>
      </c>
      <c r="I650" s="6">
        <v>25</v>
      </c>
      <c r="J650" s="6">
        <v>25.2</v>
      </c>
      <c r="K650" s="6">
        <v>26.179282000000001</v>
      </c>
      <c r="L650" s="6">
        <v>26.186138</v>
      </c>
      <c r="M650" s="6">
        <v>25.935728999999998</v>
      </c>
      <c r="N650" s="6">
        <v>26.108958000000001</v>
      </c>
      <c r="O650" s="6">
        <v>26.328648000000001</v>
      </c>
      <c r="P650" s="6">
        <v>26.003786000000002</v>
      </c>
      <c r="Q650" s="6">
        <v>26.101534000000001</v>
      </c>
      <c r="R650" s="6">
        <v>26.316153</v>
      </c>
      <c r="S650" s="6">
        <v>25.991613999999998</v>
      </c>
      <c r="T650" s="6">
        <v>25.645997000000001</v>
      </c>
      <c r="U650" s="6">
        <v>25.223958</v>
      </c>
      <c r="V650" s="6">
        <v>24.770192999999999</v>
      </c>
    </row>
    <row r="651" spans="2:22">
      <c r="B651" s="6">
        <v>32016</v>
      </c>
      <c r="C651" s="6" t="s">
        <v>143</v>
      </c>
      <c r="D651" s="6">
        <v>20706</v>
      </c>
      <c r="E651" s="6" t="s">
        <v>52</v>
      </c>
      <c r="F651" s="6" t="s">
        <v>17</v>
      </c>
      <c r="G651" s="6" t="s">
        <v>1294</v>
      </c>
      <c r="H651" s="6">
        <v>40</v>
      </c>
      <c r="I651" s="6">
        <v>40</v>
      </c>
      <c r="J651" s="6">
        <v>40</v>
      </c>
      <c r="K651" s="6">
        <v>40</v>
      </c>
      <c r="L651" s="6">
        <v>40</v>
      </c>
      <c r="M651" s="6">
        <v>39.931505999999999</v>
      </c>
      <c r="N651" s="6">
        <v>39.962778999999998</v>
      </c>
      <c r="O651" s="6">
        <v>39.971750999999998</v>
      </c>
      <c r="P651" s="6">
        <v>39.969020999999998</v>
      </c>
      <c r="Q651" s="6">
        <v>39.963768000000002</v>
      </c>
      <c r="R651" s="6">
        <v>39.972496999999997</v>
      </c>
      <c r="S651" s="6">
        <v>39.969659999999998</v>
      </c>
      <c r="T651" s="6">
        <v>39.867787999999997</v>
      </c>
      <c r="U651" s="6">
        <v>39.928649</v>
      </c>
      <c r="V651" s="6">
        <v>39.945453999999998</v>
      </c>
    </row>
    <row r="652" spans="2:22">
      <c r="B652" s="6">
        <v>32016</v>
      </c>
      <c r="C652" s="6" t="s">
        <v>143</v>
      </c>
      <c r="D652" s="6">
        <v>20902</v>
      </c>
      <c r="E652" s="6" t="s">
        <v>53</v>
      </c>
      <c r="F652" s="6" t="s">
        <v>16</v>
      </c>
      <c r="G652" s="6" t="s">
        <v>1295</v>
      </c>
      <c r="H652" s="6">
        <v>0</v>
      </c>
      <c r="I652" s="6">
        <v>20</v>
      </c>
      <c r="J652" s="6">
        <v>20</v>
      </c>
      <c r="K652" s="6">
        <v>27.111111000000001</v>
      </c>
      <c r="L652" s="6">
        <v>25.059170999999999</v>
      </c>
      <c r="M652" s="6">
        <v>26.5625</v>
      </c>
      <c r="N652" s="6">
        <v>27.102803000000002</v>
      </c>
      <c r="O652" s="6">
        <v>26.100322999999999</v>
      </c>
      <c r="P652" s="6">
        <v>27.578899</v>
      </c>
      <c r="Q652" s="6">
        <v>27.102803000000002</v>
      </c>
      <c r="R652" s="6">
        <v>26.100322999999999</v>
      </c>
      <c r="S652" s="6">
        <v>27.558453</v>
      </c>
      <c r="T652" s="6">
        <v>26.737159999999999</v>
      </c>
      <c r="U652" s="6">
        <v>25.752351000000001</v>
      </c>
      <c r="V652" s="6">
        <v>27.323633000000001</v>
      </c>
    </row>
    <row r="653" spans="2:22">
      <c r="B653" s="6">
        <v>32016</v>
      </c>
      <c r="C653" s="6" t="s">
        <v>143</v>
      </c>
      <c r="D653" s="6">
        <v>20902</v>
      </c>
      <c r="E653" s="6" t="s">
        <v>53</v>
      </c>
      <c r="F653" s="6" t="s">
        <v>13</v>
      </c>
      <c r="G653" s="6" t="s">
        <v>14</v>
      </c>
      <c r="H653" s="6">
        <v>15</v>
      </c>
      <c r="I653" s="6">
        <v>15</v>
      </c>
      <c r="J653" s="6">
        <v>15</v>
      </c>
      <c r="K653" s="6">
        <v>18.635802000000002</v>
      </c>
      <c r="L653" s="6">
        <v>18.195121</v>
      </c>
      <c r="M653" s="6">
        <v>17.625368000000002</v>
      </c>
      <c r="N653" s="6">
        <v>19.181818</v>
      </c>
      <c r="O653" s="6">
        <v>19.119288999999998</v>
      </c>
      <c r="P653" s="6">
        <v>18.784502</v>
      </c>
      <c r="Q653" s="6">
        <v>19.181818</v>
      </c>
      <c r="R653" s="6">
        <v>19.101835999999999</v>
      </c>
      <c r="S653" s="6">
        <v>18.763134000000001</v>
      </c>
      <c r="T653" s="6">
        <v>19.181818</v>
      </c>
      <c r="U653" s="6">
        <v>19.101835999999999</v>
      </c>
      <c r="V653" s="6">
        <v>18.763134000000001</v>
      </c>
    </row>
    <row r="654" spans="2:22">
      <c r="B654" s="6">
        <v>32016</v>
      </c>
      <c r="C654" s="6" t="s">
        <v>143</v>
      </c>
      <c r="D654" s="6">
        <v>20906</v>
      </c>
      <c r="E654" s="6" t="s">
        <v>48</v>
      </c>
      <c r="F654" s="6" t="s">
        <v>49</v>
      </c>
      <c r="G654" s="6" t="s">
        <v>1296</v>
      </c>
      <c r="H654" s="6">
        <v>17</v>
      </c>
      <c r="I654" s="6">
        <v>17</v>
      </c>
      <c r="J654" s="6">
        <v>17.5</v>
      </c>
      <c r="K654" s="6">
        <v>16.992394999999998</v>
      </c>
      <c r="L654" s="6">
        <v>16.951830000000001</v>
      </c>
      <c r="M654" s="6">
        <v>17.405908</v>
      </c>
      <c r="N654" s="6">
        <v>17.016705999999999</v>
      </c>
      <c r="O654" s="6">
        <v>16.954350000000002</v>
      </c>
      <c r="P654" s="6">
        <v>17.537869000000001</v>
      </c>
      <c r="Q654" s="6">
        <v>17.016335999999999</v>
      </c>
      <c r="R654" s="6">
        <v>16.958155999999999</v>
      </c>
      <c r="S654" s="6">
        <v>17.538882000000001</v>
      </c>
      <c r="T654" s="6">
        <v>17.016335999999999</v>
      </c>
      <c r="U654" s="6">
        <v>16.958155999999999</v>
      </c>
      <c r="V654" s="6">
        <v>17.538882000000001</v>
      </c>
    </row>
    <row r="655" spans="2:22">
      <c r="B655" s="6">
        <v>32017</v>
      </c>
      <c r="C655" s="6" t="s">
        <v>144</v>
      </c>
      <c r="D655" s="6">
        <v>20500</v>
      </c>
      <c r="E655" s="6" t="s">
        <v>31</v>
      </c>
      <c r="F655" s="6" t="s">
        <v>17</v>
      </c>
      <c r="G655" s="6" t="s">
        <v>1294</v>
      </c>
      <c r="H655" s="6">
        <v>25</v>
      </c>
      <c r="I655" s="6">
        <v>25.375</v>
      </c>
      <c r="J655" s="6">
        <v>24.851851</v>
      </c>
      <c r="K655" s="6">
        <v>26.179282000000001</v>
      </c>
      <c r="L655" s="6">
        <v>26.186138</v>
      </c>
      <c r="M655" s="6">
        <v>25.935728999999998</v>
      </c>
      <c r="N655" s="6">
        <v>26.108958000000001</v>
      </c>
      <c r="O655" s="6">
        <v>26.328648000000001</v>
      </c>
      <c r="P655" s="6">
        <v>26.003786000000002</v>
      </c>
      <c r="Q655" s="6">
        <v>26.101534000000001</v>
      </c>
      <c r="R655" s="6">
        <v>26.316153</v>
      </c>
      <c r="S655" s="6">
        <v>25.991613999999998</v>
      </c>
      <c r="T655" s="6">
        <v>25.645997000000001</v>
      </c>
      <c r="U655" s="6">
        <v>25.223958</v>
      </c>
      <c r="V655" s="6">
        <v>24.770192999999999</v>
      </c>
    </row>
    <row r="656" spans="2:22">
      <c r="B656" s="6">
        <v>32017</v>
      </c>
      <c r="C656" s="6" t="s">
        <v>144</v>
      </c>
      <c r="D656" s="6">
        <v>20706</v>
      </c>
      <c r="E656" s="6" t="s">
        <v>52</v>
      </c>
      <c r="F656" s="6" t="s">
        <v>17</v>
      </c>
      <c r="G656" s="6" t="s">
        <v>1294</v>
      </c>
      <c r="H656" s="6">
        <v>40</v>
      </c>
      <c r="I656" s="6">
        <v>40</v>
      </c>
      <c r="J656" s="6">
        <v>40</v>
      </c>
      <c r="K656" s="6">
        <v>40</v>
      </c>
      <c r="L656" s="6">
        <v>40</v>
      </c>
      <c r="M656" s="6">
        <v>39.931505999999999</v>
      </c>
      <c r="N656" s="6">
        <v>39.962778999999998</v>
      </c>
      <c r="O656" s="6">
        <v>39.971750999999998</v>
      </c>
      <c r="P656" s="6">
        <v>39.969020999999998</v>
      </c>
      <c r="Q656" s="6">
        <v>39.963768000000002</v>
      </c>
      <c r="R656" s="6">
        <v>39.972496999999997</v>
      </c>
      <c r="S656" s="6">
        <v>39.969659999999998</v>
      </c>
      <c r="T656" s="6">
        <v>39.867787999999997</v>
      </c>
      <c r="U656" s="6">
        <v>39.928649</v>
      </c>
      <c r="V656" s="6">
        <v>39.945453999999998</v>
      </c>
    </row>
    <row r="657" spans="2:22">
      <c r="B657" s="6">
        <v>32017</v>
      </c>
      <c r="C657" s="6" t="s">
        <v>144</v>
      </c>
      <c r="D657" s="6">
        <v>20902</v>
      </c>
      <c r="E657" s="6" t="s">
        <v>53</v>
      </c>
      <c r="F657" s="6" t="s">
        <v>13</v>
      </c>
      <c r="G657" s="6" t="s">
        <v>14</v>
      </c>
      <c r="H657" s="6">
        <v>15</v>
      </c>
      <c r="I657" s="6">
        <v>15</v>
      </c>
      <c r="J657" s="6">
        <v>15</v>
      </c>
      <c r="K657" s="6">
        <v>18.635802000000002</v>
      </c>
      <c r="L657" s="6">
        <v>18.195121</v>
      </c>
      <c r="M657" s="6">
        <v>17.625368000000002</v>
      </c>
      <c r="N657" s="6">
        <v>19.181818</v>
      </c>
      <c r="O657" s="6">
        <v>19.119288999999998</v>
      </c>
      <c r="P657" s="6">
        <v>18.784502</v>
      </c>
      <c r="Q657" s="6">
        <v>19.181818</v>
      </c>
      <c r="R657" s="6">
        <v>19.101835999999999</v>
      </c>
      <c r="S657" s="6">
        <v>18.763134000000001</v>
      </c>
      <c r="T657" s="6">
        <v>19.181818</v>
      </c>
      <c r="U657" s="6">
        <v>19.101835999999999</v>
      </c>
      <c r="V657" s="6">
        <v>18.763134000000001</v>
      </c>
    </row>
    <row r="658" spans="2:22">
      <c r="B658" s="6">
        <v>32017</v>
      </c>
      <c r="C658" s="6" t="s">
        <v>144</v>
      </c>
      <c r="D658" s="6">
        <v>20906</v>
      </c>
      <c r="E658" s="6" t="s">
        <v>48</v>
      </c>
      <c r="F658" s="6" t="s">
        <v>49</v>
      </c>
      <c r="G658" s="6" t="s">
        <v>1296</v>
      </c>
      <c r="H658" s="6">
        <v>17</v>
      </c>
      <c r="I658" s="6">
        <v>17</v>
      </c>
      <c r="J658" s="6">
        <v>17.370370000000001</v>
      </c>
      <c r="K658" s="6">
        <v>16.992394999999998</v>
      </c>
      <c r="L658" s="6">
        <v>16.951830000000001</v>
      </c>
      <c r="M658" s="6">
        <v>17.405908</v>
      </c>
      <c r="N658" s="6">
        <v>17.016705999999999</v>
      </c>
      <c r="O658" s="6">
        <v>16.954350000000002</v>
      </c>
      <c r="P658" s="6">
        <v>17.537869000000001</v>
      </c>
      <c r="Q658" s="6">
        <v>17.016335999999999</v>
      </c>
      <c r="R658" s="6">
        <v>16.958155999999999</v>
      </c>
      <c r="S658" s="6">
        <v>17.538882000000001</v>
      </c>
      <c r="T658" s="6">
        <v>17.016335999999999</v>
      </c>
      <c r="U658" s="6">
        <v>16.958155999999999</v>
      </c>
      <c r="V658" s="6">
        <v>17.538882000000001</v>
      </c>
    </row>
    <row r="659" spans="2:22">
      <c r="B659" s="6">
        <v>32018</v>
      </c>
      <c r="C659" s="6" t="s">
        <v>145</v>
      </c>
      <c r="D659" s="6">
        <v>20500</v>
      </c>
      <c r="E659" s="6" t="s">
        <v>31</v>
      </c>
      <c r="F659" s="6" t="s">
        <v>17</v>
      </c>
      <c r="G659" s="6" t="s">
        <v>1294</v>
      </c>
      <c r="H659" s="6">
        <v>0</v>
      </c>
      <c r="I659" s="6">
        <v>25</v>
      </c>
      <c r="J659" s="6">
        <v>24.166665999999999</v>
      </c>
      <c r="K659" s="6">
        <v>26.179282000000001</v>
      </c>
      <c r="L659" s="6">
        <v>26.186138</v>
      </c>
      <c r="M659" s="6">
        <v>25.935728999999998</v>
      </c>
      <c r="N659" s="6">
        <v>26.108958000000001</v>
      </c>
      <c r="O659" s="6">
        <v>26.328648000000001</v>
      </c>
      <c r="P659" s="6">
        <v>26.003786000000002</v>
      </c>
      <c r="Q659" s="6">
        <v>26.101534000000001</v>
      </c>
      <c r="R659" s="6">
        <v>26.316153</v>
      </c>
      <c r="S659" s="6">
        <v>25.991613999999998</v>
      </c>
      <c r="T659" s="6">
        <v>25.645997000000001</v>
      </c>
      <c r="U659" s="6">
        <v>25.223958</v>
      </c>
      <c r="V659" s="6">
        <v>24.770192999999999</v>
      </c>
    </row>
    <row r="660" spans="2:22">
      <c r="B660" s="6">
        <v>32018</v>
      </c>
      <c r="C660" s="6" t="s">
        <v>145</v>
      </c>
      <c r="D660" s="6">
        <v>20706</v>
      </c>
      <c r="E660" s="6" t="s">
        <v>52</v>
      </c>
      <c r="F660" s="6" t="s">
        <v>17</v>
      </c>
      <c r="G660" s="6" t="s">
        <v>1294</v>
      </c>
      <c r="H660" s="6">
        <v>0</v>
      </c>
      <c r="I660" s="6">
        <v>40</v>
      </c>
      <c r="J660" s="6">
        <v>40</v>
      </c>
      <c r="K660" s="6">
        <v>40</v>
      </c>
      <c r="L660" s="6">
        <v>40</v>
      </c>
      <c r="M660" s="6">
        <v>39.931505999999999</v>
      </c>
      <c r="N660" s="6">
        <v>39.962778999999998</v>
      </c>
      <c r="O660" s="6">
        <v>39.971750999999998</v>
      </c>
      <c r="P660" s="6">
        <v>39.969020999999998</v>
      </c>
      <c r="Q660" s="6">
        <v>39.963768000000002</v>
      </c>
      <c r="R660" s="6">
        <v>39.972496999999997</v>
      </c>
      <c r="S660" s="6">
        <v>39.969659999999998</v>
      </c>
      <c r="T660" s="6">
        <v>39.867787999999997</v>
      </c>
      <c r="U660" s="6">
        <v>39.928649</v>
      </c>
      <c r="V660" s="6">
        <v>39.945453999999998</v>
      </c>
    </row>
    <row r="661" spans="2:22">
      <c r="B661" s="6">
        <v>32018</v>
      </c>
      <c r="C661" s="6" t="s">
        <v>145</v>
      </c>
      <c r="D661" s="6">
        <v>20902</v>
      </c>
      <c r="E661" s="6" t="s">
        <v>53</v>
      </c>
      <c r="F661" s="6" t="s">
        <v>13</v>
      </c>
      <c r="G661" s="6" t="s">
        <v>14</v>
      </c>
      <c r="H661" s="6">
        <v>0</v>
      </c>
      <c r="I661" s="6">
        <v>15</v>
      </c>
      <c r="J661" s="6">
        <v>15</v>
      </c>
      <c r="K661" s="6">
        <v>18.635802000000002</v>
      </c>
      <c r="L661" s="6">
        <v>18.195121</v>
      </c>
      <c r="M661" s="6">
        <v>17.625368000000002</v>
      </c>
      <c r="N661" s="6">
        <v>19.181818</v>
      </c>
      <c r="O661" s="6">
        <v>19.119288999999998</v>
      </c>
      <c r="P661" s="6">
        <v>18.784502</v>
      </c>
      <c r="Q661" s="6">
        <v>19.181818</v>
      </c>
      <c r="R661" s="6">
        <v>19.101835999999999</v>
      </c>
      <c r="S661" s="6">
        <v>18.763134000000001</v>
      </c>
      <c r="T661" s="6">
        <v>19.181818</v>
      </c>
      <c r="U661" s="6">
        <v>19.101835999999999</v>
      </c>
      <c r="V661" s="6">
        <v>18.763134000000001</v>
      </c>
    </row>
    <row r="662" spans="2:22">
      <c r="B662" s="6">
        <v>32018</v>
      </c>
      <c r="C662" s="6" t="s">
        <v>145</v>
      </c>
      <c r="D662" s="6">
        <v>20906</v>
      </c>
      <c r="E662" s="6" t="s">
        <v>48</v>
      </c>
      <c r="F662" s="6" t="s">
        <v>49</v>
      </c>
      <c r="G662" s="6" t="s">
        <v>1296</v>
      </c>
      <c r="H662" s="6">
        <v>0</v>
      </c>
      <c r="I662" s="6">
        <v>17</v>
      </c>
      <c r="J662" s="6">
        <v>16.833333</v>
      </c>
      <c r="K662" s="6">
        <v>16.992394999999998</v>
      </c>
      <c r="L662" s="6">
        <v>16.951830000000001</v>
      </c>
      <c r="M662" s="6">
        <v>17.405908</v>
      </c>
      <c r="N662" s="6">
        <v>17.016705999999999</v>
      </c>
      <c r="O662" s="6">
        <v>16.954350000000002</v>
      </c>
      <c r="P662" s="6">
        <v>17.537869000000001</v>
      </c>
      <c r="Q662" s="6">
        <v>17.016335999999999</v>
      </c>
      <c r="R662" s="6">
        <v>16.958155999999999</v>
      </c>
      <c r="S662" s="6">
        <v>17.538882000000001</v>
      </c>
      <c r="T662" s="6">
        <v>17.016335999999999</v>
      </c>
      <c r="U662" s="6">
        <v>16.958155999999999</v>
      </c>
      <c r="V662" s="6">
        <v>17.538882000000001</v>
      </c>
    </row>
    <row r="663" spans="2:22">
      <c r="B663" s="6">
        <v>32019</v>
      </c>
      <c r="C663" s="6" t="s">
        <v>146</v>
      </c>
      <c r="D663" s="6">
        <v>20500</v>
      </c>
      <c r="E663" s="6" t="s">
        <v>31</v>
      </c>
      <c r="F663" s="6" t="s">
        <v>17</v>
      </c>
      <c r="G663" s="6" t="s">
        <v>1294</v>
      </c>
      <c r="H663" s="6">
        <v>25</v>
      </c>
      <c r="I663" s="6">
        <v>25</v>
      </c>
      <c r="J663" s="6">
        <v>25</v>
      </c>
      <c r="K663" s="6">
        <v>26.179282000000001</v>
      </c>
      <c r="L663" s="6">
        <v>26.186138</v>
      </c>
      <c r="M663" s="6">
        <v>25.935728999999998</v>
      </c>
      <c r="N663" s="6">
        <v>26.108958000000001</v>
      </c>
      <c r="O663" s="6">
        <v>26.328648000000001</v>
      </c>
      <c r="P663" s="6">
        <v>26.003786000000002</v>
      </c>
      <c r="Q663" s="6">
        <v>26.101534000000001</v>
      </c>
      <c r="R663" s="6">
        <v>26.316153</v>
      </c>
      <c r="S663" s="6">
        <v>25.991613999999998</v>
      </c>
      <c r="T663" s="6">
        <v>25.645997000000001</v>
      </c>
      <c r="U663" s="6">
        <v>25.223958</v>
      </c>
      <c r="V663" s="6">
        <v>24.770192999999999</v>
      </c>
    </row>
    <row r="664" spans="2:22">
      <c r="B664" s="6">
        <v>32019</v>
      </c>
      <c r="C664" s="6" t="s">
        <v>146</v>
      </c>
      <c r="D664" s="6">
        <v>20706</v>
      </c>
      <c r="E664" s="6" t="s">
        <v>52</v>
      </c>
      <c r="F664" s="6" t="s">
        <v>17</v>
      </c>
      <c r="G664" s="6" t="s">
        <v>1294</v>
      </c>
      <c r="H664" s="6">
        <v>40</v>
      </c>
      <c r="I664" s="6">
        <v>40</v>
      </c>
      <c r="J664" s="6">
        <v>40</v>
      </c>
      <c r="K664" s="6">
        <v>40</v>
      </c>
      <c r="L664" s="6">
        <v>40</v>
      </c>
      <c r="M664" s="6">
        <v>39.931505999999999</v>
      </c>
      <c r="N664" s="6">
        <v>39.962778999999998</v>
      </c>
      <c r="O664" s="6">
        <v>39.971750999999998</v>
      </c>
      <c r="P664" s="6">
        <v>39.969020999999998</v>
      </c>
      <c r="Q664" s="6">
        <v>39.963768000000002</v>
      </c>
      <c r="R664" s="6">
        <v>39.972496999999997</v>
      </c>
      <c r="S664" s="6">
        <v>39.969659999999998</v>
      </c>
      <c r="T664" s="6">
        <v>39.867787999999997</v>
      </c>
      <c r="U664" s="6">
        <v>39.928649</v>
      </c>
      <c r="V664" s="6">
        <v>39.945453999999998</v>
      </c>
    </row>
    <row r="665" spans="2:22">
      <c r="B665" s="6">
        <v>32019</v>
      </c>
      <c r="C665" s="6" t="s">
        <v>146</v>
      </c>
      <c r="D665" s="6">
        <v>20902</v>
      </c>
      <c r="E665" s="6" t="s">
        <v>53</v>
      </c>
      <c r="F665" s="6" t="s">
        <v>13</v>
      </c>
      <c r="G665" s="6" t="s">
        <v>14</v>
      </c>
      <c r="H665" s="6">
        <v>15</v>
      </c>
      <c r="I665" s="6">
        <v>15</v>
      </c>
      <c r="J665" s="6">
        <v>15</v>
      </c>
      <c r="K665" s="6">
        <v>18.635802000000002</v>
      </c>
      <c r="L665" s="6">
        <v>18.195121</v>
      </c>
      <c r="M665" s="6">
        <v>17.625368000000002</v>
      </c>
      <c r="N665" s="6">
        <v>19.181818</v>
      </c>
      <c r="O665" s="6">
        <v>19.119288999999998</v>
      </c>
      <c r="P665" s="6">
        <v>18.784502</v>
      </c>
      <c r="Q665" s="6">
        <v>19.181818</v>
      </c>
      <c r="R665" s="6">
        <v>19.101835999999999</v>
      </c>
      <c r="S665" s="6">
        <v>18.763134000000001</v>
      </c>
      <c r="T665" s="6">
        <v>19.181818</v>
      </c>
      <c r="U665" s="6">
        <v>19.101835999999999</v>
      </c>
      <c r="V665" s="6">
        <v>18.763134000000001</v>
      </c>
    </row>
    <row r="666" spans="2:22">
      <c r="B666" s="6">
        <v>32019</v>
      </c>
      <c r="C666" s="6" t="s">
        <v>146</v>
      </c>
      <c r="D666" s="6">
        <v>20906</v>
      </c>
      <c r="E666" s="6" t="s">
        <v>48</v>
      </c>
      <c r="F666" s="6" t="s">
        <v>49</v>
      </c>
      <c r="G666" s="6" t="s">
        <v>1296</v>
      </c>
      <c r="H666" s="6">
        <v>17</v>
      </c>
      <c r="I666" s="6">
        <v>17</v>
      </c>
      <c r="J666" s="6">
        <v>17.285713999999999</v>
      </c>
      <c r="K666" s="6">
        <v>16.992394999999998</v>
      </c>
      <c r="L666" s="6">
        <v>16.951830000000001</v>
      </c>
      <c r="M666" s="6">
        <v>17.405908</v>
      </c>
      <c r="N666" s="6">
        <v>17.016705999999999</v>
      </c>
      <c r="O666" s="6">
        <v>16.954350000000002</v>
      </c>
      <c r="P666" s="6">
        <v>17.537869000000001</v>
      </c>
      <c r="Q666" s="6">
        <v>17.016335999999999</v>
      </c>
      <c r="R666" s="6">
        <v>16.958155999999999</v>
      </c>
      <c r="S666" s="6">
        <v>17.538882000000001</v>
      </c>
      <c r="T666" s="6">
        <v>17.016335999999999</v>
      </c>
      <c r="U666" s="6">
        <v>16.958155999999999</v>
      </c>
      <c r="V666" s="6">
        <v>17.538882000000001</v>
      </c>
    </row>
    <row r="667" spans="2:22">
      <c r="B667" s="6">
        <v>32022</v>
      </c>
      <c r="C667" s="6" t="s">
        <v>236</v>
      </c>
      <c r="D667" s="6">
        <v>12400</v>
      </c>
      <c r="E667" s="6" t="s">
        <v>217</v>
      </c>
      <c r="F667" s="6" t="s">
        <v>16</v>
      </c>
      <c r="G667" s="6" t="s">
        <v>1295</v>
      </c>
      <c r="H667" s="6">
        <v>0</v>
      </c>
      <c r="I667" s="6">
        <v>0</v>
      </c>
      <c r="J667" s="6">
        <v>10</v>
      </c>
      <c r="K667" s="6">
        <v>13.375</v>
      </c>
      <c r="L667" s="6">
        <v>10.9375</v>
      </c>
      <c r="M667" s="6">
        <v>9.2653060000000007</v>
      </c>
      <c r="N667" s="6">
        <v>9.2387090000000001</v>
      </c>
      <c r="O667" s="6">
        <v>8.7126429999999999</v>
      </c>
      <c r="P667" s="6">
        <v>8.6856360000000006</v>
      </c>
      <c r="Q667" s="6">
        <v>9.2387090000000001</v>
      </c>
      <c r="R667" s="6">
        <v>8.7126429999999999</v>
      </c>
      <c r="S667" s="6">
        <v>8.6856360000000006</v>
      </c>
      <c r="T667" s="6">
        <v>8.8875729999999997</v>
      </c>
      <c r="U667" s="6">
        <v>8.6089380000000002</v>
      </c>
      <c r="V667" s="6">
        <v>8.6174140000000001</v>
      </c>
    </row>
    <row r="668" spans="2:22">
      <c r="B668" s="6">
        <v>32022</v>
      </c>
      <c r="C668" s="6" t="s">
        <v>236</v>
      </c>
      <c r="D668" s="6">
        <v>20500</v>
      </c>
      <c r="E668" s="6" t="s">
        <v>31</v>
      </c>
      <c r="F668" s="6" t="s">
        <v>16</v>
      </c>
      <c r="G668" s="6" t="s">
        <v>1295</v>
      </c>
      <c r="H668" s="6">
        <v>0</v>
      </c>
      <c r="I668" s="6">
        <v>0</v>
      </c>
      <c r="J668" s="6">
        <v>10</v>
      </c>
      <c r="K668" s="6">
        <v>10</v>
      </c>
      <c r="L668" s="6">
        <v>10</v>
      </c>
      <c r="M668" s="6">
        <v>9.9722220000000004</v>
      </c>
      <c r="N668" s="6">
        <v>10</v>
      </c>
      <c r="O668" s="6">
        <v>10</v>
      </c>
      <c r="P668" s="6">
        <v>9.9904759999999992</v>
      </c>
      <c r="Q668" s="6">
        <v>10</v>
      </c>
      <c r="R668" s="6">
        <v>10</v>
      </c>
      <c r="S668" s="6">
        <v>9.9904759999999992</v>
      </c>
      <c r="T668" s="6">
        <v>16.909089999999999</v>
      </c>
      <c r="U668" s="6">
        <v>13.130081000000001</v>
      </c>
      <c r="V668" s="6">
        <v>12.707865</v>
      </c>
    </row>
    <row r="669" spans="2:22">
      <c r="B669" s="6">
        <v>32022</v>
      </c>
      <c r="C669" s="6" t="s">
        <v>236</v>
      </c>
      <c r="D669" s="6">
        <v>20904</v>
      </c>
      <c r="E669" s="6" t="s">
        <v>156</v>
      </c>
      <c r="F669" s="6" t="s">
        <v>16</v>
      </c>
      <c r="G669" s="6" t="s">
        <v>1295</v>
      </c>
      <c r="H669" s="6">
        <v>0</v>
      </c>
      <c r="I669" s="6">
        <v>0</v>
      </c>
      <c r="J669" s="6">
        <v>10</v>
      </c>
      <c r="K669" s="6">
        <v>10</v>
      </c>
      <c r="L669" s="6">
        <v>10</v>
      </c>
      <c r="M669" s="6">
        <v>11.173913000000001</v>
      </c>
      <c r="N669" s="6">
        <v>14.736841999999999</v>
      </c>
      <c r="O669" s="6">
        <v>14.21875</v>
      </c>
      <c r="P669" s="6">
        <v>13.268817</v>
      </c>
      <c r="Q669" s="6">
        <v>14.736841999999999</v>
      </c>
      <c r="R669" s="6">
        <v>14.21875</v>
      </c>
      <c r="S669" s="6">
        <v>13.268817</v>
      </c>
      <c r="T669" s="6">
        <v>14.736841999999999</v>
      </c>
      <c r="U669" s="6">
        <v>14.21875</v>
      </c>
      <c r="V669" s="6">
        <v>13.268817</v>
      </c>
    </row>
    <row r="670" spans="2:22">
      <c r="B670" s="6">
        <v>32023</v>
      </c>
      <c r="C670" s="6" t="s">
        <v>237</v>
      </c>
      <c r="D670" s="6">
        <v>12400</v>
      </c>
      <c r="E670" s="6" t="s">
        <v>217</v>
      </c>
      <c r="F670" s="6" t="s">
        <v>16</v>
      </c>
      <c r="G670" s="6" t="s">
        <v>1295</v>
      </c>
      <c r="H670" s="6">
        <v>10</v>
      </c>
      <c r="I670" s="6">
        <v>10</v>
      </c>
      <c r="J670" s="6">
        <v>9.9729720000000004</v>
      </c>
      <c r="K670" s="6">
        <v>10</v>
      </c>
      <c r="L670" s="6">
        <v>10</v>
      </c>
      <c r="M670" s="6">
        <v>9.9817350000000005</v>
      </c>
      <c r="N670" s="6">
        <v>9.2387090000000001</v>
      </c>
      <c r="O670" s="6">
        <v>8.7126429999999999</v>
      </c>
      <c r="P670" s="6">
        <v>8.6856360000000006</v>
      </c>
      <c r="Q670" s="6">
        <v>9.2387090000000001</v>
      </c>
      <c r="R670" s="6">
        <v>8.7126429999999999</v>
      </c>
      <c r="S670" s="6">
        <v>8.6856360000000006</v>
      </c>
      <c r="T670" s="6">
        <v>8.8875729999999997</v>
      </c>
      <c r="U670" s="6">
        <v>8.6089380000000002</v>
      </c>
      <c r="V670" s="6">
        <v>8.6174140000000001</v>
      </c>
    </row>
    <row r="671" spans="2:22">
      <c r="B671" s="6">
        <v>32023</v>
      </c>
      <c r="C671" s="6" t="s">
        <v>237</v>
      </c>
      <c r="D671" s="6">
        <v>20500</v>
      </c>
      <c r="E671" s="6" t="s">
        <v>31</v>
      </c>
      <c r="F671" s="6" t="s">
        <v>16</v>
      </c>
      <c r="G671" s="6" t="s">
        <v>1295</v>
      </c>
      <c r="H671" s="6">
        <v>0</v>
      </c>
      <c r="I671" s="6">
        <v>10</v>
      </c>
      <c r="J671" s="6">
        <v>10</v>
      </c>
      <c r="K671" s="6">
        <v>10</v>
      </c>
      <c r="L671" s="6">
        <v>10</v>
      </c>
      <c r="M671" s="6">
        <v>10</v>
      </c>
      <c r="N671" s="6">
        <v>10</v>
      </c>
      <c r="O671" s="6">
        <v>10</v>
      </c>
      <c r="P671" s="6">
        <v>9.9904759999999992</v>
      </c>
      <c r="Q671" s="6">
        <v>10</v>
      </c>
      <c r="R671" s="6">
        <v>10</v>
      </c>
      <c r="S671" s="6">
        <v>9.9904759999999992</v>
      </c>
      <c r="T671" s="6">
        <v>16.909089999999999</v>
      </c>
      <c r="U671" s="6">
        <v>13.130081000000001</v>
      </c>
      <c r="V671" s="6">
        <v>12.707865</v>
      </c>
    </row>
    <row r="672" spans="2:22">
      <c r="B672" s="6">
        <v>32041</v>
      </c>
      <c r="C672" s="6" t="s">
        <v>238</v>
      </c>
      <c r="D672" s="6">
        <v>12400</v>
      </c>
      <c r="E672" s="6" t="s">
        <v>217</v>
      </c>
      <c r="F672" s="6" t="s">
        <v>16</v>
      </c>
      <c r="G672" s="6" t="s">
        <v>1295</v>
      </c>
      <c r="H672" s="6">
        <v>10</v>
      </c>
      <c r="I672" s="6">
        <v>10</v>
      </c>
      <c r="J672" s="6">
        <v>10</v>
      </c>
      <c r="K672" s="6">
        <v>8.2173909999999992</v>
      </c>
      <c r="L672" s="6">
        <v>8.1046829999999996</v>
      </c>
      <c r="M672" s="6">
        <v>8.2384710000000005</v>
      </c>
      <c r="N672" s="6">
        <v>9.2387090000000001</v>
      </c>
      <c r="O672" s="6">
        <v>8.7126429999999999</v>
      </c>
      <c r="P672" s="6">
        <v>8.6856360000000006</v>
      </c>
      <c r="Q672" s="6">
        <v>9.2387090000000001</v>
      </c>
      <c r="R672" s="6">
        <v>8.7126429999999999</v>
      </c>
      <c r="S672" s="6">
        <v>8.6856360000000006</v>
      </c>
      <c r="T672" s="6">
        <v>8.8875729999999997</v>
      </c>
      <c r="U672" s="6">
        <v>8.6089380000000002</v>
      </c>
      <c r="V672" s="6">
        <v>8.6174140000000001</v>
      </c>
    </row>
    <row r="673" spans="2:22">
      <c r="B673" s="6">
        <v>32041</v>
      </c>
      <c r="C673" s="6" t="s">
        <v>238</v>
      </c>
      <c r="D673" s="6">
        <v>20500</v>
      </c>
      <c r="E673" s="6" t="s">
        <v>31</v>
      </c>
      <c r="F673" s="6" t="s">
        <v>16</v>
      </c>
      <c r="G673" s="6" t="s">
        <v>1295</v>
      </c>
      <c r="H673" s="6">
        <v>10</v>
      </c>
      <c r="I673" s="6">
        <v>10</v>
      </c>
      <c r="J673" s="6">
        <v>10</v>
      </c>
      <c r="K673" s="6">
        <v>10</v>
      </c>
      <c r="L673" s="6">
        <v>10</v>
      </c>
      <c r="M673" s="6">
        <v>10</v>
      </c>
      <c r="N673" s="6">
        <v>10</v>
      </c>
      <c r="O673" s="6">
        <v>10</v>
      </c>
      <c r="P673" s="6">
        <v>9.9904759999999992</v>
      </c>
      <c r="Q673" s="6">
        <v>10</v>
      </c>
      <c r="R673" s="6">
        <v>10</v>
      </c>
      <c r="S673" s="6">
        <v>9.9904759999999992</v>
      </c>
      <c r="T673" s="6">
        <v>16.909089999999999</v>
      </c>
      <c r="U673" s="6">
        <v>13.130081000000001</v>
      </c>
      <c r="V673" s="6">
        <v>12.707865</v>
      </c>
    </row>
    <row r="674" spans="2:22">
      <c r="B674" s="6">
        <v>32048</v>
      </c>
      <c r="C674" s="6" t="s">
        <v>58</v>
      </c>
      <c r="D674" s="6">
        <v>20702</v>
      </c>
      <c r="E674" s="6" t="s">
        <v>44</v>
      </c>
      <c r="F674" s="6" t="s">
        <v>17</v>
      </c>
      <c r="G674" s="6" t="s">
        <v>1294</v>
      </c>
      <c r="H674" s="6">
        <v>0</v>
      </c>
      <c r="I674" s="6">
        <v>35</v>
      </c>
      <c r="J674" s="6">
        <v>35</v>
      </c>
      <c r="K674" s="6">
        <v>0</v>
      </c>
      <c r="L674" s="6">
        <v>35</v>
      </c>
      <c r="M674" s="6">
        <v>33.200000000000003</v>
      </c>
      <c r="N674" s="6">
        <v>35</v>
      </c>
      <c r="O674" s="6">
        <v>35</v>
      </c>
      <c r="P674" s="6">
        <v>33.5</v>
      </c>
      <c r="Q674" s="6">
        <v>34.894556999999999</v>
      </c>
      <c r="R674" s="6">
        <v>34.950949000000001</v>
      </c>
      <c r="S674" s="6">
        <v>34.883485</v>
      </c>
      <c r="T674" s="6">
        <v>34.894556999999999</v>
      </c>
      <c r="U674" s="6">
        <v>34.950949000000001</v>
      </c>
      <c r="V674" s="6">
        <v>34.883485</v>
      </c>
    </row>
    <row r="675" spans="2:22">
      <c r="B675" s="6">
        <v>32048</v>
      </c>
      <c r="C675" s="6" t="s">
        <v>58</v>
      </c>
      <c r="D675" s="6">
        <v>20902</v>
      </c>
      <c r="E675" s="6" t="s">
        <v>53</v>
      </c>
      <c r="F675" s="6" t="s">
        <v>13</v>
      </c>
      <c r="G675" s="6" t="s">
        <v>14</v>
      </c>
      <c r="H675" s="6">
        <v>0</v>
      </c>
      <c r="I675" s="6">
        <v>15</v>
      </c>
      <c r="J675" s="6">
        <v>15</v>
      </c>
      <c r="K675" s="6">
        <v>0</v>
      </c>
      <c r="L675" s="6">
        <v>17.5</v>
      </c>
      <c r="M675" s="6">
        <v>16.842105</v>
      </c>
      <c r="N675" s="6">
        <v>0</v>
      </c>
      <c r="O675" s="6">
        <v>17.8125</v>
      </c>
      <c r="P675" s="6">
        <v>16.8</v>
      </c>
      <c r="Q675" s="6">
        <v>19.181818</v>
      </c>
      <c r="R675" s="6">
        <v>19.101835999999999</v>
      </c>
      <c r="S675" s="6">
        <v>18.763134000000001</v>
      </c>
      <c r="T675" s="6">
        <v>19.181818</v>
      </c>
      <c r="U675" s="6">
        <v>19.101835999999999</v>
      </c>
      <c r="V675" s="6">
        <v>18.763134000000001</v>
      </c>
    </row>
    <row r="676" spans="2:22">
      <c r="B676" s="6">
        <v>32048</v>
      </c>
      <c r="C676" s="6" t="s">
        <v>58</v>
      </c>
      <c r="D676" s="6">
        <v>23100</v>
      </c>
      <c r="E676" s="6" t="s">
        <v>54</v>
      </c>
      <c r="F676" s="6" t="s">
        <v>16</v>
      </c>
      <c r="G676" s="6" t="s">
        <v>1295</v>
      </c>
      <c r="H676" s="6">
        <v>0</v>
      </c>
      <c r="I676" s="6">
        <v>20</v>
      </c>
      <c r="J676" s="6">
        <v>20</v>
      </c>
      <c r="K676" s="6">
        <v>0</v>
      </c>
      <c r="L676" s="6">
        <v>20</v>
      </c>
      <c r="M676" s="6">
        <v>20</v>
      </c>
      <c r="N676" s="6">
        <v>20</v>
      </c>
      <c r="O676" s="6">
        <v>20</v>
      </c>
      <c r="P676" s="6">
        <v>20</v>
      </c>
      <c r="Q676" s="6">
        <v>17.533783</v>
      </c>
      <c r="R676" s="6">
        <v>16.700679999999998</v>
      </c>
      <c r="S676" s="6">
        <v>17.127882</v>
      </c>
      <c r="T676" s="6">
        <v>17.533783</v>
      </c>
      <c r="U676" s="6">
        <v>16.700679999999998</v>
      </c>
      <c r="V676" s="6">
        <v>17.127882</v>
      </c>
    </row>
    <row r="677" spans="2:22">
      <c r="B677" s="6">
        <v>32048</v>
      </c>
      <c r="C677" s="6" t="s">
        <v>58</v>
      </c>
      <c r="D677" s="6">
        <v>23100</v>
      </c>
      <c r="E677" s="6" t="s">
        <v>54</v>
      </c>
      <c r="F677" s="6" t="s">
        <v>13</v>
      </c>
      <c r="G677" s="6" t="s">
        <v>14</v>
      </c>
      <c r="H677" s="6">
        <v>0</v>
      </c>
      <c r="I677" s="6">
        <v>15</v>
      </c>
      <c r="J677" s="6">
        <v>15</v>
      </c>
      <c r="K677" s="6">
        <v>0</v>
      </c>
      <c r="L677" s="6">
        <v>15</v>
      </c>
      <c r="M677" s="6">
        <v>15</v>
      </c>
      <c r="N677" s="6">
        <v>0</v>
      </c>
      <c r="O677" s="6">
        <v>15</v>
      </c>
      <c r="P677" s="6">
        <v>15</v>
      </c>
      <c r="Q677" s="6">
        <v>15</v>
      </c>
      <c r="R677" s="6">
        <v>15</v>
      </c>
      <c r="S677" s="6">
        <v>15</v>
      </c>
      <c r="T677" s="6">
        <v>15</v>
      </c>
      <c r="U677" s="6">
        <v>15</v>
      </c>
      <c r="V677" s="6">
        <v>15</v>
      </c>
    </row>
    <row r="678" spans="2:22">
      <c r="B678" s="6">
        <v>32060</v>
      </c>
      <c r="C678" s="6" t="s">
        <v>1150</v>
      </c>
      <c r="D678" s="6">
        <v>23500</v>
      </c>
      <c r="E678" s="6" t="s">
        <v>37</v>
      </c>
      <c r="F678" s="6" t="s">
        <v>1305</v>
      </c>
      <c r="G678" s="6" t="s">
        <v>1306</v>
      </c>
      <c r="H678" s="6">
        <v>0</v>
      </c>
      <c r="I678" s="6">
        <v>0</v>
      </c>
      <c r="J678" s="6">
        <v>10</v>
      </c>
      <c r="K678" s="6">
        <v>10</v>
      </c>
      <c r="L678" s="6">
        <v>10</v>
      </c>
      <c r="M678" s="6">
        <v>10</v>
      </c>
      <c r="N678" s="6">
        <v>10</v>
      </c>
      <c r="O678" s="6">
        <v>10</v>
      </c>
      <c r="P678" s="6">
        <v>10</v>
      </c>
      <c r="Q678" s="6">
        <v>10</v>
      </c>
      <c r="R678" s="6">
        <v>10</v>
      </c>
      <c r="S678" s="6">
        <v>10</v>
      </c>
      <c r="T678" s="6">
        <v>9.1111109999999993</v>
      </c>
      <c r="U678" s="6">
        <v>7.5909089999999999</v>
      </c>
      <c r="V678" s="6">
        <v>7.2666659999999998</v>
      </c>
    </row>
    <row r="679" spans="2:22">
      <c r="B679" s="6">
        <v>32064</v>
      </c>
      <c r="C679" s="6" t="s">
        <v>239</v>
      </c>
      <c r="D679" s="6">
        <v>20500</v>
      </c>
      <c r="E679" s="6" t="s">
        <v>31</v>
      </c>
      <c r="F679" s="6" t="s">
        <v>17</v>
      </c>
      <c r="G679" s="6" t="s">
        <v>1294</v>
      </c>
      <c r="H679" s="6">
        <v>0</v>
      </c>
      <c r="I679" s="6">
        <v>0</v>
      </c>
      <c r="J679" s="6">
        <v>16</v>
      </c>
      <c r="K679" s="6">
        <v>0</v>
      </c>
      <c r="L679" s="6">
        <v>0</v>
      </c>
      <c r="M679" s="6">
        <v>16</v>
      </c>
      <c r="N679" s="6">
        <v>0</v>
      </c>
      <c r="O679" s="6">
        <v>0</v>
      </c>
      <c r="P679" s="6">
        <v>16</v>
      </c>
      <c r="Q679" s="6">
        <v>0</v>
      </c>
      <c r="R679" s="6">
        <v>0</v>
      </c>
      <c r="S679" s="6">
        <v>16</v>
      </c>
      <c r="T679" s="6">
        <v>25.645997000000001</v>
      </c>
      <c r="U679" s="6">
        <v>25.223958</v>
      </c>
      <c r="V679" s="6">
        <v>24.770192999999999</v>
      </c>
    </row>
    <row r="680" spans="2:22">
      <c r="B680" s="6">
        <v>32075</v>
      </c>
      <c r="C680" s="6" t="s">
        <v>1064</v>
      </c>
      <c r="D680" s="6">
        <v>10100</v>
      </c>
      <c r="E680" s="6" t="s">
        <v>48</v>
      </c>
      <c r="F680" s="6" t="s">
        <v>49</v>
      </c>
      <c r="G680" s="6" t="s">
        <v>1296</v>
      </c>
      <c r="H680" s="6">
        <v>0</v>
      </c>
      <c r="I680" s="6">
        <v>0</v>
      </c>
      <c r="J680" s="6">
        <v>18.5</v>
      </c>
      <c r="K680" s="6">
        <v>0</v>
      </c>
      <c r="L680" s="6">
        <v>0</v>
      </c>
      <c r="M680" s="6">
        <v>18.850000000000001</v>
      </c>
      <c r="N680" s="6">
        <v>0</v>
      </c>
      <c r="O680" s="6">
        <v>0</v>
      </c>
      <c r="P680" s="6">
        <v>18.850000000000001</v>
      </c>
      <c r="Q680" s="6">
        <v>0</v>
      </c>
      <c r="R680" s="6">
        <v>0</v>
      </c>
      <c r="S680" s="6">
        <v>18.850000000000001</v>
      </c>
      <c r="T680" s="6">
        <v>0</v>
      </c>
      <c r="U680" s="6">
        <v>0</v>
      </c>
      <c r="V680" s="6">
        <v>18.850000000000001</v>
      </c>
    </row>
    <row r="681" spans="2:22">
      <c r="B681" s="6">
        <v>32075</v>
      </c>
      <c r="C681" s="6" t="s">
        <v>1064</v>
      </c>
      <c r="D681" s="6">
        <v>20500</v>
      </c>
      <c r="E681" s="6" t="s">
        <v>31</v>
      </c>
      <c r="F681" s="6" t="s">
        <v>17</v>
      </c>
      <c r="G681" s="6" t="s">
        <v>1294</v>
      </c>
      <c r="H681" s="6">
        <v>0</v>
      </c>
      <c r="I681" s="6">
        <v>0</v>
      </c>
      <c r="J681" s="6">
        <v>27</v>
      </c>
      <c r="K681" s="6">
        <v>26.179282000000001</v>
      </c>
      <c r="L681" s="6">
        <v>26.186138</v>
      </c>
      <c r="M681" s="6">
        <v>25.935728999999998</v>
      </c>
      <c r="N681" s="6">
        <v>26.108958000000001</v>
      </c>
      <c r="O681" s="6">
        <v>26.328648000000001</v>
      </c>
      <c r="P681" s="6">
        <v>26.003786000000002</v>
      </c>
      <c r="Q681" s="6">
        <v>26.101534000000001</v>
      </c>
      <c r="R681" s="6">
        <v>26.316153</v>
      </c>
      <c r="S681" s="6">
        <v>25.991613999999998</v>
      </c>
      <c r="T681" s="6">
        <v>25.645997000000001</v>
      </c>
      <c r="U681" s="6">
        <v>25.223958</v>
      </c>
      <c r="V681" s="6">
        <v>24.770192999999999</v>
      </c>
    </row>
    <row r="682" spans="2:22">
      <c r="B682" s="6">
        <v>32075</v>
      </c>
      <c r="C682" s="6" t="s">
        <v>1064</v>
      </c>
      <c r="D682" s="6">
        <v>20713</v>
      </c>
      <c r="E682" s="6" t="s">
        <v>147</v>
      </c>
      <c r="F682" s="6" t="s">
        <v>17</v>
      </c>
      <c r="G682" s="6" t="s">
        <v>1294</v>
      </c>
      <c r="H682" s="6">
        <v>0</v>
      </c>
      <c r="I682" s="6">
        <v>0</v>
      </c>
      <c r="J682" s="6">
        <v>25</v>
      </c>
      <c r="K682" s="6">
        <v>25</v>
      </c>
      <c r="L682" s="6">
        <v>25.175438</v>
      </c>
      <c r="M682" s="6">
        <v>25.10989</v>
      </c>
      <c r="N682" s="6">
        <v>25.272727</v>
      </c>
      <c r="O682" s="6">
        <v>25.25</v>
      </c>
      <c r="P682" s="6">
        <v>25.15015</v>
      </c>
      <c r="Q682" s="6">
        <v>25.272727</v>
      </c>
      <c r="R682" s="6">
        <v>25.25</v>
      </c>
      <c r="S682" s="6">
        <v>25.15015</v>
      </c>
      <c r="T682" s="6">
        <v>25.272727</v>
      </c>
      <c r="U682" s="6">
        <v>25.25</v>
      </c>
      <c r="V682" s="6">
        <v>25.15015</v>
      </c>
    </row>
    <row r="683" spans="2:22">
      <c r="B683" s="6">
        <v>32075</v>
      </c>
      <c r="C683" s="6" t="s">
        <v>1064</v>
      </c>
      <c r="D683" s="6">
        <v>20902</v>
      </c>
      <c r="E683" s="6" t="s">
        <v>53</v>
      </c>
      <c r="F683" s="6" t="s">
        <v>13</v>
      </c>
      <c r="G683" s="6" t="s">
        <v>14</v>
      </c>
      <c r="H683" s="6">
        <v>0</v>
      </c>
      <c r="I683" s="6">
        <v>0</v>
      </c>
      <c r="J683" s="6">
        <v>15</v>
      </c>
      <c r="K683" s="6">
        <v>18.635802000000002</v>
      </c>
      <c r="L683" s="6">
        <v>18.195121</v>
      </c>
      <c r="M683" s="6">
        <v>17.625368000000002</v>
      </c>
      <c r="N683" s="6">
        <v>19.181818</v>
      </c>
      <c r="O683" s="6">
        <v>19.119288999999998</v>
      </c>
      <c r="P683" s="6">
        <v>18.784502</v>
      </c>
      <c r="Q683" s="6">
        <v>19.181818</v>
      </c>
      <c r="R683" s="6">
        <v>19.101835999999999</v>
      </c>
      <c r="S683" s="6">
        <v>18.763134000000001</v>
      </c>
      <c r="T683" s="6">
        <v>19.181818</v>
      </c>
      <c r="U683" s="6">
        <v>19.101835999999999</v>
      </c>
      <c r="V683" s="6">
        <v>18.763134000000001</v>
      </c>
    </row>
    <row r="684" spans="2:22">
      <c r="B684" s="6">
        <v>32076</v>
      </c>
      <c r="C684" s="6" t="s">
        <v>1050</v>
      </c>
      <c r="D684" s="6">
        <v>10100</v>
      </c>
      <c r="E684" s="6" t="s">
        <v>48</v>
      </c>
      <c r="F684" s="6" t="s">
        <v>49</v>
      </c>
      <c r="G684" s="6" t="s">
        <v>1296</v>
      </c>
      <c r="H684" s="6">
        <v>0</v>
      </c>
      <c r="I684" s="6">
        <v>0</v>
      </c>
      <c r="J684" s="6">
        <v>19.333333</v>
      </c>
      <c r="K684" s="6">
        <v>0</v>
      </c>
      <c r="L684" s="6">
        <v>0</v>
      </c>
      <c r="M684" s="6">
        <v>18.850000000000001</v>
      </c>
      <c r="N684" s="6">
        <v>0</v>
      </c>
      <c r="O684" s="6">
        <v>0</v>
      </c>
      <c r="P684" s="6">
        <v>18.850000000000001</v>
      </c>
      <c r="Q684" s="6">
        <v>0</v>
      </c>
      <c r="R684" s="6">
        <v>0</v>
      </c>
      <c r="S684" s="6">
        <v>18.850000000000001</v>
      </c>
      <c r="T684" s="6">
        <v>0</v>
      </c>
      <c r="U684" s="6">
        <v>0</v>
      </c>
      <c r="V684" s="6">
        <v>18.850000000000001</v>
      </c>
    </row>
    <row r="685" spans="2:22">
      <c r="B685" s="6">
        <v>32076</v>
      </c>
      <c r="C685" s="6" t="s">
        <v>1050</v>
      </c>
      <c r="D685" s="6">
        <v>20500</v>
      </c>
      <c r="E685" s="6" t="s">
        <v>31</v>
      </c>
      <c r="F685" s="6" t="s">
        <v>17</v>
      </c>
      <c r="G685" s="6" t="s">
        <v>1294</v>
      </c>
      <c r="H685" s="6">
        <v>0</v>
      </c>
      <c r="I685" s="6">
        <v>0</v>
      </c>
      <c r="J685" s="6">
        <v>27</v>
      </c>
      <c r="K685" s="6">
        <v>26.179282000000001</v>
      </c>
      <c r="L685" s="6">
        <v>26.186138</v>
      </c>
      <c r="M685" s="6">
        <v>25.935728999999998</v>
      </c>
      <c r="N685" s="6">
        <v>26.108958000000001</v>
      </c>
      <c r="O685" s="6">
        <v>26.328648000000001</v>
      </c>
      <c r="P685" s="6">
        <v>26.003786000000002</v>
      </c>
      <c r="Q685" s="6">
        <v>26.101534000000001</v>
      </c>
      <c r="R685" s="6">
        <v>26.316153</v>
      </c>
      <c r="S685" s="6">
        <v>25.991613999999998</v>
      </c>
      <c r="T685" s="6">
        <v>25.645997000000001</v>
      </c>
      <c r="U685" s="6">
        <v>25.223958</v>
      </c>
      <c r="V685" s="6">
        <v>24.770192999999999</v>
      </c>
    </row>
    <row r="686" spans="2:22">
      <c r="B686" s="6">
        <v>32076</v>
      </c>
      <c r="C686" s="6" t="s">
        <v>1050</v>
      </c>
      <c r="D686" s="6">
        <v>20713</v>
      </c>
      <c r="E686" s="6" t="s">
        <v>147</v>
      </c>
      <c r="F686" s="6" t="s">
        <v>17</v>
      </c>
      <c r="G686" s="6" t="s">
        <v>1294</v>
      </c>
      <c r="H686" s="6">
        <v>0</v>
      </c>
      <c r="I686" s="6">
        <v>0</v>
      </c>
      <c r="J686" s="6">
        <v>25</v>
      </c>
      <c r="K686" s="6">
        <v>25</v>
      </c>
      <c r="L686" s="6">
        <v>25.175438</v>
      </c>
      <c r="M686" s="6">
        <v>25.10989</v>
      </c>
      <c r="N686" s="6">
        <v>25.272727</v>
      </c>
      <c r="O686" s="6">
        <v>25.25</v>
      </c>
      <c r="P686" s="6">
        <v>25.15015</v>
      </c>
      <c r="Q686" s="6">
        <v>25.272727</v>
      </c>
      <c r="R686" s="6">
        <v>25.25</v>
      </c>
      <c r="S686" s="6">
        <v>25.15015</v>
      </c>
      <c r="T686" s="6">
        <v>25.272727</v>
      </c>
      <c r="U686" s="6">
        <v>25.25</v>
      </c>
      <c r="V686" s="6">
        <v>25.15015</v>
      </c>
    </row>
    <row r="687" spans="2:22">
      <c r="B687" s="6">
        <v>32076</v>
      </c>
      <c r="C687" s="6" t="s">
        <v>1050</v>
      </c>
      <c r="D687" s="6">
        <v>20902</v>
      </c>
      <c r="E687" s="6" t="s">
        <v>53</v>
      </c>
      <c r="F687" s="6" t="s">
        <v>13</v>
      </c>
      <c r="G687" s="6" t="s">
        <v>14</v>
      </c>
      <c r="H687" s="6">
        <v>0</v>
      </c>
      <c r="I687" s="6">
        <v>0</v>
      </c>
      <c r="J687" s="6">
        <v>17.666665999999999</v>
      </c>
      <c r="K687" s="6">
        <v>18.635802000000002</v>
      </c>
      <c r="L687" s="6">
        <v>18.195121</v>
      </c>
      <c r="M687" s="6">
        <v>17.625368000000002</v>
      </c>
      <c r="N687" s="6">
        <v>19.181818</v>
      </c>
      <c r="O687" s="6">
        <v>19.119288999999998</v>
      </c>
      <c r="P687" s="6">
        <v>18.784502</v>
      </c>
      <c r="Q687" s="6">
        <v>19.181818</v>
      </c>
      <c r="R687" s="6">
        <v>19.101835999999999</v>
      </c>
      <c r="S687" s="6">
        <v>18.763134000000001</v>
      </c>
      <c r="T687" s="6">
        <v>19.181818</v>
      </c>
      <c r="U687" s="6">
        <v>19.101835999999999</v>
      </c>
      <c r="V687" s="6">
        <v>18.763134000000001</v>
      </c>
    </row>
    <row r="688" spans="2:22">
      <c r="B688" s="6">
        <v>32077</v>
      </c>
      <c r="C688" s="6" t="s">
        <v>1084</v>
      </c>
      <c r="D688" s="6">
        <v>10100</v>
      </c>
      <c r="E688" s="6" t="s">
        <v>48</v>
      </c>
      <c r="F688" s="6" t="s">
        <v>49</v>
      </c>
      <c r="G688" s="6" t="s">
        <v>1296</v>
      </c>
      <c r="H688" s="6">
        <v>0</v>
      </c>
      <c r="I688" s="6">
        <v>0</v>
      </c>
      <c r="J688" s="6">
        <v>18.428571000000002</v>
      </c>
      <c r="K688" s="6">
        <v>0</v>
      </c>
      <c r="L688" s="6">
        <v>0</v>
      </c>
      <c r="M688" s="6">
        <v>18.850000000000001</v>
      </c>
      <c r="N688" s="6">
        <v>0</v>
      </c>
      <c r="O688" s="6">
        <v>0</v>
      </c>
      <c r="P688" s="6">
        <v>18.850000000000001</v>
      </c>
      <c r="Q688" s="6">
        <v>0</v>
      </c>
      <c r="R688" s="6">
        <v>0</v>
      </c>
      <c r="S688" s="6">
        <v>18.850000000000001</v>
      </c>
      <c r="T688" s="6">
        <v>0</v>
      </c>
      <c r="U688" s="6">
        <v>0</v>
      </c>
      <c r="V688" s="6">
        <v>18.850000000000001</v>
      </c>
    </row>
    <row r="689" spans="2:22">
      <c r="B689" s="6">
        <v>32077</v>
      </c>
      <c r="C689" s="6" t="s">
        <v>1084</v>
      </c>
      <c r="D689" s="6">
        <v>20500</v>
      </c>
      <c r="E689" s="6" t="s">
        <v>31</v>
      </c>
      <c r="F689" s="6" t="s">
        <v>17</v>
      </c>
      <c r="G689" s="6" t="s">
        <v>1294</v>
      </c>
      <c r="H689" s="6">
        <v>0</v>
      </c>
      <c r="I689" s="6">
        <v>0</v>
      </c>
      <c r="J689" s="6">
        <v>27</v>
      </c>
      <c r="K689" s="6">
        <v>26.179282000000001</v>
      </c>
      <c r="L689" s="6">
        <v>26.186138</v>
      </c>
      <c r="M689" s="6">
        <v>25.935728999999998</v>
      </c>
      <c r="N689" s="6">
        <v>26.108958000000001</v>
      </c>
      <c r="O689" s="6">
        <v>26.328648000000001</v>
      </c>
      <c r="P689" s="6">
        <v>26.003786000000002</v>
      </c>
      <c r="Q689" s="6">
        <v>26.101534000000001</v>
      </c>
      <c r="R689" s="6">
        <v>26.316153</v>
      </c>
      <c r="S689" s="6">
        <v>25.991613999999998</v>
      </c>
      <c r="T689" s="6">
        <v>25.645997000000001</v>
      </c>
      <c r="U689" s="6">
        <v>25.223958</v>
      </c>
      <c r="V689" s="6">
        <v>24.770192999999999</v>
      </c>
    </row>
    <row r="690" spans="2:22">
      <c r="B690" s="6">
        <v>32077</v>
      </c>
      <c r="C690" s="6" t="s">
        <v>1084</v>
      </c>
      <c r="D690" s="6">
        <v>20713</v>
      </c>
      <c r="E690" s="6" t="s">
        <v>147</v>
      </c>
      <c r="F690" s="6" t="s">
        <v>17</v>
      </c>
      <c r="G690" s="6" t="s">
        <v>1294</v>
      </c>
      <c r="H690" s="6">
        <v>0</v>
      </c>
      <c r="I690" s="6">
        <v>0</v>
      </c>
      <c r="J690" s="6">
        <v>25</v>
      </c>
      <c r="K690" s="6">
        <v>25</v>
      </c>
      <c r="L690" s="6">
        <v>25.175438</v>
      </c>
      <c r="M690" s="6">
        <v>25.10989</v>
      </c>
      <c r="N690" s="6">
        <v>25.272727</v>
      </c>
      <c r="O690" s="6">
        <v>25.25</v>
      </c>
      <c r="P690" s="6">
        <v>25.15015</v>
      </c>
      <c r="Q690" s="6">
        <v>25.272727</v>
      </c>
      <c r="R690" s="6">
        <v>25.25</v>
      </c>
      <c r="S690" s="6">
        <v>25.15015</v>
      </c>
      <c r="T690" s="6">
        <v>25.272727</v>
      </c>
      <c r="U690" s="6">
        <v>25.25</v>
      </c>
      <c r="V690" s="6">
        <v>25.15015</v>
      </c>
    </row>
    <row r="691" spans="2:22">
      <c r="B691" s="6">
        <v>32077</v>
      </c>
      <c r="C691" s="6" t="s">
        <v>1084</v>
      </c>
      <c r="D691" s="6">
        <v>20902</v>
      </c>
      <c r="E691" s="6" t="s">
        <v>53</v>
      </c>
      <c r="F691" s="6" t="s">
        <v>13</v>
      </c>
      <c r="G691" s="6" t="s">
        <v>14</v>
      </c>
      <c r="H691" s="6">
        <v>0</v>
      </c>
      <c r="I691" s="6">
        <v>0</v>
      </c>
      <c r="J691" s="6">
        <v>20</v>
      </c>
      <c r="K691" s="6">
        <v>18.635802000000002</v>
      </c>
      <c r="L691" s="6">
        <v>18.195121</v>
      </c>
      <c r="M691" s="6">
        <v>17.625368000000002</v>
      </c>
      <c r="N691" s="6">
        <v>19.181818</v>
      </c>
      <c r="O691" s="6">
        <v>19.119288999999998</v>
      </c>
      <c r="P691" s="6">
        <v>18.784502</v>
      </c>
      <c r="Q691" s="6">
        <v>19.181818</v>
      </c>
      <c r="R691" s="6">
        <v>19.101835999999999</v>
      </c>
      <c r="S691" s="6">
        <v>18.763134000000001</v>
      </c>
      <c r="T691" s="6">
        <v>19.181818</v>
      </c>
      <c r="U691" s="6">
        <v>19.101835999999999</v>
      </c>
      <c r="V691" s="6">
        <v>18.763134000000001</v>
      </c>
    </row>
    <row r="692" spans="2:22">
      <c r="B692" s="6">
        <v>32079</v>
      </c>
      <c r="C692" s="6" t="s">
        <v>1158</v>
      </c>
      <c r="D692" s="6">
        <v>21000</v>
      </c>
      <c r="E692" s="6" t="s">
        <v>276</v>
      </c>
      <c r="F692" s="6" t="s">
        <v>38</v>
      </c>
      <c r="G692" s="6" t="s">
        <v>1302</v>
      </c>
      <c r="H692" s="6">
        <v>10</v>
      </c>
      <c r="I692" s="6">
        <v>10</v>
      </c>
      <c r="J692" s="6">
        <v>10</v>
      </c>
      <c r="K692" s="6">
        <v>10</v>
      </c>
      <c r="L692" s="6">
        <v>10</v>
      </c>
      <c r="M692" s="6">
        <v>10</v>
      </c>
      <c r="N692" s="6">
        <v>10</v>
      </c>
      <c r="O692" s="6">
        <v>10</v>
      </c>
      <c r="P692" s="6">
        <v>10</v>
      </c>
      <c r="Q692" s="6">
        <v>10</v>
      </c>
      <c r="R692" s="6">
        <v>10</v>
      </c>
      <c r="S692" s="6">
        <v>10</v>
      </c>
      <c r="T692" s="6">
        <v>10</v>
      </c>
      <c r="U692" s="6">
        <v>10</v>
      </c>
      <c r="V692" s="6">
        <v>10</v>
      </c>
    </row>
    <row r="693" spans="2:22">
      <c r="B693" s="6">
        <v>32079</v>
      </c>
      <c r="C693" s="6" t="s">
        <v>1158</v>
      </c>
      <c r="D693" s="6">
        <v>23500</v>
      </c>
      <c r="E693" s="6" t="s">
        <v>37</v>
      </c>
      <c r="F693" s="6" t="s">
        <v>38</v>
      </c>
      <c r="G693" s="6" t="s">
        <v>1302</v>
      </c>
      <c r="H693" s="6">
        <v>10</v>
      </c>
      <c r="I693" s="6">
        <v>10</v>
      </c>
      <c r="J693" s="6">
        <v>10</v>
      </c>
      <c r="K693" s="6">
        <v>10</v>
      </c>
      <c r="L693" s="6">
        <v>10</v>
      </c>
      <c r="M693" s="6">
        <v>10</v>
      </c>
      <c r="N693" s="6">
        <v>10</v>
      </c>
      <c r="O693" s="6">
        <v>10</v>
      </c>
      <c r="P693" s="6">
        <v>10</v>
      </c>
      <c r="Q693" s="6">
        <v>10</v>
      </c>
      <c r="R693" s="6">
        <v>10</v>
      </c>
      <c r="S693" s="6">
        <v>10</v>
      </c>
      <c r="T693" s="6">
        <v>10</v>
      </c>
      <c r="U693" s="6">
        <v>10</v>
      </c>
      <c r="V693" s="6">
        <v>10</v>
      </c>
    </row>
    <row r="694" spans="2:22">
      <c r="B694" s="6">
        <v>32083</v>
      </c>
      <c r="C694" s="6" t="s">
        <v>998</v>
      </c>
      <c r="D694" s="6">
        <v>12400</v>
      </c>
      <c r="E694" s="6" t="s">
        <v>217</v>
      </c>
      <c r="F694" s="6" t="s">
        <v>16</v>
      </c>
      <c r="G694" s="6" t="s">
        <v>1295</v>
      </c>
      <c r="H694" s="6">
        <v>0</v>
      </c>
      <c r="I694" s="6">
        <v>0</v>
      </c>
      <c r="J694" s="6">
        <v>8</v>
      </c>
      <c r="K694" s="6">
        <v>0</v>
      </c>
      <c r="L694" s="6">
        <v>0</v>
      </c>
      <c r="M694" s="6">
        <v>8</v>
      </c>
      <c r="N694" s="6">
        <v>9.2387090000000001</v>
      </c>
      <c r="O694" s="6">
        <v>8.7126429999999999</v>
      </c>
      <c r="P694" s="6">
        <v>8.6856360000000006</v>
      </c>
      <c r="Q694" s="6">
        <v>9.2387090000000001</v>
      </c>
      <c r="R694" s="6">
        <v>8.7126429999999999</v>
      </c>
      <c r="S694" s="6">
        <v>8.6856360000000006</v>
      </c>
      <c r="T694" s="6">
        <v>8.8875729999999997</v>
      </c>
      <c r="U694" s="6">
        <v>8.6089380000000002</v>
      </c>
      <c r="V694" s="6">
        <v>8.6174140000000001</v>
      </c>
    </row>
    <row r="695" spans="2:22">
      <c r="B695" s="6">
        <v>32083</v>
      </c>
      <c r="C695" s="6" t="s">
        <v>998</v>
      </c>
      <c r="D695" s="6">
        <v>20500</v>
      </c>
      <c r="E695" s="6" t="s">
        <v>31</v>
      </c>
      <c r="F695" s="6" t="s">
        <v>16</v>
      </c>
      <c r="G695" s="6" t="s">
        <v>1295</v>
      </c>
      <c r="H695" s="6">
        <v>0</v>
      </c>
      <c r="I695" s="6">
        <v>0</v>
      </c>
      <c r="J695" s="6">
        <v>10</v>
      </c>
      <c r="K695" s="6">
        <v>0</v>
      </c>
      <c r="L695" s="6">
        <v>0</v>
      </c>
      <c r="M695" s="6">
        <v>10</v>
      </c>
      <c r="N695" s="6">
        <v>10</v>
      </c>
      <c r="O695" s="6">
        <v>10</v>
      </c>
      <c r="P695" s="6">
        <v>9.9904759999999992</v>
      </c>
      <c r="Q695" s="6">
        <v>10</v>
      </c>
      <c r="R695" s="6">
        <v>10</v>
      </c>
      <c r="S695" s="6">
        <v>9.9904759999999992</v>
      </c>
      <c r="T695" s="6">
        <v>16.909089999999999</v>
      </c>
      <c r="U695" s="6">
        <v>13.130081000000001</v>
      </c>
      <c r="V695" s="6">
        <v>12.707865</v>
      </c>
    </row>
    <row r="696" spans="2:22">
      <c r="B696" s="6">
        <v>32083</v>
      </c>
      <c r="C696" s="6" t="s">
        <v>998</v>
      </c>
      <c r="D696" s="6">
        <v>20904</v>
      </c>
      <c r="E696" s="6" t="s">
        <v>156</v>
      </c>
      <c r="F696" s="6" t="s">
        <v>16</v>
      </c>
      <c r="G696" s="6" t="s">
        <v>1295</v>
      </c>
      <c r="H696" s="6">
        <v>0</v>
      </c>
      <c r="I696" s="6">
        <v>0</v>
      </c>
      <c r="J696" s="6">
        <v>15</v>
      </c>
      <c r="K696" s="6">
        <v>0</v>
      </c>
      <c r="L696" s="6">
        <v>0</v>
      </c>
      <c r="M696" s="6">
        <v>15</v>
      </c>
      <c r="N696" s="6">
        <v>14.736841999999999</v>
      </c>
      <c r="O696" s="6">
        <v>14.21875</v>
      </c>
      <c r="P696" s="6">
        <v>13.268817</v>
      </c>
      <c r="Q696" s="6">
        <v>14.736841999999999</v>
      </c>
      <c r="R696" s="6">
        <v>14.21875</v>
      </c>
      <c r="S696" s="6">
        <v>13.268817</v>
      </c>
      <c r="T696" s="6">
        <v>14.736841999999999</v>
      </c>
      <c r="U696" s="6">
        <v>14.21875</v>
      </c>
      <c r="V696" s="6">
        <v>13.268817</v>
      </c>
    </row>
    <row r="697" spans="2:22">
      <c r="B697" s="6">
        <v>32089</v>
      </c>
      <c r="C697" s="6" t="s">
        <v>240</v>
      </c>
      <c r="D697" s="6">
        <v>23500</v>
      </c>
      <c r="E697" s="6" t="s">
        <v>37</v>
      </c>
      <c r="F697" s="6" t="s">
        <v>38</v>
      </c>
      <c r="G697" s="6" t="s">
        <v>1302</v>
      </c>
      <c r="H697" s="6">
        <v>0</v>
      </c>
      <c r="I697" s="6">
        <v>9</v>
      </c>
      <c r="J697" s="6">
        <v>9</v>
      </c>
      <c r="K697" s="6">
        <v>0</v>
      </c>
      <c r="L697" s="6">
        <v>9</v>
      </c>
      <c r="M697" s="6">
        <v>9</v>
      </c>
      <c r="N697" s="6">
        <v>9</v>
      </c>
      <c r="O697" s="6">
        <v>9</v>
      </c>
      <c r="P697" s="6">
        <v>9.0625</v>
      </c>
      <c r="Q697" s="6">
        <v>9</v>
      </c>
      <c r="R697" s="6">
        <v>9</v>
      </c>
      <c r="S697" s="6">
        <v>9.0625</v>
      </c>
      <c r="T697" s="6">
        <v>11.785714</v>
      </c>
      <c r="U697" s="6">
        <v>11.76</v>
      </c>
      <c r="V697" s="6">
        <v>11.773755</v>
      </c>
    </row>
    <row r="698" spans="2:22">
      <c r="B698" s="6">
        <v>32090</v>
      </c>
      <c r="C698" s="6" t="s">
        <v>36</v>
      </c>
      <c r="D698" s="6">
        <v>23500</v>
      </c>
      <c r="E698" s="6" t="s">
        <v>37</v>
      </c>
      <c r="F698" s="6" t="s">
        <v>38</v>
      </c>
      <c r="G698" s="6" t="s">
        <v>1302</v>
      </c>
      <c r="H698" s="6">
        <v>12</v>
      </c>
      <c r="I698" s="6">
        <v>12</v>
      </c>
      <c r="J698" s="6">
        <v>11.985365</v>
      </c>
      <c r="K698" s="6">
        <v>12</v>
      </c>
      <c r="L698" s="6">
        <v>12</v>
      </c>
      <c r="M698" s="6">
        <v>11.985365</v>
      </c>
      <c r="N698" s="6">
        <v>12</v>
      </c>
      <c r="O698" s="6">
        <v>12</v>
      </c>
      <c r="P698" s="6">
        <v>11.985365</v>
      </c>
      <c r="Q698" s="6">
        <v>12</v>
      </c>
      <c r="R698" s="6">
        <v>12</v>
      </c>
      <c r="S698" s="6">
        <v>11.985365</v>
      </c>
      <c r="T698" s="6">
        <v>11.785714</v>
      </c>
      <c r="U698" s="6">
        <v>11.76</v>
      </c>
      <c r="V698" s="6">
        <v>11.773755</v>
      </c>
    </row>
    <row r="699" spans="2:22">
      <c r="B699" s="6">
        <v>32105</v>
      </c>
      <c r="C699" s="6" t="s">
        <v>1008</v>
      </c>
      <c r="D699" s="6">
        <v>12400</v>
      </c>
      <c r="E699" s="6" t="s">
        <v>217</v>
      </c>
      <c r="F699" s="6" t="s">
        <v>16</v>
      </c>
      <c r="G699" s="6" t="s">
        <v>1295</v>
      </c>
      <c r="H699" s="6">
        <v>8</v>
      </c>
      <c r="I699" s="6">
        <v>8</v>
      </c>
      <c r="J699" s="6">
        <v>8</v>
      </c>
      <c r="K699" s="6">
        <v>8</v>
      </c>
      <c r="L699" s="6">
        <v>8</v>
      </c>
      <c r="M699" s="6">
        <v>8</v>
      </c>
      <c r="N699" s="6">
        <v>9.2387090000000001</v>
      </c>
      <c r="O699" s="6">
        <v>8.7126429999999999</v>
      </c>
      <c r="P699" s="6">
        <v>8.6856360000000006</v>
      </c>
      <c r="Q699" s="6">
        <v>9.2387090000000001</v>
      </c>
      <c r="R699" s="6">
        <v>8.7126429999999999</v>
      </c>
      <c r="S699" s="6">
        <v>8.6856360000000006</v>
      </c>
      <c r="T699" s="6">
        <v>8.8875729999999997</v>
      </c>
      <c r="U699" s="6">
        <v>8.6089380000000002</v>
      </c>
      <c r="V699" s="6">
        <v>8.6174140000000001</v>
      </c>
    </row>
    <row r="700" spans="2:22">
      <c r="B700" s="6">
        <v>32105</v>
      </c>
      <c r="C700" s="6" t="s">
        <v>1008</v>
      </c>
      <c r="D700" s="6">
        <v>20904</v>
      </c>
      <c r="E700" s="6" t="s">
        <v>156</v>
      </c>
      <c r="F700" s="6" t="s">
        <v>16</v>
      </c>
      <c r="G700" s="6" t="s">
        <v>1295</v>
      </c>
      <c r="H700" s="6">
        <v>20</v>
      </c>
      <c r="I700" s="6">
        <v>20</v>
      </c>
      <c r="J700" s="6">
        <v>20</v>
      </c>
      <c r="K700" s="6">
        <v>20</v>
      </c>
      <c r="L700" s="6">
        <v>20</v>
      </c>
      <c r="M700" s="6">
        <v>20</v>
      </c>
      <c r="N700" s="6">
        <v>14.736841999999999</v>
      </c>
      <c r="O700" s="6">
        <v>14.21875</v>
      </c>
      <c r="P700" s="6">
        <v>13.268817</v>
      </c>
      <c r="Q700" s="6">
        <v>14.736841999999999</v>
      </c>
      <c r="R700" s="6">
        <v>14.21875</v>
      </c>
      <c r="S700" s="6">
        <v>13.268817</v>
      </c>
      <c r="T700" s="6">
        <v>14.736841999999999</v>
      </c>
      <c r="U700" s="6">
        <v>14.21875</v>
      </c>
      <c r="V700" s="6">
        <v>13.268817</v>
      </c>
    </row>
    <row r="701" spans="2:22">
      <c r="B701" s="6">
        <v>32105</v>
      </c>
      <c r="C701" s="6" t="s">
        <v>1008</v>
      </c>
      <c r="D701" s="6">
        <v>23311</v>
      </c>
      <c r="E701" s="6" t="s">
        <v>221</v>
      </c>
      <c r="F701" s="6" t="s">
        <v>16</v>
      </c>
      <c r="G701" s="6" t="s">
        <v>1295</v>
      </c>
      <c r="H701" s="6">
        <v>10</v>
      </c>
      <c r="I701" s="6">
        <v>10</v>
      </c>
      <c r="J701" s="6">
        <v>10</v>
      </c>
      <c r="K701" s="6">
        <v>10</v>
      </c>
      <c r="L701" s="6">
        <v>10</v>
      </c>
      <c r="M701" s="6">
        <v>10</v>
      </c>
      <c r="N701" s="6">
        <v>10.099009000000001</v>
      </c>
      <c r="O701" s="6">
        <v>10.02364</v>
      </c>
      <c r="P701" s="6">
        <v>10.011260999999999</v>
      </c>
      <c r="Q701" s="6">
        <v>10.099009000000001</v>
      </c>
      <c r="R701" s="6">
        <v>10.02364</v>
      </c>
      <c r="S701" s="6">
        <v>10.011260999999999</v>
      </c>
      <c r="T701" s="6">
        <v>10.099009000000001</v>
      </c>
      <c r="U701" s="6">
        <v>10.02364</v>
      </c>
      <c r="V701" s="6">
        <v>10.011260999999999</v>
      </c>
    </row>
    <row r="702" spans="2:22">
      <c r="B702" s="6">
        <v>32108</v>
      </c>
      <c r="C702" s="6" t="s">
        <v>1122</v>
      </c>
      <c r="D702" s="6">
        <v>12400</v>
      </c>
      <c r="E702" s="6" t="s">
        <v>217</v>
      </c>
      <c r="F702" s="6" t="s">
        <v>16</v>
      </c>
      <c r="G702" s="6" t="s">
        <v>1295</v>
      </c>
      <c r="H702" s="6">
        <v>5</v>
      </c>
      <c r="I702" s="6">
        <v>5</v>
      </c>
      <c r="J702" s="6">
        <v>5</v>
      </c>
      <c r="K702" s="6">
        <v>5</v>
      </c>
      <c r="L702" s="6">
        <v>5</v>
      </c>
      <c r="M702" s="6">
        <v>6.1</v>
      </c>
      <c r="N702" s="6">
        <v>5</v>
      </c>
      <c r="O702" s="6">
        <v>5</v>
      </c>
      <c r="P702" s="6">
        <v>6.1</v>
      </c>
      <c r="Q702" s="6">
        <v>5</v>
      </c>
      <c r="R702" s="6">
        <v>5</v>
      </c>
      <c r="S702" s="6">
        <v>6.1</v>
      </c>
      <c r="T702" s="6">
        <v>8.8875729999999997</v>
      </c>
      <c r="U702" s="6">
        <v>8.6089380000000002</v>
      </c>
      <c r="V702" s="6">
        <v>8.6174140000000001</v>
      </c>
    </row>
    <row r="703" spans="2:22">
      <c r="B703" s="6">
        <v>32108</v>
      </c>
      <c r="C703" s="6" t="s">
        <v>1122</v>
      </c>
      <c r="D703" s="6">
        <v>20500</v>
      </c>
      <c r="E703" s="6" t="s">
        <v>31</v>
      </c>
      <c r="F703" s="6" t="s">
        <v>16</v>
      </c>
      <c r="G703" s="6" t="s">
        <v>1295</v>
      </c>
      <c r="H703" s="6">
        <v>15</v>
      </c>
      <c r="I703" s="6">
        <v>15</v>
      </c>
      <c r="J703" s="6">
        <v>15</v>
      </c>
      <c r="K703" s="6">
        <v>15</v>
      </c>
      <c r="L703" s="6">
        <v>15</v>
      </c>
      <c r="M703" s="6">
        <v>15</v>
      </c>
      <c r="N703" s="6">
        <v>15</v>
      </c>
      <c r="O703" s="6">
        <v>15</v>
      </c>
      <c r="P703" s="6">
        <v>15</v>
      </c>
      <c r="Q703" s="6">
        <v>15</v>
      </c>
      <c r="R703" s="6">
        <v>15</v>
      </c>
      <c r="S703" s="6">
        <v>15</v>
      </c>
      <c r="T703" s="6">
        <v>16.909089999999999</v>
      </c>
      <c r="U703" s="6">
        <v>13.130081000000001</v>
      </c>
      <c r="V703" s="6">
        <v>12.707865</v>
      </c>
    </row>
    <row r="704" spans="2:22">
      <c r="B704" s="6">
        <v>32108</v>
      </c>
      <c r="C704" s="6" t="s">
        <v>1122</v>
      </c>
      <c r="D704" s="6">
        <v>23312</v>
      </c>
      <c r="E704" s="6" t="s">
        <v>215</v>
      </c>
      <c r="F704" s="6" t="s">
        <v>16</v>
      </c>
      <c r="G704" s="6" t="s">
        <v>1295</v>
      </c>
      <c r="H704" s="6">
        <v>10</v>
      </c>
      <c r="I704" s="6">
        <v>10</v>
      </c>
      <c r="J704" s="6">
        <v>10</v>
      </c>
      <c r="K704" s="6">
        <v>10</v>
      </c>
      <c r="L704" s="6">
        <v>10</v>
      </c>
      <c r="M704" s="6">
        <v>10</v>
      </c>
      <c r="N704" s="6">
        <v>10</v>
      </c>
      <c r="O704" s="6">
        <v>10</v>
      </c>
      <c r="P704" s="6">
        <v>10</v>
      </c>
      <c r="Q704" s="6">
        <v>10</v>
      </c>
      <c r="R704" s="6">
        <v>10</v>
      </c>
      <c r="S704" s="6">
        <v>12</v>
      </c>
      <c r="T704" s="6">
        <v>10</v>
      </c>
      <c r="U704" s="6">
        <v>10</v>
      </c>
      <c r="V704" s="6">
        <v>10.5</v>
      </c>
    </row>
    <row r="705" spans="2:22">
      <c r="B705" s="6">
        <v>32111</v>
      </c>
      <c r="C705" s="6" t="s">
        <v>241</v>
      </c>
      <c r="D705" s="6">
        <v>12400</v>
      </c>
      <c r="E705" s="6" t="s">
        <v>217</v>
      </c>
      <c r="F705" s="6" t="s">
        <v>16</v>
      </c>
      <c r="G705" s="6" t="s">
        <v>1295</v>
      </c>
      <c r="H705" s="6">
        <v>0</v>
      </c>
      <c r="I705" s="6">
        <v>10</v>
      </c>
      <c r="J705" s="6">
        <v>10</v>
      </c>
      <c r="K705" s="6">
        <v>10</v>
      </c>
      <c r="L705" s="6">
        <v>10</v>
      </c>
      <c r="M705" s="6">
        <v>9.9817350000000005</v>
      </c>
      <c r="N705" s="6">
        <v>9.2387090000000001</v>
      </c>
      <c r="O705" s="6">
        <v>8.7126429999999999</v>
      </c>
      <c r="P705" s="6">
        <v>8.6856360000000006</v>
      </c>
      <c r="Q705" s="6">
        <v>9.2387090000000001</v>
      </c>
      <c r="R705" s="6">
        <v>8.7126429999999999</v>
      </c>
      <c r="S705" s="6">
        <v>8.6856360000000006</v>
      </c>
      <c r="T705" s="6">
        <v>8.8875729999999997</v>
      </c>
      <c r="U705" s="6">
        <v>8.6089380000000002</v>
      </c>
      <c r="V705" s="6">
        <v>8.6174140000000001</v>
      </c>
    </row>
    <row r="706" spans="2:22">
      <c r="B706" s="6">
        <v>32111</v>
      </c>
      <c r="C706" s="6" t="s">
        <v>241</v>
      </c>
      <c r="D706" s="6">
        <v>20904</v>
      </c>
      <c r="E706" s="6" t="s">
        <v>156</v>
      </c>
      <c r="F706" s="6" t="s">
        <v>16</v>
      </c>
      <c r="G706" s="6" t="s">
        <v>1295</v>
      </c>
      <c r="H706" s="6">
        <v>0</v>
      </c>
      <c r="I706" s="6">
        <v>15</v>
      </c>
      <c r="J706" s="6">
        <v>15</v>
      </c>
      <c r="K706" s="6">
        <v>15</v>
      </c>
      <c r="L706" s="6">
        <v>15</v>
      </c>
      <c r="M706" s="6">
        <v>15</v>
      </c>
      <c r="N706" s="6">
        <v>14.736841999999999</v>
      </c>
      <c r="O706" s="6">
        <v>14.21875</v>
      </c>
      <c r="P706" s="6">
        <v>13.268817</v>
      </c>
      <c r="Q706" s="6">
        <v>14.736841999999999</v>
      </c>
      <c r="R706" s="6">
        <v>14.21875</v>
      </c>
      <c r="S706" s="6">
        <v>13.268817</v>
      </c>
      <c r="T706" s="6">
        <v>14.736841999999999</v>
      </c>
      <c r="U706" s="6">
        <v>14.21875</v>
      </c>
      <c r="V706" s="6">
        <v>13.268817</v>
      </c>
    </row>
    <row r="707" spans="2:22">
      <c r="B707" s="6">
        <v>32111</v>
      </c>
      <c r="C707" s="6" t="s">
        <v>241</v>
      </c>
      <c r="D707" s="6">
        <v>23311</v>
      </c>
      <c r="E707" s="6" t="s">
        <v>221</v>
      </c>
      <c r="F707" s="6" t="s">
        <v>16</v>
      </c>
      <c r="G707" s="6" t="s">
        <v>1295</v>
      </c>
      <c r="H707" s="6">
        <v>0</v>
      </c>
      <c r="I707" s="6">
        <v>10</v>
      </c>
      <c r="J707" s="6">
        <v>10</v>
      </c>
      <c r="K707" s="6">
        <v>10</v>
      </c>
      <c r="L707" s="6">
        <v>10</v>
      </c>
      <c r="M707" s="6">
        <v>10</v>
      </c>
      <c r="N707" s="6">
        <v>10.099009000000001</v>
      </c>
      <c r="O707" s="6">
        <v>10.02364</v>
      </c>
      <c r="P707" s="6">
        <v>10.011260999999999</v>
      </c>
      <c r="Q707" s="6">
        <v>10.099009000000001</v>
      </c>
      <c r="R707" s="6">
        <v>10.02364</v>
      </c>
      <c r="S707" s="6">
        <v>10.011260999999999</v>
      </c>
      <c r="T707" s="6">
        <v>10.099009000000001</v>
      </c>
      <c r="U707" s="6">
        <v>10.02364</v>
      </c>
      <c r="V707" s="6">
        <v>10.011260999999999</v>
      </c>
    </row>
    <row r="708" spans="2:22">
      <c r="B708" s="6">
        <v>32118</v>
      </c>
      <c r="C708" s="6" t="s">
        <v>148</v>
      </c>
      <c r="D708" s="6">
        <v>20500</v>
      </c>
      <c r="E708" s="6" t="s">
        <v>31</v>
      </c>
      <c r="F708" s="6" t="s">
        <v>17</v>
      </c>
      <c r="G708" s="6" t="s">
        <v>1294</v>
      </c>
      <c r="H708" s="6">
        <v>0</v>
      </c>
      <c r="I708" s="6">
        <v>0</v>
      </c>
      <c r="J708" s="6">
        <v>27</v>
      </c>
      <c r="K708" s="6">
        <v>26.179282000000001</v>
      </c>
      <c r="L708" s="6">
        <v>26.186138</v>
      </c>
      <c r="M708" s="6">
        <v>25.935728999999998</v>
      </c>
      <c r="N708" s="6">
        <v>26.108958000000001</v>
      </c>
      <c r="O708" s="6">
        <v>26.328648000000001</v>
      </c>
      <c r="P708" s="6">
        <v>26.003786000000002</v>
      </c>
      <c r="Q708" s="6">
        <v>26.101534000000001</v>
      </c>
      <c r="R708" s="6">
        <v>26.316153</v>
      </c>
      <c r="S708" s="6">
        <v>25.991613999999998</v>
      </c>
      <c r="T708" s="6">
        <v>25.645997000000001</v>
      </c>
      <c r="U708" s="6">
        <v>25.223958</v>
      </c>
      <c r="V708" s="6">
        <v>24.770192999999999</v>
      </c>
    </row>
    <row r="709" spans="2:22">
      <c r="B709" s="6">
        <v>32118</v>
      </c>
      <c r="C709" s="6" t="s">
        <v>148</v>
      </c>
      <c r="D709" s="6">
        <v>20713</v>
      </c>
      <c r="E709" s="6" t="s">
        <v>147</v>
      </c>
      <c r="F709" s="6" t="s">
        <v>17</v>
      </c>
      <c r="G709" s="6" t="s">
        <v>1294</v>
      </c>
      <c r="H709" s="6">
        <v>0</v>
      </c>
      <c r="I709" s="6">
        <v>0</v>
      </c>
      <c r="J709" s="6">
        <v>25</v>
      </c>
      <c r="K709" s="6">
        <v>25</v>
      </c>
      <c r="L709" s="6">
        <v>25.175438</v>
      </c>
      <c r="M709" s="6">
        <v>25.10989</v>
      </c>
      <c r="N709" s="6">
        <v>25.272727</v>
      </c>
      <c r="O709" s="6">
        <v>25.25</v>
      </c>
      <c r="P709" s="6">
        <v>25.15015</v>
      </c>
      <c r="Q709" s="6">
        <v>25.272727</v>
      </c>
      <c r="R709" s="6">
        <v>25.25</v>
      </c>
      <c r="S709" s="6">
        <v>25.15015</v>
      </c>
      <c r="T709" s="6">
        <v>25.272727</v>
      </c>
      <c r="U709" s="6">
        <v>25.25</v>
      </c>
      <c r="V709" s="6">
        <v>25.15015</v>
      </c>
    </row>
    <row r="710" spans="2:22">
      <c r="B710" s="6">
        <v>32118</v>
      </c>
      <c r="C710" s="6" t="s">
        <v>148</v>
      </c>
      <c r="D710" s="6">
        <v>20902</v>
      </c>
      <c r="E710" s="6" t="s">
        <v>53</v>
      </c>
      <c r="F710" s="6" t="s">
        <v>13</v>
      </c>
      <c r="G710" s="6" t="s">
        <v>14</v>
      </c>
      <c r="H710" s="6">
        <v>0</v>
      </c>
      <c r="I710" s="6">
        <v>0</v>
      </c>
      <c r="J710" s="6">
        <v>20</v>
      </c>
      <c r="K710" s="6">
        <v>18.635802000000002</v>
      </c>
      <c r="L710" s="6">
        <v>18.195121</v>
      </c>
      <c r="M710" s="6">
        <v>17.625368000000002</v>
      </c>
      <c r="N710" s="6">
        <v>19.181818</v>
      </c>
      <c r="O710" s="6">
        <v>19.119288999999998</v>
      </c>
      <c r="P710" s="6">
        <v>18.784502</v>
      </c>
      <c r="Q710" s="6">
        <v>19.181818</v>
      </c>
      <c r="R710" s="6">
        <v>19.101835999999999</v>
      </c>
      <c r="S710" s="6">
        <v>18.763134000000001</v>
      </c>
      <c r="T710" s="6">
        <v>19.181818</v>
      </c>
      <c r="U710" s="6">
        <v>19.101835999999999</v>
      </c>
      <c r="V710" s="6">
        <v>18.763134000000001</v>
      </c>
    </row>
    <row r="711" spans="2:22">
      <c r="B711" s="6">
        <v>32118</v>
      </c>
      <c r="C711" s="6" t="s">
        <v>148</v>
      </c>
      <c r="D711" s="6">
        <v>20906</v>
      </c>
      <c r="E711" s="6" t="s">
        <v>48</v>
      </c>
      <c r="F711" s="6" t="s">
        <v>49</v>
      </c>
      <c r="G711" s="6" t="s">
        <v>1296</v>
      </c>
      <c r="H711" s="6">
        <v>0</v>
      </c>
      <c r="I711" s="6">
        <v>0</v>
      </c>
      <c r="J711" s="6">
        <v>17</v>
      </c>
      <c r="K711" s="6">
        <v>16.992394999999998</v>
      </c>
      <c r="L711" s="6">
        <v>16.951830000000001</v>
      </c>
      <c r="M711" s="6">
        <v>17.405908</v>
      </c>
      <c r="N711" s="6">
        <v>17.016705999999999</v>
      </c>
      <c r="O711" s="6">
        <v>16.954350000000002</v>
      </c>
      <c r="P711" s="6">
        <v>17.537869000000001</v>
      </c>
      <c r="Q711" s="6">
        <v>17.016335999999999</v>
      </c>
      <c r="R711" s="6">
        <v>16.958155999999999</v>
      </c>
      <c r="S711" s="6">
        <v>17.538882000000001</v>
      </c>
      <c r="T711" s="6">
        <v>17.016335999999999</v>
      </c>
      <c r="U711" s="6">
        <v>16.958155999999999</v>
      </c>
      <c r="V711" s="6">
        <v>17.538882000000001</v>
      </c>
    </row>
    <row r="712" spans="2:22">
      <c r="B712" s="6">
        <v>32160</v>
      </c>
      <c r="C712" s="6" t="s">
        <v>462</v>
      </c>
      <c r="D712" s="6">
        <v>20702</v>
      </c>
      <c r="E712" s="6" t="s">
        <v>44</v>
      </c>
      <c r="F712" s="6" t="s">
        <v>17</v>
      </c>
      <c r="G712" s="6" t="s">
        <v>1294</v>
      </c>
      <c r="H712" s="6">
        <v>0</v>
      </c>
      <c r="I712" s="6">
        <v>0</v>
      </c>
      <c r="J712" s="6">
        <v>35</v>
      </c>
      <c r="K712" s="6">
        <v>0</v>
      </c>
      <c r="L712" s="6">
        <v>35</v>
      </c>
      <c r="M712" s="6">
        <v>33.200000000000003</v>
      </c>
      <c r="N712" s="6">
        <v>35</v>
      </c>
      <c r="O712" s="6">
        <v>35</v>
      </c>
      <c r="P712" s="6">
        <v>33.5</v>
      </c>
      <c r="Q712" s="6">
        <v>34.894556999999999</v>
      </c>
      <c r="R712" s="6">
        <v>34.950949000000001</v>
      </c>
      <c r="S712" s="6">
        <v>34.883485</v>
      </c>
      <c r="T712" s="6">
        <v>34.894556999999999</v>
      </c>
      <c r="U712" s="6">
        <v>34.950949000000001</v>
      </c>
      <c r="V712" s="6">
        <v>34.883485</v>
      </c>
    </row>
    <row r="713" spans="2:22">
      <c r="B713" s="6">
        <v>32160</v>
      </c>
      <c r="C713" s="6" t="s">
        <v>462</v>
      </c>
      <c r="D713" s="6">
        <v>20902</v>
      </c>
      <c r="E713" s="6" t="s">
        <v>53</v>
      </c>
      <c r="F713" s="6" t="s">
        <v>16</v>
      </c>
      <c r="G713" s="6" t="s">
        <v>1295</v>
      </c>
      <c r="H713" s="6">
        <v>0</v>
      </c>
      <c r="I713" s="6">
        <v>0</v>
      </c>
      <c r="J713" s="6">
        <v>20</v>
      </c>
      <c r="K713" s="6">
        <v>0</v>
      </c>
      <c r="L713" s="6">
        <v>0</v>
      </c>
      <c r="M713" s="6">
        <v>20</v>
      </c>
      <c r="N713" s="6">
        <v>0</v>
      </c>
      <c r="O713" s="6">
        <v>0</v>
      </c>
      <c r="P713" s="6">
        <v>20</v>
      </c>
      <c r="Q713" s="6">
        <v>27.102803000000002</v>
      </c>
      <c r="R713" s="6">
        <v>26.100322999999999</v>
      </c>
      <c r="S713" s="6">
        <v>27.558453</v>
      </c>
      <c r="T713" s="6">
        <v>26.737159999999999</v>
      </c>
      <c r="U713" s="6">
        <v>25.752351000000001</v>
      </c>
      <c r="V713" s="6">
        <v>27.323633000000001</v>
      </c>
    </row>
    <row r="714" spans="2:22">
      <c r="B714" s="6">
        <v>32160</v>
      </c>
      <c r="C714" s="6" t="s">
        <v>462</v>
      </c>
      <c r="D714" s="6">
        <v>23100</v>
      </c>
      <c r="E714" s="6" t="s">
        <v>54</v>
      </c>
      <c r="F714" s="6" t="s">
        <v>13</v>
      </c>
      <c r="G714" s="6" t="s">
        <v>14</v>
      </c>
      <c r="H714" s="6">
        <v>0</v>
      </c>
      <c r="I714" s="6">
        <v>0</v>
      </c>
      <c r="J714" s="6">
        <v>15</v>
      </c>
      <c r="K714" s="6">
        <v>0</v>
      </c>
      <c r="L714" s="6">
        <v>15</v>
      </c>
      <c r="M714" s="6">
        <v>15</v>
      </c>
      <c r="N714" s="6">
        <v>0</v>
      </c>
      <c r="O714" s="6">
        <v>15</v>
      </c>
      <c r="P714" s="6">
        <v>15</v>
      </c>
      <c r="Q714" s="6">
        <v>15</v>
      </c>
      <c r="R714" s="6">
        <v>15</v>
      </c>
      <c r="S714" s="6">
        <v>15</v>
      </c>
      <c r="T714" s="6">
        <v>15</v>
      </c>
      <c r="U714" s="6">
        <v>15</v>
      </c>
      <c r="V714" s="6">
        <v>15</v>
      </c>
    </row>
    <row r="715" spans="2:22">
      <c r="B715" s="6">
        <v>32166</v>
      </c>
      <c r="C715" s="6" t="s">
        <v>149</v>
      </c>
      <c r="D715" s="6">
        <v>20500</v>
      </c>
      <c r="E715" s="6" t="s">
        <v>31</v>
      </c>
      <c r="F715" s="6" t="s">
        <v>17</v>
      </c>
      <c r="G715" s="6" t="s">
        <v>1294</v>
      </c>
      <c r="H715" s="6">
        <v>0</v>
      </c>
      <c r="I715" s="6">
        <v>25</v>
      </c>
      <c r="J715" s="6">
        <v>23.571428000000001</v>
      </c>
      <c r="K715" s="6">
        <v>26.179282000000001</v>
      </c>
      <c r="L715" s="6">
        <v>26.186138</v>
      </c>
      <c r="M715" s="6">
        <v>25.935728999999998</v>
      </c>
      <c r="N715" s="6">
        <v>26.108958000000001</v>
      </c>
      <c r="O715" s="6">
        <v>26.328648000000001</v>
      </c>
      <c r="P715" s="6">
        <v>26.003786000000002</v>
      </c>
      <c r="Q715" s="6">
        <v>26.101534000000001</v>
      </c>
      <c r="R715" s="6">
        <v>26.316153</v>
      </c>
      <c r="S715" s="6">
        <v>25.991613999999998</v>
      </c>
      <c r="T715" s="6">
        <v>25.645997000000001</v>
      </c>
      <c r="U715" s="6">
        <v>25.223958</v>
      </c>
      <c r="V715" s="6">
        <v>24.770192999999999</v>
      </c>
    </row>
    <row r="716" spans="2:22">
      <c r="B716" s="6">
        <v>32166</v>
      </c>
      <c r="C716" s="6" t="s">
        <v>149</v>
      </c>
      <c r="D716" s="6">
        <v>20706</v>
      </c>
      <c r="E716" s="6" t="s">
        <v>52</v>
      </c>
      <c r="F716" s="6" t="s">
        <v>17</v>
      </c>
      <c r="G716" s="6" t="s">
        <v>1294</v>
      </c>
      <c r="H716" s="6">
        <v>0</v>
      </c>
      <c r="I716" s="6">
        <v>40</v>
      </c>
      <c r="J716" s="6">
        <v>40</v>
      </c>
      <c r="K716" s="6">
        <v>40</v>
      </c>
      <c r="L716" s="6">
        <v>40</v>
      </c>
      <c r="M716" s="6">
        <v>39.931505999999999</v>
      </c>
      <c r="N716" s="6">
        <v>39.962778999999998</v>
      </c>
      <c r="O716" s="6">
        <v>39.971750999999998</v>
      </c>
      <c r="P716" s="6">
        <v>39.969020999999998</v>
      </c>
      <c r="Q716" s="6">
        <v>39.963768000000002</v>
      </c>
      <c r="R716" s="6">
        <v>39.972496999999997</v>
      </c>
      <c r="S716" s="6">
        <v>39.969659999999998</v>
      </c>
      <c r="T716" s="6">
        <v>39.867787999999997</v>
      </c>
      <c r="U716" s="6">
        <v>39.928649</v>
      </c>
      <c r="V716" s="6">
        <v>39.945453999999998</v>
      </c>
    </row>
    <row r="717" spans="2:22">
      <c r="B717" s="6">
        <v>32166</v>
      </c>
      <c r="C717" s="6" t="s">
        <v>149</v>
      </c>
      <c r="D717" s="6">
        <v>20902</v>
      </c>
      <c r="E717" s="6" t="s">
        <v>53</v>
      </c>
      <c r="F717" s="6" t="s">
        <v>13</v>
      </c>
      <c r="G717" s="6" t="s">
        <v>14</v>
      </c>
      <c r="H717" s="6">
        <v>0</v>
      </c>
      <c r="I717" s="6">
        <v>15</v>
      </c>
      <c r="J717" s="6">
        <v>15</v>
      </c>
      <c r="K717" s="6">
        <v>18.635802000000002</v>
      </c>
      <c r="L717" s="6">
        <v>18.195121</v>
      </c>
      <c r="M717" s="6">
        <v>17.625368000000002</v>
      </c>
      <c r="N717" s="6">
        <v>19.181818</v>
      </c>
      <c r="O717" s="6">
        <v>19.119288999999998</v>
      </c>
      <c r="P717" s="6">
        <v>18.784502</v>
      </c>
      <c r="Q717" s="6">
        <v>19.181818</v>
      </c>
      <c r="R717" s="6">
        <v>19.101835999999999</v>
      </c>
      <c r="S717" s="6">
        <v>18.763134000000001</v>
      </c>
      <c r="T717" s="6">
        <v>19.181818</v>
      </c>
      <c r="U717" s="6">
        <v>19.101835999999999</v>
      </c>
      <c r="V717" s="6">
        <v>18.763134000000001</v>
      </c>
    </row>
    <row r="718" spans="2:22">
      <c r="B718" s="6">
        <v>32166</v>
      </c>
      <c r="C718" s="6" t="s">
        <v>149</v>
      </c>
      <c r="D718" s="6">
        <v>20906</v>
      </c>
      <c r="E718" s="6" t="s">
        <v>48</v>
      </c>
      <c r="F718" s="6" t="s">
        <v>49</v>
      </c>
      <c r="G718" s="6" t="s">
        <v>1296</v>
      </c>
      <c r="H718" s="6">
        <v>0</v>
      </c>
      <c r="I718" s="6">
        <v>17</v>
      </c>
      <c r="J718" s="6">
        <v>17.428571000000002</v>
      </c>
      <c r="K718" s="6">
        <v>16.992394999999998</v>
      </c>
      <c r="L718" s="6">
        <v>16.951830000000001</v>
      </c>
      <c r="M718" s="6">
        <v>17.405908</v>
      </c>
      <c r="N718" s="6">
        <v>17.016705999999999</v>
      </c>
      <c r="O718" s="6">
        <v>16.954350000000002</v>
      </c>
      <c r="P718" s="6">
        <v>17.537869000000001</v>
      </c>
      <c r="Q718" s="6">
        <v>17.016335999999999</v>
      </c>
      <c r="R718" s="6">
        <v>16.958155999999999</v>
      </c>
      <c r="S718" s="6">
        <v>17.538882000000001</v>
      </c>
      <c r="T718" s="6">
        <v>17.016335999999999</v>
      </c>
      <c r="U718" s="6">
        <v>16.958155999999999</v>
      </c>
      <c r="V718" s="6">
        <v>17.538882000000001</v>
      </c>
    </row>
    <row r="719" spans="2:22">
      <c r="B719" s="6">
        <v>32167</v>
      </c>
      <c r="C719" s="6" t="s">
        <v>150</v>
      </c>
      <c r="D719" s="6">
        <v>20500</v>
      </c>
      <c r="E719" s="6" t="s">
        <v>31</v>
      </c>
      <c r="F719" s="6" t="s">
        <v>17</v>
      </c>
      <c r="G719" s="6" t="s">
        <v>1294</v>
      </c>
      <c r="H719" s="6">
        <v>0</v>
      </c>
      <c r="I719" s="6">
        <v>25</v>
      </c>
      <c r="J719" s="6">
        <v>23.333333</v>
      </c>
      <c r="K719" s="6">
        <v>26.179282000000001</v>
      </c>
      <c r="L719" s="6">
        <v>26.186138</v>
      </c>
      <c r="M719" s="6">
        <v>25.935728999999998</v>
      </c>
      <c r="N719" s="6">
        <v>26.108958000000001</v>
      </c>
      <c r="O719" s="6">
        <v>26.328648000000001</v>
      </c>
      <c r="P719" s="6">
        <v>26.003786000000002</v>
      </c>
      <c r="Q719" s="6">
        <v>26.101534000000001</v>
      </c>
      <c r="R719" s="6">
        <v>26.316153</v>
      </c>
      <c r="S719" s="6">
        <v>25.991613999999998</v>
      </c>
      <c r="T719" s="6">
        <v>25.645997000000001</v>
      </c>
      <c r="U719" s="6">
        <v>25.223958</v>
      </c>
      <c r="V719" s="6">
        <v>24.770192999999999</v>
      </c>
    </row>
    <row r="720" spans="2:22">
      <c r="B720" s="6">
        <v>32167</v>
      </c>
      <c r="C720" s="6" t="s">
        <v>150</v>
      </c>
      <c r="D720" s="6">
        <v>20705</v>
      </c>
      <c r="E720" s="6" t="s">
        <v>59</v>
      </c>
      <c r="F720" s="6" t="s">
        <v>17</v>
      </c>
      <c r="G720" s="6" t="s">
        <v>1294</v>
      </c>
      <c r="H720" s="6">
        <v>0</v>
      </c>
      <c r="I720" s="6">
        <v>30</v>
      </c>
      <c r="J720" s="6">
        <v>30</v>
      </c>
      <c r="K720" s="6">
        <v>30</v>
      </c>
      <c r="L720" s="6">
        <v>30</v>
      </c>
      <c r="M720" s="6">
        <v>30</v>
      </c>
      <c r="N720" s="6">
        <v>30</v>
      </c>
      <c r="O720" s="6">
        <v>30</v>
      </c>
      <c r="P720" s="6">
        <v>30</v>
      </c>
      <c r="Q720" s="6">
        <v>30</v>
      </c>
      <c r="R720" s="6">
        <v>30</v>
      </c>
      <c r="S720" s="6">
        <v>29.784172000000002</v>
      </c>
      <c r="T720" s="6">
        <v>30</v>
      </c>
      <c r="U720" s="6">
        <v>30</v>
      </c>
      <c r="V720" s="6">
        <v>29.784172000000002</v>
      </c>
    </row>
    <row r="721" spans="2:22">
      <c r="B721" s="6">
        <v>32167</v>
      </c>
      <c r="C721" s="6" t="s">
        <v>150</v>
      </c>
      <c r="D721" s="6">
        <v>20902</v>
      </c>
      <c r="E721" s="6" t="s">
        <v>53</v>
      </c>
      <c r="F721" s="6" t="s">
        <v>13</v>
      </c>
      <c r="G721" s="6" t="s">
        <v>14</v>
      </c>
      <c r="H721" s="6">
        <v>0</v>
      </c>
      <c r="I721" s="6">
        <v>15</v>
      </c>
      <c r="J721" s="6">
        <v>15</v>
      </c>
      <c r="K721" s="6">
        <v>18.635802000000002</v>
      </c>
      <c r="L721" s="6">
        <v>18.195121</v>
      </c>
      <c r="M721" s="6">
        <v>17.625368000000002</v>
      </c>
      <c r="N721" s="6">
        <v>19.181818</v>
      </c>
      <c r="O721" s="6">
        <v>19.119288999999998</v>
      </c>
      <c r="P721" s="6">
        <v>18.784502</v>
      </c>
      <c r="Q721" s="6">
        <v>19.181818</v>
      </c>
      <c r="R721" s="6">
        <v>19.101835999999999</v>
      </c>
      <c r="S721" s="6">
        <v>18.763134000000001</v>
      </c>
      <c r="T721" s="6">
        <v>19.181818</v>
      </c>
      <c r="U721" s="6">
        <v>19.101835999999999</v>
      </c>
      <c r="V721" s="6">
        <v>18.763134000000001</v>
      </c>
    </row>
    <row r="722" spans="2:22">
      <c r="B722" s="6">
        <v>32167</v>
      </c>
      <c r="C722" s="6" t="s">
        <v>150</v>
      </c>
      <c r="D722" s="6">
        <v>20906</v>
      </c>
      <c r="E722" s="6" t="s">
        <v>48</v>
      </c>
      <c r="F722" s="6" t="s">
        <v>49</v>
      </c>
      <c r="G722" s="6" t="s">
        <v>1296</v>
      </c>
      <c r="H722" s="6">
        <v>0</v>
      </c>
      <c r="I722" s="6">
        <v>17</v>
      </c>
      <c r="J722" s="6">
        <v>18.166665999999999</v>
      </c>
      <c r="K722" s="6">
        <v>16.992394999999998</v>
      </c>
      <c r="L722" s="6">
        <v>16.951830000000001</v>
      </c>
      <c r="M722" s="6">
        <v>17.405908</v>
      </c>
      <c r="N722" s="6">
        <v>17.016705999999999</v>
      </c>
      <c r="O722" s="6">
        <v>16.954350000000002</v>
      </c>
      <c r="P722" s="6">
        <v>17.537869000000001</v>
      </c>
      <c r="Q722" s="6">
        <v>17.016335999999999</v>
      </c>
      <c r="R722" s="6">
        <v>16.958155999999999</v>
      </c>
      <c r="S722" s="6">
        <v>17.538882000000001</v>
      </c>
      <c r="T722" s="6">
        <v>17.016335999999999</v>
      </c>
      <c r="U722" s="6">
        <v>16.958155999999999</v>
      </c>
      <c r="V722" s="6">
        <v>17.538882000000001</v>
      </c>
    </row>
    <row r="723" spans="2:22">
      <c r="B723" s="6">
        <v>32168</v>
      </c>
      <c r="C723" s="6" t="s">
        <v>1072</v>
      </c>
      <c r="D723" s="6">
        <v>20500</v>
      </c>
      <c r="E723" s="6" t="s">
        <v>31</v>
      </c>
      <c r="F723" s="6" t="s">
        <v>17</v>
      </c>
      <c r="G723" s="6" t="s">
        <v>1294</v>
      </c>
      <c r="H723" s="6">
        <v>0</v>
      </c>
      <c r="I723" s="6">
        <v>0</v>
      </c>
      <c r="J723" s="6">
        <v>27</v>
      </c>
      <c r="K723" s="6">
        <v>26.093993999999999</v>
      </c>
      <c r="L723" s="6">
        <v>26.469746000000001</v>
      </c>
      <c r="M723" s="6">
        <v>26.000619</v>
      </c>
      <c r="N723" s="6">
        <v>26.108958000000001</v>
      </c>
      <c r="O723" s="6">
        <v>26.328648000000001</v>
      </c>
      <c r="P723" s="6">
        <v>26.003786000000002</v>
      </c>
      <c r="Q723" s="6">
        <v>26.101534000000001</v>
      </c>
      <c r="R723" s="6">
        <v>26.316153</v>
      </c>
      <c r="S723" s="6">
        <v>25.991613999999998</v>
      </c>
      <c r="T723" s="6">
        <v>25.645997000000001</v>
      </c>
      <c r="U723" s="6">
        <v>25.223958</v>
      </c>
      <c r="V723" s="6">
        <v>24.770192999999999</v>
      </c>
    </row>
    <row r="724" spans="2:22">
      <c r="B724" s="6">
        <v>32168</v>
      </c>
      <c r="C724" s="6" t="s">
        <v>1072</v>
      </c>
      <c r="D724" s="6">
        <v>20713</v>
      </c>
      <c r="E724" s="6" t="s">
        <v>147</v>
      </c>
      <c r="F724" s="6" t="s">
        <v>17</v>
      </c>
      <c r="G724" s="6" t="s">
        <v>1294</v>
      </c>
      <c r="H724" s="6">
        <v>0</v>
      </c>
      <c r="I724" s="6">
        <v>0</v>
      </c>
      <c r="J724" s="6">
        <v>25</v>
      </c>
      <c r="K724" s="6">
        <v>0</v>
      </c>
      <c r="L724" s="6">
        <v>0</v>
      </c>
      <c r="M724" s="6">
        <v>25</v>
      </c>
      <c r="N724" s="6">
        <v>25.272727</v>
      </c>
      <c r="O724" s="6">
        <v>25.25</v>
      </c>
      <c r="P724" s="6">
        <v>25.15015</v>
      </c>
      <c r="Q724" s="6">
        <v>25.272727</v>
      </c>
      <c r="R724" s="6">
        <v>25.25</v>
      </c>
      <c r="S724" s="6">
        <v>25.15015</v>
      </c>
      <c r="T724" s="6">
        <v>25.272727</v>
      </c>
      <c r="U724" s="6">
        <v>25.25</v>
      </c>
      <c r="V724" s="6">
        <v>25.15015</v>
      </c>
    </row>
    <row r="725" spans="2:22">
      <c r="B725" s="6">
        <v>32168</v>
      </c>
      <c r="C725" s="6" t="s">
        <v>1072</v>
      </c>
      <c r="D725" s="6">
        <v>20902</v>
      </c>
      <c r="E725" s="6" t="s">
        <v>53</v>
      </c>
      <c r="F725" s="6" t="s">
        <v>13</v>
      </c>
      <c r="G725" s="6" t="s">
        <v>14</v>
      </c>
      <c r="H725" s="6">
        <v>0</v>
      </c>
      <c r="I725" s="6">
        <v>0</v>
      </c>
      <c r="J725" s="6">
        <v>15</v>
      </c>
      <c r="K725" s="6">
        <v>19.956309999999998</v>
      </c>
      <c r="L725" s="6">
        <v>19.965827000000001</v>
      </c>
      <c r="M725" s="6">
        <v>19.613216000000001</v>
      </c>
      <c r="N725" s="6">
        <v>19.181818</v>
      </c>
      <c r="O725" s="6">
        <v>19.119288999999998</v>
      </c>
      <c r="P725" s="6">
        <v>18.784502</v>
      </c>
      <c r="Q725" s="6">
        <v>19.181818</v>
      </c>
      <c r="R725" s="6">
        <v>19.101835999999999</v>
      </c>
      <c r="S725" s="6">
        <v>18.763134000000001</v>
      </c>
      <c r="T725" s="6">
        <v>19.181818</v>
      </c>
      <c r="U725" s="6">
        <v>19.101835999999999</v>
      </c>
      <c r="V725" s="6">
        <v>18.763134000000001</v>
      </c>
    </row>
    <row r="726" spans="2:22">
      <c r="B726" s="6">
        <v>32168</v>
      </c>
      <c r="C726" s="6" t="s">
        <v>1072</v>
      </c>
      <c r="D726" s="6">
        <v>20906</v>
      </c>
      <c r="E726" s="6" t="s">
        <v>48</v>
      </c>
      <c r="F726" s="6" t="s">
        <v>49</v>
      </c>
      <c r="G726" s="6" t="s">
        <v>1296</v>
      </c>
      <c r="H726" s="6">
        <v>0</v>
      </c>
      <c r="I726" s="6">
        <v>0</v>
      </c>
      <c r="J726" s="6">
        <v>18</v>
      </c>
      <c r="K726" s="6">
        <v>16.923482</v>
      </c>
      <c r="L726" s="6">
        <v>16.908185</v>
      </c>
      <c r="M726" s="6">
        <v>17.652851999999999</v>
      </c>
      <c r="N726" s="6">
        <v>17.016705999999999</v>
      </c>
      <c r="O726" s="6">
        <v>16.954350000000002</v>
      </c>
      <c r="P726" s="6">
        <v>17.537869000000001</v>
      </c>
      <c r="Q726" s="6">
        <v>17.016335999999999</v>
      </c>
      <c r="R726" s="6">
        <v>16.958155999999999</v>
      </c>
      <c r="S726" s="6">
        <v>17.538882000000001</v>
      </c>
      <c r="T726" s="6">
        <v>17.016335999999999</v>
      </c>
      <c r="U726" s="6">
        <v>16.958155999999999</v>
      </c>
      <c r="V726" s="6">
        <v>17.538882000000001</v>
      </c>
    </row>
    <row r="727" spans="2:22">
      <c r="B727" s="6">
        <v>32169</v>
      </c>
      <c r="C727" s="6" t="s">
        <v>1056</v>
      </c>
      <c r="D727" s="6">
        <v>20500</v>
      </c>
      <c r="E727" s="6" t="s">
        <v>31</v>
      </c>
      <c r="F727" s="6" t="s">
        <v>17</v>
      </c>
      <c r="G727" s="6" t="s">
        <v>1294</v>
      </c>
      <c r="H727" s="6">
        <v>0</v>
      </c>
      <c r="I727" s="6">
        <v>0</v>
      </c>
      <c r="J727" s="6">
        <v>27</v>
      </c>
      <c r="K727" s="6">
        <v>26.093993999999999</v>
      </c>
      <c r="L727" s="6">
        <v>26.469746000000001</v>
      </c>
      <c r="M727" s="6">
        <v>26.000619</v>
      </c>
      <c r="N727" s="6">
        <v>26.108958000000001</v>
      </c>
      <c r="O727" s="6">
        <v>26.328648000000001</v>
      </c>
      <c r="P727" s="6">
        <v>26.003786000000002</v>
      </c>
      <c r="Q727" s="6">
        <v>26.101534000000001</v>
      </c>
      <c r="R727" s="6">
        <v>26.316153</v>
      </c>
      <c r="S727" s="6">
        <v>25.991613999999998</v>
      </c>
      <c r="T727" s="6">
        <v>25.645997000000001</v>
      </c>
      <c r="U727" s="6">
        <v>25.223958</v>
      </c>
      <c r="V727" s="6">
        <v>24.770192999999999</v>
      </c>
    </row>
    <row r="728" spans="2:22">
      <c r="B728" s="6">
        <v>32169</v>
      </c>
      <c r="C728" s="6" t="s">
        <v>1056</v>
      </c>
      <c r="D728" s="6">
        <v>20713</v>
      </c>
      <c r="E728" s="6" t="s">
        <v>147</v>
      </c>
      <c r="F728" s="6" t="s">
        <v>16</v>
      </c>
      <c r="G728" s="6" t="s">
        <v>1295</v>
      </c>
      <c r="H728" s="6">
        <v>0</v>
      </c>
      <c r="I728" s="6">
        <v>0</v>
      </c>
      <c r="J728" s="6">
        <v>25</v>
      </c>
      <c r="K728" s="6">
        <v>0</v>
      </c>
      <c r="L728" s="6">
        <v>0</v>
      </c>
      <c r="M728" s="6">
        <v>25</v>
      </c>
      <c r="N728" s="6">
        <v>0</v>
      </c>
      <c r="O728" s="6">
        <v>0</v>
      </c>
      <c r="P728" s="6">
        <v>25</v>
      </c>
      <c r="Q728" s="6">
        <v>0</v>
      </c>
      <c r="R728" s="6">
        <v>0</v>
      </c>
      <c r="S728" s="6">
        <v>25</v>
      </c>
      <c r="T728" s="6">
        <v>0</v>
      </c>
      <c r="U728" s="6">
        <v>0</v>
      </c>
      <c r="V728" s="6">
        <v>25</v>
      </c>
    </row>
    <row r="729" spans="2:22">
      <c r="B729" s="6">
        <v>32169</v>
      </c>
      <c r="C729" s="6" t="s">
        <v>1056</v>
      </c>
      <c r="D729" s="6">
        <v>20713</v>
      </c>
      <c r="E729" s="6" t="s">
        <v>147</v>
      </c>
      <c r="F729" s="6" t="s">
        <v>17</v>
      </c>
      <c r="G729" s="6" t="s">
        <v>1294</v>
      </c>
      <c r="H729" s="6">
        <v>0</v>
      </c>
      <c r="I729" s="6">
        <v>0</v>
      </c>
      <c r="J729" s="6">
        <v>25</v>
      </c>
      <c r="K729" s="6">
        <v>0</v>
      </c>
      <c r="L729" s="6">
        <v>0</v>
      </c>
      <c r="M729" s="6">
        <v>25</v>
      </c>
      <c r="N729" s="6">
        <v>25.272727</v>
      </c>
      <c r="O729" s="6">
        <v>25.25</v>
      </c>
      <c r="P729" s="6">
        <v>25.15015</v>
      </c>
      <c r="Q729" s="6">
        <v>25.272727</v>
      </c>
      <c r="R729" s="6">
        <v>25.25</v>
      </c>
      <c r="S729" s="6">
        <v>25.15015</v>
      </c>
      <c r="T729" s="6">
        <v>25.272727</v>
      </c>
      <c r="U729" s="6">
        <v>25.25</v>
      </c>
      <c r="V729" s="6">
        <v>25.15015</v>
      </c>
    </row>
    <row r="730" spans="2:22">
      <c r="B730" s="6">
        <v>32169</v>
      </c>
      <c r="C730" s="6" t="s">
        <v>1056</v>
      </c>
      <c r="D730" s="6">
        <v>20902</v>
      </c>
      <c r="E730" s="6" t="s">
        <v>53</v>
      </c>
      <c r="F730" s="6" t="s">
        <v>13</v>
      </c>
      <c r="G730" s="6" t="s">
        <v>14</v>
      </c>
      <c r="H730" s="6">
        <v>0</v>
      </c>
      <c r="I730" s="6">
        <v>0</v>
      </c>
      <c r="J730" s="6">
        <v>20</v>
      </c>
      <c r="K730" s="6">
        <v>19.956309999999998</v>
      </c>
      <c r="L730" s="6">
        <v>19.965827000000001</v>
      </c>
      <c r="M730" s="6">
        <v>19.613216000000001</v>
      </c>
      <c r="N730" s="6">
        <v>19.181818</v>
      </c>
      <c r="O730" s="6">
        <v>19.119288999999998</v>
      </c>
      <c r="P730" s="6">
        <v>18.784502</v>
      </c>
      <c r="Q730" s="6">
        <v>19.181818</v>
      </c>
      <c r="R730" s="6">
        <v>19.101835999999999</v>
      </c>
      <c r="S730" s="6">
        <v>18.763134000000001</v>
      </c>
      <c r="T730" s="6">
        <v>19.181818</v>
      </c>
      <c r="U730" s="6">
        <v>19.101835999999999</v>
      </c>
      <c r="V730" s="6">
        <v>18.763134000000001</v>
      </c>
    </row>
    <row r="731" spans="2:22">
      <c r="B731" s="6">
        <v>32169</v>
      </c>
      <c r="C731" s="6" t="s">
        <v>1056</v>
      </c>
      <c r="D731" s="6">
        <v>20906</v>
      </c>
      <c r="E731" s="6" t="s">
        <v>48</v>
      </c>
      <c r="F731" s="6" t="s">
        <v>49</v>
      </c>
      <c r="G731" s="6" t="s">
        <v>1296</v>
      </c>
      <c r="H731" s="6">
        <v>0</v>
      </c>
      <c r="I731" s="6">
        <v>0</v>
      </c>
      <c r="J731" s="6">
        <v>19.2</v>
      </c>
      <c r="K731" s="6">
        <v>16.923482</v>
      </c>
      <c r="L731" s="6">
        <v>16.908185</v>
      </c>
      <c r="M731" s="6">
        <v>17.652851999999999</v>
      </c>
      <c r="N731" s="6">
        <v>17.016705999999999</v>
      </c>
      <c r="O731" s="6">
        <v>16.954350000000002</v>
      </c>
      <c r="P731" s="6">
        <v>17.537869000000001</v>
      </c>
      <c r="Q731" s="6">
        <v>17.016335999999999</v>
      </c>
      <c r="R731" s="6">
        <v>16.958155999999999</v>
      </c>
      <c r="S731" s="6">
        <v>17.538882000000001</v>
      </c>
      <c r="T731" s="6">
        <v>17.016335999999999</v>
      </c>
      <c r="U731" s="6">
        <v>16.958155999999999</v>
      </c>
      <c r="V731" s="6">
        <v>17.538882000000001</v>
      </c>
    </row>
    <row r="732" spans="2:22">
      <c r="B732" s="6">
        <v>32170</v>
      </c>
      <c r="C732" s="6" t="s">
        <v>1045</v>
      </c>
      <c r="D732" s="6">
        <v>20500</v>
      </c>
      <c r="E732" s="6" t="s">
        <v>31</v>
      </c>
      <c r="F732" s="6" t="s">
        <v>17</v>
      </c>
      <c r="G732" s="6" t="s">
        <v>1294</v>
      </c>
      <c r="H732" s="6">
        <v>0</v>
      </c>
      <c r="I732" s="6">
        <v>0</v>
      </c>
      <c r="J732" s="6">
        <v>27</v>
      </c>
      <c r="K732" s="6">
        <v>26.093993999999999</v>
      </c>
      <c r="L732" s="6">
        <v>26.469746000000001</v>
      </c>
      <c r="M732" s="6">
        <v>26.000619</v>
      </c>
      <c r="N732" s="6">
        <v>26.108958000000001</v>
      </c>
      <c r="O732" s="6">
        <v>26.328648000000001</v>
      </c>
      <c r="P732" s="6">
        <v>26.003786000000002</v>
      </c>
      <c r="Q732" s="6">
        <v>26.101534000000001</v>
      </c>
      <c r="R732" s="6">
        <v>26.316153</v>
      </c>
      <c r="S732" s="6">
        <v>25.991613999999998</v>
      </c>
      <c r="T732" s="6">
        <v>25.645997000000001</v>
      </c>
      <c r="U732" s="6">
        <v>25.223958</v>
      </c>
      <c r="V732" s="6">
        <v>24.770192999999999</v>
      </c>
    </row>
    <row r="733" spans="2:22">
      <c r="B733" s="6">
        <v>32170</v>
      </c>
      <c r="C733" s="6" t="s">
        <v>1045</v>
      </c>
      <c r="D733" s="6">
        <v>20713</v>
      </c>
      <c r="E733" s="6" t="s">
        <v>147</v>
      </c>
      <c r="F733" s="6" t="s">
        <v>17</v>
      </c>
      <c r="G733" s="6" t="s">
        <v>1294</v>
      </c>
      <c r="H733" s="6">
        <v>0</v>
      </c>
      <c r="I733" s="6">
        <v>0</v>
      </c>
      <c r="J733" s="6">
        <v>25</v>
      </c>
      <c r="K733" s="6">
        <v>0</v>
      </c>
      <c r="L733" s="6">
        <v>0</v>
      </c>
      <c r="M733" s="6">
        <v>25</v>
      </c>
      <c r="N733" s="6">
        <v>25.272727</v>
      </c>
      <c r="O733" s="6">
        <v>25.25</v>
      </c>
      <c r="P733" s="6">
        <v>25.15015</v>
      </c>
      <c r="Q733" s="6">
        <v>25.272727</v>
      </c>
      <c r="R733" s="6">
        <v>25.25</v>
      </c>
      <c r="S733" s="6">
        <v>25.15015</v>
      </c>
      <c r="T733" s="6">
        <v>25.272727</v>
      </c>
      <c r="U733" s="6">
        <v>25.25</v>
      </c>
      <c r="V733" s="6">
        <v>25.15015</v>
      </c>
    </row>
    <row r="734" spans="2:22">
      <c r="B734" s="6">
        <v>32170</v>
      </c>
      <c r="C734" s="6" t="s">
        <v>1045</v>
      </c>
      <c r="D734" s="6">
        <v>20902</v>
      </c>
      <c r="E734" s="6" t="s">
        <v>53</v>
      </c>
      <c r="F734" s="6" t="s">
        <v>16</v>
      </c>
      <c r="G734" s="6" t="s">
        <v>1295</v>
      </c>
      <c r="H734" s="6">
        <v>0</v>
      </c>
      <c r="I734" s="6">
        <v>0</v>
      </c>
      <c r="J734" s="6">
        <v>30</v>
      </c>
      <c r="K734" s="6">
        <v>27.235294</v>
      </c>
      <c r="L734" s="6">
        <v>26.730157999999999</v>
      </c>
      <c r="M734" s="6">
        <v>28.302752000000002</v>
      </c>
      <c r="N734" s="6">
        <v>27.102803000000002</v>
      </c>
      <c r="O734" s="6">
        <v>26.100322999999999</v>
      </c>
      <c r="P734" s="6">
        <v>27.578899</v>
      </c>
      <c r="Q734" s="6">
        <v>27.102803000000002</v>
      </c>
      <c r="R734" s="6">
        <v>26.100322999999999</v>
      </c>
      <c r="S734" s="6">
        <v>27.558453</v>
      </c>
      <c r="T734" s="6">
        <v>26.737159999999999</v>
      </c>
      <c r="U734" s="6">
        <v>25.752351000000001</v>
      </c>
      <c r="V734" s="6">
        <v>27.323633000000001</v>
      </c>
    </row>
    <row r="735" spans="2:22">
      <c r="B735" s="6">
        <v>32170</v>
      </c>
      <c r="C735" s="6" t="s">
        <v>1045</v>
      </c>
      <c r="D735" s="6">
        <v>20902</v>
      </c>
      <c r="E735" s="6" t="s">
        <v>53</v>
      </c>
      <c r="F735" s="6" t="s">
        <v>13</v>
      </c>
      <c r="G735" s="6" t="s">
        <v>14</v>
      </c>
      <c r="H735" s="6">
        <v>0</v>
      </c>
      <c r="I735" s="6">
        <v>0</v>
      </c>
      <c r="J735" s="6">
        <v>20</v>
      </c>
      <c r="K735" s="6">
        <v>19.956309999999998</v>
      </c>
      <c r="L735" s="6">
        <v>19.965827000000001</v>
      </c>
      <c r="M735" s="6">
        <v>19.613216000000001</v>
      </c>
      <c r="N735" s="6">
        <v>19.181818</v>
      </c>
      <c r="O735" s="6">
        <v>19.119288999999998</v>
      </c>
      <c r="P735" s="6">
        <v>18.784502</v>
      </c>
      <c r="Q735" s="6">
        <v>19.181818</v>
      </c>
      <c r="R735" s="6">
        <v>19.101835999999999</v>
      </c>
      <c r="S735" s="6">
        <v>18.763134000000001</v>
      </c>
      <c r="T735" s="6">
        <v>19.181818</v>
      </c>
      <c r="U735" s="6">
        <v>19.101835999999999</v>
      </c>
      <c r="V735" s="6">
        <v>18.763134000000001</v>
      </c>
    </row>
    <row r="736" spans="2:22">
      <c r="B736" s="6">
        <v>32170</v>
      </c>
      <c r="C736" s="6" t="s">
        <v>1045</v>
      </c>
      <c r="D736" s="6">
        <v>20906</v>
      </c>
      <c r="E736" s="6" t="s">
        <v>48</v>
      </c>
      <c r="F736" s="6" t="s">
        <v>49</v>
      </c>
      <c r="G736" s="6" t="s">
        <v>1296</v>
      </c>
      <c r="H736" s="6">
        <v>0</v>
      </c>
      <c r="I736" s="6">
        <v>0</v>
      </c>
      <c r="J736" s="6">
        <v>19.333333</v>
      </c>
      <c r="K736" s="6">
        <v>16.923482</v>
      </c>
      <c r="L736" s="6">
        <v>16.908185</v>
      </c>
      <c r="M736" s="6">
        <v>17.652851999999999</v>
      </c>
      <c r="N736" s="6">
        <v>17.016705999999999</v>
      </c>
      <c r="O736" s="6">
        <v>16.954350000000002</v>
      </c>
      <c r="P736" s="6">
        <v>17.537869000000001</v>
      </c>
      <c r="Q736" s="6">
        <v>17.016335999999999</v>
      </c>
      <c r="R736" s="6">
        <v>16.958155999999999</v>
      </c>
      <c r="S736" s="6">
        <v>17.538882000000001</v>
      </c>
      <c r="T736" s="6">
        <v>17.016335999999999</v>
      </c>
      <c r="U736" s="6">
        <v>16.958155999999999</v>
      </c>
      <c r="V736" s="6">
        <v>17.538882000000001</v>
      </c>
    </row>
    <row r="737" spans="2:22">
      <c r="B737" s="6">
        <v>32172</v>
      </c>
      <c r="C737" s="6" t="s">
        <v>1123</v>
      </c>
      <c r="D737" s="6">
        <v>20500</v>
      </c>
      <c r="E737" s="6" t="s">
        <v>31</v>
      </c>
      <c r="F737" s="6" t="s">
        <v>17</v>
      </c>
      <c r="G737" s="6" t="s">
        <v>1294</v>
      </c>
      <c r="H737" s="6">
        <v>0</v>
      </c>
      <c r="I737" s="6">
        <v>0</v>
      </c>
      <c r="J737" s="6">
        <v>27</v>
      </c>
      <c r="K737" s="6">
        <v>26.046875</v>
      </c>
      <c r="L737" s="6">
        <v>26.199541</v>
      </c>
      <c r="M737" s="6">
        <v>26.109717</v>
      </c>
      <c r="N737" s="6">
        <v>26.108958000000001</v>
      </c>
      <c r="O737" s="6">
        <v>26.328648000000001</v>
      </c>
      <c r="P737" s="6">
        <v>26.003786000000002</v>
      </c>
      <c r="Q737" s="6">
        <v>26.101534000000001</v>
      </c>
      <c r="R737" s="6">
        <v>26.316153</v>
      </c>
      <c r="S737" s="6">
        <v>25.991613999999998</v>
      </c>
      <c r="T737" s="6">
        <v>25.645997000000001</v>
      </c>
      <c r="U737" s="6">
        <v>25.223958</v>
      </c>
      <c r="V737" s="6">
        <v>24.770192999999999</v>
      </c>
    </row>
    <row r="738" spans="2:22">
      <c r="B738" s="6">
        <v>32172</v>
      </c>
      <c r="C738" s="6" t="s">
        <v>1123</v>
      </c>
      <c r="D738" s="6">
        <v>20713</v>
      </c>
      <c r="E738" s="6" t="s">
        <v>147</v>
      </c>
      <c r="F738" s="6" t="s">
        <v>17</v>
      </c>
      <c r="G738" s="6" t="s">
        <v>1294</v>
      </c>
      <c r="H738" s="6">
        <v>0</v>
      </c>
      <c r="I738" s="6">
        <v>0</v>
      </c>
      <c r="J738" s="6">
        <v>25</v>
      </c>
      <c r="K738" s="6">
        <v>25.666665999999999</v>
      </c>
      <c r="L738" s="6">
        <v>25.348837</v>
      </c>
      <c r="M738" s="6">
        <v>25.214285</v>
      </c>
      <c r="N738" s="6">
        <v>25.272727</v>
      </c>
      <c r="O738" s="6">
        <v>25.25</v>
      </c>
      <c r="P738" s="6">
        <v>25.15015</v>
      </c>
      <c r="Q738" s="6">
        <v>25.272727</v>
      </c>
      <c r="R738" s="6">
        <v>25.25</v>
      </c>
      <c r="S738" s="6">
        <v>25.15015</v>
      </c>
      <c r="T738" s="6">
        <v>25.272727</v>
      </c>
      <c r="U738" s="6">
        <v>25.25</v>
      </c>
      <c r="V738" s="6">
        <v>25.15015</v>
      </c>
    </row>
    <row r="739" spans="2:22">
      <c r="B739" s="6">
        <v>32172</v>
      </c>
      <c r="C739" s="6" t="s">
        <v>1123</v>
      </c>
      <c r="D739" s="6">
        <v>20902</v>
      </c>
      <c r="E739" s="6" t="s">
        <v>53</v>
      </c>
      <c r="F739" s="6" t="s">
        <v>13</v>
      </c>
      <c r="G739" s="6" t="s">
        <v>14</v>
      </c>
      <c r="H739" s="6">
        <v>0</v>
      </c>
      <c r="I739" s="6">
        <v>0</v>
      </c>
      <c r="J739" s="6">
        <v>20</v>
      </c>
      <c r="K739" s="6">
        <v>18.622046999999998</v>
      </c>
      <c r="L739" s="6">
        <v>18.557046</v>
      </c>
      <c r="M739" s="6">
        <v>18.643459</v>
      </c>
      <c r="N739" s="6">
        <v>19.181818</v>
      </c>
      <c r="O739" s="6">
        <v>19.119288999999998</v>
      </c>
      <c r="P739" s="6">
        <v>18.784502</v>
      </c>
      <c r="Q739" s="6">
        <v>19.181818</v>
      </c>
      <c r="R739" s="6">
        <v>19.101835999999999</v>
      </c>
      <c r="S739" s="6">
        <v>18.763134000000001</v>
      </c>
      <c r="T739" s="6">
        <v>19.181818</v>
      </c>
      <c r="U739" s="6">
        <v>19.101835999999999</v>
      </c>
      <c r="V739" s="6">
        <v>18.763134000000001</v>
      </c>
    </row>
    <row r="740" spans="2:22">
      <c r="B740" s="6">
        <v>32172</v>
      </c>
      <c r="C740" s="6" t="s">
        <v>1123</v>
      </c>
      <c r="D740" s="6">
        <v>20906</v>
      </c>
      <c r="E740" s="6" t="s">
        <v>48</v>
      </c>
      <c r="F740" s="6" t="s">
        <v>49</v>
      </c>
      <c r="G740" s="6" t="s">
        <v>1296</v>
      </c>
      <c r="H740" s="6">
        <v>0</v>
      </c>
      <c r="I740" s="6">
        <v>0</v>
      </c>
      <c r="J740" s="6">
        <v>18.5</v>
      </c>
      <c r="K740" s="6">
        <v>17.229590999999999</v>
      </c>
      <c r="L740" s="6">
        <v>17.052391</v>
      </c>
      <c r="M740" s="6">
        <v>17.431988</v>
      </c>
      <c r="N740" s="6">
        <v>17.016705999999999</v>
      </c>
      <c r="O740" s="6">
        <v>16.954350000000002</v>
      </c>
      <c r="P740" s="6">
        <v>17.537869000000001</v>
      </c>
      <c r="Q740" s="6">
        <v>17.016335999999999</v>
      </c>
      <c r="R740" s="6">
        <v>16.958155999999999</v>
      </c>
      <c r="S740" s="6">
        <v>17.538882000000001</v>
      </c>
      <c r="T740" s="6">
        <v>17.016335999999999</v>
      </c>
      <c r="U740" s="6">
        <v>16.958155999999999</v>
      </c>
      <c r="V740" s="6">
        <v>17.538882000000001</v>
      </c>
    </row>
    <row r="741" spans="2:22">
      <c r="B741" s="6">
        <v>32173</v>
      </c>
      <c r="C741" s="6" t="s">
        <v>1124</v>
      </c>
      <c r="D741" s="6">
        <v>20500</v>
      </c>
      <c r="E741" s="6" t="s">
        <v>31</v>
      </c>
      <c r="F741" s="6" t="s">
        <v>17</v>
      </c>
      <c r="G741" s="6" t="s">
        <v>1294</v>
      </c>
      <c r="H741" s="6">
        <v>0</v>
      </c>
      <c r="I741" s="6">
        <v>0</v>
      </c>
      <c r="J741" s="6">
        <v>27</v>
      </c>
      <c r="K741" s="6">
        <v>26.046875</v>
      </c>
      <c r="L741" s="6">
        <v>26.199541</v>
      </c>
      <c r="M741" s="6">
        <v>26.109717</v>
      </c>
      <c r="N741" s="6">
        <v>26.108958000000001</v>
      </c>
      <c r="O741" s="6">
        <v>26.328648000000001</v>
      </c>
      <c r="P741" s="6">
        <v>26.003786000000002</v>
      </c>
      <c r="Q741" s="6">
        <v>26.101534000000001</v>
      </c>
      <c r="R741" s="6">
        <v>26.316153</v>
      </c>
      <c r="S741" s="6">
        <v>25.991613999999998</v>
      </c>
      <c r="T741" s="6">
        <v>25.645997000000001</v>
      </c>
      <c r="U741" s="6">
        <v>25.223958</v>
      </c>
      <c r="V741" s="6">
        <v>24.770192999999999</v>
      </c>
    </row>
    <row r="742" spans="2:22">
      <c r="B742" s="6">
        <v>32173</v>
      </c>
      <c r="C742" s="6" t="s">
        <v>1124</v>
      </c>
      <c r="D742" s="6">
        <v>20713</v>
      </c>
      <c r="E742" s="6" t="s">
        <v>147</v>
      </c>
      <c r="F742" s="6" t="s">
        <v>17</v>
      </c>
      <c r="G742" s="6" t="s">
        <v>1294</v>
      </c>
      <c r="H742" s="6">
        <v>0</v>
      </c>
      <c r="I742" s="6">
        <v>0</v>
      </c>
      <c r="J742" s="6">
        <v>25</v>
      </c>
      <c r="K742" s="6">
        <v>25.666665999999999</v>
      </c>
      <c r="L742" s="6">
        <v>25.348837</v>
      </c>
      <c r="M742" s="6">
        <v>25.214285</v>
      </c>
      <c r="N742" s="6">
        <v>25.272727</v>
      </c>
      <c r="O742" s="6">
        <v>25.25</v>
      </c>
      <c r="P742" s="6">
        <v>25.15015</v>
      </c>
      <c r="Q742" s="6">
        <v>25.272727</v>
      </c>
      <c r="R742" s="6">
        <v>25.25</v>
      </c>
      <c r="S742" s="6">
        <v>25.15015</v>
      </c>
      <c r="T742" s="6">
        <v>25.272727</v>
      </c>
      <c r="U742" s="6">
        <v>25.25</v>
      </c>
      <c r="V742" s="6">
        <v>25.15015</v>
      </c>
    </row>
    <row r="743" spans="2:22">
      <c r="B743" s="6">
        <v>32173</v>
      </c>
      <c r="C743" s="6" t="s">
        <v>1124</v>
      </c>
      <c r="D743" s="6">
        <v>20902</v>
      </c>
      <c r="E743" s="6" t="s">
        <v>53</v>
      </c>
      <c r="F743" s="6" t="s">
        <v>16</v>
      </c>
      <c r="G743" s="6" t="s">
        <v>1295</v>
      </c>
      <c r="H743" s="6">
        <v>0</v>
      </c>
      <c r="I743" s="6">
        <v>0</v>
      </c>
      <c r="J743" s="6">
        <v>30</v>
      </c>
      <c r="K743" s="6">
        <v>26.721311</v>
      </c>
      <c r="L743" s="6">
        <v>25.932835000000001</v>
      </c>
      <c r="M743" s="6">
        <v>26.507536999999999</v>
      </c>
      <c r="N743" s="6">
        <v>27.102803000000002</v>
      </c>
      <c r="O743" s="6">
        <v>26.100322999999999</v>
      </c>
      <c r="P743" s="6">
        <v>27.578899</v>
      </c>
      <c r="Q743" s="6">
        <v>27.102803000000002</v>
      </c>
      <c r="R743" s="6">
        <v>26.100322999999999</v>
      </c>
      <c r="S743" s="6">
        <v>27.558453</v>
      </c>
      <c r="T743" s="6">
        <v>26.737159999999999</v>
      </c>
      <c r="U743" s="6">
        <v>25.752351000000001</v>
      </c>
      <c r="V743" s="6">
        <v>27.323633000000001</v>
      </c>
    </row>
    <row r="744" spans="2:22">
      <c r="B744" s="6">
        <v>32173</v>
      </c>
      <c r="C744" s="6" t="s">
        <v>1124</v>
      </c>
      <c r="D744" s="6">
        <v>20902</v>
      </c>
      <c r="E744" s="6" t="s">
        <v>53</v>
      </c>
      <c r="F744" s="6" t="s">
        <v>13</v>
      </c>
      <c r="G744" s="6" t="s">
        <v>14</v>
      </c>
      <c r="H744" s="6">
        <v>0</v>
      </c>
      <c r="I744" s="6">
        <v>0</v>
      </c>
      <c r="J744" s="6">
        <v>20</v>
      </c>
      <c r="K744" s="6">
        <v>18.622046999999998</v>
      </c>
      <c r="L744" s="6">
        <v>18.557046</v>
      </c>
      <c r="M744" s="6">
        <v>18.643459</v>
      </c>
      <c r="N744" s="6">
        <v>19.181818</v>
      </c>
      <c r="O744" s="6">
        <v>19.119288999999998</v>
      </c>
      <c r="P744" s="6">
        <v>18.784502</v>
      </c>
      <c r="Q744" s="6">
        <v>19.181818</v>
      </c>
      <c r="R744" s="6">
        <v>19.101835999999999</v>
      </c>
      <c r="S744" s="6">
        <v>18.763134000000001</v>
      </c>
      <c r="T744" s="6">
        <v>19.181818</v>
      </c>
      <c r="U744" s="6">
        <v>19.101835999999999</v>
      </c>
      <c r="V744" s="6">
        <v>18.763134000000001</v>
      </c>
    </row>
    <row r="745" spans="2:22">
      <c r="B745" s="6">
        <v>32173</v>
      </c>
      <c r="C745" s="6" t="s">
        <v>1124</v>
      </c>
      <c r="D745" s="6">
        <v>20906</v>
      </c>
      <c r="E745" s="6" t="s">
        <v>48</v>
      </c>
      <c r="F745" s="6" t="s">
        <v>49</v>
      </c>
      <c r="G745" s="6" t="s">
        <v>1296</v>
      </c>
      <c r="H745" s="6">
        <v>0</v>
      </c>
      <c r="I745" s="6">
        <v>0</v>
      </c>
      <c r="J745" s="6">
        <v>18</v>
      </c>
      <c r="K745" s="6">
        <v>17.229590999999999</v>
      </c>
      <c r="L745" s="6">
        <v>17.052391</v>
      </c>
      <c r="M745" s="6">
        <v>17.431988</v>
      </c>
      <c r="N745" s="6">
        <v>17.016705999999999</v>
      </c>
      <c r="O745" s="6">
        <v>16.954350000000002</v>
      </c>
      <c r="P745" s="6">
        <v>17.537869000000001</v>
      </c>
      <c r="Q745" s="6">
        <v>17.016335999999999</v>
      </c>
      <c r="R745" s="6">
        <v>16.958155999999999</v>
      </c>
      <c r="S745" s="6">
        <v>17.538882000000001</v>
      </c>
      <c r="T745" s="6">
        <v>17.016335999999999</v>
      </c>
      <c r="U745" s="6">
        <v>16.958155999999999</v>
      </c>
      <c r="V745" s="6">
        <v>17.538882000000001</v>
      </c>
    </row>
    <row r="746" spans="2:22">
      <c r="B746" s="6">
        <v>32174</v>
      </c>
      <c r="C746" s="6" t="s">
        <v>242</v>
      </c>
      <c r="D746" s="6">
        <v>12400</v>
      </c>
      <c r="E746" s="6" t="s">
        <v>217</v>
      </c>
      <c r="F746" s="6" t="s">
        <v>16</v>
      </c>
      <c r="G746" s="6" t="s">
        <v>1295</v>
      </c>
      <c r="H746" s="6">
        <v>0</v>
      </c>
      <c r="I746" s="6">
        <v>0</v>
      </c>
      <c r="J746" s="6">
        <v>8</v>
      </c>
      <c r="K746" s="6">
        <v>0</v>
      </c>
      <c r="L746" s="6">
        <v>8</v>
      </c>
      <c r="M746" s="6">
        <v>8.5882349999999992</v>
      </c>
      <c r="N746" s="6">
        <v>9.2387090000000001</v>
      </c>
      <c r="O746" s="6">
        <v>8.7126429999999999</v>
      </c>
      <c r="P746" s="6">
        <v>8.6856360000000006</v>
      </c>
      <c r="Q746" s="6">
        <v>9.2387090000000001</v>
      </c>
      <c r="R746" s="6">
        <v>8.7126429999999999</v>
      </c>
      <c r="S746" s="6">
        <v>8.6856360000000006</v>
      </c>
      <c r="T746" s="6">
        <v>8.8875729999999997</v>
      </c>
      <c r="U746" s="6">
        <v>8.6089380000000002</v>
      </c>
      <c r="V746" s="6">
        <v>8.6174140000000001</v>
      </c>
    </row>
    <row r="747" spans="2:22">
      <c r="B747" s="6">
        <v>32174</v>
      </c>
      <c r="C747" s="6" t="s">
        <v>242</v>
      </c>
      <c r="D747" s="6">
        <v>20920</v>
      </c>
      <c r="E747" s="6" t="s">
        <v>231</v>
      </c>
      <c r="F747" s="6" t="s">
        <v>16</v>
      </c>
      <c r="G747" s="6" t="s">
        <v>1295</v>
      </c>
      <c r="H747" s="6">
        <v>0</v>
      </c>
      <c r="I747" s="6">
        <v>0</v>
      </c>
      <c r="J747" s="6">
        <v>7</v>
      </c>
      <c r="K747" s="6">
        <v>0</v>
      </c>
      <c r="L747" s="6">
        <v>10</v>
      </c>
      <c r="M747" s="6">
        <v>9.294117</v>
      </c>
      <c r="N747" s="6">
        <v>8.1999999999999993</v>
      </c>
      <c r="O747" s="6">
        <v>8.0909089999999999</v>
      </c>
      <c r="P747" s="6">
        <v>7.923076</v>
      </c>
      <c r="Q747" s="6">
        <v>8.1999999999999993</v>
      </c>
      <c r="R747" s="6">
        <v>8.0909089999999999</v>
      </c>
      <c r="S747" s="6">
        <v>7.923076</v>
      </c>
      <c r="T747" s="6">
        <v>8.1999999999999993</v>
      </c>
      <c r="U747" s="6">
        <v>8.0909089999999999</v>
      </c>
      <c r="V747" s="6">
        <v>7.923076</v>
      </c>
    </row>
    <row r="748" spans="2:22">
      <c r="B748" s="6">
        <v>32174</v>
      </c>
      <c r="C748" s="6" t="s">
        <v>242</v>
      </c>
      <c r="D748" s="6">
        <v>23311</v>
      </c>
      <c r="E748" s="6" t="s">
        <v>221</v>
      </c>
      <c r="F748" s="6" t="s">
        <v>16</v>
      </c>
      <c r="G748" s="6" t="s">
        <v>1295</v>
      </c>
      <c r="H748" s="6">
        <v>0</v>
      </c>
      <c r="I748" s="6">
        <v>0</v>
      </c>
      <c r="J748" s="6">
        <v>10</v>
      </c>
      <c r="K748" s="6">
        <v>0</v>
      </c>
      <c r="L748" s="6">
        <v>0</v>
      </c>
      <c r="M748" s="6">
        <v>10</v>
      </c>
      <c r="N748" s="6">
        <v>10.099009000000001</v>
      </c>
      <c r="O748" s="6">
        <v>10.02364</v>
      </c>
      <c r="P748" s="6">
        <v>10.011260999999999</v>
      </c>
      <c r="Q748" s="6">
        <v>10.099009000000001</v>
      </c>
      <c r="R748" s="6">
        <v>10.02364</v>
      </c>
      <c r="S748" s="6">
        <v>10.011260999999999</v>
      </c>
      <c r="T748" s="6">
        <v>10.099009000000001</v>
      </c>
      <c r="U748" s="6">
        <v>10.02364</v>
      </c>
      <c r="V748" s="6">
        <v>10.011260999999999</v>
      </c>
    </row>
    <row r="749" spans="2:22">
      <c r="B749" s="6">
        <v>32174</v>
      </c>
      <c r="C749" s="6" t="s">
        <v>242</v>
      </c>
      <c r="D749" s="6">
        <v>25005</v>
      </c>
      <c r="E749" s="6" t="s">
        <v>232</v>
      </c>
      <c r="F749" s="6" t="s">
        <v>16</v>
      </c>
      <c r="G749" s="6" t="s">
        <v>1295</v>
      </c>
      <c r="H749" s="6">
        <v>0</v>
      </c>
      <c r="I749" s="6">
        <v>0</v>
      </c>
      <c r="J749" s="6">
        <v>10</v>
      </c>
      <c r="K749" s="6">
        <v>0</v>
      </c>
      <c r="L749" s="6">
        <v>10</v>
      </c>
      <c r="M749" s="6">
        <v>10</v>
      </c>
      <c r="N749" s="6">
        <v>10</v>
      </c>
      <c r="O749" s="6">
        <v>10</v>
      </c>
      <c r="P749" s="6">
        <v>10</v>
      </c>
      <c r="Q749" s="6">
        <v>10</v>
      </c>
      <c r="R749" s="6">
        <v>10</v>
      </c>
      <c r="S749" s="6">
        <v>10</v>
      </c>
      <c r="T749" s="6">
        <v>10</v>
      </c>
      <c r="U749" s="6">
        <v>10</v>
      </c>
      <c r="V749" s="6">
        <v>10</v>
      </c>
    </row>
    <row r="750" spans="2:22">
      <c r="B750" s="6">
        <v>32198</v>
      </c>
      <c r="C750" s="6" t="s">
        <v>243</v>
      </c>
      <c r="D750" s="6">
        <v>12400</v>
      </c>
      <c r="E750" s="6" t="s">
        <v>217</v>
      </c>
      <c r="F750" s="6" t="s">
        <v>16</v>
      </c>
      <c r="G750" s="6" t="s">
        <v>1295</v>
      </c>
      <c r="H750" s="6">
        <v>0</v>
      </c>
      <c r="I750" s="6">
        <v>0</v>
      </c>
      <c r="J750" s="6">
        <v>10</v>
      </c>
      <c r="K750" s="6">
        <v>10</v>
      </c>
      <c r="L750" s="6">
        <v>10</v>
      </c>
      <c r="M750" s="6">
        <v>9.9817350000000005</v>
      </c>
      <c r="N750" s="6">
        <v>9.2387090000000001</v>
      </c>
      <c r="O750" s="6">
        <v>8.7126429999999999</v>
      </c>
      <c r="P750" s="6">
        <v>8.6856360000000006</v>
      </c>
      <c r="Q750" s="6">
        <v>9.2387090000000001</v>
      </c>
      <c r="R750" s="6">
        <v>8.7126429999999999</v>
      </c>
      <c r="S750" s="6">
        <v>8.6856360000000006</v>
      </c>
      <c r="T750" s="6">
        <v>8.8875729999999997</v>
      </c>
      <c r="U750" s="6">
        <v>8.6089380000000002</v>
      </c>
      <c r="V750" s="6">
        <v>8.6174140000000001</v>
      </c>
    </row>
    <row r="751" spans="2:22">
      <c r="B751" s="6">
        <v>32198</v>
      </c>
      <c r="C751" s="6" t="s">
        <v>243</v>
      </c>
      <c r="D751" s="6">
        <v>23311</v>
      </c>
      <c r="E751" s="6" t="s">
        <v>221</v>
      </c>
      <c r="F751" s="6" t="s">
        <v>16</v>
      </c>
      <c r="G751" s="6" t="s">
        <v>1295</v>
      </c>
      <c r="H751" s="6">
        <v>0</v>
      </c>
      <c r="I751" s="6">
        <v>0</v>
      </c>
      <c r="J751" s="6">
        <v>10</v>
      </c>
      <c r="K751" s="6">
        <v>10</v>
      </c>
      <c r="L751" s="6">
        <v>10</v>
      </c>
      <c r="M751" s="6">
        <v>10</v>
      </c>
      <c r="N751" s="6">
        <v>10.099009000000001</v>
      </c>
      <c r="O751" s="6">
        <v>10.02364</v>
      </c>
      <c r="P751" s="6">
        <v>10.011260999999999</v>
      </c>
      <c r="Q751" s="6">
        <v>10.099009000000001</v>
      </c>
      <c r="R751" s="6">
        <v>10.02364</v>
      </c>
      <c r="S751" s="6">
        <v>10.011260999999999</v>
      </c>
      <c r="T751" s="6">
        <v>10.099009000000001</v>
      </c>
      <c r="U751" s="6">
        <v>10.02364</v>
      </c>
      <c r="V751" s="6">
        <v>10.011260999999999</v>
      </c>
    </row>
    <row r="752" spans="2:22">
      <c r="B752" s="6">
        <v>32199</v>
      </c>
      <c r="C752" s="6" t="s">
        <v>244</v>
      </c>
      <c r="D752" s="6">
        <v>12400</v>
      </c>
      <c r="E752" s="6" t="s">
        <v>217</v>
      </c>
      <c r="F752" s="6" t="s">
        <v>16</v>
      </c>
      <c r="G752" s="6" t="s">
        <v>1295</v>
      </c>
      <c r="H752" s="6">
        <v>0</v>
      </c>
      <c r="I752" s="6">
        <v>10</v>
      </c>
      <c r="J752" s="6">
        <v>8.4</v>
      </c>
      <c r="K752" s="6">
        <v>13.375</v>
      </c>
      <c r="L752" s="6">
        <v>10.9375</v>
      </c>
      <c r="M752" s="6">
        <v>9.2653060000000007</v>
      </c>
      <c r="N752" s="6">
        <v>9.2387090000000001</v>
      </c>
      <c r="O752" s="6">
        <v>8.7126429999999999</v>
      </c>
      <c r="P752" s="6">
        <v>8.6856360000000006</v>
      </c>
      <c r="Q752" s="6">
        <v>9.2387090000000001</v>
      </c>
      <c r="R752" s="6">
        <v>8.7126429999999999</v>
      </c>
      <c r="S752" s="6">
        <v>8.6856360000000006</v>
      </c>
      <c r="T752" s="6">
        <v>8.8875729999999997</v>
      </c>
      <c r="U752" s="6">
        <v>8.6089380000000002</v>
      </c>
      <c r="V752" s="6">
        <v>8.6174140000000001</v>
      </c>
    </row>
    <row r="753" spans="2:22">
      <c r="B753" s="6">
        <v>32199</v>
      </c>
      <c r="C753" s="6" t="s">
        <v>244</v>
      </c>
      <c r="D753" s="6">
        <v>20904</v>
      </c>
      <c r="E753" s="6" t="s">
        <v>156</v>
      </c>
      <c r="F753" s="6" t="s">
        <v>16</v>
      </c>
      <c r="G753" s="6" t="s">
        <v>1295</v>
      </c>
      <c r="H753" s="6">
        <v>0</v>
      </c>
      <c r="I753" s="6">
        <v>0</v>
      </c>
      <c r="J753" s="6">
        <v>15</v>
      </c>
      <c r="K753" s="6">
        <v>10</v>
      </c>
      <c r="L753" s="6">
        <v>10</v>
      </c>
      <c r="M753" s="6">
        <v>11.173913000000001</v>
      </c>
      <c r="N753" s="6">
        <v>14.736841999999999</v>
      </c>
      <c r="O753" s="6">
        <v>14.21875</v>
      </c>
      <c r="P753" s="6">
        <v>13.268817</v>
      </c>
      <c r="Q753" s="6">
        <v>14.736841999999999</v>
      </c>
      <c r="R753" s="6">
        <v>14.21875</v>
      </c>
      <c r="S753" s="6">
        <v>13.268817</v>
      </c>
      <c r="T753" s="6">
        <v>14.736841999999999</v>
      </c>
      <c r="U753" s="6">
        <v>14.21875</v>
      </c>
      <c r="V753" s="6">
        <v>13.268817</v>
      </c>
    </row>
    <row r="754" spans="2:22">
      <c r="B754" s="6">
        <v>32199</v>
      </c>
      <c r="C754" s="6" t="s">
        <v>244</v>
      </c>
      <c r="D754" s="6">
        <v>23311</v>
      </c>
      <c r="E754" s="6" t="s">
        <v>221</v>
      </c>
      <c r="F754" s="6" t="s">
        <v>16</v>
      </c>
      <c r="G754" s="6" t="s">
        <v>1295</v>
      </c>
      <c r="H754" s="6">
        <v>0</v>
      </c>
      <c r="I754" s="6">
        <v>0</v>
      </c>
      <c r="J754" s="6">
        <v>10</v>
      </c>
      <c r="K754" s="6">
        <v>10</v>
      </c>
      <c r="L754" s="6">
        <v>10</v>
      </c>
      <c r="M754" s="6">
        <v>10</v>
      </c>
      <c r="N754" s="6">
        <v>10.099009000000001</v>
      </c>
      <c r="O754" s="6">
        <v>10.02364</v>
      </c>
      <c r="P754" s="6">
        <v>10.011260999999999</v>
      </c>
      <c r="Q754" s="6">
        <v>10.099009000000001</v>
      </c>
      <c r="R754" s="6">
        <v>10.02364</v>
      </c>
      <c r="S754" s="6">
        <v>10.011260999999999</v>
      </c>
      <c r="T754" s="6">
        <v>10.099009000000001</v>
      </c>
      <c r="U754" s="6">
        <v>10.02364</v>
      </c>
      <c r="V754" s="6">
        <v>10.011260999999999</v>
      </c>
    </row>
    <row r="755" spans="2:22">
      <c r="B755" s="6">
        <v>32200</v>
      </c>
      <c r="C755" s="6" t="s">
        <v>1005</v>
      </c>
      <c r="D755" s="6">
        <v>12400</v>
      </c>
      <c r="E755" s="6" t="s">
        <v>217</v>
      </c>
      <c r="F755" s="6" t="s">
        <v>16</v>
      </c>
      <c r="G755" s="6" t="s">
        <v>1295</v>
      </c>
      <c r="H755" s="6">
        <v>0</v>
      </c>
      <c r="I755" s="6">
        <v>0</v>
      </c>
      <c r="J755" s="6">
        <v>10</v>
      </c>
      <c r="K755" s="6">
        <v>13.375</v>
      </c>
      <c r="L755" s="6">
        <v>10.9375</v>
      </c>
      <c r="M755" s="6">
        <v>9.2653060000000007</v>
      </c>
      <c r="N755" s="6">
        <v>9.2387090000000001</v>
      </c>
      <c r="O755" s="6">
        <v>8.7126429999999999</v>
      </c>
      <c r="P755" s="6">
        <v>8.6856360000000006</v>
      </c>
      <c r="Q755" s="6">
        <v>9.2387090000000001</v>
      </c>
      <c r="R755" s="6">
        <v>8.7126429999999999</v>
      </c>
      <c r="S755" s="6">
        <v>8.6856360000000006</v>
      </c>
      <c r="T755" s="6">
        <v>8.8875729999999997</v>
      </c>
      <c r="U755" s="6">
        <v>8.6089380000000002</v>
      </c>
      <c r="V755" s="6">
        <v>8.6174140000000001</v>
      </c>
    </row>
    <row r="756" spans="2:22">
      <c r="B756" s="6">
        <v>32200</v>
      </c>
      <c r="C756" s="6" t="s">
        <v>1005</v>
      </c>
      <c r="D756" s="6">
        <v>20904</v>
      </c>
      <c r="E756" s="6" t="s">
        <v>156</v>
      </c>
      <c r="F756" s="6" t="s">
        <v>16</v>
      </c>
      <c r="G756" s="6" t="s">
        <v>1295</v>
      </c>
      <c r="H756" s="6">
        <v>0</v>
      </c>
      <c r="I756" s="6">
        <v>0</v>
      </c>
      <c r="J756" s="6">
        <v>15</v>
      </c>
      <c r="K756" s="6">
        <v>10</v>
      </c>
      <c r="L756" s="6">
        <v>10</v>
      </c>
      <c r="M756" s="6">
        <v>11.173913000000001</v>
      </c>
      <c r="N756" s="6">
        <v>14.736841999999999</v>
      </c>
      <c r="O756" s="6">
        <v>14.21875</v>
      </c>
      <c r="P756" s="6">
        <v>13.268817</v>
      </c>
      <c r="Q756" s="6">
        <v>14.736841999999999</v>
      </c>
      <c r="R756" s="6">
        <v>14.21875</v>
      </c>
      <c r="S756" s="6">
        <v>13.268817</v>
      </c>
      <c r="T756" s="6">
        <v>14.736841999999999</v>
      </c>
      <c r="U756" s="6">
        <v>14.21875</v>
      </c>
      <c r="V756" s="6">
        <v>13.268817</v>
      </c>
    </row>
    <row r="757" spans="2:22">
      <c r="B757" s="6">
        <v>32200</v>
      </c>
      <c r="C757" s="6" t="s">
        <v>1005</v>
      </c>
      <c r="D757" s="6">
        <v>23311</v>
      </c>
      <c r="E757" s="6" t="s">
        <v>221</v>
      </c>
      <c r="F757" s="6" t="s">
        <v>16</v>
      </c>
      <c r="G757" s="6" t="s">
        <v>1295</v>
      </c>
      <c r="H757" s="6">
        <v>0</v>
      </c>
      <c r="I757" s="6">
        <v>0</v>
      </c>
      <c r="J757" s="6">
        <v>10</v>
      </c>
      <c r="K757" s="6">
        <v>10</v>
      </c>
      <c r="L757" s="6">
        <v>10</v>
      </c>
      <c r="M757" s="6">
        <v>10</v>
      </c>
      <c r="N757" s="6">
        <v>10.099009000000001</v>
      </c>
      <c r="O757" s="6">
        <v>10.02364</v>
      </c>
      <c r="P757" s="6">
        <v>10.011260999999999</v>
      </c>
      <c r="Q757" s="6">
        <v>10.099009000000001</v>
      </c>
      <c r="R757" s="6">
        <v>10.02364</v>
      </c>
      <c r="S757" s="6">
        <v>10.011260999999999</v>
      </c>
      <c r="T757" s="6">
        <v>10.099009000000001</v>
      </c>
      <c r="U757" s="6">
        <v>10.02364</v>
      </c>
      <c r="V757" s="6">
        <v>10.011260999999999</v>
      </c>
    </row>
    <row r="758" spans="2:22">
      <c r="B758" s="6">
        <v>32221</v>
      </c>
      <c r="C758" s="6" t="s">
        <v>151</v>
      </c>
      <c r="D758" s="6">
        <v>20500</v>
      </c>
      <c r="E758" s="6" t="s">
        <v>31</v>
      </c>
      <c r="F758" s="6" t="s">
        <v>13</v>
      </c>
      <c r="G758" s="6" t="s">
        <v>14</v>
      </c>
      <c r="H758" s="6">
        <v>25</v>
      </c>
      <c r="I758" s="6">
        <v>25</v>
      </c>
      <c r="J758" s="6">
        <v>25</v>
      </c>
      <c r="K758" s="6">
        <v>25</v>
      </c>
      <c r="L758" s="6">
        <v>21.25</v>
      </c>
      <c r="M758" s="6">
        <v>20.070422000000001</v>
      </c>
      <c r="N758" s="6">
        <v>25</v>
      </c>
      <c r="O758" s="6">
        <v>22.5</v>
      </c>
      <c r="P758" s="6">
        <v>20.123965999999999</v>
      </c>
      <c r="Q758" s="6">
        <v>25</v>
      </c>
      <c r="R758" s="6">
        <v>22.5</v>
      </c>
      <c r="S758" s="6">
        <v>20.122949999999999</v>
      </c>
      <c r="T758" s="6">
        <v>28.409089999999999</v>
      </c>
      <c r="U758" s="6">
        <v>28.088235000000001</v>
      </c>
      <c r="V758" s="6">
        <v>22.096774</v>
      </c>
    </row>
    <row r="759" spans="2:22">
      <c r="B759" s="6">
        <v>32221</v>
      </c>
      <c r="C759" s="6" t="s">
        <v>151</v>
      </c>
      <c r="D759" s="6">
        <v>20500</v>
      </c>
      <c r="E759" s="6" t="s">
        <v>31</v>
      </c>
      <c r="F759" s="6" t="s">
        <v>17</v>
      </c>
      <c r="G759" s="6" t="s">
        <v>1294</v>
      </c>
      <c r="H759" s="6">
        <v>26.741935000000002</v>
      </c>
      <c r="I759" s="6">
        <v>26.851851</v>
      </c>
      <c r="J759" s="6">
        <v>26.902439000000001</v>
      </c>
      <c r="K759" s="6">
        <v>26.093993999999999</v>
      </c>
      <c r="L759" s="6">
        <v>26.469746000000001</v>
      </c>
      <c r="M759" s="6">
        <v>26.000619</v>
      </c>
      <c r="N759" s="6">
        <v>26.108958000000001</v>
      </c>
      <c r="O759" s="6">
        <v>26.328648000000001</v>
      </c>
      <c r="P759" s="6">
        <v>26.003786000000002</v>
      </c>
      <c r="Q759" s="6">
        <v>26.101534000000001</v>
      </c>
      <c r="R759" s="6">
        <v>26.316153</v>
      </c>
      <c r="S759" s="6">
        <v>25.991613999999998</v>
      </c>
      <c r="T759" s="6">
        <v>25.645997000000001</v>
      </c>
      <c r="U759" s="6">
        <v>25.223958</v>
      </c>
      <c r="V759" s="6">
        <v>24.770192999999999</v>
      </c>
    </row>
    <row r="760" spans="2:22">
      <c r="B760" s="6">
        <v>32221</v>
      </c>
      <c r="C760" s="6" t="s">
        <v>151</v>
      </c>
      <c r="D760" s="6">
        <v>20706</v>
      </c>
      <c r="E760" s="6" t="s">
        <v>52</v>
      </c>
      <c r="F760" s="6" t="s">
        <v>17</v>
      </c>
      <c r="G760" s="6" t="s">
        <v>1294</v>
      </c>
      <c r="H760" s="6">
        <v>40</v>
      </c>
      <c r="I760" s="6">
        <v>40</v>
      </c>
      <c r="J760" s="6">
        <v>40</v>
      </c>
      <c r="K760" s="6">
        <v>40</v>
      </c>
      <c r="L760" s="6">
        <v>39.985993999999998</v>
      </c>
      <c r="M760" s="6">
        <v>39.981146000000003</v>
      </c>
      <c r="N760" s="6">
        <v>39.962778999999998</v>
      </c>
      <c r="O760" s="6">
        <v>39.971750999999998</v>
      </c>
      <c r="P760" s="6">
        <v>39.969020999999998</v>
      </c>
      <c r="Q760" s="6">
        <v>39.963768000000002</v>
      </c>
      <c r="R760" s="6">
        <v>39.972496999999997</v>
      </c>
      <c r="S760" s="6">
        <v>39.969659999999998</v>
      </c>
      <c r="T760" s="6">
        <v>39.867787999999997</v>
      </c>
      <c r="U760" s="6">
        <v>39.928649</v>
      </c>
      <c r="V760" s="6">
        <v>39.945453999999998</v>
      </c>
    </row>
    <row r="761" spans="2:22">
      <c r="B761" s="6">
        <v>32221</v>
      </c>
      <c r="C761" s="6" t="s">
        <v>151</v>
      </c>
      <c r="D761" s="6">
        <v>20706</v>
      </c>
      <c r="E761" s="6" t="s">
        <v>52</v>
      </c>
      <c r="F761" s="6" t="s">
        <v>73</v>
      </c>
      <c r="G761" s="6" t="s">
        <v>1299</v>
      </c>
      <c r="H761" s="6">
        <v>0</v>
      </c>
      <c r="I761" s="6">
        <v>30</v>
      </c>
      <c r="J761" s="6">
        <v>30</v>
      </c>
      <c r="K761" s="6">
        <v>0</v>
      </c>
      <c r="L761" s="6">
        <v>30</v>
      </c>
      <c r="M761" s="6">
        <v>33.059700999999997</v>
      </c>
      <c r="N761" s="6">
        <v>0</v>
      </c>
      <c r="O761" s="6">
        <v>30</v>
      </c>
      <c r="P761" s="6">
        <v>33.014704999999999</v>
      </c>
      <c r="Q761" s="6">
        <v>0</v>
      </c>
      <c r="R761" s="6">
        <v>30</v>
      </c>
      <c r="S761" s="6">
        <v>33.014704999999999</v>
      </c>
      <c r="T761" s="6">
        <v>0</v>
      </c>
      <c r="U761" s="6">
        <v>30</v>
      </c>
      <c r="V761" s="6">
        <v>33.014704999999999</v>
      </c>
    </row>
    <row r="762" spans="2:22">
      <c r="B762" s="6">
        <v>32221</v>
      </c>
      <c r="C762" s="6" t="s">
        <v>151</v>
      </c>
      <c r="D762" s="6">
        <v>20902</v>
      </c>
      <c r="E762" s="6" t="s">
        <v>53</v>
      </c>
      <c r="F762" s="6" t="s">
        <v>16</v>
      </c>
      <c r="G762" s="6" t="s">
        <v>1295</v>
      </c>
      <c r="H762" s="6">
        <v>16</v>
      </c>
      <c r="I762" s="6">
        <v>19.137930999999998</v>
      </c>
      <c r="J762" s="6">
        <v>20.454545</v>
      </c>
      <c r="K762" s="6">
        <v>27.235294</v>
      </c>
      <c r="L762" s="6">
        <v>26.730157999999999</v>
      </c>
      <c r="M762" s="6">
        <v>28.302752000000002</v>
      </c>
      <c r="N762" s="6">
        <v>27.102803000000002</v>
      </c>
      <c r="O762" s="6">
        <v>26.100322999999999</v>
      </c>
      <c r="P762" s="6">
        <v>27.578899</v>
      </c>
      <c r="Q762" s="6">
        <v>27.102803000000002</v>
      </c>
      <c r="R762" s="6">
        <v>26.100322999999999</v>
      </c>
      <c r="S762" s="6">
        <v>27.558453</v>
      </c>
      <c r="T762" s="6">
        <v>26.737159999999999</v>
      </c>
      <c r="U762" s="6">
        <v>25.752351000000001</v>
      </c>
      <c r="V762" s="6">
        <v>27.323633000000001</v>
      </c>
    </row>
    <row r="763" spans="2:22">
      <c r="B763" s="6">
        <v>32221</v>
      </c>
      <c r="C763" s="6" t="s">
        <v>151</v>
      </c>
      <c r="D763" s="6">
        <v>20902</v>
      </c>
      <c r="E763" s="6" t="s">
        <v>53</v>
      </c>
      <c r="F763" s="6" t="s">
        <v>13</v>
      </c>
      <c r="G763" s="6" t="s">
        <v>14</v>
      </c>
      <c r="H763" s="6">
        <v>19.807691999999999</v>
      </c>
      <c r="I763" s="6">
        <v>19.807691999999999</v>
      </c>
      <c r="J763" s="6">
        <v>17.5</v>
      </c>
      <c r="K763" s="6">
        <v>19.956309999999998</v>
      </c>
      <c r="L763" s="6">
        <v>19.965827000000001</v>
      </c>
      <c r="M763" s="6">
        <v>19.613216000000001</v>
      </c>
      <c r="N763" s="6">
        <v>19.181818</v>
      </c>
      <c r="O763" s="6">
        <v>19.119288999999998</v>
      </c>
      <c r="P763" s="6">
        <v>18.784502</v>
      </c>
      <c r="Q763" s="6">
        <v>19.181818</v>
      </c>
      <c r="R763" s="6">
        <v>19.101835999999999</v>
      </c>
      <c r="S763" s="6">
        <v>18.763134000000001</v>
      </c>
      <c r="T763" s="6">
        <v>19.181818</v>
      </c>
      <c r="U763" s="6">
        <v>19.101835999999999</v>
      </c>
      <c r="V763" s="6">
        <v>18.763134000000001</v>
      </c>
    </row>
    <row r="764" spans="2:22">
      <c r="B764" s="6">
        <v>32221</v>
      </c>
      <c r="C764" s="6" t="s">
        <v>151</v>
      </c>
      <c r="D764" s="6">
        <v>20906</v>
      </c>
      <c r="E764" s="6" t="s">
        <v>48</v>
      </c>
      <c r="F764" s="6" t="s">
        <v>49</v>
      </c>
      <c r="G764" s="6" t="s">
        <v>1296</v>
      </c>
      <c r="H764" s="6">
        <v>17.21875</v>
      </c>
      <c r="I764" s="6">
        <v>17.127272000000001</v>
      </c>
      <c r="J764" s="6">
        <v>17.686745999999999</v>
      </c>
      <c r="K764" s="6">
        <v>16.923482</v>
      </c>
      <c r="L764" s="6">
        <v>16.908185</v>
      </c>
      <c r="M764" s="6">
        <v>17.652851999999999</v>
      </c>
      <c r="N764" s="6">
        <v>17.016705999999999</v>
      </c>
      <c r="O764" s="6">
        <v>16.954350000000002</v>
      </c>
      <c r="P764" s="6">
        <v>17.537869000000001</v>
      </c>
      <c r="Q764" s="6">
        <v>17.016335999999999</v>
      </c>
      <c r="R764" s="6">
        <v>16.958155999999999</v>
      </c>
      <c r="S764" s="6">
        <v>17.538882000000001</v>
      </c>
      <c r="T764" s="6">
        <v>17.016335999999999</v>
      </c>
      <c r="U764" s="6">
        <v>16.958155999999999</v>
      </c>
      <c r="V764" s="6">
        <v>17.538882000000001</v>
      </c>
    </row>
    <row r="765" spans="2:22">
      <c r="B765" s="6">
        <v>32222</v>
      </c>
      <c r="C765" s="6" t="s">
        <v>152</v>
      </c>
      <c r="D765" s="6">
        <v>20500</v>
      </c>
      <c r="E765" s="6" t="s">
        <v>31</v>
      </c>
      <c r="F765" s="6" t="s">
        <v>13</v>
      </c>
      <c r="G765" s="6" t="s">
        <v>14</v>
      </c>
      <c r="H765" s="6">
        <v>0</v>
      </c>
      <c r="I765" s="6">
        <v>0</v>
      </c>
      <c r="J765" s="6">
        <v>20</v>
      </c>
      <c r="K765" s="6">
        <v>25</v>
      </c>
      <c r="L765" s="6">
        <v>21.25</v>
      </c>
      <c r="M765" s="6">
        <v>20.070422000000001</v>
      </c>
      <c r="N765" s="6">
        <v>25</v>
      </c>
      <c r="O765" s="6">
        <v>22.5</v>
      </c>
      <c r="P765" s="6">
        <v>20.123965999999999</v>
      </c>
      <c r="Q765" s="6">
        <v>25</v>
      </c>
      <c r="R765" s="6">
        <v>22.5</v>
      </c>
      <c r="S765" s="6">
        <v>20.122949999999999</v>
      </c>
      <c r="T765" s="6">
        <v>28.409089999999999</v>
      </c>
      <c r="U765" s="6">
        <v>28.088235000000001</v>
      </c>
      <c r="V765" s="6">
        <v>22.096774</v>
      </c>
    </row>
    <row r="766" spans="2:22">
      <c r="B766" s="6">
        <v>32222</v>
      </c>
      <c r="C766" s="6" t="s">
        <v>152</v>
      </c>
      <c r="D766" s="6">
        <v>20500</v>
      </c>
      <c r="E766" s="6" t="s">
        <v>31</v>
      </c>
      <c r="F766" s="6" t="s">
        <v>17</v>
      </c>
      <c r="G766" s="6" t="s">
        <v>1294</v>
      </c>
      <c r="H766" s="6">
        <v>27</v>
      </c>
      <c r="I766" s="6">
        <v>27</v>
      </c>
      <c r="J766" s="6">
        <v>27</v>
      </c>
      <c r="K766" s="6">
        <v>26.093993999999999</v>
      </c>
      <c r="L766" s="6">
        <v>26.469746000000001</v>
      </c>
      <c r="M766" s="6">
        <v>26.000619</v>
      </c>
      <c r="N766" s="6">
        <v>26.108958000000001</v>
      </c>
      <c r="O766" s="6">
        <v>26.328648000000001</v>
      </c>
      <c r="P766" s="6">
        <v>26.003786000000002</v>
      </c>
      <c r="Q766" s="6">
        <v>26.101534000000001</v>
      </c>
      <c r="R766" s="6">
        <v>26.316153</v>
      </c>
      <c r="S766" s="6">
        <v>25.991613999999998</v>
      </c>
      <c r="T766" s="6">
        <v>25.645997000000001</v>
      </c>
      <c r="U766" s="6">
        <v>25.223958</v>
      </c>
      <c r="V766" s="6">
        <v>24.770192999999999</v>
      </c>
    </row>
    <row r="767" spans="2:22">
      <c r="B767" s="6">
        <v>32222</v>
      </c>
      <c r="C767" s="6" t="s">
        <v>152</v>
      </c>
      <c r="D767" s="6">
        <v>20706</v>
      </c>
      <c r="E767" s="6" t="s">
        <v>52</v>
      </c>
      <c r="F767" s="6" t="s">
        <v>17</v>
      </c>
      <c r="G767" s="6" t="s">
        <v>1294</v>
      </c>
      <c r="H767" s="6">
        <v>40</v>
      </c>
      <c r="I767" s="6">
        <v>40</v>
      </c>
      <c r="J767" s="6">
        <v>40</v>
      </c>
      <c r="K767" s="6">
        <v>40</v>
      </c>
      <c r="L767" s="6">
        <v>39.985993999999998</v>
      </c>
      <c r="M767" s="6">
        <v>39.981146000000003</v>
      </c>
      <c r="N767" s="6">
        <v>39.962778999999998</v>
      </c>
      <c r="O767" s="6">
        <v>39.971750999999998</v>
      </c>
      <c r="P767" s="6">
        <v>39.969020999999998</v>
      </c>
      <c r="Q767" s="6">
        <v>39.963768000000002</v>
      </c>
      <c r="R767" s="6">
        <v>39.972496999999997</v>
      </c>
      <c r="S767" s="6">
        <v>39.969659999999998</v>
      </c>
      <c r="T767" s="6">
        <v>39.867787999999997</v>
      </c>
      <c r="U767" s="6">
        <v>39.928649</v>
      </c>
      <c r="V767" s="6">
        <v>39.945453999999998</v>
      </c>
    </row>
    <row r="768" spans="2:22">
      <c r="B768" s="6">
        <v>32222</v>
      </c>
      <c r="C768" s="6" t="s">
        <v>152</v>
      </c>
      <c r="D768" s="6">
        <v>20706</v>
      </c>
      <c r="E768" s="6" t="s">
        <v>52</v>
      </c>
      <c r="F768" s="6" t="s">
        <v>73</v>
      </c>
      <c r="G768" s="6" t="s">
        <v>1299</v>
      </c>
      <c r="H768" s="6">
        <v>0</v>
      </c>
      <c r="I768" s="6">
        <v>0</v>
      </c>
      <c r="J768" s="6">
        <v>35</v>
      </c>
      <c r="K768" s="6">
        <v>0</v>
      </c>
      <c r="L768" s="6">
        <v>30</v>
      </c>
      <c r="M768" s="6">
        <v>33.059700999999997</v>
      </c>
      <c r="N768" s="6">
        <v>0</v>
      </c>
      <c r="O768" s="6">
        <v>30</v>
      </c>
      <c r="P768" s="6">
        <v>33.014704999999999</v>
      </c>
      <c r="Q768" s="6">
        <v>0</v>
      </c>
      <c r="R768" s="6">
        <v>30</v>
      </c>
      <c r="S768" s="6">
        <v>33.014704999999999</v>
      </c>
      <c r="T768" s="6">
        <v>0</v>
      </c>
      <c r="U768" s="6">
        <v>30</v>
      </c>
      <c r="V768" s="6">
        <v>33.014704999999999</v>
      </c>
    </row>
    <row r="769" spans="2:22">
      <c r="B769" s="6">
        <v>32222</v>
      </c>
      <c r="C769" s="6" t="s">
        <v>152</v>
      </c>
      <c r="D769" s="6">
        <v>20902</v>
      </c>
      <c r="E769" s="6" t="s">
        <v>53</v>
      </c>
      <c r="F769" s="6" t="s">
        <v>16</v>
      </c>
      <c r="G769" s="6" t="s">
        <v>1295</v>
      </c>
      <c r="H769" s="6">
        <v>22</v>
      </c>
      <c r="I769" s="6">
        <v>27.735849000000002</v>
      </c>
      <c r="J769" s="6">
        <v>28.918918000000001</v>
      </c>
      <c r="K769" s="6">
        <v>27.235294</v>
      </c>
      <c r="L769" s="6">
        <v>26.730157999999999</v>
      </c>
      <c r="M769" s="6">
        <v>28.302752000000002</v>
      </c>
      <c r="N769" s="6">
        <v>27.102803000000002</v>
      </c>
      <c r="O769" s="6">
        <v>26.100322999999999</v>
      </c>
      <c r="P769" s="6">
        <v>27.578899</v>
      </c>
      <c r="Q769" s="6">
        <v>27.102803000000002</v>
      </c>
      <c r="R769" s="6">
        <v>26.100322999999999</v>
      </c>
      <c r="S769" s="6">
        <v>27.558453</v>
      </c>
      <c r="T769" s="6">
        <v>26.737159999999999</v>
      </c>
      <c r="U769" s="6">
        <v>25.752351000000001</v>
      </c>
      <c r="V769" s="6">
        <v>27.323633000000001</v>
      </c>
    </row>
    <row r="770" spans="2:22">
      <c r="B770" s="6">
        <v>32222</v>
      </c>
      <c r="C770" s="6" t="s">
        <v>152</v>
      </c>
      <c r="D770" s="6">
        <v>20902</v>
      </c>
      <c r="E770" s="6" t="s">
        <v>53</v>
      </c>
      <c r="F770" s="6" t="s">
        <v>13</v>
      </c>
      <c r="G770" s="6" t="s">
        <v>14</v>
      </c>
      <c r="H770" s="6">
        <v>0</v>
      </c>
      <c r="I770" s="6">
        <v>20.071428000000001</v>
      </c>
      <c r="J770" s="6">
        <v>20.045871000000002</v>
      </c>
      <c r="K770" s="6">
        <v>19.956309999999998</v>
      </c>
      <c r="L770" s="6">
        <v>19.965827000000001</v>
      </c>
      <c r="M770" s="6">
        <v>19.613216000000001</v>
      </c>
      <c r="N770" s="6">
        <v>19.181818</v>
      </c>
      <c r="O770" s="6">
        <v>19.119288999999998</v>
      </c>
      <c r="P770" s="6">
        <v>18.784502</v>
      </c>
      <c r="Q770" s="6">
        <v>19.181818</v>
      </c>
      <c r="R770" s="6">
        <v>19.101835999999999</v>
      </c>
      <c r="S770" s="6">
        <v>18.763134000000001</v>
      </c>
      <c r="T770" s="6">
        <v>19.181818</v>
      </c>
      <c r="U770" s="6">
        <v>19.101835999999999</v>
      </c>
      <c r="V770" s="6">
        <v>18.763134000000001</v>
      </c>
    </row>
    <row r="771" spans="2:22">
      <c r="B771" s="6">
        <v>32222</v>
      </c>
      <c r="C771" s="6" t="s">
        <v>152</v>
      </c>
      <c r="D771" s="6">
        <v>20906</v>
      </c>
      <c r="E771" s="6" t="s">
        <v>48</v>
      </c>
      <c r="F771" s="6" t="s">
        <v>49</v>
      </c>
      <c r="G771" s="6" t="s">
        <v>1296</v>
      </c>
      <c r="H771" s="6">
        <v>17</v>
      </c>
      <c r="I771" s="6">
        <v>17.02439</v>
      </c>
      <c r="J771" s="6">
        <v>17.75</v>
      </c>
      <c r="K771" s="6">
        <v>16.923482</v>
      </c>
      <c r="L771" s="6">
        <v>16.908185</v>
      </c>
      <c r="M771" s="6">
        <v>17.652851999999999</v>
      </c>
      <c r="N771" s="6">
        <v>17.016705999999999</v>
      </c>
      <c r="O771" s="6">
        <v>16.954350000000002</v>
      </c>
      <c r="P771" s="6">
        <v>17.537869000000001</v>
      </c>
      <c r="Q771" s="6">
        <v>17.016335999999999</v>
      </c>
      <c r="R771" s="6">
        <v>16.958155999999999</v>
      </c>
      <c r="S771" s="6">
        <v>17.538882000000001</v>
      </c>
      <c r="T771" s="6">
        <v>17.016335999999999</v>
      </c>
      <c r="U771" s="6">
        <v>16.958155999999999</v>
      </c>
      <c r="V771" s="6">
        <v>17.538882000000001</v>
      </c>
    </row>
    <row r="772" spans="2:22">
      <c r="B772" s="6">
        <v>32223</v>
      </c>
      <c r="C772" s="6" t="s">
        <v>153</v>
      </c>
      <c r="D772" s="6">
        <v>20500</v>
      </c>
      <c r="E772" s="6" t="s">
        <v>31</v>
      </c>
      <c r="F772" s="6" t="s">
        <v>13</v>
      </c>
      <c r="G772" s="6" t="s">
        <v>14</v>
      </c>
      <c r="H772" s="6">
        <v>0</v>
      </c>
      <c r="I772" s="6">
        <v>20</v>
      </c>
      <c r="J772" s="6">
        <v>20</v>
      </c>
      <c r="K772" s="6">
        <v>25</v>
      </c>
      <c r="L772" s="6">
        <v>21.25</v>
      </c>
      <c r="M772" s="6">
        <v>20.070422000000001</v>
      </c>
      <c r="N772" s="6">
        <v>25</v>
      </c>
      <c r="O772" s="6">
        <v>22.5</v>
      </c>
      <c r="P772" s="6">
        <v>20.123965999999999</v>
      </c>
      <c r="Q772" s="6">
        <v>25</v>
      </c>
      <c r="R772" s="6">
        <v>22.5</v>
      </c>
      <c r="S772" s="6">
        <v>20.122949999999999</v>
      </c>
      <c r="T772" s="6">
        <v>28.409089999999999</v>
      </c>
      <c r="U772" s="6">
        <v>28.088235000000001</v>
      </c>
      <c r="V772" s="6">
        <v>22.096774</v>
      </c>
    </row>
    <row r="773" spans="2:22">
      <c r="B773" s="6">
        <v>32223</v>
      </c>
      <c r="C773" s="6" t="s">
        <v>153</v>
      </c>
      <c r="D773" s="6">
        <v>20500</v>
      </c>
      <c r="E773" s="6" t="s">
        <v>31</v>
      </c>
      <c r="F773" s="6" t="s">
        <v>17</v>
      </c>
      <c r="G773" s="6" t="s">
        <v>1294</v>
      </c>
      <c r="H773" s="6">
        <v>27</v>
      </c>
      <c r="I773" s="6">
        <v>27</v>
      </c>
      <c r="J773" s="6">
        <v>27</v>
      </c>
      <c r="K773" s="6">
        <v>26.093993999999999</v>
      </c>
      <c r="L773" s="6">
        <v>26.469746000000001</v>
      </c>
      <c r="M773" s="6">
        <v>26.000619</v>
      </c>
      <c r="N773" s="6">
        <v>26.108958000000001</v>
      </c>
      <c r="O773" s="6">
        <v>26.328648000000001</v>
      </c>
      <c r="P773" s="6">
        <v>26.003786000000002</v>
      </c>
      <c r="Q773" s="6">
        <v>26.101534000000001</v>
      </c>
      <c r="R773" s="6">
        <v>26.316153</v>
      </c>
      <c r="S773" s="6">
        <v>25.991613999999998</v>
      </c>
      <c r="T773" s="6">
        <v>25.645997000000001</v>
      </c>
      <c r="U773" s="6">
        <v>25.223958</v>
      </c>
      <c r="V773" s="6">
        <v>24.770192999999999</v>
      </c>
    </row>
    <row r="774" spans="2:22">
      <c r="B774" s="6">
        <v>32223</v>
      </c>
      <c r="C774" s="6" t="s">
        <v>153</v>
      </c>
      <c r="D774" s="6">
        <v>20706</v>
      </c>
      <c r="E774" s="6" t="s">
        <v>52</v>
      </c>
      <c r="F774" s="6" t="s">
        <v>17</v>
      </c>
      <c r="G774" s="6" t="s">
        <v>1294</v>
      </c>
      <c r="H774" s="6">
        <v>40</v>
      </c>
      <c r="I774" s="6">
        <v>40</v>
      </c>
      <c r="J774" s="6">
        <v>40</v>
      </c>
      <c r="K774" s="6">
        <v>40</v>
      </c>
      <c r="L774" s="6">
        <v>39.985993999999998</v>
      </c>
      <c r="M774" s="6">
        <v>39.981146000000003</v>
      </c>
      <c r="N774" s="6">
        <v>39.962778999999998</v>
      </c>
      <c r="O774" s="6">
        <v>39.971750999999998</v>
      </c>
      <c r="P774" s="6">
        <v>39.969020999999998</v>
      </c>
      <c r="Q774" s="6">
        <v>39.963768000000002</v>
      </c>
      <c r="R774" s="6">
        <v>39.972496999999997</v>
      </c>
      <c r="S774" s="6">
        <v>39.969659999999998</v>
      </c>
      <c r="T774" s="6">
        <v>39.867787999999997</v>
      </c>
      <c r="U774" s="6">
        <v>39.928649</v>
      </c>
      <c r="V774" s="6">
        <v>39.945453999999998</v>
      </c>
    </row>
    <row r="775" spans="2:22">
      <c r="B775" s="6">
        <v>32223</v>
      </c>
      <c r="C775" s="6" t="s">
        <v>153</v>
      </c>
      <c r="D775" s="6">
        <v>20706</v>
      </c>
      <c r="E775" s="6" t="s">
        <v>52</v>
      </c>
      <c r="F775" s="6" t="s">
        <v>73</v>
      </c>
      <c r="G775" s="6" t="s">
        <v>1299</v>
      </c>
      <c r="H775" s="6">
        <v>0</v>
      </c>
      <c r="I775" s="6">
        <v>30</v>
      </c>
      <c r="J775" s="6">
        <v>32.027026999999997</v>
      </c>
      <c r="K775" s="6">
        <v>0</v>
      </c>
      <c r="L775" s="6">
        <v>30</v>
      </c>
      <c r="M775" s="6">
        <v>33.059700999999997</v>
      </c>
      <c r="N775" s="6">
        <v>0</v>
      </c>
      <c r="O775" s="6">
        <v>30</v>
      </c>
      <c r="P775" s="6">
        <v>33.014704999999999</v>
      </c>
      <c r="Q775" s="6">
        <v>0</v>
      </c>
      <c r="R775" s="6">
        <v>30</v>
      </c>
      <c r="S775" s="6">
        <v>33.014704999999999</v>
      </c>
      <c r="T775" s="6">
        <v>0</v>
      </c>
      <c r="U775" s="6">
        <v>30</v>
      </c>
      <c r="V775" s="6">
        <v>33.014704999999999</v>
      </c>
    </row>
    <row r="776" spans="2:22">
      <c r="B776" s="6">
        <v>32223</v>
      </c>
      <c r="C776" s="6" t="s">
        <v>153</v>
      </c>
      <c r="D776" s="6">
        <v>20902</v>
      </c>
      <c r="E776" s="6" t="s">
        <v>53</v>
      </c>
      <c r="F776" s="6" t="s">
        <v>16</v>
      </c>
      <c r="G776" s="6" t="s">
        <v>1295</v>
      </c>
      <c r="H776" s="6">
        <v>0</v>
      </c>
      <c r="I776" s="6">
        <v>0</v>
      </c>
      <c r="J776" s="6">
        <v>30</v>
      </c>
      <c r="K776" s="6">
        <v>27.235294</v>
      </c>
      <c r="L776" s="6">
        <v>26.730157999999999</v>
      </c>
      <c r="M776" s="6">
        <v>28.302752000000002</v>
      </c>
      <c r="N776" s="6">
        <v>27.102803000000002</v>
      </c>
      <c r="O776" s="6">
        <v>26.100322999999999</v>
      </c>
      <c r="P776" s="6">
        <v>27.578899</v>
      </c>
      <c r="Q776" s="6">
        <v>27.102803000000002</v>
      </c>
      <c r="R776" s="6">
        <v>26.100322999999999</v>
      </c>
      <c r="S776" s="6">
        <v>27.558453</v>
      </c>
      <c r="T776" s="6">
        <v>26.737159999999999</v>
      </c>
      <c r="U776" s="6">
        <v>25.752351000000001</v>
      </c>
      <c r="V776" s="6">
        <v>27.323633000000001</v>
      </c>
    </row>
    <row r="777" spans="2:22">
      <c r="B777" s="6">
        <v>32223</v>
      </c>
      <c r="C777" s="6" t="s">
        <v>153</v>
      </c>
      <c r="D777" s="6">
        <v>20902</v>
      </c>
      <c r="E777" s="6" t="s">
        <v>53</v>
      </c>
      <c r="F777" s="6" t="s">
        <v>13</v>
      </c>
      <c r="G777" s="6" t="s">
        <v>14</v>
      </c>
      <c r="H777" s="6">
        <v>20</v>
      </c>
      <c r="I777" s="6">
        <v>20</v>
      </c>
      <c r="J777" s="6">
        <v>20</v>
      </c>
      <c r="K777" s="6">
        <v>19.956309999999998</v>
      </c>
      <c r="L777" s="6">
        <v>19.965827000000001</v>
      </c>
      <c r="M777" s="6">
        <v>19.613216000000001</v>
      </c>
      <c r="N777" s="6">
        <v>19.181818</v>
      </c>
      <c r="O777" s="6">
        <v>19.119288999999998</v>
      </c>
      <c r="P777" s="6">
        <v>18.784502</v>
      </c>
      <c r="Q777" s="6">
        <v>19.181818</v>
      </c>
      <c r="R777" s="6">
        <v>19.101835999999999</v>
      </c>
      <c r="S777" s="6">
        <v>18.763134000000001</v>
      </c>
      <c r="T777" s="6">
        <v>19.181818</v>
      </c>
      <c r="U777" s="6">
        <v>19.101835999999999</v>
      </c>
      <c r="V777" s="6">
        <v>18.763134000000001</v>
      </c>
    </row>
    <row r="778" spans="2:22">
      <c r="B778" s="6">
        <v>32223</v>
      </c>
      <c r="C778" s="6" t="s">
        <v>153</v>
      </c>
      <c r="D778" s="6">
        <v>20906</v>
      </c>
      <c r="E778" s="6" t="s">
        <v>48</v>
      </c>
      <c r="F778" s="6" t="s">
        <v>49</v>
      </c>
      <c r="G778" s="6" t="s">
        <v>1296</v>
      </c>
      <c r="H778" s="6">
        <v>17</v>
      </c>
      <c r="I778" s="6">
        <v>17</v>
      </c>
      <c r="J778" s="6">
        <v>17.811518</v>
      </c>
      <c r="K778" s="6">
        <v>16.923482</v>
      </c>
      <c r="L778" s="6">
        <v>16.908185</v>
      </c>
      <c r="M778" s="6">
        <v>17.652851999999999</v>
      </c>
      <c r="N778" s="6">
        <v>17.016705999999999</v>
      </c>
      <c r="O778" s="6">
        <v>16.954350000000002</v>
      </c>
      <c r="P778" s="6">
        <v>17.537869000000001</v>
      </c>
      <c r="Q778" s="6">
        <v>17.016335999999999</v>
      </c>
      <c r="R778" s="6">
        <v>16.958155999999999</v>
      </c>
      <c r="S778" s="6">
        <v>17.538882000000001</v>
      </c>
      <c r="T778" s="6">
        <v>17.016335999999999</v>
      </c>
      <c r="U778" s="6">
        <v>16.958155999999999</v>
      </c>
      <c r="V778" s="6">
        <v>17.538882000000001</v>
      </c>
    </row>
    <row r="779" spans="2:22">
      <c r="B779" s="6">
        <v>32224</v>
      </c>
      <c r="C779" s="6" t="s">
        <v>154</v>
      </c>
      <c r="D779" s="6">
        <v>20500</v>
      </c>
      <c r="E779" s="6" t="s">
        <v>31</v>
      </c>
      <c r="F779" s="6" t="s">
        <v>17</v>
      </c>
      <c r="G779" s="6" t="s">
        <v>1294</v>
      </c>
      <c r="H779" s="6">
        <v>27</v>
      </c>
      <c r="I779" s="6">
        <v>27</v>
      </c>
      <c r="J779" s="6">
        <v>27</v>
      </c>
      <c r="K779" s="6">
        <v>26.093993999999999</v>
      </c>
      <c r="L779" s="6">
        <v>26.469746000000001</v>
      </c>
      <c r="M779" s="6">
        <v>26.000619</v>
      </c>
      <c r="N779" s="6">
        <v>26.108958000000001</v>
      </c>
      <c r="O779" s="6">
        <v>26.328648000000001</v>
      </c>
      <c r="P779" s="6">
        <v>26.003786000000002</v>
      </c>
      <c r="Q779" s="6">
        <v>26.101534000000001</v>
      </c>
      <c r="R779" s="6">
        <v>26.316153</v>
      </c>
      <c r="S779" s="6">
        <v>25.991613999999998</v>
      </c>
      <c r="T779" s="6">
        <v>25.645997000000001</v>
      </c>
      <c r="U779" s="6">
        <v>25.223958</v>
      </c>
      <c r="V779" s="6">
        <v>24.770192999999999</v>
      </c>
    </row>
    <row r="780" spans="2:22">
      <c r="B780" s="6">
        <v>32224</v>
      </c>
      <c r="C780" s="6" t="s">
        <v>154</v>
      </c>
      <c r="D780" s="6">
        <v>20706</v>
      </c>
      <c r="E780" s="6" t="s">
        <v>52</v>
      </c>
      <c r="F780" s="6" t="s">
        <v>17</v>
      </c>
      <c r="G780" s="6" t="s">
        <v>1294</v>
      </c>
      <c r="H780" s="6">
        <v>40</v>
      </c>
      <c r="I780" s="6">
        <v>40</v>
      </c>
      <c r="J780" s="6">
        <v>40</v>
      </c>
      <c r="K780" s="6">
        <v>40</v>
      </c>
      <c r="L780" s="6">
        <v>39.985993999999998</v>
      </c>
      <c r="M780" s="6">
        <v>39.981146000000003</v>
      </c>
      <c r="N780" s="6">
        <v>39.962778999999998</v>
      </c>
      <c r="O780" s="6">
        <v>39.971750999999998</v>
      </c>
      <c r="P780" s="6">
        <v>39.969020999999998</v>
      </c>
      <c r="Q780" s="6">
        <v>39.963768000000002</v>
      </c>
      <c r="R780" s="6">
        <v>39.972496999999997</v>
      </c>
      <c r="S780" s="6">
        <v>39.969659999999998</v>
      </c>
      <c r="T780" s="6">
        <v>39.867787999999997</v>
      </c>
      <c r="U780" s="6">
        <v>39.928649</v>
      </c>
      <c r="V780" s="6">
        <v>39.945453999999998</v>
      </c>
    </row>
    <row r="781" spans="2:22">
      <c r="B781" s="6">
        <v>32224</v>
      </c>
      <c r="C781" s="6" t="s">
        <v>154</v>
      </c>
      <c r="D781" s="6">
        <v>20706</v>
      </c>
      <c r="E781" s="6" t="s">
        <v>52</v>
      </c>
      <c r="F781" s="6" t="s">
        <v>73</v>
      </c>
      <c r="G781" s="6" t="s">
        <v>1299</v>
      </c>
      <c r="H781" s="6">
        <v>0</v>
      </c>
      <c r="I781" s="6">
        <v>30</v>
      </c>
      <c r="J781" s="6">
        <v>30</v>
      </c>
      <c r="K781" s="6">
        <v>0</v>
      </c>
      <c r="L781" s="6">
        <v>30</v>
      </c>
      <c r="M781" s="6">
        <v>33.059700999999997</v>
      </c>
      <c r="N781" s="6">
        <v>0</v>
      </c>
      <c r="O781" s="6">
        <v>30</v>
      </c>
      <c r="P781" s="6">
        <v>33.014704999999999</v>
      </c>
      <c r="Q781" s="6">
        <v>0</v>
      </c>
      <c r="R781" s="6">
        <v>30</v>
      </c>
      <c r="S781" s="6">
        <v>33.014704999999999</v>
      </c>
      <c r="T781" s="6">
        <v>0</v>
      </c>
      <c r="U781" s="6">
        <v>30</v>
      </c>
      <c r="V781" s="6">
        <v>33.014704999999999</v>
      </c>
    </row>
    <row r="782" spans="2:22">
      <c r="B782" s="6">
        <v>32224</v>
      </c>
      <c r="C782" s="6" t="s">
        <v>154</v>
      </c>
      <c r="D782" s="6">
        <v>20902</v>
      </c>
      <c r="E782" s="6" t="s">
        <v>53</v>
      </c>
      <c r="F782" s="6" t="s">
        <v>16</v>
      </c>
      <c r="G782" s="6" t="s">
        <v>1295</v>
      </c>
      <c r="H782" s="6">
        <v>30</v>
      </c>
      <c r="I782" s="6">
        <v>30</v>
      </c>
      <c r="J782" s="6">
        <v>30</v>
      </c>
      <c r="K782" s="6">
        <v>27.235294</v>
      </c>
      <c r="L782" s="6">
        <v>26.730157999999999</v>
      </c>
      <c r="M782" s="6">
        <v>28.302752000000002</v>
      </c>
      <c r="N782" s="6">
        <v>27.102803000000002</v>
      </c>
      <c r="O782" s="6">
        <v>26.100322999999999</v>
      </c>
      <c r="P782" s="6">
        <v>27.578899</v>
      </c>
      <c r="Q782" s="6">
        <v>27.102803000000002</v>
      </c>
      <c r="R782" s="6">
        <v>26.100322999999999</v>
      </c>
      <c r="S782" s="6">
        <v>27.558453</v>
      </c>
      <c r="T782" s="6">
        <v>26.737159999999999</v>
      </c>
      <c r="U782" s="6">
        <v>25.752351000000001</v>
      </c>
      <c r="V782" s="6">
        <v>27.323633000000001</v>
      </c>
    </row>
    <row r="783" spans="2:22">
      <c r="B783" s="6">
        <v>32224</v>
      </c>
      <c r="C783" s="6" t="s">
        <v>154</v>
      </c>
      <c r="D783" s="6">
        <v>20902</v>
      </c>
      <c r="E783" s="6" t="s">
        <v>53</v>
      </c>
      <c r="F783" s="6" t="s">
        <v>13</v>
      </c>
      <c r="G783" s="6" t="s">
        <v>14</v>
      </c>
      <c r="H783" s="6">
        <v>20</v>
      </c>
      <c r="I783" s="6">
        <v>20</v>
      </c>
      <c r="J783" s="6">
        <v>20</v>
      </c>
      <c r="K783" s="6">
        <v>19.956309999999998</v>
      </c>
      <c r="L783" s="6">
        <v>19.965827000000001</v>
      </c>
      <c r="M783" s="6">
        <v>19.613216000000001</v>
      </c>
      <c r="N783" s="6">
        <v>19.181818</v>
      </c>
      <c r="O783" s="6">
        <v>19.119288999999998</v>
      </c>
      <c r="P783" s="6">
        <v>18.784502</v>
      </c>
      <c r="Q783" s="6">
        <v>19.181818</v>
      </c>
      <c r="R783" s="6">
        <v>19.101835999999999</v>
      </c>
      <c r="S783" s="6">
        <v>18.763134000000001</v>
      </c>
      <c r="T783" s="6">
        <v>19.181818</v>
      </c>
      <c r="U783" s="6">
        <v>19.101835999999999</v>
      </c>
      <c r="V783" s="6">
        <v>18.763134000000001</v>
      </c>
    </row>
    <row r="784" spans="2:22">
      <c r="B784" s="6">
        <v>32224</v>
      </c>
      <c r="C784" s="6" t="s">
        <v>154</v>
      </c>
      <c r="D784" s="6">
        <v>20906</v>
      </c>
      <c r="E784" s="6" t="s">
        <v>48</v>
      </c>
      <c r="F784" s="6" t="s">
        <v>49</v>
      </c>
      <c r="G784" s="6" t="s">
        <v>1296</v>
      </c>
      <c r="H784" s="6">
        <v>17</v>
      </c>
      <c r="I784" s="6">
        <v>17</v>
      </c>
      <c r="J784" s="6">
        <v>17.529411</v>
      </c>
      <c r="K784" s="6">
        <v>16.923482</v>
      </c>
      <c r="L784" s="6">
        <v>16.908185</v>
      </c>
      <c r="M784" s="6">
        <v>17.652851999999999</v>
      </c>
      <c r="N784" s="6">
        <v>17.016705999999999</v>
      </c>
      <c r="O784" s="6">
        <v>16.954350000000002</v>
      </c>
      <c r="P784" s="6">
        <v>17.537869000000001</v>
      </c>
      <c r="Q784" s="6">
        <v>17.016335999999999</v>
      </c>
      <c r="R784" s="6">
        <v>16.958155999999999</v>
      </c>
      <c r="S784" s="6">
        <v>17.538882000000001</v>
      </c>
      <c r="T784" s="6">
        <v>17.016335999999999</v>
      </c>
      <c r="U784" s="6">
        <v>16.958155999999999</v>
      </c>
      <c r="V784" s="6">
        <v>17.538882000000001</v>
      </c>
    </row>
    <row r="785" spans="2:22">
      <c r="B785" s="6">
        <v>32225</v>
      </c>
      <c r="C785" s="6" t="s">
        <v>155</v>
      </c>
      <c r="D785" s="6">
        <v>20500</v>
      </c>
      <c r="E785" s="6" t="s">
        <v>31</v>
      </c>
      <c r="F785" s="6" t="s">
        <v>17</v>
      </c>
      <c r="G785" s="6" t="s">
        <v>1294</v>
      </c>
      <c r="H785" s="6">
        <v>27</v>
      </c>
      <c r="I785" s="6">
        <v>27</v>
      </c>
      <c r="J785" s="6">
        <v>27</v>
      </c>
      <c r="K785" s="6">
        <v>26.093993999999999</v>
      </c>
      <c r="L785" s="6">
        <v>26.469746000000001</v>
      </c>
      <c r="M785" s="6">
        <v>26.000619</v>
      </c>
      <c r="N785" s="6">
        <v>26.108958000000001</v>
      </c>
      <c r="O785" s="6">
        <v>26.328648000000001</v>
      </c>
      <c r="P785" s="6">
        <v>26.003786000000002</v>
      </c>
      <c r="Q785" s="6">
        <v>26.101534000000001</v>
      </c>
      <c r="R785" s="6">
        <v>26.316153</v>
      </c>
      <c r="S785" s="6">
        <v>25.991613999999998</v>
      </c>
      <c r="T785" s="6">
        <v>25.645997000000001</v>
      </c>
      <c r="U785" s="6">
        <v>25.223958</v>
      </c>
      <c r="V785" s="6">
        <v>24.770192999999999</v>
      </c>
    </row>
    <row r="786" spans="2:22">
      <c r="B786" s="6">
        <v>32225</v>
      </c>
      <c r="C786" s="6" t="s">
        <v>155</v>
      </c>
      <c r="D786" s="6">
        <v>20706</v>
      </c>
      <c r="E786" s="6" t="s">
        <v>52</v>
      </c>
      <c r="F786" s="6" t="s">
        <v>17</v>
      </c>
      <c r="G786" s="6" t="s">
        <v>1294</v>
      </c>
      <c r="H786" s="6">
        <v>40</v>
      </c>
      <c r="I786" s="6">
        <v>40</v>
      </c>
      <c r="J786" s="6">
        <v>40</v>
      </c>
      <c r="K786" s="6">
        <v>40</v>
      </c>
      <c r="L786" s="6">
        <v>39.985993999999998</v>
      </c>
      <c r="M786" s="6">
        <v>39.981146000000003</v>
      </c>
      <c r="N786" s="6">
        <v>39.962778999999998</v>
      </c>
      <c r="O786" s="6">
        <v>39.971750999999998</v>
      </c>
      <c r="P786" s="6">
        <v>39.969020999999998</v>
      </c>
      <c r="Q786" s="6">
        <v>39.963768000000002</v>
      </c>
      <c r="R786" s="6">
        <v>39.972496999999997</v>
      </c>
      <c r="S786" s="6">
        <v>39.969659999999998</v>
      </c>
      <c r="T786" s="6">
        <v>39.867787999999997</v>
      </c>
      <c r="U786" s="6">
        <v>39.928649</v>
      </c>
      <c r="V786" s="6">
        <v>39.945453999999998</v>
      </c>
    </row>
    <row r="787" spans="2:22">
      <c r="B787" s="6">
        <v>32225</v>
      </c>
      <c r="C787" s="6" t="s">
        <v>155</v>
      </c>
      <c r="D787" s="6">
        <v>20902</v>
      </c>
      <c r="E787" s="6" t="s">
        <v>53</v>
      </c>
      <c r="F787" s="6" t="s">
        <v>16</v>
      </c>
      <c r="G787" s="6" t="s">
        <v>1295</v>
      </c>
      <c r="H787" s="6">
        <v>30</v>
      </c>
      <c r="I787" s="6">
        <v>30</v>
      </c>
      <c r="J787" s="6">
        <v>23.333333</v>
      </c>
      <c r="K787" s="6">
        <v>27.235294</v>
      </c>
      <c r="L787" s="6">
        <v>26.730157999999999</v>
      </c>
      <c r="M787" s="6">
        <v>28.302752000000002</v>
      </c>
      <c r="N787" s="6">
        <v>27.102803000000002</v>
      </c>
      <c r="O787" s="6">
        <v>26.100322999999999</v>
      </c>
      <c r="P787" s="6">
        <v>27.578899</v>
      </c>
      <c r="Q787" s="6">
        <v>27.102803000000002</v>
      </c>
      <c r="R787" s="6">
        <v>26.100322999999999</v>
      </c>
      <c r="S787" s="6">
        <v>27.558453</v>
      </c>
      <c r="T787" s="6">
        <v>26.737159999999999</v>
      </c>
      <c r="U787" s="6">
        <v>25.752351000000001</v>
      </c>
      <c r="V787" s="6">
        <v>27.323633000000001</v>
      </c>
    </row>
    <row r="788" spans="2:22">
      <c r="B788" s="6">
        <v>32225</v>
      </c>
      <c r="C788" s="6" t="s">
        <v>155</v>
      </c>
      <c r="D788" s="6">
        <v>20902</v>
      </c>
      <c r="E788" s="6" t="s">
        <v>53</v>
      </c>
      <c r="F788" s="6" t="s">
        <v>13</v>
      </c>
      <c r="G788" s="6" t="s">
        <v>14</v>
      </c>
      <c r="H788" s="6">
        <v>0</v>
      </c>
      <c r="I788" s="6">
        <v>20</v>
      </c>
      <c r="J788" s="6">
        <v>20</v>
      </c>
      <c r="K788" s="6">
        <v>19.956309999999998</v>
      </c>
      <c r="L788" s="6">
        <v>19.965827000000001</v>
      </c>
      <c r="M788" s="6">
        <v>19.613216000000001</v>
      </c>
      <c r="N788" s="6">
        <v>19.181818</v>
      </c>
      <c r="O788" s="6">
        <v>19.119288999999998</v>
      </c>
      <c r="P788" s="6">
        <v>18.784502</v>
      </c>
      <c r="Q788" s="6">
        <v>19.181818</v>
      </c>
      <c r="R788" s="6">
        <v>19.101835999999999</v>
      </c>
      <c r="S788" s="6">
        <v>18.763134000000001</v>
      </c>
      <c r="T788" s="6">
        <v>19.181818</v>
      </c>
      <c r="U788" s="6">
        <v>19.101835999999999</v>
      </c>
      <c r="V788" s="6">
        <v>18.763134000000001</v>
      </c>
    </row>
    <row r="789" spans="2:22">
      <c r="B789" s="6">
        <v>32225</v>
      </c>
      <c r="C789" s="6" t="s">
        <v>155</v>
      </c>
      <c r="D789" s="6">
        <v>20906</v>
      </c>
      <c r="E789" s="6" t="s">
        <v>48</v>
      </c>
      <c r="F789" s="6" t="s">
        <v>49</v>
      </c>
      <c r="G789" s="6" t="s">
        <v>1296</v>
      </c>
      <c r="H789" s="6">
        <v>17</v>
      </c>
      <c r="I789" s="6">
        <v>17</v>
      </c>
      <c r="J789" s="6">
        <v>18.153846000000001</v>
      </c>
      <c r="K789" s="6">
        <v>16.923482</v>
      </c>
      <c r="L789" s="6">
        <v>16.908185</v>
      </c>
      <c r="M789" s="6">
        <v>17.652851999999999</v>
      </c>
      <c r="N789" s="6">
        <v>17.016705999999999</v>
      </c>
      <c r="O789" s="6">
        <v>16.954350000000002</v>
      </c>
      <c r="P789" s="6">
        <v>17.537869000000001</v>
      </c>
      <c r="Q789" s="6">
        <v>17.016335999999999</v>
      </c>
      <c r="R789" s="6">
        <v>16.958155999999999</v>
      </c>
      <c r="S789" s="6">
        <v>17.538882000000001</v>
      </c>
      <c r="T789" s="6">
        <v>17.016335999999999</v>
      </c>
      <c r="U789" s="6">
        <v>16.958155999999999</v>
      </c>
      <c r="V789" s="6">
        <v>17.538882000000001</v>
      </c>
    </row>
    <row r="790" spans="2:22">
      <c r="B790" s="6">
        <v>32238</v>
      </c>
      <c r="C790" s="6" t="s">
        <v>1089</v>
      </c>
      <c r="D790" s="6">
        <v>20706</v>
      </c>
      <c r="E790" s="6" t="s">
        <v>52</v>
      </c>
      <c r="F790" s="6" t="s">
        <v>17</v>
      </c>
      <c r="G790" s="6" t="s">
        <v>1294</v>
      </c>
      <c r="H790" s="6">
        <v>40</v>
      </c>
      <c r="I790" s="6">
        <v>40</v>
      </c>
      <c r="J790" s="6">
        <v>40</v>
      </c>
      <c r="K790" s="6">
        <v>40</v>
      </c>
      <c r="L790" s="6">
        <v>39.985993999999998</v>
      </c>
      <c r="M790" s="6">
        <v>39.981146000000003</v>
      </c>
      <c r="N790" s="6">
        <v>39.962778999999998</v>
      </c>
      <c r="O790" s="6">
        <v>39.971750999999998</v>
      </c>
      <c r="P790" s="6">
        <v>39.969020999999998</v>
      </c>
      <c r="Q790" s="6">
        <v>39.963768000000002</v>
      </c>
      <c r="R790" s="6">
        <v>39.972496999999997</v>
      </c>
      <c r="S790" s="6">
        <v>39.969659999999998</v>
      </c>
      <c r="T790" s="6">
        <v>39.867787999999997</v>
      </c>
      <c r="U790" s="6">
        <v>39.928649</v>
      </c>
      <c r="V790" s="6">
        <v>39.945453999999998</v>
      </c>
    </row>
    <row r="791" spans="2:22">
      <c r="B791" s="6">
        <v>32238</v>
      </c>
      <c r="C791" s="6" t="s">
        <v>1089</v>
      </c>
      <c r="D791" s="6">
        <v>20904</v>
      </c>
      <c r="E791" s="6" t="s">
        <v>156</v>
      </c>
      <c r="F791" s="6" t="s">
        <v>13</v>
      </c>
      <c r="G791" s="6" t="s">
        <v>14</v>
      </c>
      <c r="H791" s="6">
        <v>20</v>
      </c>
      <c r="I791" s="6">
        <v>20</v>
      </c>
      <c r="J791" s="6">
        <v>20</v>
      </c>
      <c r="K791" s="6">
        <v>20</v>
      </c>
      <c r="L791" s="6">
        <v>20</v>
      </c>
      <c r="M791" s="6">
        <v>20</v>
      </c>
      <c r="N791" s="6">
        <v>20</v>
      </c>
      <c r="O791" s="6">
        <v>20</v>
      </c>
      <c r="P791" s="6">
        <v>20</v>
      </c>
      <c r="Q791" s="6">
        <v>20</v>
      </c>
      <c r="R791" s="6">
        <v>20</v>
      </c>
      <c r="S791" s="6">
        <v>20</v>
      </c>
      <c r="T791" s="6">
        <v>20</v>
      </c>
      <c r="U791" s="6">
        <v>20</v>
      </c>
      <c r="V791" s="6">
        <v>20</v>
      </c>
    </row>
    <row r="792" spans="2:22">
      <c r="B792" s="6">
        <v>32240</v>
      </c>
      <c r="C792" s="6" t="s">
        <v>1058</v>
      </c>
      <c r="D792" s="6">
        <v>20706</v>
      </c>
      <c r="E792" s="6" t="s">
        <v>52</v>
      </c>
      <c r="F792" s="6" t="s">
        <v>17</v>
      </c>
      <c r="G792" s="6" t="s">
        <v>1294</v>
      </c>
      <c r="H792" s="6">
        <v>40</v>
      </c>
      <c r="I792" s="6">
        <v>40</v>
      </c>
      <c r="J792" s="6">
        <v>40</v>
      </c>
      <c r="K792" s="6">
        <v>40</v>
      </c>
      <c r="L792" s="6">
        <v>39.985993999999998</v>
      </c>
      <c r="M792" s="6">
        <v>39.981146000000003</v>
      </c>
      <c r="N792" s="6">
        <v>39.962778999999998</v>
      </c>
      <c r="O792" s="6">
        <v>39.971750999999998</v>
      </c>
      <c r="P792" s="6">
        <v>39.969020999999998</v>
      </c>
      <c r="Q792" s="6">
        <v>39.963768000000002</v>
      </c>
      <c r="R792" s="6">
        <v>39.972496999999997</v>
      </c>
      <c r="S792" s="6">
        <v>39.969659999999998</v>
      </c>
      <c r="T792" s="6">
        <v>39.867787999999997</v>
      </c>
      <c r="U792" s="6">
        <v>39.928649</v>
      </c>
      <c r="V792" s="6">
        <v>39.945453999999998</v>
      </c>
    </row>
    <row r="793" spans="2:22">
      <c r="B793" s="6">
        <v>32240</v>
      </c>
      <c r="C793" s="6" t="s">
        <v>1058</v>
      </c>
      <c r="D793" s="6">
        <v>20904</v>
      </c>
      <c r="E793" s="6" t="s">
        <v>156</v>
      </c>
      <c r="F793" s="6" t="s">
        <v>13</v>
      </c>
      <c r="G793" s="6" t="s">
        <v>14</v>
      </c>
      <c r="H793" s="6">
        <v>20</v>
      </c>
      <c r="I793" s="6">
        <v>20</v>
      </c>
      <c r="J793" s="6">
        <v>20</v>
      </c>
      <c r="K793" s="6">
        <v>20</v>
      </c>
      <c r="L793" s="6">
        <v>20</v>
      </c>
      <c r="M793" s="6">
        <v>20</v>
      </c>
      <c r="N793" s="6">
        <v>20</v>
      </c>
      <c r="O793" s="6">
        <v>20</v>
      </c>
      <c r="P793" s="6">
        <v>20</v>
      </c>
      <c r="Q793" s="6">
        <v>20</v>
      </c>
      <c r="R793" s="6">
        <v>20</v>
      </c>
      <c r="S793" s="6">
        <v>20</v>
      </c>
      <c r="T793" s="6">
        <v>20</v>
      </c>
      <c r="U793" s="6">
        <v>20</v>
      </c>
      <c r="V793" s="6">
        <v>20</v>
      </c>
    </row>
    <row r="794" spans="2:22">
      <c r="B794" s="6">
        <v>32241</v>
      </c>
      <c r="C794" s="6" t="s">
        <v>1113</v>
      </c>
      <c r="D794" s="6">
        <v>20706</v>
      </c>
      <c r="E794" s="6" t="s">
        <v>52</v>
      </c>
      <c r="F794" s="6" t="s">
        <v>17</v>
      </c>
      <c r="G794" s="6" t="s">
        <v>1294</v>
      </c>
      <c r="H794" s="6">
        <v>40</v>
      </c>
      <c r="I794" s="6">
        <v>40</v>
      </c>
      <c r="J794" s="6">
        <v>40</v>
      </c>
      <c r="K794" s="6">
        <v>40</v>
      </c>
      <c r="L794" s="6">
        <v>39.985993999999998</v>
      </c>
      <c r="M794" s="6">
        <v>39.981146000000003</v>
      </c>
      <c r="N794" s="6">
        <v>39.962778999999998</v>
      </c>
      <c r="O794" s="6">
        <v>39.971750999999998</v>
      </c>
      <c r="P794" s="6">
        <v>39.969020999999998</v>
      </c>
      <c r="Q794" s="6">
        <v>39.963768000000002</v>
      </c>
      <c r="R794" s="6">
        <v>39.972496999999997</v>
      </c>
      <c r="S794" s="6">
        <v>39.969659999999998</v>
      </c>
      <c r="T794" s="6">
        <v>39.867787999999997</v>
      </c>
      <c r="U794" s="6">
        <v>39.928649</v>
      </c>
      <c r="V794" s="6">
        <v>39.945453999999998</v>
      </c>
    </row>
    <row r="795" spans="2:22">
      <c r="B795" s="6">
        <v>32241</v>
      </c>
      <c r="C795" s="6" t="s">
        <v>1113</v>
      </c>
      <c r="D795" s="6">
        <v>20904</v>
      </c>
      <c r="E795" s="6" t="s">
        <v>156</v>
      </c>
      <c r="F795" s="6" t="s">
        <v>13</v>
      </c>
      <c r="G795" s="6" t="s">
        <v>14</v>
      </c>
      <c r="H795" s="6">
        <v>20</v>
      </c>
      <c r="I795" s="6">
        <v>20</v>
      </c>
      <c r="J795" s="6">
        <v>20</v>
      </c>
      <c r="K795" s="6">
        <v>20</v>
      </c>
      <c r="L795" s="6">
        <v>20</v>
      </c>
      <c r="M795" s="6">
        <v>20</v>
      </c>
      <c r="N795" s="6">
        <v>20</v>
      </c>
      <c r="O795" s="6">
        <v>20</v>
      </c>
      <c r="P795" s="6">
        <v>20</v>
      </c>
      <c r="Q795" s="6">
        <v>20</v>
      </c>
      <c r="R795" s="6">
        <v>20</v>
      </c>
      <c r="S795" s="6">
        <v>20</v>
      </c>
      <c r="T795" s="6">
        <v>20</v>
      </c>
      <c r="U795" s="6">
        <v>20</v>
      </c>
      <c r="V795" s="6">
        <v>20</v>
      </c>
    </row>
    <row r="796" spans="2:22">
      <c r="B796" s="6">
        <v>32242</v>
      </c>
      <c r="C796" s="6" t="s">
        <v>1079</v>
      </c>
      <c r="D796" s="6">
        <v>20706</v>
      </c>
      <c r="E796" s="6" t="s">
        <v>52</v>
      </c>
      <c r="F796" s="6" t="s">
        <v>17</v>
      </c>
      <c r="G796" s="6" t="s">
        <v>1294</v>
      </c>
      <c r="H796" s="6">
        <v>40</v>
      </c>
      <c r="I796" s="6">
        <v>40</v>
      </c>
      <c r="J796" s="6">
        <v>40</v>
      </c>
      <c r="K796" s="6">
        <v>40</v>
      </c>
      <c r="L796" s="6">
        <v>39.985993999999998</v>
      </c>
      <c r="M796" s="6">
        <v>39.981146000000003</v>
      </c>
      <c r="N796" s="6">
        <v>39.962778999999998</v>
      </c>
      <c r="O796" s="6">
        <v>39.971750999999998</v>
      </c>
      <c r="P796" s="6">
        <v>39.969020999999998</v>
      </c>
      <c r="Q796" s="6">
        <v>39.963768000000002</v>
      </c>
      <c r="R796" s="6">
        <v>39.972496999999997</v>
      </c>
      <c r="S796" s="6">
        <v>39.969659999999998</v>
      </c>
      <c r="T796" s="6">
        <v>39.867787999999997</v>
      </c>
      <c r="U796" s="6">
        <v>39.928649</v>
      </c>
      <c r="V796" s="6">
        <v>39.945453999999998</v>
      </c>
    </row>
    <row r="797" spans="2:22">
      <c r="B797" s="6">
        <v>32242</v>
      </c>
      <c r="C797" s="6" t="s">
        <v>1079</v>
      </c>
      <c r="D797" s="6">
        <v>20904</v>
      </c>
      <c r="E797" s="6" t="s">
        <v>156</v>
      </c>
      <c r="F797" s="6" t="s">
        <v>13</v>
      </c>
      <c r="G797" s="6" t="s">
        <v>14</v>
      </c>
      <c r="H797" s="6">
        <v>20</v>
      </c>
      <c r="I797" s="6">
        <v>20</v>
      </c>
      <c r="J797" s="6">
        <v>20</v>
      </c>
      <c r="K797" s="6">
        <v>20</v>
      </c>
      <c r="L797" s="6">
        <v>20</v>
      </c>
      <c r="M797" s="6">
        <v>20</v>
      </c>
      <c r="N797" s="6">
        <v>20</v>
      </c>
      <c r="O797" s="6">
        <v>20</v>
      </c>
      <c r="P797" s="6">
        <v>20</v>
      </c>
      <c r="Q797" s="6">
        <v>20</v>
      </c>
      <c r="R797" s="6">
        <v>20</v>
      </c>
      <c r="S797" s="6">
        <v>20</v>
      </c>
      <c r="T797" s="6">
        <v>20</v>
      </c>
      <c r="U797" s="6">
        <v>20</v>
      </c>
      <c r="V797" s="6">
        <v>20</v>
      </c>
    </row>
    <row r="798" spans="2:22">
      <c r="B798" s="6">
        <v>32244</v>
      </c>
      <c r="C798" s="6" t="s">
        <v>157</v>
      </c>
      <c r="D798" s="6">
        <v>20500</v>
      </c>
      <c r="E798" s="6" t="s">
        <v>31</v>
      </c>
      <c r="F798" s="6" t="s">
        <v>17</v>
      </c>
      <c r="G798" s="6" t="s">
        <v>1294</v>
      </c>
      <c r="H798" s="6">
        <v>0</v>
      </c>
      <c r="I798" s="6">
        <v>27</v>
      </c>
      <c r="J798" s="6">
        <v>27</v>
      </c>
      <c r="K798" s="6">
        <v>26.179282000000001</v>
      </c>
      <c r="L798" s="6">
        <v>26.186138</v>
      </c>
      <c r="M798" s="6">
        <v>25.935728999999998</v>
      </c>
      <c r="N798" s="6">
        <v>26.108958000000001</v>
      </c>
      <c r="O798" s="6">
        <v>26.328648000000001</v>
      </c>
      <c r="P798" s="6">
        <v>26.003786000000002</v>
      </c>
      <c r="Q798" s="6">
        <v>26.101534000000001</v>
      </c>
      <c r="R798" s="6">
        <v>26.316153</v>
      </c>
      <c r="S798" s="6">
        <v>25.991613999999998</v>
      </c>
      <c r="T798" s="6">
        <v>25.645997000000001</v>
      </c>
      <c r="U798" s="6">
        <v>25.223958</v>
      </c>
      <c r="V798" s="6">
        <v>24.770192999999999</v>
      </c>
    </row>
    <row r="799" spans="2:22">
      <c r="B799" s="6">
        <v>32244</v>
      </c>
      <c r="C799" s="6" t="s">
        <v>157</v>
      </c>
      <c r="D799" s="6">
        <v>20702</v>
      </c>
      <c r="E799" s="6" t="s">
        <v>44</v>
      </c>
      <c r="F799" s="6" t="s">
        <v>17</v>
      </c>
      <c r="G799" s="6" t="s">
        <v>1294</v>
      </c>
      <c r="H799" s="6">
        <v>0</v>
      </c>
      <c r="I799" s="6">
        <v>35</v>
      </c>
      <c r="J799" s="6">
        <v>35</v>
      </c>
      <c r="K799" s="6">
        <v>34.902597</v>
      </c>
      <c r="L799" s="6">
        <v>34.946427999999997</v>
      </c>
      <c r="M799" s="6">
        <v>34.934041999999998</v>
      </c>
      <c r="N799" s="6">
        <v>34.893103000000004</v>
      </c>
      <c r="O799" s="6">
        <v>34.949179999999998</v>
      </c>
      <c r="P799" s="6">
        <v>34.926701000000001</v>
      </c>
      <c r="Q799" s="6">
        <v>34.894556999999999</v>
      </c>
      <c r="R799" s="6">
        <v>34.950949000000001</v>
      </c>
      <c r="S799" s="6">
        <v>34.883485</v>
      </c>
      <c r="T799" s="6">
        <v>34.894556999999999</v>
      </c>
      <c r="U799" s="6">
        <v>34.950949000000001</v>
      </c>
      <c r="V799" s="6">
        <v>34.883485</v>
      </c>
    </row>
    <row r="800" spans="2:22">
      <c r="B800" s="6">
        <v>32244</v>
      </c>
      <c r="C800" s="6" t="s">
        <v>157</v>
      </c>
      <c r="D800" s="6">
        <v>20902</v>
      </c>
      <c r="E800" s="6" t="s">
        <v>53</v>
      </c>
      <c r="F800" s="6" t="s">
        <v>13</v>
      </c>
      <c r="G800" s="6" t="s">
        <v>14</v>
      </c>
      <c r="H800" s="6">
        <v>0</v>
      </c>
      <c r="I800" s="6">
        <v>15</v>
      </c>
      <c r="J800" s="6">
        <v>15</v>
      </c>
      <c r="K800" s="6">
        <v>18.635802000000002</v>
      </c>
      <c r="L800" s="6">
        <v>18.195121</v>
      </c>
      <c r="M800" s="6">
        <v>17.625368000000002</v>
      </c>
      <c r="N800" s="6">
        <v>19.181818</v>
      </c>
      <c r="O800" s="6">
        <v>19.119288999999998</v>
      </c>
      <c r="P800" s="6">
        <v>18.784502</v>
      </c>
      <c r="Q800" s="6">
        <v>19.181818</v>
      </c>
      <c r="R800" s="6">
        <v>19.101835999999999</v>
      </c>
      <c r="S800" s="6">
        <v>18.763134000000001</v>
      </c>
      <c r="T800" s="6">
        <v>19.181818</v>
      </c>
      <c r="U800" s="6">
        <v>19.101835999999999</v>
      </c>
      <c r="V800" s="6">
        <v>18.763134000000001</v>
      </c>
    </row>
    <row r="801" spans="2:22">
      <c r="B801" s="6">
        <v>32244</v>
      </c>
      <c r="C801" s="6" t="s">
        <v>157</v>
      </c>
      <c r="D801" s="6">
        <v>20906</v>
      </c>
      <c r="E801" s="6" t="s">
        <v>48</v>
      </c>
      <c r="F801" s="6" t="s">
        <v>49</v>
      </c>
      <c r="G801" s="6" t="s">
        <v>1296</v>
      </c>
      <c r="H801" s="6">
        <v>0</v>
      </c>
      <c r="I801" s="6">
        <v>15.5</v>
      </c>
      <c r="J801" s="6">
        <v>15.5</v>
      </c>
      <c r="K801" s="6">
        <v>16.992394999999998</v>
      </c>
      <c r="L801" s="6">
        <v>16.951830000000001</v>
      </c>
      <c r="M801" s="6">
        <v>17.405908</v>
      </c>
      <c r="N801" s="6">
        <v>17.016705999999999</v>
      </c>
      <c r="O801" s="6">
        <v>16.954350000000002</v>
      </c>
      <c r="P801" s="6">
        <v>17.537869000000001</v>
      </c>
      <c r="Q801" s="6">
        <v>17.016335999999999</v>
      </c>
      <c r="R801" s="6">
        <v>16.958155999999999</v>
      </c>
      <c r="S801" s="6">
        <v>17.538882000000001</v>
      </c>
      <c r="T801" s="6">
        <v>17.016335999999999</v>
      </c>
      <c r="U801" s="6">
        <v>16.958155999999999</v>
      </c>
      <c r="V801" s="6">
        <v>17.538882000000001</v>
      </c>
    </row>
    <row r="802" spans="2:22">
      <c r="B802" s="6">
        <v>32247</v>
      </c>
      <c r="C802" s="6" t="s">
        <v>158</v>
      </c>
      <c r="D802" s="6">
        <v>20500</v>
      </c>
      <c r="E802" s="6" t="s">
        <v>31</v>
      </c>
      <c r="F802" s="6" t="s">
        <v>17</v>
      </c>
      <c r="G802" s="6" t="s">
        <v>1294</v>
      </c>
      <c r="H802" s="6">
        <v>0</v>
      </c>
      <c r="I802" s="6">
        <v>27</v>
      </c>
      <c r="J802" s="6">
        <v>27</v>
      </c>
      <c r="K802" s="6">
        <v>26.046875</v>
      </c>
      <c r="L802" s="6">
        <v>26.199541</v>
      </c>
      <c r="M802" s="6">
        <v>26.109717</v>
      </c>
      <c r="N802" s="6">
        <v>26.108958000000001</v>
      </c>
      <c r="O802" s="6">
        <v>26.328648000000001</v>
      </c>
      <c r="P802" s="6">
        <v>26.003786000000002</v>
      </c>
      <c r="Q802" s="6">
        <v>26.101534000000001</v>
      </c>
      <c r="R802" s="6">
        <v>26.316153</v>
      </c>
      <c r="S802" s="6">
        <v>25.991613999999998</v>
      </c>
      <c r="T802" s="6">
        <v>25.645997000000001</v>
      </c>
      <c r="U802" s="6">
        <v>25.223958</v>
      </c>
      <c r="V802" s="6">
        <v>24.770192999999999</v>
      </c>
    </row>
    <row r="803" spans="2:22">
      <c r="B803" s="6">
        <v>32247</v>
      </c>
      <c r="C803" s="6" t="s">
        <v>158</v>
      </c>
      <c r="D803" s="6">
        <v>20706</v>
      </c>
      <c r="E803" s="6" t="s">
        <v>52</v>
      </c>
      <c r="F803" s="6" t="s">
        <v>17</v>
      </c>
      <c r="G803" s="6" t="s">
        <v>1294</v>
      </c>
      <c r="H803" s="6">
        <v>0</v>
      </c>
      <c r="I803" s="6">
        <v>40</v>
      </c>
      <c r="J803" s="6">
        <v>40</v>
      </c>
      <c r="K803" s="6">
        <v>39.625</v>
      </c>
      <c r="L803" s="6">
        <v>39.852941000000001</v>
      </c>
      <c r="M803" s="6">
        <v>39.894365999999998</v>
      </c>
      <c r="N803" s="6">
        <v>39.962778999999998</v>
      </c>
      <c r="O803" s="6">
        <v>39.971750999999998</v>
      </c>
      <c r="P803" s="6">
        <v>39.969020999999998</v>
      </c>
      <c r="Q803" s="6">
        <v>39.963768000000002</v>
      </c>
      <c r="R803" s="6">
        <v>39.972496999999997</v>
      </c>
      <c r="S803" s="6">
        <v>39.969659999999998</v>
      </c>
      <c r="T803" s="6">
        <v>39.867787999999997</v>
      </c>
      <c r="U803" s="6">
        <v>39.928649</v>
      </c>
      <c r="V803" s="6">
        <v>39.945453999999998</v>
      </c>
    </row>
    <row r="804" spans="2:22">
      <c r="B804" s="6">
        <v>32247</v>
      </c>
      <c r="C804" s="6" t="s">
        <v>158</v>
      </c>
      <c r="D804" s="6">
        <v>20902</v>
      </c>
      <c r="E804" s="6" t="s">
        <v>53</v>
      </c>
      <c r="F804" s="6" t="s">
        <v>16</v>
      </c>
      <c r="G804" s="6" t="s">
        <v>1295</v>
      </c>
      <c r="H804" s="6">
        <v>0</v>
      </c>
      <c r="I804" s="6">
        <v>25.625</v>
      </c>
      <c r="J804" s="6">
        <v>25.625</v>
      </c>
      <c r="K804" s="6">
        <v>26.721311</v>
      </c>
      <c r="L804" s="6">
        <v>25.932835000000001</v>
      </c>
      <c r="M804" s="6">
        <v>26.507536999999999</v>
      </c>
      <c r="N804" s="6">
        <v>27.102803000000002</v>
      </c>
      <c r="O804" s="6">
        <v>26.100322999999999</v>
      </c>
      <c r="P804" s="6">
        <v>27.578899</v>
      </c>
      <c r="Q804" s="6">
        <v>27.102803000000002</v>
      </c>
      <c r="R804" s="6">
        <v>26.100322999999999</v>
      </c>
      <c r="S804" s="6">
        <v>27.558453</v>
      </c>
      <c r="T804" s="6">
        <v>26.737159999999999</v>
      </c>
      <c r="U804" s="6">
        <v>25.752351000000001</v>
      </c>
      <c r="V804" s="6">
        <v>27.323633000000001</v>
      </c>
    </row>
    <row r="805" spans="2:22">
      <c r="B805" s="6">
        <v>32247</v>
      </c>
      <c r="C805" s="6" t="s">
        <v>158</v>
      </c>
      <c r="D805" s="6">
        <v>20902</v>
      </c>
      <c r="E805" s="6" t="s">
        <v>53</v>
      </c>
      <c r="F805" s="6" t="s">
        <v>13</v>
      </c>
      <c r="G805" s="6" t="s">
        <v>14</v>
      </c>
      <c r="H805" s="6">
        <v>0</v>
      </c>
      <c r="I805" s="6">
        <v>0</v>
      </c>
      <c r="J805" s="6">
        <v>15</v>
      </c>
      <c r="K805" s="6">
        <v>18.622046999999998</v>
      </c>
      <c r="L805" s="6">
        <v>18.557046</v>
      </c>
      <c r="M805" s="6">
        <v>18.643459</v>
      </c>
      <c r="N805" s="6">
        <v>19.181818</v>
      </c>
      <c r="O805" s="6">
        <v>19.119288999999998</v>
      </c>
      <c r="P805" s="6">
        <v>18.784502</v>
      </c>
      <c r="Q805" s="6">
        <v>19.181818</v>
      </c>
      <c r="R805" s="6">
        <v>19.101835999999999</v>
      </c>
      <c r="S805" s="6">
        <v>18.763134000000001</v>
      </c>
      <c r="T805" s="6">
        <v>19.181818</v>
      </c>
      <c r="U805" s="6">
        <v>19.101835999999999</v>
      </c>
      <c r="V805" s="6">
        <v>18.763134000000001</v>
      </c>
    </row>
    <row r="806" spans="2:22">
      <c r="B806" s="6">
        <v>32247</v>
      </c>
      <c r="C806" s="6" t="s">
        <v>158</v>
      </c>
      <c r="D806" s="6">
        <v>20906</v>
      </c>
      <c r="E806" s="6" t="s">
        <v>48</v>
      </c>
      <c r="F806" s="6" t="s">
        <v>49</v>
      </c>
      <c r="G806" s="6" t="s">
        <v>1296</v>
      </c>
      <c r="H806" s="6">
        <v>0</v>
      </c>
      <c r="I806" s="6">
        <v>17.75</v>
      </c>
      <c r="J806" s="6">
        <v>18.181818</v>
      </c>
      <c r="K806" s="6">
        <v>17.229590999999999</v>
      </c>
      <c r="L806" s="6">
        <v>17.052391</v>
      </c>
      <c r="M806" s="6">
        <v>17.431988</v>
      </c>
      <c r="N806" s="6">
        <v>17.016705999999999</v>
      </c>
      <c r="O806" s="6">
        <v>16.954350000000002</v>
      </c>
      <c r="P806" s="6">
        <v>17.537869000000001</v>
      </c>
      <c r="Q806" s="6">
        <v>17.016335999999999</v>
      </c>
      <c r="R806" s="6">
        <v>16.958155999999999</v>
      </c>
      <c r="S806" s="6">
        <v>17.538882000000001</v>
      </c>
      <c r="T806" s="6">
        <v>17.016335999999999</v>
      </c>
      <c r="U806" s="6">
        <v>16.958155999999999</v>
      </c>
      <c r="V806" s="6">
        <v>17.538882000000001</v>
      </c>
    </row>
    <row r="807" spans="2:22">
      <c r="B807" s="6">
        <v>32252</v>
      </c>
      <c r="C807" s="6" t="s">
        <v>336</v>
      </c>
      <c r="D807" s="6">
        <v>12400</v>
      </c>
      <c r="E807" s="6" t="s">
        <v>217</v>
      </c>
      <c r="F807" s="6" t="s">
        <v>16</v>
      </c>
      <c r="G807" s="6" t="s">
        <v>1295</v>
      </c>
      <c r="H807" s="6">
        <v>0</v>
      </c>
      <c r="I807" s="6">
        <v>0</v>
      </c>
      <c r="J807" s="6">
        <v>10</v>
      </c>
      <c r="K807" s="6">
        <v>13.375</v>
      </c>
      <c r="L807" s="6">
        <v>10.9375</v>
      </c>
      <c r="M807" s="6">
        <v>9.2653060000000007</v>
      </c>
      <c r="N807" s="6">
        <v>9.2387090000000001</v>
      </c>
      <c r="O807" s="6">
        <v>8.7126429999999999</v>
      </c>
      <c r="P807" s="6">
        <v>8.6856360000000006</v>
      </c>
      <c r="Q807" s="6">
        <v>9.2387090000000001</v>
      </c>
      <c r="R807" s="6">
        <v>8.7126429999999999</v>
      </c>
      <c r="S807" s="6">
        <v>8.6856360000000006</v>
      </c>
      <c r="T807" s="6">
        <v>8.8875729999999997</v>
      </c>
      <c r="U807" s="6">
        <v>8.6089380000000002</v>
      </c>
      <c r="V807" s="6">
        <v>8.6174140000000001</v>
      </c>
    </row>
    <row r="808" spans="2:22">
      <c r="B808" s="6">
        <v>32252</v>
      </c>
      <c r="C808" s="6" t="s">
        <v>336</v>
      </c>
      <c r="D808" s="6">
        <v>20920</v>
      </c>
      <c r="E808" s="6" t="s">
        <v>231</v>
      </c>
      <c r="F808" s="6" t="s">
        <v>16</v>
      </c>
      <c r="G808" s="6" t="s">
        <v>1295</v>
      </c>
      <c r="H808" s="6">
        <v>0</v>
      </c>
      <c r="I808" s="6">
        <v>0</v>
      </c>
      <c r="J808" s="6">
        <v>7</v>
      </c>
      <c r="K808" s="6">
        <v>8.1999999999999993</v>
      </c>
      <c r="L808" s="6">
        <v>8</v>
      </c>
      <c r="M808" s="6">
        <v>7.2068960000000004</v>
      </c>
      <c r="N808" s="6">
        <v>8.1999999999999993</v>
      </c>
      <c r="O808" s="6">
        <v>8.0909089999999999</v>
      </c>
      <c r="P808" s="6">
        <v>7.923076</v>
      </c>
      <c r="Q808" s="6">
        <v>8.1999999999999993</v>
      </c>
      <c r="R808" s="6">
        <v>8.0909089999999999</v>
      </c>
      <c r="S808" s="6">
        <v>7.923076</v>
      </c>
      <c r="T808" s="6">
        <v>8.1999999999999993</v>
      </c>
      <c r="U808" s="6">
        <v>8.0909089999999999</v>
      </c>
      <c r="V808" s="6">
        <v>7.923076</v>
      </c>
    </row>
    <row r="809" spans="2:22">
      <c r="B809" s="6">
        <v>32252</v>
      </c>
      <c r="C809" s="6" t="s">
        <v>336</v>
      </c>
      <c r="D809" s="6">
        <v>23311</v>
      </c>
      <c r="E809" s="6" t="s">
        <v>221</v>
      </c>
      <c r="F809" s="6" t="s">
        <v>16</v>
      </c>
      <c r="G809" s="6" t="s">
        <v>1295</v>
      </c>
      <c r="H809" s="6">
        <v>0</v>
      </c>
      <c r="I809" s="6">
        <v>0</v>
      </c>
      <c r="J809" s="6">
        <v>10</v>
      </c>
      <c r="K809" s="6">
        <v>10</v>
      </c>
      <c r="L809" s="6">
        <v>10</v>
      </c>
      <c r="M809" s="6">
        <v>10</v>
      </c>
      <c r="N809" s="6">
        <v>10.099009000000001</v>
      </c>
      <c r="O809" s="6">
        <v>10.02364</v>
      </c>
      <c r="P809" s="6">
        <v>10.011260999999999</v>
      </c>
      <c r="Q809" s="6">
        <v>10.099009000000001</v>
      </c>
      <c r="R809" s="6">
        <v>10.02364</v>
      </c>
      <c r="S809" s="6">
        <v>10.011260999999999</v>
      </c>
      <c r="T809" s="6">
        <v>10.099009000000001</v>
      </c>
      <c r="U809" s="6">
        <v>10.02364</v>
      </c>
      <c r="V809" s="6">
        <v>10.011260999999999</v>
      </c>
    </row>
    <row r="810" spans="2:22">
      <c r="B810" s="6">
        <v>32252</v>
      </c>
      <c r="C810" s="6" t="s">
        <v>336</v>
      </c>
      <c r="D810" s="6">
        <v>23315</v>
      </c>
      <c r="E810" s="6" t="s">
        <v>246</v>
      </c>
      <c r="F810" s="6" t="s">
        <v>16</v>
      </c>
      <c r="G810" s="6" t="s">
        <v>1295</v>
      </c>
      <c r="H810" s="6">
        <v>0</v>
      </c>
      <c r="I810" s="6">
        <v>0</v>
      </c>
      <c r="J810" s="6">
        <v>10</v>
      </c>
      <c r="K810" s="6">
        <v>10</v>
      </c>
      <c r="L810" s="6">
        <v>10</v>
      </c>
      <c r="M810" s="6">
        <v>9.625</v>
      </c>
      <c r="N810" s="6">
        <v>10</v>
      </c>
      <c r="O810" s="6">
        <v>10</v>
      </c>
      <c r="P810" s="6">
        <v>9.6571420000000003</v>
      </c>
      <c r="Q810" s="6">
        <v>10</v>
      </c>
      <c r="R810" s="6">
        <v>10</v>
      </c>
      <c r="S810" s="6">
        <v>9.6571420000000003</v>
      </c>
      <c r="T810" s="6">
        <v>10</v>
      </c>
      <c r="U810" s="6">
        <v>10</v>
      </c>
      <c r="V810" s="6">
        <v>9.6571420000000003</v>
      </c>
    </row>
    <row r="811" spans="2:22">
      <c r="B811" s="6">
        <v>32254</v>
      </c>
      <c r="C811" s="6" t="s">
        <v>245</v>
      </c>
      <c r="D811" s="6">
        <v>12400</v>
      </c>
      <c r="E811" s="6" t="s">
        <v>217</v>
      </c>
      <c r="F811" s="6" t="s">
        <v>16</v>
      </c>
      <c r="G811" s="6" t="s">
        <v>1295</v>
      </c>
      <c r="H811" s="6">
        <v>0</v>
      </c>
      <c r="I811" s="6">
        <v>10</v>
      </c>
      <c r="J811" s="6">
        <v>10</v>
      </c>
      <c r="K811" s="6">
        <v>13.375</v>
      </c>
      <c r="L811" s="6">
        <v>10.9375</v>
      </c>
      <c r="M811" s="6">
        <v>9.2653060000000007</v>
      </c>
      <c r="N811" s="6">
        <v>9.2387090000000001</v>
      </c>
      <c r="O811" s="6">
        <v>8.7126429999999999</v>
      </c>
      <c r="P811" s="6">
        <v>8.6856360000000006</v>
      </c>
      <c r="Q811" s="6">
        <v>9.2387090000000001</v>
      </c>
      <c r="R811" s="6">
        <v>8.7126429999999999</v>
      </c>
      <c r="S811" s="6">
        <v>8.6856360000000006</v>
      </c>
      <c r="T811" s="6">
        <v>8.8875729999999997</v>
      </c>
      <c r="U811" s="6">
        <v>8.6089380000000002</v>
      </c>
      <c r="V811" s="6">
        <v>8.6174140000000001</v>
      </c>
    </row>
    <row r="812" spans="2:22">
      <c r="B812" s="6">
        <v>32254</v>
      </c>
      <c r="C812" s="6" t="s">
        <v>245</v>
      </c>
      <c r="D812" s="6">
        <v>23311</v>
      </c>
      <c r="E812" s="6" t="s">
        <v>221</v>
      </c>
      <c r="F812" s="6" t="s">
        <v>16</v>
      </c>
      <c r="G812" s="6" t="s">
        <v>1295</v>
      </c>
      <c r="H812" s="6">
        <v>0</v>
      </c>
      <c r="I812" s="6">
        <v>10</v>
      </c>
      <c r="J812" s="6">
        <v>10</v>
      </c>
      <c r="K812" s="6">
        <v>10</v>
      </c>
      <c r="L812" s="6">
        <v>10</v>
      </c>
      <c r="M812" s="6">
        <v>10</v>
      </c>
      <c r="N812" s="6">
        <v>10.099009000000001</v>
      </c>
      <c r="O812" s="6">
        <v>10.02364</v>
      </c>
      <c r="P812" s="6">
        <v>10.011260999999999</v>
      </c>
      <c r="Q812" s="6">
        <v>10.099009000000001</v>
      </c>
      <c r="R812" s="6">
        <v>10.02364</v>
      </c>
      <c r="S812" s="6">
        <v>10.011260999999999</v>
      </c>
      <c r="T812" s="6">
        <v>10.099009000000001</v>
      </c>
      <c r="U812" s="6">
        <v>10.02364</v>
      </c>
      <c r="V812" s="6">
        <v>10.011260999999999</v>
      </c>
    </row>
    <row r="813" spans="2:22">
      <c r="B813" s="6">
        <v>32254</v>
      </c>
      <c r="C813" s="6" t="s">
        <v>245</v>
      </c>
      <c r="D813" s="6">
        <v>23312</v>
      </c>
      <c r="E813" s="6" t="s">
        <v>215</v>
      </c>
      <c r="F813" s="6" t="s">
        <v>16</v>
      </c>
      <c r="G813" s="6" t="s">
        <v>1295</v>
      </c>
      <c r="H813" s="6">
        <v>0</v>
      </c>
      <c r="I813" s="6">
        <v>10</v>
      </c>
      <c r="J813" s="6">
        <v>10</v>
      </c>
      <c r="K813" s="6">
        <v>0</v>
      </c>
      <c r="L813" s="6">
        <v>10</v>
      </c>
      <c r="M813" s="6">
        <v>10</v>
      </c>
      <c r="N813" s="6">
        <v>0</v>
      </c>
      <c r="O813" s="6">
        <v>10</v>
      </c>
      <c r="P813" s="6">
        <v>10</v>
      </c>
      <c r="Q813" s="6">
        <v>0</v>
      </c>
      <c r="R813" s="6">
        <v>10</v>
      </c>
      <c r="S813" s="6">
        <v>10</v>
      </c>
      <c r="T813" s="6">
        <v>10</v>
      </c>
      <c r="U813" s="6">
        <v>10</v>
      </c>
      <c r="V813" s="6">
        <v>10.5</v>
      </c>
    </row>
    <row r="814" spans="2:22">
      <c r="B814" s="6">
        <v>32257</v>
      </c>
      <c r="C814" s="6" t="s">
        <v>545</v>
      </c>
      <c r="D814" s="6">
        <v>20500</v>
      </c>
      <c r="E814" s="6" t="s">
        <v>31</v>
      </c>
      <c r="F814" s="6" t="s">
        <v>17</v>
      </c>
      <c r="G814" s="6" t="s">
        <v>1294</v>
      </c>
      <c r="H814" s="6">
        <v>0</v>
      </c>
      <c r="I814" s="6">
        <v>0</v>
      </c>
      <c r="J814" s="6">
        <v>27</v>
      </c>
      <c r="K814" s="6">
        <v>26.046875</v>
      </c>
      <c r="L814" s="6">
        <v>26.199541</v>
      </c>
      <c r="M814" s="6">
        <v>26.109717</v>
      </c>
      <c r="N814" s="6">
        <v>26.108958000000001</v>
      </c>
      <c r="O814" s="6">
        <v>26.328648000000001</v>
      </c>
      <c r="P814" s="6">
        <v>26.003786000000002</v>
      </c>
      <c r="Q814" s="6">
        <v>26.101534000000001</v>
      </c>
      <c r="R814" s="6">
        <v>26.316153</v>
      </c>
      <c r="S814" s="6">
        <v>25.991613999999998</v>
      </c>
      <c r="T814" s="6">
        <v>25.645997000000001</v>
      </c>
      <c r="U814" s="6">
        <v>25.223958</v>
      </c>
      <c r="V814" s="6">
        <v>24.770192999999999</v>
      </c>
    </row>
    <row r="815" spans="2:22">
      <c r="B815" s="6">
        <v>32257</v>
      </c>
      <c r="C815" s="6" t="s">
        <v>545</v>
      </c>
      <c r="D815" s="6">
        <v>20702</v>
      </c>
      <c r="E815" s="6" t="s">
        <v>44</v>
      </c>
      <c r="F815" s="6" t="s">
        <v>17</v>
      </c>
      <c r="G815" s="6" t="s">
        <v>1294</v>
      </c>
      <c r="H815" s="6">
        <v>0</v>
      </c>
      <c r="I815" s="6">
        <v>0</v>
      </c>
      <c r="J815" s="6">
        <v>35</v>
      </c>
      <c r="K815" s="6">
        <v>34.851851000000003</v>
      </c>
      <c r="L815" s="6">
        <v>34.933332999999998</v>
      </c>
      <c r="M815" s="6">
        <v>34.897097000000002</v>
      </c>
      <c r="N815" s="6">
        <v>34.893103000000004</v>
      </c>
      <c r="O815" s="6">
        <v>34.949179999999998</v>
      </c>
      <c r="P815" s="6">
        <v>34.926701000000001</v>
      </c>
      <c r="Q815" s="6">
        <v>34.894556999999999</v>
      </c>
      <c r="R815" s="6">
        <v>34.950949000000001</v>
      </c>
      <c r="S815" s="6">
        <v>34.883485</v>
      </c>
      <c r="T815" s="6">
        <v>34.894556999999999</v>
      </c>
      <c r="U815" s="6">
        <v>34.950949000000001</v>
      </c>
      <c r="V815" s="6">
        <v>34.883485</v>
      </c>
    </row>
    <row r="816" spans="2:22">
      <c r="B816" s="6">
        <v>32257</v>
      </c>
      <c r="C816" s="6" t="s">
        <v>545</v>
      </c>
      <c r="D816" s="6">
        <v>20902</v>
      </c>
      <c r="E816" s="6" t="s">
        <v>53</v>
      </c>
      <c r="F816" s="6" t="s">
        <v>13</v>
      </c>
      <c r="G816" s="6" t="s">
        <v>14</v>
      </c>
      <c r="H816" s="6">
        <v>0</v>
      </c>
      <c r="I816" s="6">
        <v>0</v>
      </c>
      <c r="J816" s="6">
        <v>20</v>
      </c>
      <c r="K816" s="6">
        <v>18.622046999999998</v>
      </c>
      <c r="L816" s="6">
        <v>18.557046</v>
      </c>
      <c r="M816" s="6">
        <v>18.643459</v>
      </c>
      <c r="N816" s="6">
        <v>19.181818</v>
      </c>
      <c r="O816" s="6">
        <v>19.119288999999998</v>
      </c>
      <c r="P816" s="6">
        <v>18.784502</v>
      </c>
      <c r="Q816" s="6">
        <v>19.181818</v>
      </c>
      <c r="R816" s="6">
        <v>19.101835999999999</v>
      </c>
      <c r="S816" s="6">
        <v>18.763134000000001</v>
      </c>
      <c r="T816" s="6">
        <v>19.181818</v>
      </c>
      <c r="U816" s="6">
        <v>19.101835999999999</v>
      </c>
      <c r="V816" s="6">
        <v>18.763134000000001</v>
      </c>
    </row>
    <row r="817" spans="2:22">
      <c r="B817" s="6">
        <v>32257</v>
      </c>
      <c r="C817" s="6" t="s">
        <v>545</v>
      </c>
      <c r="D817" s="6">
        <v>20906</v>
      </c>
      <c r="E817" s="6" t="s">
        <v>48</v>
      </c>
      <c r="F817" s="6" t="s">
        <v>49</v>
      </c>
      <c r="G817" s="6" t="s">
        <v>1296</v>
      </c>
      <c r="H817" s="6">
        <v>0</v>
      </c>
      <c r="I817" s="6">
        <v>0</v>
      </c>
      <c r="J817" s="6">
        <v>17</v>
      </c>
      <c r="K817" s="6">
        <v>17.229590999999999</v>
      </c>
      <c r="L817" s="6">
        <v>17.052391</v>
      </c>
      <c r="M817" s="6">
        <v>17.431988</v>
      </c>
      <c r="N817" s="6">
        <v>17.016705999999999</v>
      </c>
      <c r="O817" s="6">
        <v>16.954350000000002</v>
      </c>
      <c r="P817" s="6">
        <v>17.537869000000001</v>
      </c>
      <c r="Q817" s="6">
        <v>17.016335999999999</v>
      </c>
      <c r="R817" s="6">
        <v>16.958155999999999</v>
      </c>
      <c r="S817" s="6">
        <v>17.538882000000001</v>
      </c>
      <c r="T817" s="6">
        <v>17.016335999999999</v>
      </c>
      <c r="U817" s="6">
        <v>16.958155999999999</v>
      </c>
      <c r="V817" s="6">
        <v>17.538882000000001</v>
      </c>
    </row>
    <row r="818" spans="2:22">
      <c r="B818" s="6">
        <v>32259</v>
      </c>
      <c r="C818" s="6" t="s">
        <v>159</v>
      </c>
      <c r="D818" s="6">
        <v>20500</v>
      </c>
      <c r="E818" s="6" t="s">
        <v>31</v>
      </c>
      <c r="F818" s="6" t="s">
        <v>17</v>
      </c>
      <c r="G818" s="6" t="s">
        <v>1294</v>
      </c>
      <c r="H818" s="6">
        <v>0</v>
      </c>
      <c r="I818" s="6">
        <v>0</v>
      </c>
      <c r="J818" s="6">
        <v>27</v>
      </c>
      <c r="K818" s="6">
        <v>26.046875</v>
      </c>
      <c r="L818" s="6">
        <v>26.199541</v>
      </c>
      <c r="M818" s="6">
        <v>26.109717</v>
      </c>
      <c r="N818" s="6">
        <v>26.108958000000001</v>
      </c>
      <c r="O818" s="6">
        <v>26.328648000000001</v>
      </c>
      <c r="P818" s="6">
        <v>26.003786000000002</v>
      </c>
      <c r="Q818" s="6">
        <v>26.101534000000001</v>
      </c>
      <c r="R818" s="6">
        <v>26.316153</v>
      </c>
      <c r="S818" s="6">
        <v>25.991613999999998</v>
      </c>
      <c r="T818" s="6">
        <v>25.645997000000001</v>
      </c>
      <c r="U818" s="6">
        <v>25.223958</v>
      </c>
      <c r="V818" s="6">
        <v>24.770192999999999</v>
      </c>
    </row>
    <row r="819" spans="2:22">
      <c r="B819" s="6">
        <v>32259</v>
      </c>
      <c r="C819" s="6" t="s">
        <v>159</v>
      </c>
      <c r="D819" s="6">
        <v>20702</v>
      </c>
      <c r="E819" s="6" t="s">
        <v>44</v>
      </c>
      <c r="F819" s="6" t="s">
        <v>17</v>
      </c>
      <c r="G819" s="6" t="s">
        <v>1294</v>
      </c>
      <c r="H819" s="6">
        <v>0</v>
      </c>
      <c r="I819" s="6">
        <v>0</v>
      </c>
      <c r="J819" s="6">
        <v>35</v>
      </c>
      <c r="K819" s="6">
        <v>34.851851000000003</v>
      </c>
      <c r="L819" s="6">
        <v>34.933332999999998</v>
      </c>
      <c r="M819" s="6">
        <v>34.897097000000002</v>
      </c>
      <c r="N819" s="6">
        <v>34.893103000000004</v>
      </c>
      <c r="O819" s="6">
        <v>34.949179999999998</v>
      </c>
      <c r="P819" s="6">
        <v>34.926701000000001</v>
      </c>
      <c r="Q819" s="6">
        <v>34.894556999999999</v>
      </c>
      <c r="R819" s="6">
        <v>34.950949000000001</v>
      </c>
      <c r="S819" s="6">
        <v>34.883485</v>
      </c>
      <c r="T819" s="6">
        <v>34.894556999999999</v>
      </c>
      <c r="U819" s="6">
        <v>34.950949000000001</v>
      </c>
      <c r="V819" s="6">
        <v>34.883485</v>
      </c>
    </row>
    <row r="820" spans="2:22">
      <c r="B820" s="6">
        <v>32259</v>
      </c>
      <c r="C820" s="6" t="s">
        <v>159</v>
      </c>
      <c r="D820" s="6">
        <v>20902</v>
      </c>
      <c r="E820" s="6" t="s">
        <v>53</v>
      </c>
      <c r="F820" s="6" t="s">
        <v>13</v>
      </c>
      <c r="G820" s="6" t="s">
        <v>14</v>
      </c>
      <c r="H820" s="6">
        <v>0</v>
      </c>
      <c r="I820" s="6">
        <v>0</v>
      </c>
      <c r="J820" s="6">
        <v>20</v>
      </c>
      <c r="K820" s="6">
        <v>18.622046999999998</v>
      </c>
      <c r="L820" s="6">
        <v>18.557046</v>
      </c>
      <c r="M820" s="6">
        <v>18.643459</v>
      </c>
      <c r="N820" s="6">
        <v>19.181818</v>
      </c>
      <c r="O820" s="6">
        <v>19.119288999999998</v>
      </c>
      <c r="P820" s="6">
        <v>18.784502</v>
      </c>
      <c r="Q820" s="6">
        <v>19.181818</v>
      </c>
      <c r="R820" s="6">
        <v>19.101835999999999</v>
      </c>
      <c r="S820" s="6">
        <v>18.763134000000001</v>
      </c>
      <c r="T820" s="6">
        <v>19.181818</v>
      </c>
      <c r="U820" s="6">
        <v>19.101835999999999</v>
      </c>
      <c r="V820" s="6">
        <v>18.763134000000001</v>
      </c>
    </row>
    <row r="821" spans="2:22">
      <c r="B821" s="6">
        <v>32259</v>
      </c>
      <c r="C821" s="6" t="s">
        <v>159</v>
      </c>
      <c r="D821" s="6">
        <v>20906</v>
      </c>
      <c r="E821" s="6" t="s">
        <v>48</v>
      </c>
      <c r="F821" s="6" t="s">
        <v>49</v>
      </c>
      <c r="G821" s="6" t="s">
        <v>1296</v>
      </c>
      <c r="H821" s="6">
        <v>0</v>
      </c>
      <c r="I821" s="6">
        <v>0</v>
      </c>
      <c r="J821" s="6">
        <v>17</v>
      </c>
      <c r="K821" s="6">
        <v>17.229590999999999</v>
      </c>
      <c r="L821" s="6">
        <v>17.052391</v>
      </c>
      <c r="M821" s="6">
        <v>17.431988</v>
      </c>
      <c r="N821" s="6">
        <v>17.016705999999999</v>
      </c>
      <c r="O821" s="6">
        <v>16.954350000000002</v>
      </c>
      <c r="P821" s="6">
        <v>17.537869000000001</v>
      </c>
      <c r="Q821" s="6">
        <v>17.016335999999999</v>
      </c>
      <c r="R821" s="6">
        <v>16.958155999999999</v>
      </c>
      <c r="S821" s="6">
        <v>17.538882000000001</v>
      </c>
      <c r="T821" s="6">
        <v>17.016335999999999</v>
      </c>
      <c r="U821" s="6">
        <v>16.958155999999999</v>
      </c>
      <c r="V821" s="6">
        <v>17.538882000000001</v>
      </c>
    </row>
    <row r="822" spans="2:22">
      <c r="B822" s="6">
        <v>32260</v>
      </c>
      <c r="C822" s="6" t="s">
        <v>160</v>
      </c>
      <c r="D822" s="6">
        <v>20500</v>
      </c>
      <c r="E822" s="6" t="s">
        <v>31</v>
      </c>
      <c r="F822" s="6" t="s">
        <v>13</v>
      </c>
      <c r="G822" s="6" t="s">
        <v>14</v>
      </c>
      <c r="H822" s="6">
        <v>0</v>
      </c>
      <c r="I822" s="6">
        <v>0</v>
      </c>
      <c r="J822" s="6">
        <v>20</v>
      </c>
      <c r="K822" s="6">
        <v>0</v>
      </c>
      <c r="L822" s="6">
        <v>0</v>
      </c>
      <c r="M822" s="6">
        <v>20</v>
      </c>
      <c r="N822" s="6">
        <v>25</v>
      </c>
      <c r="O822" s="6">
        <v>22.5</v>
      </c>
      <c r="P822" s="6">
        <v>20.123965999999999</v>
      </c>
      <c r="Q822" s="6">
        <v>25</v>
      </c>
      <c r="R822" s="6">
        <v>22.5</v>
      </c>
      <c r="S822" s="6">
        <v>20.122949999999999</v>
      </c>
      <c r="T822" s="6">
        <v>28.409089999999999</v>
      </c>
      <c r="U822" s="6">
        <v>28.088235000000001</v>
      </c>
      <c r="V822" s="6">
        <v>22.096774</v>
      </c>
    </row>
    <row r="823" spans="2:22">
      <c r="B823" s="6">
        <v>32260</v>
      </c>
      <c r="C823" s="6" t="s">
        <v>160</v>
      </c>
      <c r="D823" s="6">
        <v>20500</v>
      </c>
      <c r="E823" s="6" t="s">
        <v>31</v>
      </c>
      <c r="F823" s="6" t="s">
        <v>17</v>
      </c>
      <c r="G823" s="6" t="s">
        <v>1294</v>
      </c>
      <c r="H823" s="6">
        <v>27</v>
      </c>
      <c r="I823" s="6">
        <v>27</v>
      </c>
      <c r="J823" s="6">
        <v>27</v>
      </c>
      <c r="K823" s="6">
        <v>26.046875</v>
      </c>
      <c r="L823" s="6">
        <v>26.199541</v>
      </c>
      <c r="M823" s="6">
        <v>26.109717</v>
      </c>
      <c r="N823" s="6">
        <v>26.108958000000001</v>
      </c>
      <c r="O823" s="6">
        <v>26.328648000000001</v>
      </c>
      <c r="P823" s="6">
        <v>26.003786000000002</v>
      </c>
      <c r="Q823" s="6">
        <v>26.101534000000001</v>
      </c>
      <c r="R823" s="6">
        <v>26.316153</v>
      </c>
      <c r="S823" s="6">
        <v>25.991613999999998</v>
      </c>
      <c r="T823" s="6">
        <v>25.645997000000001</v>
      </c>
      <c r="U823" s="6">
        <v>25.223958</v>
      </c>
      <c r="V823" s="6">
        <v>24.770192999999999</v>
      </c>
    </row>
    <row r="824" spans="2:22">
      <c r="B824" s="6">
        <v>32260</v>
      </c>
      <c r="C824" s="6" t="s">
        <v>160</v>
      </c>
      <c r="D824" s="6">
        <v>20702</v>
      </c>
      <c r="E824" s="6" t="s">
        <v>44</v>
      </c>
      <c r="F824" s="6" t="s">
        <v>17</v>
      </c>
      <c r="G824" s="6" t="s">
        <v>1294</v>
      </c>
      <c r="H824" s="6">
        <v>35</v>
      </c>
      <c r="I824" s="6">
        <v>35</v>
      </c>
      <c r="J824" s="6">
        <v>35</v>
      </c>
      <c r="K824" s="6">
        <v>34.851851000000003</v>
      </c>
      <c r="L824" s="6">
        <v>34.933332999999998</v>
      </c>
      <c r="M824" s="6">
        <v>34.897097000000002</v>
      </c>
      <c r="N824" s="6">
        <v>34.893103000000004</v>
      </c>
      <c r="O824" s="6">
        <v>34.949179999999998</v>
      </c>
      <c r="P824" s="6">
        <v>34.926701000000001</v>
      </c>
      <c r="Q824" s="6">
        <v>34.894556999999999</v>
      </c>
      <c r="R824" s="6">
        <v>34.950949000000001</v>
      </c>
      <c r="S824" s="6">
        <v>34.883485</v>
      </c>
      <c r="T824" s="6">
        <v>34.894556999999999</v>
      </c>
      <c r="U824" s="6">
        <v>34.950949000000001</v>
      </c>
      <c r="V824" s="6">
        <v>34.883485</v>
      </c>
    </row>
    <row r="825" spans="2:22">
      <c r="B825" s="6">
        <v>32260</v>
      </c>
      <c r="C825" s="6" t="s">
        <v>160</v>
      </c>
      <c r="D825" s="6">
        <v>20902</v>
      </c>
      <c r="E825" s="6" t="s">
        <v>53</v>
      </c>
      <c r="F825" s="6" t="s">
        <v>16</v>
      </c>
      <c r="G825" s="6" t="s">
        <v>1295</v>
      </c>
      <c r="H825" s="6">
        <v>0</v>
      </c>
      <c r="I825" s="6">
        <v>26.666665999999999</v>
      </c>
      <c r="J825" s="6">
        <v>28.181818</v>
      </c>
      <c r="K825" s="6">
        <v>26.721311</v>
      </c>
      <c r="L825" s="6">
        <v>25.932835000000001</v>
      </c>
      <c r="M825" s="6">
        <v>26.507536999999999</v>
      </c>
      <c r="N825" s="6">
        <v>27.102803000000002</v>
      </c>
      <c r="O825" s="6">
        <v>26.100322999999999</v>
      </c>
      <c r="P825" s="6">
        <v>27.578899</v>
      </c>
      <c r="Q825" s="6">
        <v>27.102803000000002</v>
      </c>
      <c r="R825" s="6">
        <v>26.100322999999999</v>
      </c>
      <c r="S825" s="6">
        <v>27.558453</v>
      </c>
      <c r="T825" s="6">
        <v>26.737159999999999</v>
      </c>
      <c r="U825" s="6">
        <v>25.752351000000001</v>
      </c>
      <c r="V825" s="6">
        <v>27.323633000000001</v>
      </c>
    </row>
    <row r="826" spans="2:22">
      <c r="B826" s="6">
        <v>32260</v>
      </c>
      <c r="C826" s="6" t="s">
        <v>160</v>
      </c>
      <c r="D826" s="6">
        <v>20902</v>
      </c>
      <c r="E826" s="6" t="s">
        <v>53</v>
      </c>
      <c r="F826" s="6" t="s">
        <v>13</v>
      </c>
      <c r="G826" s="6" t="s">
        <v>14</v>
      </c>
      <c r="H826" s="6">
        <v>15</v>
      </c>
      <c r="I826" s="6">
        <v>15</v>
      </c>
      <c r="J826" s="6">
        <v>15</v>
      </c>
      <c r="K826" s="6">
        <v>18.622046999999998</v>
      </c>
      <c r="L826" s="6">
        <v>18.557046</v>
      </c>
      <c r="M826" s="6">
        <v>18.643459</v>
      </c>
      <c r="N826" s="6">
        <v>19.181818</v>
      </c>
      <c r="O826" s="6">
        <v>19.119288999999998</v>
      </c>
      <c r="P826" s="6">
        <v>18.784502</v>
      </c>
      <c r="Q826" s="6">
        <v>19.181818</v>
      </c>
      <c r="R826" s="6">
        <v>19.101835999999999</v>
      </c>
      <c r="S826" s="6">
        <v>18.763134000000001</v>
      </c>
      <c r="T826" s="6">
        <v>19.181818</v>
      </c>
      <c r="U826" s="6">
        <v>19.101835999999999</v>
      </c>
      <c r="V826" s="6">
        <v>18.763134000000001</v>
      </c>
    </row>
    <row r="827" spans="2:22">
      <c r="B827" s="6">
        <v>32260</v>
      </c>
      <c r="C827" s="6" t="s">
        <v>160</v>
      </c>
      <c r="D827" s="6">
        <v>20906</v>
      </c>
      <c r="E827" s="6" t="s">
        <v>48</v>
      </c>
      <c r="F827" s="6" t="s">
        <v>49</v>
      </c>
      <c r="G827" s="6" t="s">
        <v>1296</v>
      </c>
      <c r="H827" s="6">
        <v>17</v>
      </c>
      <c r="I827" s="6">
        <v>17</v>
      </c>
      <c r="J827" s="6">
        <v>17</v>
      </c>
      <c r="K827" s="6">
        <v>17.229590999999999</v>
      </c>
      <c r="L827" s="6">
        <v>17.052391</v>
      </c>
      <c r="M827" s="6">
        <v>17.431988</v>
      </c>
      <c r="N827" s="6">
        <v>17.016705999999999</v>
      </c>
      <c r="O827" s="6">
        <v>16.954350000000002</v>
      </c>
      <c r="P827" s="6">
        <v>17.537869000000001</v>
      </c>
      <c r="Q827" s="6">
        <v>17.016335999999999</v>
      </c>
      <c r="R827" s="6">
        <v>16.958155999999999</v>
      </c>
      <c r="S827" s="6">
        <v>17.538882000000001</v>
      </c>
      <c r="T827" s="6">
        <v>17.016335999999999</v>
      </c>
      <c r="U827" s="6">
        <v>16.958155999999999</v>
      </c>
      <c r="V827" s="6">
        <v>17.538882000000001</v>
      </c>
    </row>
    <row r="828" spans="2:22">
      <c r="B828" s="6">
        <v>32261</v>
      </c>
      <c r="C828" s="6" t="s">
        <v>161</v>
      </c>
      <c r="D828" s="6">
        <v>20500</v>
      </c>
      <c r="E828" s="6" t="s">
        <v>31</v>
      </c>
      <c r="F828" s="6" t="s">
        <v>13</v>
      </c>
      <c r="G828" s="6" t="s">
        <v>14</v>
      </c>
      <c r="H828" s="6">
        <v>0</v>
      </c>
      <c r="I828" s="6">
        <v>0</v>
      </c>
      <c r="J828" s="6">
        <v>20</v>
      </c>
      <c r="K828" s="6">
        <v>0</v>
      </c>
      <c r="L828" s="6">
        <v>0</v>
      </c>
      <c r="M828" s="6">
        <v>20</v>
      </c>
      <c r="N828" s="6">
        <v>25</v>
      </c>
      <c r="O828" s="6">
        <v>22.5</v>
      </c>
      <c r="P828" s="6">
        <v>20.123965999999999</v>
      </c>
      <c r="Q828" s="6">
        <v>25</v>
      </c>
      <c r="R828" s="6">
        <v>22.5</v>
      </c>
      <c r="S828" s="6">
        <v>20.122949999999999</v>
      </c>
      <c r="T828" s="6">
        <v>28.409089999999999</v>
      </c>
      <c r="U828" s="6">
        <v>28.088235000000001</v>
      </c>
      <c r="V828" s="6">
        <v>22.096774</v>
      </c>
    </row>
    <row r="829" spans="2:22">
      <c r="B829" s="6">
        <v>32261</v>
      </c>
      <c r="C829" s="6" t="s">
        <v>161</v>
      </c>
      <c r="D829" s="6">
        <v>20500</v>
      </c>
      <c r="E829" s="6" t="s">
        <v>31</v>
      </c>
      <c r="F829" s="6" t="s">
        <v>17</v>
      </c>
      <c r="G829" s="6" t="s">
        <v>1294</v>
      </c>
      <c r="H829" s="6">
        <v>27</v>
      </c>
      <c r="I829" s="6">
        <v>27</v>
      </c>
      <c r="J829" s="6">
        <v>27</v>
      </c>
      <c r="K829" s="6">
        <v>26.046875</v>
      </c>
      <c r="L829" s="6">
        <v>26.199541</v>
      </c>
      <c r="M829" s="6">
        <v>26.109717</v>
      </c>
      <c r="N829" s="6">
        <v>26.108958000000001</v>
      </c>
      <c r="O829" s="6">
        <v>26.328648000000001</v>
      </c>
      <c r="P829" s="6">
        <v>26.003786000000002</v>
      </c>
      <c r="Q829" s="6">
        <v>26.101534000000001</v>
      </c>
      <c r="R829" s="6">
        <v>26.316153</v>
      </c>
      <c r="S829" s="6">
        <v>25.991613999999998</v>
      </c>
      <c r="T829" s="6">
        <v>25.645997000000001</v>
      </c>
      <c r="U829" s="6">
        <v>25.223958</v>
      </c>
      <c r="V829" s="6">
        <v>24.770192999999999</v>
      </c>
    </row>
    <row r="830" spans="2:22">
      <c r="B830" s="6">
        <v>32261</v>
      </c>
      <c r="C830" s="6" t="s">
        <v>161</v>
      </c>
      <c r="D830" s="6">
        <v>20702</v>
      </c>
      <c r="E830" s="6" t="s">
        <v>44</v>
      </c>
      <c r="F830" s="6" t="s">
        <v>17</v>
      </c>
      <c r="G830" s="6" t="s">
        <v>1294</v>
      </c>
      <c r="H830" s="6">
        <v>35</v>
      </c>
      <c r="I830" s="6">
        <v>35</v>
      </c>
      <c r="J830" s="6">
        <v>35</v>
      </c>
      <c r="K830" s="6">
        <v>34.851851000000003</v>
      </c>
      <c r="L830" s="6">
        <v>34.933332999999998</v>
      </c>
      <c r="M830" s="6">
        <v>34.897097000000002</v>
      </c>
      <c r="N830" s="6">
        <v>34.893103000000004</v>
      </c>
      <c r="O830" s="6">
        <v>34.949179999999998</v>
      </c>
      <c r="P830" s="6">
        <v>34.926701000000001</v>
      </c>
      <c r="Q830" s="6">
        <v>34.894556999999999</v>
      </c>
      <c r="R830" s="6">
        <v>34.950949000000001</v>
      </c>
      <c r="S830" s="6">
        <v>34.883485</v>
      </c>
      <c r="T830" s="6">
        <v>34.894556999999999</v>
      </c>
      <c r="U830" s="6">
        <v>34.950949000000001</v>
      </c>
      <c r="V830" s="6">
        <v>34.883485</v>
      </c>
    </row>
    <row r="831" spans="2:22">
      <c r="B831" s="6">
        <v>32261</v>
      </c>
      <c r="C831" s="6" t="s">
        <v>161</v>
      </c>
      <c r="D831" s="6">
        <v>20902</v>
      </c>
      <c r="E831" s="6" t="s">
        <v>53</v>
      </c>
      <c r="F831" s="6" t="s">
        <v>16</v>
      </c>
      <c r="G831" s="6" t="s">
        <v>1295</v>
      </c>
      <c r="H831" s="6">
        <v>23</v>
      </c>
      <c r="I831" s="6">
        <v>26.111111000000001</v>
      </c>
      <c r="J831" s="6">
        <v>26.111111000000001</v>
      </c>
      <c r="K831" s="6">
        <v>26.721311</v>
      </c>
      <c r="L831" s="6">
        <v>25.932835000000001</v>
      </c>
      <c r="M831" s="6">
        <v>26.507536999999999</v>
      </c>
      <c r="N831" s="6">
        <v>27.102803000000002</v>
      </c>
      <c r="O831" s="6">
        <v>26.100322999999999</v>
      </c>
      <c r="P831" s="6">
        <v>27.578899</v>
      </c>
      <c r="Q831" s="6">
        <v>27.102803000000002</v>
      </c>
      <c r="R831" s="6">
        <v>26.100322999999999</v>
      </c>
      <c r="S831" s="6">
        <v>27.558453</v>
      </c>
      <c r="T831" s="6">
        <v>26.737159999999999</v>
      </c>
      <c r="U831" s="6">
        <v>25.752351000000001</v>
      </c>
      <c r="V831" s="6">
        <v>27.323633000000001</v>
      </c>
    </row>
    <row r="832" spans="2:22">
      <c r="B832" s="6">
        <v>32261</v>
      </c>
      <c r="C832" s="6" t="s">
        <v>161</v>
      </c>
      <c r="D832" s="6">
        <v>20902</v>
      </c>
      <c r="E832" s="6" t="s">
        <v>53</v>
      </c>
      <c r="F832" s="6" t="s">
        <v>13</v>
      </c>
      <c r="G832" s="6" t="s">
        <v>14</v>
      </c>
      <c r="H832" s="6">
        <v>0</v>
      </c>
      <c r="I832" s="6">
        <v>18.888888000000001</v>
      </c>
      <c r="J832" s="6">
        <v>19.5</v>
      </c>
      <c r="K832" s="6">
        <v>18.622046999999998</v>
      </c>
      <c r="L832" s="6">
        <v>18.557046</v>
      </c>
      <c r="M832" s="6">
        <v>18.643459</v>
      </c>
      <c r="N832" s="6">
        <v>19.181818</v>
      </c>
      <c r="O832" s="6">
        <v>19.119288999999998</v>
      </c>
      <c r="P832" s="6">
        <v>18.784502</v>
      </c>
      <c r="Q832" s="6">
        <v>19.181818</v>
      </c>
      <c r="R832" s="6">
        <v>19.101835999999999</v>
      </c>
      <c r="S832" s="6">
        <v>18.763134000000001</v>
      </c>
      <c r="T832" s="6">
        <v>19.181818</v>
      </c>
      <c r="U832" s="6">
        <v>19.101835999999999</v>
      </c>
      <c r="V832" s="6">
        <v>18.763134000000001</v>
      </c>
    </row>
    <row r="833" spans="2:22">
      <c r="B833" s="6">
        <v>32261</v>
      </c>
      <c r="C833" s="6" t="s">
        <v>161</v>
      </c>
      <c r="D833" s="6">
        <v>20906</v>
      </c>
      <c r="E833" s="6" t="s">
        <v>48</v>
      </c>
      <c r="F833" s="6" t="s">
        <v>49</v>
      </c>
      <c r="G833" s="6" t="s">
        <v>1296</v>
      </c>
      <c r="H833" s="6">
        <v>17</v>
      </c>
      <c r="I833" s="6">
        <v>17.111111000000001</v>
      </c>
      <c r="J833" s="6">
        <v>17.078946999999999</v>
      </c>
      <c r="K833" s="6">
        <v>17.229590999999999</v>
      </c>
      <c r="L833" s="6">
        <v>17.052391</v>
      </c>
      <c r="M833" s="6">
        <v>17.431988</v>
      </c>
      <c r="N833" s="6">
        <v>17.016705999999999</v>
      </c>
      <c r="O833" s="6">
        <v>16.954350000000002</v>
      </c>
      <c r="P833" s="6">
        <v>17.537869000000001</v>
      </c>
      <c r="Q833" s="6">
        <v>17.016335999999999</v>
      </c>
      <c r="R833" s="6">
        <v>16.958155999999999</v>
      </c>
      <c r="S833" s="6">
        <v>17.538882000000001</v>
      </c>
      <c r="T833" s="6">
        <v>17.016335999999999</v>
      </c>
      <c r="U833" s="6">
        <v>16.958155999999999</v>
      </c>
      <c r="V833" s="6">
        <v>17.538882000000001</v>
      </c>
    </row>
    <row r="834" spans="2:22">
      <c r="B834" s="6">
        <v>32262</v>
      </c>
      <c r="C834" s="6" t="s">
        <v>162</v>
      </c>
      <c r="D834" s="6">
        <v>20500</v>
      </c>
      <c r="E834" s="6" t="s">
        <v>31</v>
      </c>
      <c r="F834" s="6" t="s">
        <v>13</v>
      </c>
      <c r="G834" s="6" t="s">
        <v>14</v>
      </c>
      <c r="H834" s="6">
        <v>0</v>
      </c>
      <c r="I834" s="6">
        <v>0</v>
      </c>
      <c r="J834" s="6">
        <v>20</v>
      </c>
      <c r="K834" s="6">
        <v>0</v>
      </c>
      <c r="L834" s="6">
        <v>0</v>
      </c>
      <c r="M834" s="6">
        <v>20</v>
      </c>
      <c r="N834" s="6">
        <v>25</v>
      </c>
      <c r="O834" s="6">
        <v>22.5</v>
      </c>
      <c r="P834" s="6">
        <v>20.123965999999999</v>
      </c>
      <c r="Q834" s="6">
        <v>25</v>
      </c>
      <c r="R834" s="6">
        <v>22.5</v>
      </c>
      <c r="S834" s="6">
        <v>20.122949999999999</v>
      </c>
      <c r="T834" s="6">
        <v>28.409089999999999</v>
      </c>
      <c r="U834" s="6">
        <v>28.088235000000001</v>
      </c>
      <c r="V834" s="6">
        <v>22.096774</v>
      </c>
    </row>
    <row r="835" spans="2:22">
      <c r="B835" s="6">
        <v>32262</v>
      </c>
      <c r="C835" s="6" t="s">
        <v>162</v>
      </c>
      <c r="D835" s="6">
        <v>20500</v>
      </c>
      <c r="E835" s="6" t="s">
        <v>31</v>
      </c>
      <c r="F835" s="6" t="s">
        <v>17</v>
      </c>
      <c r="G835" s="6" t="s">
        <v>1294</v>
      </c>
      <c r="H835" s="6">
        <v>0</v>
      </c>
      <c r="I835" s="6">
        <v>27</v>
      </c>
      <c r="J835" s="6">
        <v>27</v>
      </c>
      <c r="K835" s="6">
        <v>26.046875</v>
      </c>
      <c r="L835" s="6">
        <v>26.199541</v>
      </c>
      <c r="M835" s="6">
        <v>26.109717</v>
      </c>
      <c r="N835" s="6">
        <v>26.108958000000001</v>
      </c>
      <c r="O835" s="6">
        <v>26.328648000000001</v>
      </c>
      <c r="P835" s="6">
        <v>26.003786000000002</v>
      </c>
      <c r="Q835" s="6">
        <v>26.101534000000001</v>
      </c>
      <c r="R835" s="6">
        <v>26.316153</v>
      </c>
      <c r="S835" s="6">
        <v>25.991613999999998</v>
      </c>
      <c r="T835" s="6">
        <v>25.645997000000001</v>
      </c>
      <c r="U835" s="6">
        <v>25.223958</v>
      </c>
      <c r="V835" s="6">
        <v>24.770192999999999</v>
      </c>
    </row>
    <row r="836" spans="2:22">
      <c r="B836" s="6">
        <v>32262</v>
      </c>
      <c r="C836" s="6" t="s">
        <v>162</v>
      </c>
      <c r="D836" s="6">
        <v>20702</v>
      </c>
      <c r="E836" s="6" t="s">
        <v>44</v>
      </c>
      <c r="F836" s="6" t="s">
        <v>17</v>
      </c>
      <c r="G836" s="6" t="s">
        <v>1294</v>
      </c>
      <c r="H836" s="6">
        <v>0</v>
      </c>
      <c r="I836" s="6">
        <v>35</v>
      </c>
      <c r="J836" s="6">
        <v>35</v>
      </c>
      <c r="K836" s="6">
        <v>34.851851000000003</v>
      </c>
      <c r="L836" s="6">
        <v>34.933332999999998</v>
      </c>
      <c r="M836" s="6">
        <v>34.897097000000002</v>
      </c>
      <c r="N836" s="6">
        <v>34.893103000000004</v>
      </c>
      <c r="O836" s="6">
        <v>34.949179999999998</v>
      </c>
      <c r="P836" s="6">
        <v>34.926701000000001</v>
      </c>
      <c r="Q836" s="6">
        <v>34.894556999999999</v>
      </c>
      <c r="R836" s="6">
        <v>34.950949000000001</v>
      </c>
      <c r="S836" s="6">
        <v>34.883485</v>
      </c>
      <c r="T836" s="6">
        <v>34.894556999999999</v>
      </c>
      <c r="U836" s="6">
        <v>34.950949000000001</v>
      </c>
      <c r="V836" s="6">
        <v>34.883485</v>
      </c>
    </row>
    <row r="837" spans="2:22">
      <c r="B837" s="6">
        <v>32262</v>
      </c>
      <c r="C837" s="6" t="s">
        <v>162</v>
      </c>
      <c r="D837" s="6">
        <v>20902</v>
      </c>
      <c r="E837" s="6" t="s">
        <v>53</v>
      </c>
      <c r="F837" s="6" t="s">
        <v>16</v>
      </c>
      <c r="G837" s="6" t="s">
        <v>1295</v>
      </c>
      <c r="H837" s="6">
        <v>0</v>
      </c>
      <c r="I837" s="6">
        <v>0</v>
      </c>
      <c r="J837" s="6">
        <v>30</v>
      </c>
      <c r="K837" s="6">
        <v>26.721311</v>
      </c>
      <c r="L837" s="6">
        <v>25.932835000000001</v>
      </c>
      <c r="M837" s="6">
        <v>26.507536999999999</v>
      </c>
      <c r="N837" s="6">
        <v>27.102803000000002</v>
      </c>
      <c r="O837" s="6">
        <v>26.100322999999999</v>
      </c>
      <c r="P837" s="6">
        <v>27.578899</v>
      </c>
      <c r="Q837" s="6">
        <v>27.102803000000002</v>
      </c>
      <c r="R837" s="6">
        <v>26.100322999999999</v>
      </c>
      <c r="S837" s="6">
        <v>27.558453</v>
      </c>
      <c r="T837" s="6">
        <v>26.737159999999999</v>
      </c>
      <c r="U837" s="6">
        <v>25.752351000000001</v>
      </c>
      <c r="V837" s="6">
        <v>27.323633000000001</v>
      </c>
    </row>
    <row r="838" spans="2:22">
      <c r="B838" s="6">
        <v>32262</v>
      </c>
      <c r="C838" s="6" t="s">
        <v>162</v>
      </c>
      <c r="D838" s="6">
        <v>20902</v>
      </c>
      <c r="E838" s="6" t="s">
        <v>53</v>
      </c>
      <c r="F838" s="6" t="s">
        <v>13</v>
      </c>
      <c r="G838" s="6" t="s">
        <v>14</v>
      </c>
      <c r="H838" s="6">
        <v>0</v>
      </c>
      <c r="I838" s="6">
        <v>20</v>
      </c>
      <c r="J838" s="6">
        <v>20</v>
      </c>
      <c r="K838" s="6">
        <v>18.622046999999998</v>
      </c>
      <c r="L838" s="6">
        <v>18.557046</v>
      </c>
      <c r="M838" s="6">
        <v>18.643459</v>
      </c>
      <c r="N838" s="6">
        <v>19.181818</v>
      </c>
      <c r="O838" s="6">
        <v>19.119288999999998</v>
      </c>
      <c r="P838" s="6">
        <v>18.784502</v>
      </c>
      <c r="Q838" s="6">
        <v>19.181818</v>
      </c>
      <c r="R838" s="6">
        <v>19.101835999999999</v>
      </c>
      <c r="S838" s="6">
        <v>18.763134000000001</v>
      </c>
      <c r="T838" s="6">
        <v>19.181818</v>
      </c>
      <c r="U838" s="6">
        <v>19.101835999999999</v>
      </c>
      <c r="V838" s="6">
        <v>18.763134000000001</v>
      </c>
    </row>
    <row r="839" spans="2:22">
      <c r="B839" s="6">
        <v>32262</v>
      </c>
      <c r="C839" s="6" t="s">
        <v>162</v>
      </c>
      <c r="D839" s="6">
        <v>20906</v>
      </c>
      <c r="E839" s="6" t="s">
        <v>48</v>
      </c>
      <c r="F839" s="6" t="s">
        <v>49</v>
      </c>
      <c r="G839" s="6" t="s">
        <v>1296</v>
      </c>
      <c r="H839" s="6">
        <v>0</v>
      </c>
      <c r="I839" s="6">
        <v>17</v>
      </c>
      <c r="J839" s="6">
        <v>17</v>
      </c>
      <c r="K839" s="6">
        <v>17.229590999999999</v>
      </c>
      <c r="L839" s="6">
        <v>17.052391</v>
      </c>
      <c r="M839" s="6">
        <v>17.431988</v>
      </c>
      <c r="N839" s="6">
        <v>17.016705999999999</v>
      </c>
      <c r="O839" s="6">
        <v>16.954350000000002</v>
      </c>
      <c r="P839" s="6">
        <v>17.537869000000001</v>
      </c>
      <c r="Q839" s="6">
        <v>17.016335999999999</v>
      </c>
      <c r="R839" s="6">
        <v>16.958155999999999</v>
      </c>
      <c r="S839" s="6">
        <v>17.538882000000001</v>
      </c>
      <c r="T839" s="6">
        <v>17.016335999999999</v>
      </c>
      <c r="U839" s="6">
        <v>16.958155999999999</v>
      </c>
      <c r="V839" s="6">
        <v>17.538882000000001</v>
      </c>
    </row>
    <row r="840" spans="2:22">
      <c r="B840" s="6">
        <v>32263</v>
      </c>
      <c r="C840" s="6" t="s">
        <v>163</v>
      </c>
      <c r="D840" s="6">
        <v>20500</v>
      </c>
      <c r="E840" s="6" t="s">
        <v>31</v>
      </c>
      <c r="F840" s="6" t="s">
        <v>13</v>
      </c>
      <c r="G840" s="6" t="s">
        <v>14</v>
      </c>
      <c r="H840" s="6">
        <v>0</v>
      </c>
      <c r="I840" s="6">
        <v>0</v>
      </c>
      <c r="J840" s="6">
        <v>20</v>
      </c>
      <c r="K840" s="6">
        <v>0</v>
      </c>
      <c r="L840" s="6">
        <v>0</v>
      </c>
      <c r="M840" s="6">
        <v>20</v>
      </c>
      <c r="N840" s="6">
        <v>25</v>
      </c>
      <c r="O840" s="6">
        <v>22.5</v>
      </c>
      <c r="P840" s="6">
        <v>20.123965999999999</v>
      </c>
      <c r="Q840" s="6">
        <v>25</v>
      </c>
      <c r="R840" s="6">
        <v>22.5</v>
      </c>
      <c r="S840" s="6">
        <v>20.122949999999999</v>
      </c>
      <c r="T840" s="6">
        <v>28.409089999999999</v>
      </c>
      <c r="U840" s="6">
        <v>28.088235000000001</v>
      </c>
      <c r="V840" s="6">
        <v>22.096774</v>
      </c>
    </row>
    <row r="841" spans="2:22">
      <c r="B841" s="6">
        <v>32263</v>
      </c>
      <c r="C841" s="6" t="s">
        <v>163</v>
      </c>
      <c r="D841" s="6">
        <v>20500</v>
      </c>
      <c r="E841" s="6" t="s">
        <v>31</v>
      </c>
      <c r="F841" s="6" t="s">
        <v>17</v>
      </c>
      <c r="G841" s="6" t="s">
        <v>1294</v>
      </c>
      <c r="H841" s="6">
        <v>27</v>
      </c>
      <c r="I841" s="6">
        <v>27</v>
      </c>
      <c r="J841" s="6">
        <v>25.923075999999998</v>
      </c>
      <c r="K841" s="6">
        <v>26.046875</v>
      </c>
      <c r="L841" s="6">
        <v>26.199541</v>
      </c>
      <c r="M841" s="6">
        <v>26.109717</v>
      </c>
      <c r="N841" s="6">
        <v>26.108958000000001</v>
      </c>
      <c r="O841" s="6">
        <v>26.328648000000001</v>
      </c>
      <c r="P841" s="6">
        <v>26.003786000000002</v>
      </c>
      <c r="Q841" s="6">
        <v>26.101534000000001</v>
      </c>
      <c r="R841" s="6">
        <v>26.316153</v>
      </c>
      <c r="S841" s="6">
        <v>25.991613999999998</v>
      </c>
      <c r="T841" s="6">
        <v>25.645997000000001</v>
      </c>
      <c r="U841" s="6">
        <v>25.223958</v>
      </c>
      <c r="V841" s="6">
        <v>24.770192999999999</v>
      </c>
    </row>
    <row r="842" spans="2:22">
      <c r="B842" s="6">
        <v>32263</v>
      </c>
      <c r="C842" s="6" t="s">
        <v>163</v>
      </c>
      <c r="D842" s="6">
        <v>20702</v>
      </c>
      <c r="E842" s="6" t="s">
        <v>44</v>
      </c>
      <c r="F842" s="6" t="s">
        <v>17</v>
      </c>
      <c r="G842" s="6" t="s">
        <v>1294</v>
      </c>
      <c r="H842" s="6">
        <v>35</v>
      </c>
      <c r="I842" s="6">
        <v>35</v>
      </c>
      <c r="J842" s="6">
        <v>34.828570999999997</v>
      </c>
      <c r="K842" s="6">
        <v>34.851851000000003</v>
      </c>
      <c r="L842" s="6">
        <v>34.933332999999998</v>
      </c>
      <c r="M842" s="6">
        <v>34.897097000000002</v>
      </c>
      <c r="N842" s="6">
        <v>34.893103000000004</v>
      </c>
      <c r="O842" s="6">
        <v>34.949179999999998</v>
      </c>
      <c r="P842" s="6">
        <v>34.926701000000001</v>
      </c>
      <c r="Q842" s="6">
        <v>34.894556999999999</v>
      </c>
      <c r="R842" s="6">
        <v>34.950949000000001</v>
      </c>
      <c r="S842" s="6">
        <v>34.883485</v>
      </c>
      <c r="T842" s="6">
        <v>34.894556999999999</v>
      </c>
      <c r="U842" s="6">
        <v>34.950949000000001</v>
      </c>
      <c r="V842" s="6">
        <v>34.883485</v>
      </c>
    </row>
    <row r="843" spans="2:22">
      <c r="B843" s="6">
        <v>32263</v>
      </c>
      <c r="C843" s="6" t="s">
        <v>163</v>
      </c>
      <c r="D843" s="6">
        <v>20902</v>
      </c>
      <c r="E843" s="6" t="s">
        <v>53</v>
      </c>
      <c r="F843" s="6" t="s">
        <v>16</v>
      </c>
      <c r="G843" s="6" t="s">
        <v>1295</v>
      </c>
      <c r="H843" s="6">
        <v>30</v>
      </c>
      <c r="I843" s="6">
        <v>30</v>
      </c>
      <c r="J843" s="6">
        <v>30</v>
      </c>
      <c r="K843" s="6">
        <v>26.721311</v>
      </c>
      <c r="L843" s="6">
        <v>25.932835000000001</v>
      </c>
      <c r="M843" s="6">
        <v>26.507536999999999</v>
      </c>
      <c r="N843" s="6">
        <v>27.102803000000002</v>
      </c>
      <c r="O843" s="6">
        <v>26.100322999999999</v>
      </c>
      <c r="P843" s="6">
        <v>27.578899</v>
      </c>
      <c r="Q843" s="6">
        <v>27.102803000000002</v>
      </c>
      <c r="R843" s="6">
        <v>26.100322999999999</v>
      </c>
      <c r="S843" s="6">
        <v>27.558453</v>
      </c>
      <c r="T843" s="6">
        <v>26.737159999999999</v>
      </c>
      <c r="U843" s="6">
        <v>25.752351000000001</v>
      </c>
      <c r="V843" s="6">
        <v>27.323633000000001</v>
      </c>
    </row>
    <row r="844" spans="2:22">
      <c r="B844" s="6">
        <v>32263</v>
      </c>
      <c r="C844" s="6" t="s">
        <v>163</v>
      </c>
      <c r="D844" s="6">
        <v>20902</v>
      </c>
      <c r="E844" s="6" t="s">
        <v>53</v>
      </c>
      <c r="F844" s="6" t="s">
        <v>13</v>
      </c>
      <c r="G844" s="6" t="s">
        <v>14</v>
      </c>
      <c r="H844" s="6">
        <v>20</v>
      </c>
      <c r="I844" s="6">
        <v>20</v>
      </c>
      <c r="J844" s="6">
        <v>20</v>
      </c>
      <c r="K844" s="6">
        <v>18.622046999999998</v>
      </c>
      <c r="L844" s="6">
        <v>18.557046</v>
      </c>
      <c r="M844" s="6">
        <v>18.643459</v>
      </c>
      <c r="N844" s="6">
        <v>19.181818</v>
      </c>
      <c r="O844" s="6">
        <v>19.119288999999998</v>
      </c>
      <c r="P844" s="6">
        <v>18.784502</v>
      </c>
      <c r="Q844" s="6">
        <v>19.181818</v>
      </c>
      <c r="R844" s="6">
        <v>19.101835999999999</v>
      </c>
      <c r="S844" s="6">
        <v>18.763134000000001</v>
      </c>
      <c r="T844" s="6">
        <v>19.181818</v>
      </c>
      <c r="U844" s="6">
        <v>19.101835999999999</v>
      </c>
      <c r="V844" s="6">
        <v>18.763134000000001</v>
      </c>
    </row>
    <row r="845" spans="2:22">
      <c r="B845" s="6">
        <v>32263</v>
      </c>
      <c r="C845" s="6" t="s">
        <v>163</v>
      </c>
      <c r="D845" s="6">
        <v>20906</v>
      </c>
      <c r="E845" s="6" t="s">
        <v>48</v>
      </c>
      <c r="F845" s="6" t="s">
        <v>49</v>
      </c>
      <c r="G845" s="6" t="s">
        <v>1296</v>
      </c>
      <c r="H845" s="6">
        <v>17.428571000000002</v>
      </c>
      <c r="I845" s="6">
        <v>17.272727</v>
      </c>
      <c r="J845" s="6">
        <v>18.114284999999999</v>
      </c>
      <c r="K845" s="6">
        <v>17.229590999999999</v>
      </c>
      <c r="L845" s="6">
        <v>17.052391</v>
      </c>
      <c r="M845" s="6">
        <v>17.431988</v>
      </c>
      <c r="N845" s="6">
        <v>17.016705999999999</v>
      </c>
      <c r="O845" s="6">
        <v>16.954350000000002</v>
      </c>
      <c r="P845" s="6">
        <v>17.537869000000001</v>
      </c>
      <c r="Q845" s="6">
        <v>17.016335999999999</v>
      </c>
      <c r="R845" s="6">
        <v>16.958155999999999</v>
      </c>
      <c r="S845" s="6">
        <v>17.538882000000001</v>
      </c>
      <c r="T845" s="6">
        <v>17.016335999999999</v>
      </c>
      <c r="U845" s="6">
        <v>16.958155999999999</v>
      </c>
      <c r="V845" s="6">
        <v>17.538882000000001</v>
      </c>
    </row>
    <row r="846" spans="2:22">
      <c r="B846" s="6">
        <v>32264</v>
      </c>
      <c r="C846" s="6" t="s">
        <v>164</v>
      </c>
      <c r="D846" s="6">
        <v>20500</v>
      </c>
      <c r="E846" s="6" t="s">
        <v>31</v>
      </c>
      <c r="F846" s="6" t="s">
        <v>13</v>
      </c>
      <c r="G846" s="6" t="s">
        <v>14</v>
      </c>
      <c r="H846" s="6">
        <v>0</v>
      </c>
      <c r="I846" s="6">
        <v>0</v>
      </c>
      <c r="J846" s="6">
        <v>20</v>
      </c>
      <c r="K846" s="6">
        <v>25</v>
      </c>
      <c r="L846" s="6">
        <v>25</v>
      </c>
      <c r="M846" s="6">
        <v>20.555554999999998</v>
      </c>
      <c r="N846" s="6">
        <v>25</v>
      </c>
      <c r="O846" s="6">
        <v>22.5</v>
      </c>
      <c r="P846" s="6">
        <v>20.123965999999999</v>
      </c>
      <c r="Q846" s="6">
        <v>25</v>
      </c>
      <c r="R846" s="6">
        <v>22.5</v>
      </c>
      <c r="S846" s="6">
        <v>20.122949999999999</v>
      </c>
      <c r="T846" s="6">
        <v>28.409089999999999</v>
      </c>
      <c r="U846" s="6">
        <v>28.088235000000001</v>
      </c>
      <c r="V846" s="6">
        <v>22.096774</v>
      </c>
    </row>
    <row r="847" spans="2:22">
      <c r="B847" s="6">
        <v>32264</v>
      </c>
      <c r="C847" s="6" t="s">
        <v>164</v>
      </c>
      <c r="D847" s="6">
        <v>20500</v>
      </c>
      <c r="E847" s="6" t="s">
        <v>31</v>
      </c>
      <c r="F847" s="6" t="s">
        <v>17</v>
      </c>
      <c r="G847" s="6" t="s">
        <v>1294</v>
      </c>
      <c r="H847" s="6">
        <v>27</v>
      </c>
      <c r="I847" s="6">
        <v>27</v>
      </c>
      <c r="J847" s="6">
        <v>27</v>
      </c>
      <c r="K847" s="6">
        <v>26.179282000000001</v>
      </c>
      <c r="L847" s="6">
        <v>26.186138</v>
      </c>
      <c r="M847" s="6">
        <v>25.935728999999998</v>
      </c>
      <c r="N847" s="6">
        <v>26.108958000000001</v>
      </c>
      <c r="O847" s="6">
        <v>26.328648000000001</v>
      </c>
      <c r="P847" s="6">
        <v>26.003786000000002</v>
      </c>
      <c r="Q847" s="6">
        <v>26.101534000000001</v>
      </c>
      <c r="R847" s="6">
        <v>26.316153</v>
      </c>
      <c r="S847" s="6">
        <v>25.991613999999998</v>
      </c>
      <c r="T847" s="6">
        <v>25.645997000000001</v>
      </c>
      <c r="U847" s="6">
        <v>25.223958</v>
      </c>
      <c r="V847" s="6">
        <v>24.770192999999999</v>
      </c>
    </row>
    <row r="848" spans="2:22">
      <c r="B848" s="6">
        <v>32264</v>
      </c>
      <c r="C848" s="6" t="s">
        <v>164</v>
      </c>
      <c r="D848" s="6">
        <v>20702</v>
      </c>
      <c r="E848" s="6" t="s">
        <v>44</v>
      </c>
      <c r="F848" s="6" t="s">
        <v>17</v>
      </c>
      <c r="G848" s="6" t="s">
        <v>1294</v>
      </c>
      <c r="H848" s="6">
        <v>35</v>
      </c>
      <c r="I848" s="6">
        <v>35</v>
      </c>
      <c r="J848" s="6">
        <v>35</v>
      </c>
      <c r="K848" s="6">
        <v>34.902597</v>
      </c>
      <c r="L848" s="6">
        <v>34.946427999999997</v>
      </c>
      <c r="M848" s="6">
        <v>34.934041999999998</v>
      </c>
      <c r="N848" s="6">
        <v>34.893103000000004</v>
      </c>
      <c r="O848" s="6">
        <v>34.949179999999998</v>
      </c>
      <c r="P848" s="6">
        <v>34.926701000000001</v>
      </c>
      <c r="Q848" s="6">
        <v>34.894556999999999</v>
      </c>
      <c r="R848" s="6">
        <v>34.950949000000001</v>
      </c>
      <c r="S848" s="6">
        <v>34.883485</v>
      </c>
      <c r="T848" s="6">
        <v>34.894556999999999</v>
      </c>
      <c r="U848" s="6">
        <v>34.950949000000001</v>
      </c>
      <c r="V848" s="6">
        <v>34.883485</v>
      </c>
    </row>
    <row r="849" spans="2:22">
      <c r="B849" s="6">
        <v>32264</v>
      </c>
      <c r="C849" s="6" t="s">
        <v>164</v>
      </c>
      <c r="D849" s="6">
        <v>20902</v>
      </c>
      <c r="E849" s="6" t="s">
        <v>53</v>
      </c>
      <c r="F849" s="6" t="s">
        <v>16</v>
      </c>
      <c r="G849" s="6" t="s">
        <v>1295</v>
      </c>
      <c r="H849" s="6">
        <v>15</v>
      </c>
      <c r="I849" s="6">
        <v>15</v>
      </c>
      <c r="J849" s="6">
        <v>24</v>
      </c>
      <c r="K849" s="6">
        <v>27.111111000000001</v>
      </c>
      <c r="L849" s="6">
        <v>25.059170999999999</v>
      </c>
      <c r="M849" s="6">
        <v>26.5625</v>
      </c>
      <c r="N849" s="6">
        <v>27.102803000000002</v>
      </c>
      <c r="O849" s="6">
        <v>26.100322999999999</v>
      </c>
      <c r="P849" s="6">
        <v>27.578899</v>
      </c>
      <c r="Q849" s="6">
        <v>27.102803000000002</v>
      </c>
      <c r="R849" s="6">
        <v>26.100322999999999</v>
      </c>
      <c r="S849" s="6">
        <v>27.558453</v>
      </c>
      <c r="T849" s="6">
        <v>26.737159999999999</v>
      </c>
      <c r="U849" s="6">
        <v>25.752351000000001</v>
      </c>
      <c r="V849" s="6">
        <v>27.323633000000001</v>
      </c>
    </row>
    <row r="850" spans="2:22">
      <c r="B850" s="6">
        <v>32264</v>
      </c>
      <c r="C850" s="6" t="s">
        <v>164</v>
      </c>
      <c r="D850" s="6">
        <v>20902</v>
      </c>
      <c r="E850" s="6" t="s">
        <v>53</v>
      </c>
      <c r="F850" s="6" t="s">
        <v>13</v>
      </c>
      <c r="G850" s="6" t="s">
        <v>14</v>
      </c>
      <c r="H850" s="6">
        <v>15</v>
      </c>
      <c r="I850" s="6">
        <v>14.333333</v>
      </c>
      <c r="J850" s="6">
        <v>14.307691999999999</v>
      </c>
      <c r="K850" s="6">
        <v>18.635802000000002</v>
      </c>
      <c r="L850" s="6">
        <v>18.195121</v>
      </c>
      <c r="M850" s="6">
        <v>17.625368000000002</v>
      </c>
      <c r="N850" s="6">
        <v>19.181818</v>
      </c>
      <c r="O850" s="6">
        <v>19.119288999999998</v>
      </c>
      <c r="P850" s="6">
        <v>18.784502</v>
      </c>
      <c r="Q850" s="6">
        <v>19.181818</v>
      </c>
      <c r="R850" s="6">
        <v>19.101835999999999</v>
      </c>
      <c r="S850" s="6">
        <v>18.763134000000001</v>
      </c>
      <c r="T850" s="6">
        <v>19.181818</v>
      </c>
      <c r="U850" s="6">
        <v>19.101835999999999</v>
      </c>
      <c r="V850" s="6">
        <v>18.763134000000001</v>
      </c>
    </row>
    <row r="851" spans="2:22">
      <c r="B851" s="6">
        <v>32264</v>
      </c>
      <c r="C851" s="6" t="s">
        <v>164</v>
      </c>
      <c r="D851" s="6">
        <v>20906</v>
      </c>
      <c r="E851" s="6" t="s">
        <v>48</v>
      </c>
      <c r="F851" s="6" t="s">
        <v>49</v>
      </c>
      <c r="G851" s="6" t="s">
        <v>1296</v>
      </c>
      <c r="H851" s="6">
        <v>17</v>
      </c>
      <c r="I851" s="6">
        <v>17.375</v>
      </c>
      <c r="J851" s="6">
        <v>17.521739</v>
      </c>
      <c r="K851" s="6">
        <v>16.992394999999998</v>
      </c>
      <c r="L851" s="6">
        <v>16.951830000000001</v>
      </c>
      <c r="M851" s="6">
        <v>17.405908</v>
      </c>
      <c r="N851" s="6">
        <v>17.016705999999999</v>
      </c>
      <c r="O851" s="6">
        <v>16.954350000000002</v>
      </c>
      <c r="P851" s="6">
        <v>17.537869000000001</v>
      </c>
      <c r="Q851" s="6">
        <v>17.016335999999999</v>
      </c>
      <c r="R851" s="6">
        <v>16.958155999999999</v>
      </c>
      <c r="S851" s="6">
        <v>17.538882000000001</v>
      </c>
      <c r="T851" s="6">
        <v>17.016335999999999</v>
      </c>
      <c r="U851" s="6">
        <v>16.958155999999999</v>
      </c>
      <c r="V851" s="6">
        <v>17.538882000000001</v>
      </c>
    </row>
    <row r="852" spans="2:22">
      <c r="B852" s="6">
        <v>32265</v>
      </c>
      <c r="C852" s="6" t="s">
        <v>165</v>
      </c>
      <c r="D852" s="6">
        <v>20500</v>
      </c>
      <c r="E852" s="6" t="s">
        <v>31</v>
      </c>
      <c r="F852" s="6" t="s">
        <v>13</v>
      </c>
      <c r="G852" s="6" t="s">
        <v>14</v>
      </c>
      <c r="H852" s="6">
        <v>0</v>
      </c>
      <c r="I852" s="6">
        <v>0</v>
      </c>
      <c r="J852" s="6">
        <v>20</v>
      </c>
      <c r="K852" s="6">
        <v>25</v>
      </c>
      <c r="L852" s="6">
        <v>25</v>
      </c>
      <c r="M852" s="6">
        <v>20.555554999999998</v>
      </c>
      <c r="N852" s="6">
        <v>25</v>
      </c>
      <c r="O852" s="6">
        <v>22.5</v>
      </c>
      <c r="P852" s="6">
        <v>20.123965999999999</v>
      </c>
      <c r="Q852" s="6">
        <v>25</v>
      </c>
      <c r="R852" s="6">
        <v>22.5</v>
      </c>
      <c r="S852" s="6">
        <v>20.122949999999999</v>
      </c>
      <c r="T852" s="6">
        <v>28.409089999999999</v>
      </c>
      <c r="U852" s="6">
        <v>28.088235000000001</v>
      </c>
      <c r="V852" s="6">
        <v>22.096774</v>
      </c>
    </row>
    <row r="853" spans="2:22">
      <c r="B853" s="6">
        <v>32265</v>
      </c>
      <c r="C853" s="6" t="s">
        <v>165</v>
      </c>
      <c r="D853" s="6">
        <v>20500</v>
      </c>
      <c r="E853" s="6" t="s">
        <v>31</v>
      </c>
      <c r="F853" s="6" t="s">
        <v>17</v>
      </c>
      <c r="G853" s="6" t="s">
        <v>1294</v>
      </c>
      <c r="H853" s="6">
        <v>27</v>
      </c>
      <c r="I853" s="6">
        <v>27</v>
      </c>
      <c r="J853" s="6">
        <v>27</v>
      </c>
      <c r="K853" s="6">
        <v>26.179282000000001</v>
      </c>
      <c r="L853" s="6">
        <v>26.186138</v>
      </c>
      <c r="M853" s="6">
        <v>25.935728999999998</v>
      </c>
      <c r="N853" s="6">
        <v>26.108958000000001</v>
      </c>
      <c r="O853" s="6">
        <v>26.328648000000001</v>
      </c>
      <c r="P853" s="6">
        <v>26.003786000000002</v>
      </c>
      <c r="Q853" s="6">
        <v>26.101534000000001</v>
      </c>
      <c r="R853" s="6">
        <v>26.316153</v>
      </c>
      <c r="S853" s="6">
        <v>25.991613999999998</v>
      </c>
      <c r="T853" s="6">
        <v>25.645997000000001</v>
      </c>
      <c r="U853" s="6">
        <v>25.223958</v>
      </c>
      <c r="V853" s="6">
        <v>24.770192999999999</v>
      </c>
    </row>
    <row r="854" spans="2:22">
      <c r="B854" s="6">
        <v>32265</v>
      </c>
      <c r="C854" s="6" t="s">
        <v>165</v>
      </c>
      <c r="D854" s="6">
        <v>20702</v>
      </c>
      <c r="E854" s="6" t="s">
        <v>44</v>
      </c>
      <c r="F854" s="6" t="s">
        <v>17</v>
      </c>
      <c r="G854" s="6" t="s">
        <v>1294</v>
      </c>
      <c r="H854" s="6">
        <v>35</v>
      </c>
      <c r="I854" s="6">
        <v>35</v>
      </c>
      <c r="J854" s="6">
        <v>35</v>
      </c>
      <c r="K854" s="6">
        <v>34.902597</v>
      </c>
      <c r="L854" s="6">
        <v>34.946427999999997</v>
      </c>
      <c r="M854" s="6">
        <v>34.934041999999998</v>
      </c>
      <c r="N854" s="6">
        <v>34.893103000000004</v>
      </c>
      <c r="O854" s="6">
        <v>34.949179999999998</v>
      </c>
      <c r="P854" s="6">
        <v>34.926701000000001</v>
      </c>
      <c r="Q854" s="6">
        <v>34.894556999999999</v>
      </c>
      <c r="R854" s="6">
        <v>34.950949000000001</v>
      </c>
      <c r="S854" s="6">
        <v>34.883485</v>
      </c>
      <c r="T854" s="6">
        <v>34.894556999999999</v>
      </c>
      <c r="U854" s="6">
        <v>34.950949000000001</v>
      </c>
      <c r="V854" s="6">
        <v>34.883485</v>
      </c>
    </row>
    <row r="855" spans="2:22">
      <c r="B855" s="6">
        <v>32265</v>
      </c>
      <c r="C855" s="6" t="s">
        <v>165</v>
      </c>
      <c r="D855" s="6">
        <v>20902</v>
      </c>
      <c r="E855" s="6" t="s">
        <v>53</v>
      </c>
      <c r="F855" s="6" t="s">
        <v>16</v>
      </c>
      <c r="G855" s="6" t="s">
        <v>1295</v>
      </c>
      <c r="H855" s="6">
        <v>30</v>
      </c>
      <c r="I855" s="6">
        <v>27.5</v>
      </c>
      <c r="J855" s="6">
        <v>28.125</v>
      </c>
      <c r="K855" s="6">
        <v>27.111111000000001</v>
      </c>
      <c r="L855" s="6">
        <v>25.059170999999999</v>
      </c>
      <c r="M855" s="6">
        <v>26.5625</v>
      </c>
      <c r="N855" s="6">
        <v>27.102803000000002</v>
      </c>
      <c r="O855" s="6">
        <v>26.100322999999999</v>
      </c>
      <c r="P855" s="6">
        <v>27.578899</v>
      </c>
      <c r="Q855" s="6">
        <v>27.102803000000002</v>
      </c>
      <c r="R855" s="6">
        <v>26.100322999999999</v>
      </c>
      <c r="S855" s="6">
        <v>27.558453</v>
      </c>
      <c r="T855" s="6">
        <v>26.737159999999999</v>
      </c>
      <c r="U855" s="6">
        <v>25.752351000000001</v>
      </c>
      <c r="V855" s="6">
        <v>27.323633000000001</v>
      </c>
    </row>
    <row r="856" spans="2:22">
      <c r="B856" s="6">
        <v>32265</v>
      </c>
      <c r="C856" s="6" t="s">
        <v>165</v>
      </c>
      <c r="D856" s="6">
        <v>20902</v>
      </c>
      <c r="E856" s="6" t="s">
        <v>53</v>
      </c>
      <c r="F856" s="6" t="s">
        <v>13</v>
      </c>
      <c r="G856" s="6" t="s">
        <v>14</v>
      </c>
      <c r="H856" s="6">
        <v>15</v>
      </c>
      <c r="I856" s="6">
        <v>17.222221999999999</v>
      </c>
      <c r="J856" s="6">
        <v>18.68421</v>
      </c>
      <c r="K856" s="6">
        <v>18.635802000000002</v>
      </c>
      <c r="L856" s="6">
        <v>18.195121</v>
      </c>
      <c r="M856" s="6">
        <v>17.625368000000002</v>
      </c>
      <c r="N856" s="6">
        <v>19.181818</v>
      </c>
      <c r="O856" s="6">
        <v>19.119288999999998</v>
      </c>
      <c r="P856" s="6">
        <v>18.784502</v>
      </c>
      <c r="Q856" s="6">
        <v>19.181818</v>
      </c>
      <c r="R856" s="6">
        <v>19.101835999999999</v>
      </c>
      <c r="S856" s="6">
        <v>18.763134000000001</v>
      </c>
      <c r="T856" s="6">
        <v>19.181818</v>
      </c>
      <c r="U856" s="6">
        <v>19.101835999999999</v>
      </c>
      <c r="V856" s="6">
        <v>18.763134000000001</v>
      </c>
    </row>
    <row r="857" spans="2:22">
      <c r="B857" s="6">
        <v>32265</v>
      </c>
      <c r="C857" s="6" t="s">
        <v>165</v>
      </c>
      <c r="D857" s="6">
        <v>20906</v>
      </c>
      <c r="E857" s="6" t="s">
        <v>48</v>
      </c>
      <c r="F857" s="6" t="s">
        <v>49</v>
      </c>
      <c r="G857" s="6" t="s">
        <v>1296</v>
      </c>
      <c r="H857" s="6">
        <v>17</v>
      </c>
      <c r="I857" s="6">
        <v>17</v>
      </c>
      <c r="J857" s="6">
        <v>17.454545</v>
      </c>
      <c r="K857" s="6">
        <v>16.992394999999998</v>
      </c>
      <c r="L857" s="6">
        <v>16.951830000000001</v>
      </c>
      <c r="M857" s="6">
        <v>17.405908</v>
      </c>
      <c r="N857" s="6">
        <v>17.016705999999999</v>
      </c>
      <c r="O857" s="6">
        <v>16.954350000000002</v>
      </c>
      <c r="P857" s="6">
        <v>17.537869000000001</v>
      </c>
      <c r="Q857" s="6">
        <v>17.016335999999999</v>
      </c>
      <c r="R857" s="6">
        <v>16.958155999999999</v>
      </c>
      <c r="S857" s="6">
        <v>17.538882000000001</v>
      </c>
      <c r="T857" s="6">
        <v>17.016335999999999</v>
      </c>
      <c r="U857" s="6">
        <v>16.958155999999999</v>
      </c>
      <c r="V857" s="6">
        <v>17.538882000000001</v>
      </c>
    </row>
    <row r="858" spans="2:22">
      <c r="B858" s="6">
        <v>32266</v>
      </c>
      <c r="C858" s="6" t="s">
        <v>166</v>
      </c>
      <c r="D858" s="6">
        <v>20500</v>
      </c>
      <c r="E858" s="6" t="s">
        <v>31</v>
      </c>
      <c r="F858" s="6" t="s">
        <v>17</v>
      </c>
      <c r="G858" s="6" t="s">
        <v>1294</v>
      </c>
      <c r="H858" s="6">
        <v>27</v>
      </c>
      <c r="I858" s="6">
        <v>27</v>
      </c>
      <c r="J858" s="6">
        <v>27</v>
      </c>
      <c r="K858" s="6">
        <v>26.179282000000001</v>
      </c>
      <c r="L858" s="6">
        <v>26.186138</v>
      </c>
      <c r="M858" s="6">
        <v>25.935728999999998</v>
      </c>
      <c r="N858" s="6">
        <v>26.108958000000001</v>
      </c>
      <c r="O858" s="6">
        <v>26.328648000000001</v>
      </c>
      <c r="P858" s="6">
        <v>26.003786000000002</v>
      </c>
      <c r="Q858" s="6">
        <v>26.101534000000001</v>
      </c>
      <c r="R858" s="6">
        <v>26.316153</v>
      </c>
      <c r="S858" s="6">
        <v>25.991613999999998</v>
      </c>
      <c r="T858" s="6">
        <v>25.645997000000001</v>
      </c>
      <c r="U858" s="6">
        <v>25.223958</v>
      </c>
      <c r="V858" s="6">
        <v>24.770192999999999</v>
      </c>
    </row>
    <row r="859" spans="2:22">
      <c r="B859" s="6">
        <v>32266</v>
      </c>
      <c r="C859" s="6" t="s">
        <v>166</v>
      </c>
      <c r="D859" s="6">
        <v>20702</v>
      </c>
      <c r="E859" s="6" t="s">
        <v>44</v>
      </c>
      <c r="F859" s="6" t="s">
        <v>17</v>
      </c>
      <c r="G859" s="6" t="s">
        <v>1294</v>
      </c>
      <c r="H859" s="6">
        <v>35</v>
      </c>
      <c r="I859" s="6">
        <v>35</v>
      </c>
      <c r="J859" s="6">
        <v>35</v>
      </c>
      <c r="K859" s="6">
        <v>34.902597</v>
      </c>
      <c r="L859" s="6">
        <v>34.946427999999997</v>
      </c>
      <c r="M859" s="6">
        <v>34.934041999999998</v>
      </c>
      <c r="N859" s="6">
        <v>34.893103000000004</v>
      </c>
      <c r="O859" s="6">
        <v>34.949179999999998</v>
      </c>
      <c r="P859" s="6">
        <v>34.926701000000001</v>
      </c>
      <c r="Q859" s="6">
        <v>34.894556999999999</v>
      </c>
      <c r="R859" s="6">
        <v>34.950949000000001</v>
      </c>
      <c r="S859" s="6">
        <v>34.883485</v>
      </c>
      <c r="T859" s="6">
        <v>34.894556999999999</v>
      </c>
      <c r="U859" s="6">
        <v>34.950949000000001</v>
      </c>
      <c r="V859" s="6">
        <v>34.883485</v>
      </c>
    </row>
    <row r="860" spans="2:22">
      <c r="B860" s="6">
        <v>32266</v>
      </c>
      <c r="C860" s="6" t="s">
        <v>166</v>
      </c>
      <c r="D860" s="6">
        <v>20902</v>
      </c>
      <c r="E860" s="6" t="s">
        <v>53</v>
      </c>
      <c r="F860" s="6" t="s">
        <v>16</v>
      </c>
      <c r="G860" s="6" t="s">
        <v>1295</v>
      </c>
      <c r="H860" s="6">
        <v>30</v>
      </c>
      <c r="I860" s="6">
        <v>30</v>
      </c>
      <c r="J860" s="6">
        <v>30</v>
      </c>
      <c r="K860" s="6">
        <v>27.111111000000001</v>
      </c>
      <c r="L860" s="6">
        <v>25.059170999999999</v>
      </c>
      <c r="M860" s="6">
        <v>26.5625</v>
      </c>
      <c r="N860" s="6">
        <v>27.102803000000002</v>
      </c>
      <c r="O860" s="6">
        <v>26.100322999999999</v>
      </c>
      <c r="P860" s="6">
        <v>27.578899</v>
      </c>
      <c r="Q860" s="6">
        <v>27.102803000000002</v>
      </c>
      <c r="R860" s="6">
        <v>26.100322999999999</v>
      </c>
      <c r="S860" s="6">
        <v>27.558453</v>
      </c>
      <c r="T860" s="6">
        <v>26.737159999999999</v>
      </c>
      <c r="U860" s="6">
        <v>25.752351000000001</v>
      </c>
      <c r="V860" s="6">
        <v>27.323633000000001</v>
      </c>
    </row>
    <row r="861" spans="2:22">
      <c r="B861" s="6">
        <v>32266</v>
      </c>
      <c r="C861" s="6" t="s">
        <v>166</v>
      </c>
      <c r="D861" s="6">
        <v>20902</v>
      </c>
      <c r="E861" s="6" t="s">
        <v>53</v>
      </c>
      <c r="F861" s="6" t="s">
        <v>13</v>
      </c>
      <c r="G861" s="6" t="s">
        <v>14</v>
      </c>
      <c r="H861" s="6">
        <v>20</v>
      </c>
      <c r="I861" s="6">
        <v>20</v>
      </c>
      <c r="J861" s="6">
        <v>20</v>
      </c>
      <c r="K861" s="6">
        <v>18.635802000000002</v>
      </c>
      <c r="L861" s="6">
        <v>18.195121</v>
      </c>
      <c r="M861" s="6">
        <v>17.625368000000002</v>
      </c>
      <c r="N861" s="6">
        <v>19.181818</v>
      </c>
      <c r="O861" s="6">
        <v>19.119288999999998</v>
      </c>
      <c r="P861" s="6">
        <v>18.784502</v>
      </c>
      <c r="Q861" s="6">
        <v>19.181818</v>
      </c>
      <c r="R861" s="6">
        <v>19.101835999999999</v>
      </c>
      <c r="S861" s="6">
        <v>18.763134000000001</v>
      </c>
      <c r="T861" s="6">
        <v>19.181818</v>
      </c>
      <c r="U861" s="6">
        <v>19.101835999999999</v>
      </c>
      <c r="V861" s="6">
        <v>18.763134000000001</v>
      </c>
    </row>
    <row r="862" spans="2:22">
      <c r="B862" s="6">
        <v>32266</v>
      </c>
      <c r="C862" s="6" t="s">
        <v>166</v>
      </c>
      <c r="D862" s="6">
        <v>20906</v>
      </c>
      <c r="E862" s="6" t="s">
        <v>48</v>
      </c>
      <c r="F862" s="6" t="s">
        <v>49</v>
      </c>
      <c r="G862" s="6" t="s">
        <v>1296</v>
      </c>
      <c r="H862" s="6">
        <v>17</v>
      </c>
      <c r="I862" s="6">
        <v>17</v>
      </c>
      <c r="J862" s="6">
        <v>17</v>
      </c>
      <c r="K862" s="6">
        <v>16.992394999999998</v>
      </c>
      <c r="L862" s="6">
        <v>16.951830000000001</v>
      </c>
      <c r="M862" s="6">
        <v>17.405908</v>
      </c>
      <c r="N862" s="6">
        <v>17.016705999999999</v>
      </c>
      <c r="O862" s="6">
        <v>16.954350000000002</v>
      </c>
      <c r="P862" s="6">
        <v>17.537869000000001</v>
      </c>
      <c r="Q862" s="6">
        <v>17.016335999999999</v>
      </c>
      <c r="R862" s="6">
        <v>16.958155999999999</v>
      </c>
      <c r="S862" s="6">
        <v>17.538882000000001</v>
      </c>
      <c r="T862" s="6">
        <v>17.016335999999999</v>
      </c>
      <c r="U862" s="6">
        <v>16.958155999999999</v>
      </c>
      <c r="V862" s="6">
        <v>17.538882000000001</v>
      </c>
    </row>
    <row r="863" spans="2:22">
      <c r="B863" s="6">
        <v>32267</v>
      </c>
      <c r="C863" s="6" t="s">
        <v>167</v>
      </c>
      <c r="D863" s="6">
        <v>20500</v>
      </c>
      <c r="E863" s="6" t="s">
        <v>31</v>
      </c>
      <c r="F863" s="6" t="s">
        <v>13</v>
      </c>
      <c r="G863" s="6" t="s">
        <v>14</v>
      </c>
      <c r="H863" s="6">
        <v>0</v>
      </c>
      <c r="I863" s="6">
        <v>0</v>
      </c>
      <c r="J863" s="6">
        <v>20</v>
      </c>
      <c r="K863" s="6">
        <v>25</v>
      </c>
      <c r="L863" s="6">
        <v>25</v>
      </c>
      <c r="M863" s="6">
        <v>20.555554999999998</v>
      </c>
      <c r="N863" s="6">
        <v>25</v>
      </c>
      <c r="O863" s="6">
        <v>22.5</v>
      </c>
      <c r="P863" s="6">
        <v>20.123965999999999</v>
      </c>
      <c r="Q863" s="6">
        <v>25</v>
      </c>
      <c r="R863" s="6">
        <v>22.5</v>
      </c>
      <c r="S863" s="6">
        <v>20.122949999999999</v>
      </c>
      <c r="T863" s="6">
        <v>28.409089999999999</v>
      </c>
      <c r="U863" s="6">
        <v>28.088235000000001</v>
      </c>
      <c r="V863" s="6">
        <v>22.096774</v>
      </c>
    </row>
    <row r="864" spans="2:22">
      <c r="B864" s="6">
        <v>32267</v>
      </c>
      <c r="C864" s="6" t="s">
        <v>167</v>
      </c>
      <c r="D864" s="6">
        <v>20500</v>
      </c>
      <c r="E864" s="6" t="s">
        <v>31</v>
      </c>
      <c r="F864" s="6" t="s">
        <v>17</v>
      </c>
      <c r="G864" s="6" t="s">
        <v>1294</v>
      </c>
      <c r="H864" s="6">
        <v>25.6</v>
      </c>
      <c r="I864" s="6">
        <v>26.222221999999999</v>
      </c>
      <c r="J864" s="6">
        <v>26.956520999999999</v>
      </c>
      <c r="K864" s="6">
        <v>26.179282000000001</v>
      </c>
      <c r="L864" s="6">
        <v>26.186138</v>
      </c>
      <c r="M864" s="6">
        <v>25.935728999999998</v>
      </c>
      <c r="N864" s="6">
        <v>26.108958000000001</v>
      </c>
      <c r="O864" s="6">
        <v>26.328648000000001</v>
      </c>
      <c r="P864" s="6">
        <v>26.003786000000002</v>
      </c>
      <c r="Q864" s="6">
        <v>26.101534000000001</v>
      </c>
      <c r="R864" s="6">
        <v>26.316153</v>
      </c>
      <c r="S864" s="6">
        <v>25.991613999999998</v>
      </c>
      <c r="T864" s="6">
        <v>25.645997000000001</v>
      </c>
      <c r="U864" s="6">
        <v>25.223958</v>
      </c>
      <c r="V864" s="6">
        <v>24.770192999999999</v>
      </c>
    </row>
    <row r="865" spans="2:22">
      <c r="B865" s="6">
        <v>32267</v>
      </c>
      <c r="C865" s="6" t="s">
        <v>167</v>
      </c>
      <c r="D865" s="6">
        <v>20702</v>
      </c>
      <c r="E865" s="6" t="s">
        <v>44</v>
      </c>
      <c r="F865" s="6" t="s">
        <v>17</v>
      </c>
      <c r="G865" s="6" t="s">
        <v>1294</v>
      </c>
      <c r="H865" s="6">
        <v>32.857142000000003</v>
      </c>
      <c r="I865" s="6">
        <v>33.636363000000003</v>
      </c>
      <c r="J865" s="6">
        <v>34.038460999999998</v>
      </c>
      <c r="K865" s="6">
        <v>34.902597</v>
      </c>
      <c r="L865" s="6">
        <v>34.946427999999997</v>
      </c>
      <c r="M865" s="6">
        <v>34.934041999999998</v>
      </c>
      <c r="N865" s="6">
        <v>34.893103000000004</v>
      </c>
      <c r="O865" s="6">
        <v>34.949179999999998</v>
      </c>
      <c r="P865" s="6">
        <v>34.926701000000001</v>
      </c>
      <c r="Q865" s="6">
        <v>34.894556999999999</v>
      </c>
      <c r="R865" s="6">
        <v>34.950949000000001</v>
      </c>
      <c r="S865" s="6">
        <v>34.883485</v>
      </c>
      <c r="T865" s="6">
        <v>34.894556999999999</v>
      </c>
      <c r="U865" s="6">
        <v>34.950949000000001</v>
      </c>
      <c r="V865" s="6">
        <v>34.883485</v>
      </c>
    </row>
    <row r="866" spans="2:22">
      <c r="B866" s="6">
        <v>32267</v>
      </c>
      <c r="C866" s="6" t="s">
        <v>167</v>
      </c>
      <c r="D866" s="6">
        <v>20902</v>
      </c>
      <c r="E866" s="6" t="s">
        <v>53</v>
      </c>
      <c r="F866" s="6" t="s">
        <v>16</v>
      </c>
      <c r="G866" s="6" t="s">
        <v>1295</v>
      </c>
      <c r="H866" s="6">
        <v>30</v>
      </c>
      <c r="I866" s="6">
        <v>30</v>
      </c>
      <c r="J866" s="6">
        <v>30</v>
      </c>
      <c r="K866" s="6">
        <v>27.111111000000001</v>
      </c>
      <c r="L866" s="6">
        <v>25.059170999999999</v>
      </c>
      <c r="M866" s="6">
        <v>26.5625</v>
      </c>
      <c r="N866" s="6">
        <v>27.102803000000002</v>
      </c>
      <c r="O866" s="6">
        <v>26.100322999999999</v>
      </c>
      <c r="P866" s="6">
        <v>27.578899</v>
      </c>
      <c r="Q866" s="6">
        <v>27.102803000000002</v>
      </c>
      <c r="R866" s="6">
        <v>26.100322999999999</v>
      </c>
      <c r="S866" s="6">
        <v>27.558453</v>
      </c>
      <c r="T866" s="6">
        <v>26.737159999999999</v>
      </c>
      <c r="U866" s="6">
        <v>25.752351000000001</v>
      </c>
      <c r="V866" s="6">
        <v>27.323633000000001</v>
      </c>
    </row>
    <row r="867" spans="2:22">
      <c r="B867" s="6">
        <v>32267</v>
      </c>
      <c r="C867" s="6" t="s">
        <v>167</v>
      </c>
      <c r="D867" s="6">
        <v>20902</v>
      </c>
      <c r="E867" s="6" t="s">
        <v>53</v>
      </c>
      <c r="F867" s="6" t="s">
        <v>13</v>
      </c>
      <c r="G867" s="6" t="s">
        <v>14</v>
      </c>
      <c r="H867" s="6">
        <v>20</v>
      </c>
      <c r="I867" s="6">
        <v>20</v>
      </c>
      <c r="J867" s="6">
        <v>20</v>
      </c>
      <c r="K867" s="6">
        <v>18.635802000000002</v>
      </c>
      <c r="L867" s="6">
        <v>18.195121</v>
      </c>
      <c r="M867" s="6">
        <v>17.625368000000002</v>
      </c>
      <c r="N867" s="6">
        <v>19.181818</v>
      </c>
      <c r="O867" s="6">
        <v>19.119288999999998</v>
      </c>
      <c r="P867" s="6">
        <v>18.784502</v>
      </c>
      <c r="Q867" s="6">
        <v>19.181818</v>
      </c>
      <c r="R867" s="6">
        <v>19.101835999999999</v>
      </c>
      <c r="S867" s="6">
        <v>18.763134000000001</v>
      </c>
      <c r="T867" s="6">
        <v>19.181818</v>
      </c>
      <c r="U867" s="6">
        <v>19.101835999999999</v>
      </c>
      <c r="V867" s="6">
        <v>18.763134000000001</v>
      </c>
    </row>
    <row r="868" spans="2:22">
      <c r="B868" s="6">
        <v>32267</v>
      </c>
      <c r="C868" s="6" t="s">
        <v>167</v>
      </c>
      <c r="D868" s="6">
        <v>20906</v>
      </c>
      <c r="E868" s="6" t="s">
        <v>48</v>
      </c>
      <c r="F868" s="6" t="s">
        <v>49</v>
      </c>
      <c r="G868" s="6" t="s">
        <v>1296</v>
      </c>
      <c r="H868" s="6">
        <v>17.600000000000001</v>
      </c>
      <c r="I868" s="6">
        <v>17.333333</v>
      </c>
      <c r="J868" s="6">
        <v>17.5</v>
      </c>
      <c r="K868" s="6">
        <v>16.992394999999998</v>
      </c>
      <c r="L868" s="6">
        <v>16.951830000000001</v>
      </c>
      <c r="M868" s="6">
        <v>17.405908</v>
      </c>
      <c r="N868" s="6">
        <v>17.016705999999999</v>
      </c>
      <c r="O868" s="6">
        <v>16.954350000000002</v>
      </c>
      <c r="P868" s="6">
        <v>17.537869000000001</v>
      </c>
      <c r="Q868" s="6">
        <v>17.016335999999999</v>
      </c>
      <c r="R868" s="6">
        <v>16.958155999999999</v>
      </c>
      <c r="S868" s="6">
        <v>17.538882000000001</v>
      </c>
      <c r="T868" s="6">
        <v>17.016335999999999</v>
      </c>
      <c r="U868" s="6">
        <v>16.958155999999999</v>
      </c>
      <c r="V868" s="6">
        <v>17.538882000000001</v>
      </c>
    </row>
    <row r="869" spans="2:22">
      <c r="B869" s="6">
        <v>32276</v>
      </c>
      <c r="C869" s="6" t="s">
        <v>168</v>
      </c>
      <c r="D869" s="6">
        <v>20500</v>
      </c>
      <c r="E869" s="6" t="s">
        <v>31</v>
      </c>
      <c r="F869" s="6" t="s">
        <v>17</v>
      </c>
      <c r="G869" s="6" t="s">
        <v>1294</v>
      </c>
      <c r="H869" s="6">
        <v>0</v>
      </c>
      <c r="I869" s="6">
        <v>27</v>
      </c>
      <c r="J869" s="6">
        <v>27</v>
      </c>
      <c r="K869" s="6">
        <v>26.093993999999999</v>
      </c>
      <c r="L869" s="6">
        <v>26.469746000000001</v>
      </c>
      <c r="M869" s="6">
        <v>26.000619</v>
      </c>
      <c r="N869" s="6">
        <v>26.108958000000001</v>
      </c>
      <c r="O869" s="6">
        <v>26.328648000000001</v>
      </c>
      <c r="P869" s="6">
        <v>26.003786000000002</v>
      </c>
      <c r="Q869" s="6">
        <v>26.101534000000001</v>
      </c>
      <c r="R869" s="6">
        <v>26.316153</v>
      </c>
      <c r="S869" s="6">
        <v>25.991613999999998</v>
      </c>
      <c r="T869" s="6">
        <v>25.645997000000001</v>
      </c>
      <c r="U869" s="6">
        <v>25.223958</v>
      </c>
      <c r="V869" s="6">
        <v>24.770192999999999</v>
      </c>
    </row>
    <row r="870" spans="2:22">
      <c r="B870" s="6">
        <v>32276</v>
      </c>
      <c r="C870" s="6" t="s">
        <v>168</v>
      </c>
      <c r="D870" s="6">
        <v>20706</v>
      </c>
      <c r="E870" s="6" t="s">
        <v>52</v>
      </c>
      <c r="F870" s="6" t="s">
        <v>17</v>
      </c>
      <c r="G870" s="6" t="s">
        <v>1294</v>
      </c>
      <c r="H870" s="6">
        <v>0</v>
      </c>
      <c r="I870" s="6">
        <v>40</v>
      </c>
      <c r="J870" s="6">
        <v>40</v>
      </c>
      <c r="K870" s="6">
        <v>40</v>
      </c>
      <c r="L870" s="6">
        <v>39.985993999999998</v>
      </c>
      <c r="M870" s="6">
        <v>39.981146000000003</v>
      </c>
      <c r="N870" s="6">
        <v>39.962778999999998</v>
      </c>
      <c r="O870" s="6">
        <v>39.971750999999998</v>
      </c>
      <c r="P870" s="6">
        <v>39.969020999999998</v>
      </c>
      <c r="Q870" s="6">
        <v>39.963768000000002</v>
      </c>
      <c r="R870" s="6">
        <v>39.972496999999997</v>
      </c>
      <c r="S870" s="6">
        <v>39.969659999999998</v>
      </c>
      <c r="T870" s="6">
        <v>39.867787999999997</v>
      </c>
      <c r="U870" s="6">
        <v>39.928649</v>
      </c>
      <c r="V870" s="6">
        <v>39.945453999999998</v>
      </c>
    </row>
    <row r="871" spans="2:22">
      <c r="B871" s="6">
        <v>32276</v>
      </c>
      <c r="C871" s="6" t="s">
        <v>168</v>
      </c>
      <c r="D871" s="6">
        <v>20902</v>
      </c>
      <c r="E871" s="6" t="s">
        <v>53</v>
      </c>
      <c r="F871" s="6" t="s">
        <v>16</v>
      </c>
      <c r="G871" s="6" t="s">
        <v>1295</v>
      </c>
      <c r="H871" s="6">
        <v>0</v>
      </c>
      <c r="I871" s="6">
        <v>30</v>
      </c>
      <c r="J871" s="6">
        <v>30</v>
      </c>
      <c r="K871" s="6">
        <v>27.235294</v>
      </c>
      <c r="L871" s="6">
        <v>26.730157999999999</v>
      </c>
      <c r="M871" s="6">
        <v>28.302752000000002</v>
      </c>
      <c r="N871" s="6">
        <v>27.102803000000002</v>
      </c>
      <c r="O871" s="6">
        <v>26.100322999999999</v>
      </c>
      <c r="P871" s="6">
        <v>27.578899</v>
      </c>
      <c r="Q871" s="6">
        <v>27.102803000000002</v>
      </c>
      <c r="R871" s="6">
        <v>26.100322999999999</v>
      </c>
      <c r="S871" s="6">
        <v>27.558453</v>
      </c>
      <c r="T871" s="6">
        <v>26.737159999999999</v>
      </c>
      <c r="U871" s="6">
        <v>25.752351000000001</v>
      </c>
      <c r="V871" s="6">
        <v>27.323633000000001</v>
      </c>
    </row>
    <row r="872" spans="2:22">
      <c r="B872" s="6">
        <v>32276</v>
      </c>
      <c r="C872" s="6" t="s">
        <v>168</v>
      </c>
      <c r="D872" s="6">
        <v>20906</v>
      </c>
      <c r="E872" s="6" t="s">
        <v>48</v>
      </c>
      <c r="F872" s="6" t="s">
        <v>49</v>
      </c>
      <c r="G872" s="6" t="s">
        <v>1296</v>
      </c>
      <c r="H872" s="6">
        <v>0</v>
      </c>
      <c r="I872" s="6">
        <v>17</v>
      </c>
      <c r="J872" s="6">
        <v>17</v>
      </c>
      <c r="K872" s="6">
        <v>16.923482</v>
      </c>
      <c r="L872" s="6">
        <v>16.908185</v>
      </c>
      <c r="M872" s="6">
        <v>17.652851999999999</v>
      </c>
      <c r="N872" s="6">
        <v>17.016705999999999</v>
      </c>
      <c r="O872" s="6">
        <v>16.954350000000002</v>
      </c>
      <c r="P872" s="6">
        <v>17.537869000000001</v>
      </c>
      <c r="Q872" s="6">
        <v>17.016335999999999</v>
      </c>
      <c r="R872" s="6">
        <v>16.958155999999999</v>
      </c>
      <c r="S872" s="6">
        <v>17.538882000000001</v>
      </c>
      <c r="T872" s="6">
        <v>17.016335999999999</v>
      </c>
      <c r="U872" s="6">
        <v>16.958155999999999</v>
      </c>
      <c r="V872" s="6">
        <v>17.538882000000001</v>
      </c>
    </row>
    <row r="873" spans="2:22">
      <c r="B873" s="6">
        <v>32277</v>
      </c>
      <c r="C873" s="6" t="s">
        <v>1207</v>
      </c>
      <c r="D873" s="6">
        <v>80012</v>
      </c>
      <c r="E873" s="6" t="s">
        <v>1230</v>
      </c>
      <c r="F873" s="6" t="s">
        <v>73</v>
      </c>
      <c r="G873" s="6" t="s">
        <v>1299</v>
      </c>
      <c r="H873" s="6">
        <v>0</v>
      </c>
      <c r="I873" s="6">
        <v>0</v>
      </c>
      <c r="J873" s="6">
        <v>15</v>
      </c>
      <c r="K873" s="6">
        <v>15</v>
      </c>
      <c r="L873" s="6">
        <v>15</v>
      </c>
      <c r="M873" s="6">
        <v>15</v>
      </c>
      <c r="N873" s="6">
        <v>15</v>
      </c>
      <c r="O873" s="6">
        <v>15</v>
      </c>
      <c r="P873" s="6">
        <v>15</v>
      </c>
      <c r="Q873" s="6">
        <v>15</v>
      </c>
      <c r="R873" s="6">
        <v>15</v>
      </c>
      <c r="S873" s="6">
        <v>15</v>
      </c>
      <c r="T873" s="6">
        <v>15</v>
      </c>
      <c r="U873" s="6">
        <v>15</v>
      </c>
      <c r="V873" s="6">
        <v>15</v>
      </c>
    </row>
    <row r="874" spans="2:22">
      <c r="B874" s="6">
        <v>32281</v>
      </c>
      <c r="C874" s="6" t="s">
        <v>169</v>
      </c>
      <c r="D874" s="6">
        <v>20500</v>
      </c>
      <c r="E874" s="6" t="s">
        <v>31</v>
      </c>
      <c r="F874" s="6" t="s">
        <v>17</v>
      </c>
      <c r="G874" s="6" t="s">
        <v>1294</v>
      </c>
      <c r="H874" s="6">
        <v>0</v>
      </c>
      <c r="I874" s="6">
        <v>27</v>
      </c>
      <c r="J874" s="6">
        <v>27</v>
      </c>
      <c r="K874" s="6">
        <v>26.093993999999999</v>
      </c>
      <c r="L874" s="6">
        <v>26.469746000000001</v>
      </c>
      <c r="M874" s="6">
        <v>26.000619</v>
      </c>
      <c r="N874" s="6">
        <v>26.108958000000001</v>
      </c>
      <c r="O874" s="6">
        <v>26.328648000000001</v>
      </c>
      <c r="P874" s="6">
        <v>26.003786000000002</v>
      </c>
      <c r="Q874" s="6">
        <v>26.101534000000001</v>
      </c>
      <c r="R874" s="6">
        <v>26.316153</v>
      </c>
      <c r="S874" s="6">
        <v>25.991613999999998</v>
      </c>
      <c r="T874" s="6">
        <v>25.645997000000001</v>
      </c>
      <c r="U874" s="6">
        <v>25.223958</v>
      </c>
      <c r="V874" s="6">
        <v>24.770192999999999</v>
      </c>
    </row>
    <row r="875" spans="2:22">
      <c r="B875" s="6">
        <v>32281</v>
      </c>
      <c r="C875" s="6" t="s">
        <v>169</v>
      </c>
      <c r="D875" s="6">
        <v>20706</v>
      </c>
      <c r="E875" s="6" t="s">
        <v>52</v>
      </c>
      <c r="F875" s="6" t="s">
        <v>17</v>
      </c>
      <c r="G875" s="6" t="s">
        <v>1294</v>
      </c>
      <c r="H875" s="6">
        <v>0</v>
      </c>
      <c r="I875" s="6">
        <v>37.5</v>
      </c>
      <c r="J875" s="6">
        <v>37.5</v>
      </c>
      <c r="K875" s="6">
        <v>40</v>
      </c>
      <c r="L875" s="6">
        <v>39.985993999999998</v>
      </c>
      <c r="M875" s="6">
        <v>39.981146000000003</v>
      </c>
      <c r="N875" s="6">
        <v>39.962778999999998</v>
      </c>
      <c r="O875" s="6">
        <v>39.971750999999998</v>
      </c>
      <c r="P875" s="6">
        <v>39.969020999999998</v>
      </c>
      <c r="Q875" s="6">
        <v>39.963768000000002</v>
      </c>
      <c r="R875" s="6">
        <v>39.972496999999997</v>
      </c>
      <c r="S875" s="6">
        <v>39.969659999999998</v>
      </c>
      <c r="T875" s="6">
        <v>39.867787999999997</v>
      </c>
      <c r="U875" s="6">
        <v>39.928649</v>
      </c>
      <c r="V875" s="6">
        <v>39.945453999999998</v>
      </c>
    </row>
    <row r="876" spans="2:22">
      <c r="B876" s="6">
        <v>32281</v>
      </c>
      <c r="C876" s="6" t="s">
        <v>169</v>
      </c>
      <c r="D876" s="6">
        <v>20706</v>
      </c>
      <c r="E876" s="6" t="s">
        <v>52</v>
      </c>
      <c r="F876" s="6" t="s">
        <v>73</v>
      </c>
      <c r="G876" s="6" t="s">
        <v>1299</v>
      </c>
      <c r="H876" s="6">
        <v>0</v>
      </c>
      <c r="I876" s="6">
        <v>30</v>
      </c>
      <c r="J876" s="6">
        <v>30</v>
      </c>
      <c r="K876" s="6">
        <v>0</v>
      </c>
      <c r="L876" s="6">
        <v>30</v>
      </c>
      <c r="M876" s="6">
        <v>33.059700999999997</v>
      </c>
      <c r="N876" s="6">
        <v>0</v>
      </c>
      <c r="O876" s="6">
        <v>30</v>
      </c>
      <c r="P876" s="6">
        <v>33.014704999999999</v>
      </c>
      <c r="Q876" s="6">
        <v>0</v>
      </c>
      <c r="R876" s="6">
        <v>30</v>
      </c>
      <c r="S876" s="6">
        <v>33.014704999999999</v>
      </c>
      <c r="T876" s="6">
        <v>0</v>
      </c>
      <c r="U876" s="6">
        <v>30</v>
      </c>
      <c r="V876" s="6">
        <v>33.014704999999999</v>
      </c>
    </row>
    <row r="877" spans="2:22">
      <c r="B877" s="6">
        <v>32281</v>
      </c>
      <c r="C877" s="6" t="s">
        <v>169</v>
      </c>
      <c r="D877" s="6">
        <v>20902</v>
      </c>
      <c r="E877" s="6" t="s">
        <v>53</v>
      </c>
      <c r="F877" s="6" t="s">
        <v>13</v>
      </c>
      <c r="G877" s="6" t="s">
        <v>14</v>
      </c>
      <c r="H877" s="6">
        <v>0</v>
      </c>
      <c r="I877" s="6">
        <v>20</v>
      </c>
      <c r="J877" s="6">
        <v>20</v>
      </c>
      <c r="K877" s="6">
        <v>19.956309999999998</v>
      </c>
      <c r="L877" s="6">
        <v>19.965827000000001</v>
      </c>
      <c r="M877" s="6">
        <v>19.613216000000001</v>
      </c>
      <c r="N877" s="6">
        <v>19.181818</v>
      </c>
      <c r="O877" s="6">
        <v>19.119288999999998</v>
      </c>
      <c r="P877" s="6">
        <v>18.784502</v>
      </c>
      <c r="Q877" s="6">
        <v>19.181818</v>
      </c>
      <c r="R877" s="6">
        <v>19.101835999999999</v>
      </c>
      <c r="S877" s="6">
        <v>18.763134000000001</v>
      </c>
      <c r="T877" s="6">
        <v>19.181818</v>
      </c>
      <c r="U877" s="6">
        <v>19.101835999999999</v>
      </c>
      <c r="V877" s="6">
        <v>18.763134000000001</v>
      </c>
    </row>
    <row r="878" spans="2:22">
      <c r="B878" s="6">
        <v>32281</v>
      </c>
      <c r="C878" s="6" t="s">
        <v>169</v>
      </c>
      <c r="D878" s="6">
        <v>20906</v>
      </c>
      <c r="E878" s="6" t="s">
        <v>48</v>
      </c>
      <c r="F878" s="6" t="s">
        <v>49</v>
      </c>
      <c r="G878" s="6" t="s">
        <v>1296</v>
      </c>
      <c r="H878" s="6">
        <v>0</v>
      </c>
      <c r="I878" s="6">
        <v>17</v>
      </c>
      <c r="J878" s="6">
        <v>17</v>
      </c>
      <c r="K878" s="6">
        <v>16.923482</v>
      </c>
      <c r="L878" s="6">
        <v>16.908185</v>
      </c>
      <c r="M878" s="6">
        <v>17.652851999999999</v>
      </c>
      <c r="N878" s="6">
        <v>17.016705999999999</v>
      </c>
      <c r="O878" s="6">
        <v>16.954350000000002</v>
      </c>
      <c r="P878" s="6">
        <v>17.537869000000001</v>
      </c>
      <c r="Q878" s="6">
        <v>17.016335999999999</v>
      </c>
      <c r="R878" s="6">
        <v>16.958155999999999</v>
      </c>
      <c r="S878" s="6">
        <v>17.538882000000001</v>
      </c>
      <c r="T878" s="6">
        <v>17.016335999999999</v>
      </c>
      <c r="U878" s="6">
        <v>16.958155999999999</v>
      </c>
      <c r="V878" s="6">
        <v>17.538882000000001</v>
      </c>
    </row>
    <row r="879" spans="2:22">
      <c r="B879" s="6">
        <v>32282</v>
      </c>
      <c r="C879" s="6" t="s">
        <v>170</v>
      </c>
      <c r="D879" s="6">
        <v>20500</v>
      </c>
      <c r="E879" s="6" t="s">
        <v>31</v>
      </c>
      <c r="F879" s="6" t="s">
        <v>17</v>
      </c>
      <c r="G879" s="6" t="s">
        <v>1294</v>
      </c>
      <c r="H879" s="6">
        <v>0</v>
      </c>
      <c r="I879" s="6">
        <v>27</v>
      </c>
      <c r="J879" s="6">
        <v>27</v>
      </c>
      <c r="K879" s="6">
        <v>26.093993999999999</v>
      </c>
      <c r="L879" s="6">
        <v>26.469746000000001</v>
      </c>
      <c r="M879" s="6">
        <v>26.000619</v>
      </c>
      <c r="N879" s="6">
        <v>26.108958000000001</v>
      </c>
      <c r="O879" s="6">
        <v>26.328648000000001</v>
      </c>
      <c r="P879" s="6">
        <v>26.003786000000002</v>
      </c>
      <c r="Q879" s="6">
        <v>26.101534000000001</v>
      </c>
      <c r="R879" s="6">
        <v>26.316153</v>
      </c>
      <c r="S879" s="6">
        <v>25.991613999999998</v>
      </c>
      <c r="T879" s="6">
        <v>25.645997000000001</v>
      </c>
      <c r="U879" s="6">
        <v>25.223958</v>
      </c>
      <c r="V879" s="6">
        <v>24.770192999999999</v>
      </c>
    </row>
    <row r="880" spans="2:22">
      <c r="B880" s="6">
        <v>32282</v>
      </c>
      <c r="C880" s="6" t="s">
        <v>170</v>
      </c>
      <c r="D880" s="6">
        <v>20706</v>
      </c>
      <c r="E880" s="6" t="s">
        <v>52</v>
      </c>
      <c r="F880" s="6" t="s">
        <v>17</v>
      </c>
      <c r="G880" s="6" t="s">
        <v>1294</v>
      </c>
      <c r="H880" s="6">
        <v>0</v>
      </c>
      <c r="I880" s="6">
        <v>40</v>
      </c>
      <c r="J880" s="6">
        <v>40</v>
      </c>
      <c r="K880" s="6">
        <v>40</v>
      </c>
      <c r="L880" s="6">
        <v>39.985993999999998</v>
      </c>
      <c r="M880" s="6">
        <v>39.981146000000003</v>
      </c>
      <c r="N880" s="6">
        <v>39.962778999999998</v>
      </c>
      <c r="O880" s="6">
        <v>39.971750999999998</v>
      </c>
      <c r="P880" s="6">
        <v>39.969020999999998</v>
      </c>
      <c r="Q880" s="6">
        <v>39.963768000000002</v>
      </c>
      <c r="R880" s="6">
        <v>39.972496999999997</v>
      </c>
      <c r="S880" s="6">
        <v>39.969659999999998</v>
      </c>
      <c r="T880" s="6">
        <v>39.867787999999997</v>
      </c>
      <c r="U880" s="6">
        <v>39.928649</v>
      </c>
      <c r="V880" s="6">
        <v>39.945453999999998</v>
      </c>
    </row>
    <row r="881" spans="2:22">
      <c r="B881" s="6">
        <v>32282</v>
      </c>
      <c r="C881" s="6" t="s">
        <v>170</v>
      </c>
      <c r="D881" s="6">
        <v>20902</v>
      </c>
      <c r="E881" s="6" t="s">
        <v>53</v>
      </c>
      <c r="F881" s="6" t="s">
        <v>13</v>
      </c>
      <c r="G881" s="6" t="s">
        <v>14</v>
      </c>
      <c r="H881" s="6">
        <v>0</v>
      </c>
      <c r="I881" s="6">
        <v>0</v>
      </c>
      <c r="J881" s="6">
        <v>20</v>
      </c>
      <c r="K881" s="6">
        <v>19.956309999999998</v>
      </c>
      <c r="L881" s="6">
        <v>19.965827000000001</v>
      </c>
      <c r="M881" s="6">
        <v>19.613216000000001</v>
      </c>
      <c r="N881" s="6">
        <v>19.181818</v>
      </c>
      <c r="O881" s="6">
        <v>19.119288999999998</v>
      </c>
      <c r="P881" s="6">
        <v>18.784502</v>
      </c>
      <c r="Q881" s="6">
        <v>19.181818</v>
      </c>
      <c r="R881" s="6">
        <v>19.101835999999999</v>
      </c>
      <c r="S881" s="6">
        <v>18.763134000000001</v>
      </c>
      <c r="T881" s="6">
        <v>19.181818</v>
      </c>
      <c r="U881" s="6">
        <v>19.101835999999999</v>
      </c>
      <c r="V881" s="6">
        <v>18.763134000000001</v>
      </c>
    </row>
    <row r="882" spans="2:22">
      <c r="B882" s="6">
        <v>32282</v>
      </c>
      <c r="C882" s="6" t="s">
        <v>170</v>
      </c>
      <c r="D882" s="6">
        <v>20906</v>
      </c>
      <c r="E882" s="6" t="s">
        <v>48</v>
      </c>
      <c r="F882" s="6" t="s">
        <v>49</v>
      </c>
      <c r="G882" s="6" t="s">
        <v>1296</v>
      </c>
      <c r="H882" s="6">
        <v>0</v>
      </c>
      <c r="I882" s="6">
        <v>17</v>
      </c>
      <c r="J882" s="6">
        <v>17</v>
      </c>
      <c r="K882" s="6">
        <v>16.923482</v>
      </c>
      <c r="L882" s="6">
        <v>16.908185</v>
      </c>
      <c r="M882" s="6">
        <v>17.652851999999999</v>
      </c>
      <c r="N882" s="6">
        <v>17.016705999999999</v>
      </c>
      <c r="O882" s="6">
        <v>16.954350000000002</v>
      </c>
      <c r="P882" s="6">
        <v>17.537869000000001</v>
      </c>
      <c r="Q882" s="6">
        <v>17.016335999999999</v>
      </c>
      <c r="R882" s="6">
        <v>16.958155999999999</v>
      </c>
      <c r="S882" s="6">
        <v>17.538882000000001</v>
      </c>
      <c r="T882" s="6">
        <v>17.016335999999999</v>
      </c>
      <c r="U882" s="6">
        <v>16.958155999999999</v>
      </c>
      <c r="V882" s="6">
        <v>17.538882000000001</v>
      </c>
    </row>
    <row r="883" spans="2:22">
      <c r="B883" s="6">
        <v>32303</v>
      </c>
      <c r="C883" s="6" t="s">
        <v>171</v>
      </c>
      <c r="D883" s="6">
        <v>20500</v>
      </c>
      <c r="E883" s="6" t="s">
        <v>31</v>
      </c>
      <c r="F883" s="6" t="s">
        <v>17</v>
      </c>
      <c r="G883" s="6" t="s">
        <v>1294</v>
      </c>
      <c r="H883" s="6">
        <v>27</v>
      </c>
      <c r="I883" s="6">
        <v>27</v>
      </c>
      <c r="J883" s="6">
        <v>27</v>
      </c>
      <c r="K883" s="6">
        <v>26.093993999999999</v>
      </c>
      <c r="L883" s="6">
        <v>26.469746000000001</v>
      </c>
      <c r="M883" s="6">
        <v>26.000619</v>
      </c>
      <c r="N883" s="6">
        <v>26.108958000000001</v>
      </c>
      <c r="O883" s="6">
        <v>26.328648000000001</v>
      </c>
      <c r="P883" s="6">
        <v>26.003786000000002</v>
      </c>
      <c r="Q883" s="6">
        <v>26.101534000000001</v>
      </c>
      <c r="R883" s="6">
        <v>26.316153</v>
      </c>
      <c r="S883" s="6">
        <v>25.991613999999998</v>
      </c>
      <c r="T883" s="6">
        <v>25.645997000000001</v>
      </c>
      <c r="U883" s="6">
        <v>25.223958</v>
      </c>
      <c r="V883" s="6">
        <v>24.770192999999999</v>
      </c>
    </row>
    <row r="884" spans="2:22">
      <c r="B884" s="6">
        <v>32303</v>
      </c>
      <c r="C884" s="6" t="s">
        <v>171</v>
      </c>
      <c r="D884" s="6">
        <v>20702</v>
      </c>
      <c r="E884" s="6" t="s">
        <v>44</v>
      </c>
      <c r="F884" s="6" t="s">
        <v>17</v>
      </c>
      <c r="G884" s="6" t="s">
        <v>1294</v>
      </c>
      <c r="H884" s="6">
        <v>35</v>
      </c>
      <c r="I884" s="6">
        <v>35</v>
      </c>
      <c r="J884" s="6">
        <v>35</v>
      </c>
      <c r="K884" s="6">
        <v>35</v>
      </c>
      <c r="L884" s="6">
        <v>35</v>
      </c>
      <c r="M884" s="6">
        <v>35</v>
      </c>
      <c r="N884" s="6">
        <v>34.893103000000004</v>
      </c>
      <c r="O884" s="6">
        <v>34.949179999999998</v>
      </c>
      <c r="P884" s="6">
        <v>34.926701000000001</v>
      </c>
      <c r="Q884" s="6">
        <v>34.894556999999999</v>
      </c>
      <c r="R884" s="6">
        <v>34.950949000000001</v>
      </c>
      <c r="S884" s="6">
        <v>34.883485</v>
      </c>
      <c r="T884" s="6">
        <v>34.894556999999999</v>
      </c>
      <c r="U884" s="6">
        <v>34.950949000000001</v>
      </c>
      <c r="V884" s="6">
        <v>34.883485</v>
      </c>
    </row>
    <row r="885" spans="2:22">
      <c r="B885" s="6">
        <v>32303</v>
      </c>
      <c r="C885" s="6" t="s">
        <v>171</v>
      </c>
      <c r="D885" s="6">
        <v>20902</v>
      </c>
      <c r="E885" s="6" t="s">
        <v>53</v>
      </c>
      <c r="F885" s="6" t="s">
        <v>16</v>
      </c>
      <c r="G885" s="6" t="s">
        <v>1295</v>
      </c>
      <c r="H885" s="6">
        <v>0</v>
      </c>
      <c r="I885" s="6">
        <v>15.625</v>
      </c>
      <c r="J885" s="6">
        <v>15.625</v>
      </c>
      <c r="K885" s="6">
        <v>27.235294</v>
      </c>
      <c r="L885" s="6">
        <v>26.730157999999999</v>
      </c>
      <c r="M885" s="6">
        <v>28.302752000000002</v>
      </c>
      <c r="N885" s="6">
        <v>27.102803000000002</v>
      </c>
      <c r="O885" s="6">
        <v>26.100322999999999</v>
      </c>
      <c r="P885" s="6">
        <v>27.578899</v>
      </c>
      <c r="Q885" s="6">
        <v>27.102803000000002</v>
      </c>
      <c r="R885" s="6">
        <v>26.100322999999999</v>
      </c>
      <c r="S885" s="6">
        <v>27.558453</v>
      </c>
      <c r="T885" s="6">
        <v>26.737159999999999</v>
      </c>
      <c r="U885" s="6">
        <v>25.752351000000001</v>
      </c>
      <c r="V885" s="6">
        <v>27.323633000000001</v>
      </c>
    </row>
    <row r="886" spans="2:22">
      <c r="B886" s="6">
        <v>32303</v>
      </c>
      <c r="C886" s="6" t="s">
        <v>171</v>
      </c>
      <c r="D886" s="6">
        <v>20902</v>
      </c>
      <c r="E886" s="6" t="s">
        <v>53</v>
      </c>
      <c r="F886" s="6" t="s">
        <v>13</v>
      </c>
      <c r="G886" s="6" t="s">
        <v>14</v>
      </c>
      <c r="H886" s="6">
        <v>15</v>
      </c>
      <c r="I886" s="6">
        <v>15</v>
      </c>
      <c r="J886" s="6">
        <v>15</v>
      </c>
      <c r="K886" s="6">
        <v>19.956309999999998</v>
      </c>
      <c r="L886" s="6">
        <v>19.965827000000001</v>
      </c>
      <c r="M886" s="6">
        <v>19.613216000000001</v>
      </c>
      <c r="N886" s="6">
        <v>19.181818</v>
      </c>
      <c r="O886" s="6">
        <v>19.119288999999998</v>
      </c>
      <c r="P886" s="6">
        <v>18.784502</v>
      </c>
      <c r="Q886" s="6">
        <v>19.181818</v>
      </c>
      <c r="R886" s="6">
        <v>19.101835999999999</v>
      </c>
      <c r="S886" s="6">
        <v>18.763134000000001</v>
      </c>
      <c r="T886" s="6">
        <v>19.181818</v>
      </c>
      <c r="U886" s="6">
        <v>19.101835999999999</v>
      </c>
      <c r="V886" s="6">
        <v>18.763134000000001</v>
      </c>
    </row>
    <row r="887" spans="2:22">
      <c r="B887" s="6">
        <v>32303</v>
      </c>
      <c r="C887" s="6" t="s">
        <v>171</v>
      </c>
      <c r="D887" s="6">
        <v>20906</v>
      </c>
      <c r="E887" s="6" t="s">
        <v>48</v>
      </c>
      <c r="F887" s="6" t="s">
        <v>49</v>
      </c>
      <c r="G887" s="6" t="s">
        <v>1296</v>
      </c>
      <c r="H887" s="6">
        <v>16</v>
      </c>
      <c r="I887" s="6">
        <v>15.4</v>
      </c>
      <c r="J887" s="6">
        <v>16.941175999999999</v>
      </c>
      <c r="K887" s="6">
        <v>16.923482</v>
      </c>
      <c r="L887" s="6">
        <v>16.908185</v>
      </c>
      <c r="M887" s="6">
        <v>17.652851999999999</v>
      </c>
      <c r="N887" s="6">
        <v>17.016705999999999</v>
      </c>
      <c r="O887" s="6">
        <v>16.954350000000002</v>
      </c>
      <c r="P887" s="6">
        <v>17.537869000000001</v>
      </c>
      <c r="Q887" s="6">
        <v>17.016335999999999</v>
      </c>
      <c r="R887" s="6">
        <v>16.958155999999999</v>
      </c>
      <c r="S887" s="6">
        <v>17.538882000000001</v>
      </c>
      <c r="T887" s="6">
        <v>17.016335999999999</v>
      </c>
      <c r="U887" s="6">
        <v>16.958155999999999</v>
      </c>
      <c r="V887" s="6">
        <v>17.538882000000001</v>
      </c>
    </row>
    <row r="888" spans="2:22">
      <c r="B888" s="6">
        <v>32304</v>
      </c>
      <c r="C888" s="6" t="s">
        <v>172</v>
      </c>
      <c r="D888" s="6">
        <v>20500</v>
      </c>
      <c r="E888" s="6" t="s">
        <v>31</v>
      </c>
      <c r="F888" s="6" t="s">
        <v>17</v>
      </c>
      <c r="G888" s="6" t="s">
        <v>1294</v>
      </c>
      <c r="H888" s="6">
        <v>27</v>
      </c>
      <c r="I888" s="6">
        <v>27</v>
      </c>
      <c r="J888" s="6">
        <v>27</v>
      </c>
      <c r="K888" s="6">
        <v>26.093993999999999</v>
      </c>
      <c r="L888" s="6">
        <v>26.469746000000001</v>
      </c>
      <c r="M888" s="6">
        <v>26.000619</v>
      </c>
      <c r="N888" s="6">
        <v>26.108958000000001</v>
      </c>
      <c r="O888" s="6">
        <v>26.328648000000001</v>
      </c>
      <c r="P888" s="6">
        <v>26.003786000000002</v>
      </c>
      <c r="Q888" s="6">
        <v>26.101534000000001</v>
      </c>
      <c r="R888" s="6">
        <v>26.316153</v>
      </c>
      <c r="S888" s="6">
        <v>25.991613999999998</v>
      </c>
      <c r="T888" s="6">
        <v>25.645997000000001</v>
      </c>
      <c r="U888" s="6">
        <v>25.223958</v>
      </c>
      <c r="V888" s="6">
        <v>24.770192999999999</v>
      </c>
    </row>
    <row r="889" spans="2:22">
      <c r="B889" s="6">
        <v>32304</v>
      </c>
      <c r="C889" s="6" t="s">
        <v>172</v>
      </c>
      <c r="D889" s="6">
        <v>20702</v>
      </c>
      <c r="E889" s="6" t="s">
        <v>44</v>
      </c>
      <c r="F889" s="6" t="s">
        <v>17</v>
      </c>
      <c r="G889" s="6" t="s">
        <v>1294</v>
      </c>
      <c r="H889" s="6">
        <v>35</v>
      </c>
      <c r="I889" s="6">
        <v>35</v>
      </c>
      <c r="J889" s="6">
        <v>35</v>
      </c>
      <c r="K889" s="6">
        <v>35</v>
      </c>
      <c r="L889" s="6">
        <v>35</v>
      </c>
      <c r="M889" s="6">
        <v>35</v>
      </c>
      <c r="N889" s="6">
        <v>34.893103000000004</v>
      </c>
      <c r="O889" s="6">
        <v>34.949179999999998</v>
      </c>
      <c r="P889" s="6">
        <v>34.926701000000001</v>
      </c>
      <c r="Q889" s="6">
        <v>34.894556999999999</v>
      </c>
      <c r="R889" s="6">
        <v>34.950949000000001</v>
      </c>
      <c r="S889" s="6">
        <v>34.883485</v>
      </c>
      <c r="T889" s="6">
        <v>34.894556999999999</v>
      </c>
      <c r="U889" s="6">
        <v>34.950949000000001</v>
      </c>
      <c r="V889" s="6">
        <v>34.883485</v>
      </c>
    </row>
    <row r="890" spans="2:22">
      <c r="B890" s="6">
        <v>32304</v>
      </c>
      <c r="C890" s="6" t="s">
        <v>172</v>
      </c>
      <c r="D890" s="6">
        <v>20902</v>
      </c>
      <c r="E890" s="6" t="s">
        <v>53</v>
      </c>
      <c r="F890" s="6" t="s">
        <v>16</v>
      </c>
      <c r="G890" s="6" t="s">
        <v>1295</v>
      </c>
      <c r="H890" s="6">
        <v>0</v>
      </c>
      <c r="I890" s="6">
        <v>30</v>
      </c>
      <c r="J890" s="6">
        <v>30</v>
      </c>
      <c r="K890" s="6">
        <v>27.235294</v>
      </c>
      <c r="L890" s="6">
        <v>26.730157999999999</v>
      </c>
      <c r="M890" s="6">
        <v>28.302752000000002</v>
      </c>
      <c r="N890" s="6">
        <v>27.102803000000002</v>
      </c>
      <c r="O890" s="6">
        <v>26.100322999999999</v>
      </c>
      <c r="P890" s="6">
        <v>27.578899</v>
      </c>
      <c r="Q890" s="6">
        <v>27.102803000000002</v>
      </c>
      <c r="R890" s="6">
        <v>26.100322999999999</v>
      </c>
      <c r="S890" s="6">
        <v>27.558453</v>
      </c>
      <c r="T890" s="6">
        <v>26.737159999999999</v>
      </c>
      <c r="U890" s="6">
        <v>25.752351000000001</v>
      </c>
      <c r="V890" s="6">
        <v>27.323633000000001</v>
      </c>
    </row>
    <row r="891" spans="2:22">
      <c r="B891" s="6">
        <v>32304</v>
      </c>
      <c r="C891" s="6" t="s">
        <v>172</v>
      </c>
      <c r="D891" s="6">
        <v>20902</v>
      </c>
      <c r="E891" s="6" t="s">
        <v>53</v>
      </c>
      <c r="F891" s="6" t="s">
        <v>13</v>
      </c>
      <c r="G891" s="6" t="s">
        <v>14</v>
      </c>
      <c r="H891" s="6">
        <v>20</v>
      </c>
      <c r="I891" s="6">
        <v>20</v>
      </c>
      <c r="J891" s="6">
        <v>20</v>
      </c>
      <c r="K891" s="6">
        <v>19.956309999999998</v>
      </c>
      <c r="L891" s="6">
        <v>19.965827000000001</v>
      </c>
      <c r="M891" s="6">
        <v>19.613216000000001</v>
      </c>
      <c r="N891" s="6">
        <v>19.181818</v>
      </c>
      <c r="O891" s="6">
        <v>19.119288999999998</v>
      </c>
      <c r="P891" s="6">
        <v>18.784502</v>
      </c>
      <c r="Q891" s="6">
        <v>19.181818</v>
      </c>
      <c r="R891" s="6">
        <v>19.101835999999999</v>
      </c>
      <c r="S891" s="6">
        <v>18.763134000000001</v>
      </c>
      <c r="T891" s="6">
        <v>19.181818</v>
      </c>
      <c r="U891" s="6">
        <v>19.101835999999999</v>
      </c>
      <c r="V891" s="6">
        <v>18.763134000000001</v>
      </c>
    </row>
    <row r="892" spans="2:22">
      <c r="B892" s="6">
        <v>32304</v>
      </c>
      <c r="C892" s="6" t="s">
        <v>172</v>
      </c>
      <c r="D892" s="6">
        <v>20906</v>
      </c>
      <c r="E892" s="6" t="s">
        <v>48</v>
      </c>
      <c r="F892" s="6" t="s">
        <v>49</v>
      </c>
      <c r="G892" s="6" t="s">
        <v>1296</v>
      </c>
      <c r="H892" s="6">
        <v>15.4</v>
      </c>
      <c r="I892" s="6">
        <v>16.545453999999999</v>
      </c>
      <c r="J892" s="6">
        <v>16.545453999999999</v>
      </c>
      <c r="K892" s="6">
        <v>16.923482</v>
      </c>
      <c r="L892" s="6">
        <v>16.908185</v>
      </c>
      <c r="M892" s="6">
        <v>17.652851999999999</v>
      </c>
      <c r="N892" s="6">
        <v>17.016705999999999</v>
      </c>
      <c r="O892" s="6">
        <v>16.954350000000002</v>
      </c>
      <c r="P892" s="6">
        <v>17.537869000000001</v>
      </c>
      <c r="Q892" s="6">
        <v>17.016335999999999</v>
      </c>
      <c r="R892" s="6">
        <v>16.958155999999999</v>
      </c>
      <c r="S892" s="6">
        <v>17.538882000000001</v>
      </c>
      <c r="T892" s="6">
        <v>17.016335999999999</v>
      </c>
      <c r="U892" s="6">
        <v>16.958155999999999</v>
      </c>
      <c r="V892" s="6">
        <v>17.538882000000001</v>
      </c>
    </row>
    <row r="893" spans="2:22">
      <c r="B893" s="6">
        <v>32305</v>
      </c>
      <c r="C893" s="6" t="s">
        <v>173</v>
      </c>
      <c r="D893" s="6">
        <v>20500</v>
      </c>
      <c r="E893" s="6" t="s">
        <v>31</v>
      </c>
      <c r="F893" s="6" t="s">
        <v>17</v>
      </c>
      <c r="G893" s="6" t="s">
        <v>1294</v>
      </c>
      <c r="H893" s="6">
        <v>27</v>
      </c>
      <c r="I893" s="6">
        <v>27</v>
      </c>
      <c r="J893" s="6">
        <v>27</v>
      </c>
      <c r="K893" s="6">
        <v>26.093993999999999</v>
      </c>
      <c r="L893" s="6">
        <v>26.469746000000001</v>
      </c>
      <c r="M893" s="6">
        <v>26.000619</v>
      </c>
      <c r="N893" s="6">
        <v>26.108958000000001</v>
      </c>
      <c r="O893" s="6">
        <v>26.328648000000001</v>
      </c>
      <c r="P893" s="6">
        <v>26.003786000000002</v>
      </c>
      <c r="Q893" s="6">
        <v>26.101534000000001</v>
      </c>
      <c r="R893" s="6">
        <v>26.316153</v>
      </c>
      <c r="S893" s="6">
        <v>25.991613999999998</v>
      </c>
      <c r="T893" s="6">
        <v>25.645997000000001</v>
      </c>
      <c r="U893" s="6">
        <v>25.223958</v>
      </c>
      <c r="V893" s="6">
        <v>24.770192999999999</v>
      </c>
    </row>
    <row r="894" spans="2:22">
      <c r="B894" s="6">
        <v>32305</v>
      </c>
      <c r="C894" s="6" t="s">
        <v>173</v>
      </c>
      <c r="D894" s="6">
        <v>20702</v>
      </c>
      <c r="E894" s="6" t="s">
        <v>44</v>
      </c>
      <c r="F894" s="6" t="s">
        <v>17</v>
      </c>
      <c r="G894" s="6" t="s">
        <v>1294</v>
      </c>
      <c r="H894" s="6">
        <v>35</v>
      </c>
      <c r="I894" s="6">
        <v>35</v>
      </c>
      <c r="J894" s="6">
        <v>35</v>
      </c>
      <c r="K894" s="6">
        <v>35</v>
      </c>
      <c r="L894" s="6">
        <v>35</v>
      </c>
      <c r="M894" s="6">
        <v>35</v>
      </c>
      <c r="N894" s="6">
        <v>34.893103000000004</v>
      </c>
      <c r="O894" s="6">
        <v>34.949179999999998</v>
      </c>
      <c r="P894" s="6">
        <v>34.926701000000001</v>
      </c>
      <c r="Q894" s="6">
        <v>34.894556999999999</v>
      </c>
      <c r="R894" s="6">
        <v>34.950949000000001</v>
      </c>
      <c r="S894" s="6">
        <v>34.883485</v>
      </c>
      <c r="T894" s="6">
        <v>34.894556999999999</v>
      </c>
      <c r="U894" s="6">
        <v>34.950949000000001</v>
      </c>
      <c r="V894" s="6">
        <v>34.883485</v>
      </c>
    </row>
    <row r="895" spans="2:22">
      <c r="B895" s="6">
        <v>32305</v>
      </c>
      <c r="C895" s="6" t="s">
        <v>173</v>
      </c>
      <c r="D895" s="6">
        <v>20902</v>
      </c>
      <c r="E895" s="6" t="s">
        <v>53</v>
      </c>
      <c r="F895" s="6" t="s">
        <v>13</v>
      </c>
      <c r="G895" s="6" t="s">
        <v>14</v>
      </c>
      <c r="H895" s="6">
        <v>20</v>
      </c>
      <c r="I895" s="6">
        <v>20</v>
      </c>
      <c r="J895" s="6">
        <v>20</v>
      </c>
      <c r="K895" s="6">
        <v>19.956309999999998</v>
      </c>
      <c r="L895" s="6">
        <v>19.965827000000001</v>
      </c>
      <c r="M895" s="6">
        <v>19.613216000000001</v>
      </c>
      <c r="N895" s="6">
        <v>19.181818</v>
      </c>
      <c r="O895" s="6">
        <v>19.119288999999998</v>
      </c>
      <c r="P895" s="6">
        <v>18.784502</v>
      </c>
      <c r="Q895" s="6">
        <v>19.181818</v>
      </c>
      <c r="R895" s="6">
        <v>19.101835999999999</v>
      </c>
      <c r="S895" s="6">
        <v>18.763134000000001</v>
      </c>
      <c r="T895" s="6">
        <v>19.181818</v>
      </c>
      <c r="U895" s="6">
        <v>19.101835999999999</v>
      </c>
      <c r="V895" s="6">
        <v>18.763134000000001</v>
      </c>
    </row>
    <row r="896" spans="2:22">
      <c r="B896" s="6">
        <v>32305</v>
      </c>
      <c r="C896" s="6" t="s">
        <v>173</v>
      </c>
      <c r="D896" s="6">
        <v>20906</v>
      </c>
      <c r="E896" s="6" t="s">
        <v>48</v>
      </c>
      <c r="F896" s="6" t="s">
        <v>49</v>
      </c>
      <c r="G896" s="6" t="s">
        <v>1296</v>
      </c>
      <c r="H896" s="6">
        <v>15</v>
      </c>
      <c r="I896" s="6">
        <v>15</v>
      </c>
      <c r="J896" s="6">
        <v>15</v>
      </c>
      <c r="K896" s="6">
        <v>16.923482</v>
      </c>
      <c r="L896" s="6">
        <v>16.908185</v>
      </c>
      <c r="M896" s="6">
        <v>17.652851999999999</v>
      </c>
      <c r="N896" s="6">
        <v>17.016705999999999</v>
      </c>
      <c r="O896" s="6">
        <v>16.954350000000002</v>
      </c>
      <c r="P896" s="6">
        <v>17.537869000000001</v>
      </c>
      <c r="Q896" s="6">
        <v>17.016335999999999</v>
      </c>
      <c r="R896" s="6">
        <v>16.958155999999999</v>
      </c>
      <c r="S896" s="6">
        <v>17.538882000000001</v>
      </c>
      <c r="T896" s="6">
        <v>17.016335999999999</v>
      </c>
      <c r="U896" s="6">
        <v>16.958155999999999</v>
      </c>
      <c r="V896" s="6">
        <v>17.538882000000001</v>
      </c>
    </row>
    <row r="897" spans="2:22">
      <c r="B897" s="6">
        <v>32306</v>
      </c>
      <c r="C897" s="6" t="s">
        <v>174</v>
      </c>
      <c r="D897" s="6">
        <v>20500</v>
      </c>
      <c r="E897" s="6" t="s">
        <v>31</v>
      </c>
      <c r="F897" s="6" t="s">
        <v>17</v>
      </c>
      <c r="G897" s="6" t="s">
        <v>1294</v>
      </c>
      <c r="H897" s="6">
        <v>27</v>
      </c>
      <c r="I897" s="6">
        <v>27</v>
      </c>
      <c r="J897" s="6">
        <v>27</v>
      </c>
      <c r="K897" s="6">
        <v>26.093993999999999</v>
      </c>
      <c r="L897" s="6">
        <v>26.469746000000001</v>
      </c>
      <c r="M897" s="6">
        <v>26.000619</v>
      </c>
      <c r="N897" s="6">
        <v>26.108958000000001</v>
      </c>
      <c r="O897" s="6">
        <v>26.328648000000001</v>
      </c>
      <c r="P897" s="6">
        <v>26.003786000000002</v>
      </c>
      <c r="Q897" s="6">
        <v>26.101534000000001</v>
      </c>
      <c r="R897" s="6">
        <v>26.316153</v>
      </c>
      <c r="S897" s="6">
        <v>25.991613999999998</v>
      </c>
      <c r="T897" s="6">
        <v>25.645997000000001</v>
      </c>
      <c r="U897" s="6">
        <v>25.223958</v>
      </c>
      <c r="V897" s="6">
        <v>24.770192999999999</v>
      </c>
    </row>
    <row r="898" spans="2:22">
      <c r="B898" s="6">
        <v>32306</v>
      </c>
      <c r="C898" s="6" t="s">
        <v>174</v>
      </c>
      <c r="D898" s="6">
        <v>20702</v>
      </c>
      <c r="E898" s="6" t="s">
        <v>44</v>
      </c>
      <c r="F898" s="6" t="s">
        <v>17</v>
      </c>
      <c r="G898" s="6" t="s">
        <v>1294</v>
      </c>
      <c r="H898" s="6">
        <v>35</v>
      </c>
      <c r="I898" s="6">
        <v>35</v>
      </c>
      <c r="J898" s="6">
        <v>35</v>
      </c>
      <c r="K898" s="6">
        <v>35</v>
      </c>
      <c r="L898" s="6">
        <v>35</v>
      </c>
      <c r="M898" s="6">
        <v>35</v>
      </c>
      <c r="N898" s="6">
        <v>34.893103000000004</v>
      </c>
      <c r="O898" s="6">
        <v>34.949179999999998</v>
      </c>
      <c r="P898" s="6">
        <v>34.926701000000001</v>
      </c>
      <c r="Q898" s="6">
        <v>34.894556999999999</v>
      </c>
      <c r="R898" s="6">
        <v>34.950949000000001</v>
      </c>
      <c r="S898" s="6">
        <v>34.883485</v>
      </c>
      <c r="T898" s="6">
        <v>34.894556999999999</v>
      </c>
      <c r="U898" s="6">
        <v>34.950949000000001</v>
      </c>
      <c r="V898" s="6">
        <v>34.883485</v>
      </c>
    </row>
    <row r="899" spans="2:22">
      <c r="B899" s="6">
        <v>32306</v>
      </c>
      <c r="C899" s="6" t="s">
        <v>174</v>
      </c>
      <c r="D899" s="6">
        <v>20902</v>
      </c>
      <c r="E899" s="6" t="s">
        <v>53</v>
      </c>
      <c r="F899" s="6" t="s">
        <v>16</v>
      </c>
      <c r="G899" s="6" t="s">
        <v>1295</v>
      </c>
      <c r="H899" s="6">
        <v>0</v>
      </c>
      <c r="I899" s="6">
        <v>30</v>
      </c>
      <c r="J899" s="6">
        <v>30</v>
      </c>
      <c r="K899" s="6">
        <v>27.235294</v>
      </c>
      <c r="L899" s="6">
        <v>26.730157999999999</v>
      </c>
      <c r="M899" s="6">
        <v>28.302752000000002</v>
      </c>
      <c r="N899" s="6">
        <v>27.102803000000002</v>
      </c>
      <c r="O899" s="6">
        <v>26.100322999999999</v>
      </c>
      <c r="P899" s="6">
        <v>27.578899</v>
      </c>
      <c r="Q899" s="6">
        <v>27.102803000000002</v>
      </c>
      <c r="R899" s="6">
        <v>26.100322999999999</v>
      </c>
      <c r="S899" s="6">
        <v>27.558453</v>
      </c>
      <c r="T899" s="6">
        <v>26.737159999999999</v>
      </c>
      <c r="U899" s="6">
        <v>25.752351000000001</v>
      </c>
      <c r="V899" s="6">
        <v>27.323633000000001</v>
      </c>
    </row>
    <row r="900" spans="2:22">
      <c r="B900" s="6">
        <v>32306</v>
      </c>
      <c r="C900" s="6" t="s">
        <v>174</v>
      </c>
      <c r="D900" s="6">
        <v>20902</v>
      </c>
      <c r="E900" s="6" t="s">
        <v>53</v>
      </c>
      <c r="F900" s="6" t="s">
        <v>13</v>
      </c>
      <c r="G900" s="6" t="s">
        <v>14</v>
      </c>
      <c r="H900" s="6">
        <v>20</v>
      </c>
      <c r="I900" s="6">
        <v>20</v>
      </c>
      <c r="J900" s="6">
        <v>20</v>
      </c>
      <c r="K900" s="6">
        <v>19.956309999999998</v>
      </c>
      <c r="L900" s="6">
        <v>19.965827000000001</v>
      </c>
      <c r="M900" s="6">
        <v>19.613216000000001</v>
      </c>
      <c r="N900" s="6">
        <v>19.181818</v>
      </c>
      <c r="O900" s="6">
        <v>19.119288999999998</v>
      </c>
      <c r="P900" s="6">
        <v>18.784502</v>
      </c>
      <c r="Q900" s="6">
        <v>19.181818</v>
      </c>
      <c r="R900" s="6">
        <v>19.101835999999999</v>
      </c>
      <c r="S900" s="6">
        <v>18.763134000000001</v>
      </c>
      <c r="T900" s="6">
        <v>19.181818</v>
      </c>
      <c r="U900" s="6">
        <v>19.101835999999999</v>
      </c>
      <c r="V900" s="6">
        <v>18.763134000000001</v>
      </c>
    </row>
    <row r="901" spans="2:22">
      <c r="B901" s="6">
        <v>32306</v>
      </c>
      <c r="C901" s="6" t="s">
        <v>174</v>
      </c>
      <c r="D901" s="6">
        <v>20906</v>
      </c>
      <c r="E901" s="6" t="s">
        <v>48</v>
      </c>
      <c r="F901" s="6" t="s">
        <v>49</v>
      </c>
      <c r="G901" s="6" t="s">
        <v>1296</v>
      </c>
      <c r="H901" s="6">
        <v>15</v>
      </c>
      <c r="I901" s="6">
        <v>15</v>
      </c>
      <c r="J901" s="6">
        <v>15</v>
      </c>
      <c r="K901" s="6">
        <v>16.923482</v>
      </c>
      <c r="L901" s="6">
        <v>16.908185</v>
      </c>
      <c r="M901" s="6">
        <v>17.652851999999999</v>
      </c>
      <c r="N901" s="6">
        <v>17.016705999999999</v>
      </c>
      <c r="O901" s="6">
        <v>16.954350000000002</v>
      </c>
      <c r="P901" s="6">
        <v>17.537869000000001</v>
      </c>
      <c r="Q901" s="6">
        <v>17.016335999999999</v>
      </c>
      <c r="R901" s="6">
        <v>16.958155999999999</v>
      </c>
      <c r="S901" s="6">
        <v>17.538882000000001</v>
      </c>
      <c r="T901" s="6">
        <v>17.016335999999999</v>
      </c>
      <c r="U901" s="6">
        <v>16.958155999999999</v>
      </c>
      <c r="V901" s="6">
        <v>17.538882000000001</v>
      </c>
    </row>
    <row r="902" spans="2:22">
      <c r="B902" s="6">
        <v>32307</v>
      </c>
      <c r="C902" s="6" t="s">
        <v>747</v>
      </c>
      <c r="D902" s="6">
        <v>20500</v>
      </c>
      <c r="E902" s="6" t="s">
        <v>31</v>
      </c>
      <c r="F902" s="6" t="s">
        <v>17</v>
      </c>
      <c r="G902" s="6" t="s">
        <v>1294</v>
      </c>
      <c r="H902" s="6">
        <v>27</v>
      </c>
      <c r="I902" s="6">
        <v>27</v>
      </c>
      <c r="J902" s="6">
        <v>27</v>
      </c>
      <c r="K902" s="6">
        <v>26.093993999999999</v>
      </c>
      <c r="L902" s="6">
        <v>26.469746000000001</v>
      </c>
      <c r="M902" s="6">
        <v>26.000619</v>
      </c>
      <c r="N902" s="6">
        <v>26.108958000000001</v>
      </c>
      <c r="O902" s="6">
        <v>26.328648000000001</v>
      </c>
      <c r="P902" s="6">
        <v>26.003786000000002</v>
      </c>
      <c r="Q902" s="6">
        <v>26.101534000000001</v>
      </c>
      <c r="R902" s="6">
        <v>26.316153</v>
      </c>
      <c r="S902" s="6">
        <v>25.991613999999998</v>
      </c>
      <c r="T902" s="6">
        <v>25.645997000000001</v>
      </c>
      <c r="U902" s="6">
        <v>25.223958</v>
      </c>
      <c r="V902" s="6">
        <v>24.770192999999999</v>
      </c>
    </row>
    <row r="903" spans="2:22">
      <c r="B903" s="6">
        <v>32307</v>
      </c>
      <c r="C903" s="6" t="s">
        <v>747</v>
      </c>
      <c r="D903" s="6">
        <v>20702</v>
      </c>
      <c r="E903" s="6" t="s">
        <v>44</v>
      </c>
      <c r="F903" s="6" t="s">
        <v>17</v>
      </c>
      <c r="G903" s="6" t="s">
        <v>1294</v>
      </c>
      <c r="H903" s="6">
        <v>35</v>
      </c>
      <c r="I903" s="6">
        <v>35</v>
      </c>
      <c r="J903" s="6">
        <v>35</v>
      </c>
      <c r="K903" s="6">
        <v>35</v>
      </c>
      <c r="L903" s="6">
        <v>35</v>
      </c>
      <c r="M903" s="6">
        <v>35</v>
      </c>
      <c r="N903" s="6">
        <v>34.893103000000004</v>
      </c>
      <c r="O903" s="6">
        <v>34.949179999999998</v>
      </c>
      <c r="P903" s="6">
        <v>34.926701000000001</v>
      </c>
      <c r="Q903" s="6">
        <v>34.894556999999999</v>
      </c>
      <c r="R903" s="6">
        <v>34.950949000000001</v>
      </c>
      <c r="S903" s="6">
        <v>34.883485</v>
      </c>
      <c r="T903" s="6">
        <v>34.894556999999999</v>
      </c>
      <c r="U903" s="6">
        <v>34.950949000000001</v>
      </c>
      <c r="V903" s="6">
        <v>34.883485</v>
      </c>
    </row>
    <row r="904" spans="2:22">
      <c r="B904" s="6">
        <v>32307</v>
      </c>
      <c r="C904" s="6" t="s">
        <v>747</v>
      </c>
      <c r="D904" s="6">
        <v>20902</v>
      </c>
      <c r="E904" s="6" t="s">
        <v>53</v>
      </c>
      <c r="F904" s="6" t="s">
        <v>13</v>
      </c>
      <c r="G904" s="6" t="s">
        <v>14</v>
      </c>
      <c r="H904" s="6">
        <v>20</v>
      </c>
      <c r="I904" s="6">
        <v>20</v>
      </c>
      <c r="J904" s="6">
        <v>20</v>
      </c>
      <c r="K904" s="6">
        <v>19.956309999999998</v>
      </c>
      <c r="L904" s="6">
        <v>19.965827000000001</v>
      </c>
      <c r="M904" s="6">
        <v>19.613216000000001</v>
      </c>
      <c r="N904" s="6">
        <v>19.181818</v>
      </c>
      <c r="O904" s="6">
        <v>19.119288999999998</v>
      </c>
      <c r="P904" s="6">
        <v>18.784502</v>
      </c>
      <c r="Q904" s="6">
        <v>19.181818</v>
      </c>
      <c r="R904" s="6">
        <v>19.101835999999999</v>
      </c>
      <c r="S904" s="6">
        <v>18.763134000000001</v>
      </c>
      <c r="T904" s="6">
        <v>19.181818</v>
      </c>
      <c r="U904" s="6">
        <v>19.101835999999999</v>
      </c>
      <c r="V904" s="6">
        <v>18.763134000000001</v>
      </c>
    </row>
    <row r="905" spans="2:22">
      <c r="B905" s="6">
        <v>32307</v>
      </c>
      <c r="C905" s="6" t="s">
        <v>747</v>
      </c>
      <c r="D905" s="6">
        <v>20906</v>
      </c>
      <c r="E905" s="6" t="s">
        <v>48</v>
      </c>
      <c r="F905" s="6" t="s">
        <v>49</v>
      </c>
      <c r="G905" s="6" t="s">
        <v>1296</v>
      </c>
      <c r="H905" s="6">
        <v>15</v>
      </c>
      <c r="I905" s="6">
        <v>15</v>
      </c>
      <c r="J905" s="6">
        <v>15</v>
      </c>
      <c r="K905" s="6">
        <v>16.923482</v>
      </c>
      <c r="L905" s="6">
        <v>16.908185</v>
      </c>
      <c r="M905" s="6">
        <v>17.652851999999999</v>
      </c>
      <c r="N905" s="6">
        <v>17.016705999999999</v>
      </c>
      <c r="O905" s="6">
        <v>16.954350000000002</v>
      </c>
      <c r="P905" s="6">
        <v>17.537869000000001</v>
      </c>
      <c r="Q905" s="6">
        <v>17.016335999999999</v>
      </c>
      <c r="R905" s="6">
        <v>16.958155999999999</v>
      </c>
      <c r="S905" s="6">
        <v>17.538882000000001</v>
      </c>
      <c r="T905" s="6">
        <v>17.016335999999999</v>
      </c>
      <c r="U905" s="6">
        <v>16.958155999999999</v>
      </c>
      <c r="V905" s="6">
        <v>17.538882000000001</v>
      </c>
    </row>
    <row r="906" spans="2:22">
      <c r="B906" s="6">
        <v>32308</v>
      </c>
      <c r="C906" s="6" t="s">
        <v>175</v>
      </c>
      <c r="D906" s="6">
        <v>20500</v>
      </c>
      <c r="E906" s="6" t="s">
        <v>31</v>
      </c>
      <c r="F906" s="6" t="s">
        <v>17</v>
      </c>
      <c r="G906" s="6" t="s">
        <v>1294</v>
      </c>
      <c r="H906" s="6">
        <v>27</v>
      </c>
      <c r="I906" s="6">
        <v>27</v>
      </c>
      <c r="J906" s="6">
        <v>27</v>
      </c>
      <c r="K906" s="6">
        <v>26.093993999999999</v>
      </c>
      <c r="L906" s="6">
        <v>26.469746000000001</v>
      </c>
      <c r="M906" s="6">
        <v>26.000619</v>
      </c>
      <c r="N906" s="6">
        <v>26.108958000000001</v>
      </c>
      <c r="O906" s="6">
        <v>26.328648000000001</v>
      </c>
      <c r="P906" s="6">
        <v>26.003786000000002</v>
      </c>
      <c r="Q906" s="6">
        <v>26.101534000000001</v>
      </c>
      <c r="R906" s="6">
        <v>26.316153</v>
      </c>
      <c r="S906" s="6">
        <v>25.991613999999998</v>
      </c>
      <c r="T906" s="6">
        <v>25.645997000000001</v>
      </c>
      <c r="U906" s="6">
        <v>25.223958</v>
      </c>
      <c r="V906" s="6">
        <v>24.770192999999999</v>
      </c>
    </row>
    <row r="907" spans="2:22">
      <c r="B907" s="6">
        <v>32308</v>
      </c>
      <c r="C907" s="6" t="s">
        <v>175</v>
      </c>
      <c r="D907" s="6">
        <v>20702</v>
      </c>
      <c r="E907" s="6" t="s">
        <v>44</v>
      </c>
      <c r="F907" s="6" t="s">
        <v>17</v>
      </c>
      <c r="G907" s="6" t="s">
        <v>1294</v>
      </c>
      <c r="H907" s="6">
        <v>35</v>
      </c>
      <c r="I907" s="6">
        <v>35</v>
      </c>
      <c r="J907" s="6">
        <v>35</v>
      </c>
      <c r="K907" s="6">
        <v>35</v>
      </c>
      <c r="L907" s="6">
        <v>35</v>
      </c>
      <c r="M907" s="6">
        <v>35</v>
      </c>
      <c r="N907" s="6">
        <v>34.893103000000004</v>
      </c>
      <c r="O907" s="6">
        <v>34.949179999999998</v>
      </c>
      <c r="P907" s="6">
        <v>34.926701000000001</v>
      </c>
      <c r="Q907" s="6">
        <v>34.894556999999999</v>
      </c>
      <c r="R907" s="6">
        <v>34.950949000000001</v>
      </c>
      <c r="S907" s="6">
        <v>34.883485</v>
      </c>
      <c r="T907" s="6">
        <v>34.894556999999999</v>
      </c>
      <c r="U907" s="6">
        <v>34.950949000000001</v>
      </c>
      <c r="V907" s="6">
        <v>34.883485</v>
      </c>
    </row>
    <row r="908" spans="2:22">
      <c r="B908" s="6">
        <v>32308</v>
      </c>
      <c r="C908" s="6" t="s">
        <v>175</v>
      </c>
      <c r="D908" s="6">
        <v>20902</v>
      </c>
      <c r="E908" s="6" t="s">
        <v>53</v>
      </c>
      <c r="F908" s="6" t="s">
        <v>16</v>
      </c>
      <c r="G908" s="6" t="s">
        <v>1295</v>
      </c>
      <c r="H908" s="6">
        <v>0</v>
      </c>
      <c r="I908" s="6">
        <v>30</v>
      </c>
      <c r="J908" s="6">
        <v>30</v>
      </c>
      <c r="K908" s="6">
        <v>27.235294</v>
      </c>
      <c r="L908" s="6">
        <v>26.730157999999999</v>
      </c>
      <c r="M908" s="6">
        <v>28.302752000000002</v>
      </c>
      <c r="N908" s="6">
        <v>27.102803000000002</v>
      </c>
      <c r="O908" s="6">
        <v>26.100322999999999</v>
      </c>
      <c r="P908" s="6">
        <v>27.578899</v>
      </c>
      <c r="Q908" s="6">
        <v>27.102803000000002</v>
      </c>
      <c r="R908" s="6">
        <v>26.100322999999999</v>
      </c>
      <c r="S908" s="6">
        <v>27.558453</v>
      </c>
      <c r="T908" s="6">
        <v>26.737159999999999</v>
      </c>
      <c r="U908" s="6">
        <v>25.752351000000001</v>
      </c>
      <c r="V908" s="6">
        <v>27.323633000000001</v>
      </c>
    </row>
    <row r="909" spans="2:22">
      <c r="B909" s="6">
        <v>32308</v>
      </c>
      <c r="C909" s="6" t="s">
        <v>175</v>
      </c>
      <c r="D909" s="6">
        <v>20902</v>
      </c>
      <c r="E909" s="6" t="s">
        <v>53</v>
      </c>
      <c r="F909" s="6" t="s">
        <v>13</v>
      </c>
      <c r="G909" s="6" t="s">
        <v>14</v>
      </c>
      <c r="H909" s="6">
        <v>20</v>
      </c>
      <c r="I909" s="6">
        <v>20</v>
      </c>
      <c r="J909" s="6">
        <v>20</v>
      </c>
      <c r="K909" s="6">
        <v>19.956309999999998</v>
      </c>
      <c r="L909" s="6">
        <v>19.965827000000001</v>
      </c>
      <c r="M909" s="6">
        <v>19.613216000000001</v>
      </c>
      <c r="N909" s="6">
        <v>19.181818</v>
      </c>
      <c r="O909" s="6">
        <v>19.119288999999998</v>
      </c>
      <c r="P909" s="6">
        <v>18.784502</v>
      </c>
      <c r="Q909" s="6">
        <v>19.181818</v>
      </c>
      <c r="R909" s="6">
        <v>19.101835999999999</v>
      </c>
      <c r="S909" s="6">
        <v>18.763134000000001</v>
      </c>
      <c r="T909" s="6">
        <v>19.181818</v>
      </c>
      <c r="U909" s="6">
        <v>19.101835999999999</v>
      </c>
      <c r="V909" s="6">
        <v>18.763134000000001</v>
      </c>
    </row>
    <row r="910" spans="2:22">
      <c r="B910" s="6">
        <v>32308</v>
      </c>
      <c r="C910" s="6" t="s">
        <v>175</v>
      </c>
      <c r="D910" s="6">
        <v>20906</v>
      </c>
      <c r="E910" s="6" t="s">
        <v>48</v>
      </c>
      <c r="F910" s="6" t="s">
        <v>49</v>
      </c>
      <c r="G910" s="6" t="s">
        <v>1296</v>
      </c>
      <c r="H910" s="6">
        <v>15</v>
      </c>
      <c r="I910" s="6">
        <v>15.933332999999999</v>
      </c>
      <c r="J910" s="6">
        <v>15.9375</v>
      </c>
      <c r="K910" s="6">
        <v>16.923482</v>
      </c>
      <c r="L910" s="6">
        <v>16.908185</v>
      </c>
      <c r="M910" s="6">
        <v>17.652851999999999</v>
      </c>
      <c r="N910" s="6">
        <v>17.016705999999999</v>
      </c>
      <c r="O910" s="6">
        <v>16.954350000000002</v>
      </c>
      <c r="P910" s="6">
        <v>17.537869000000001</v>
      </c>
      <c r="Q910" s="6">
        <v>17.016335999999999</v>
      </c>
      <c r="R910" s="6">
        <v>16.958155999999999</v>
      </c>
      <c r="S910" s="6">
        <v>17.538882000000001</v>
      </c>
      <c r="T910" s="6">
        <v>17.016335999999999</v>
      </c>
      <c r="U910" s="6">
        <v>16.958155999999999</v>
      </c>
      <c r="V910" s="6">
        <v>17.538882000000001</v>
      </c>
    </row>
    <row r="911" spans="2:22">
      <c r="B911" s="6">
        <v>32309</v>
      </c>
      <c r="C911" s="6" t="s">
        <v>176</v>
      </c>
      <c r="D911" s="6">
        <v>20500</v>
      </c>
      <c r="E911" s="6" t="s">
        <v>31</v>
      </c>
      <c r="F911" s="6" t="s">
        <v>17</v>
      </c>
      <c r="G911" s="6" t="s">
        <v>1294</v>
      </c>
      <c r="H911" s="6">
        <v>0</v>
      </c>
      <c r="I911" s="6">
        <v>27</v>
      </c>
      <c r="J911" s="6">
        <v>27</v>
      </c>
      <c r="K911" s="6">
        <v>26.046875</v>
      </c>
      <c r="L911" s="6">
        <v>26.199541</v>
      </c>
      <c r="M911" s="6">
        <v>26.109717</v>
      </c>
      <c r="N911" s="6">
        <v>26.108958000000001</v>
      </c>
      <c r="O911" s="6">
        <v>26.328648000000001</v>
      </c>
      <c r="P911" s="6">
        <v>26.003786000000002</v>
      </c>
      <c r="Q911" s="6">
        <v>26.101534000000001</v>
      </c>
      <c r="R911" s="6">
        <v>26.316153</v>
      </c>
      <c r="S911" s="6">
        <v>25.991613999999998</v>
      </c>
      <c r="T911" s="6">
        <v>25.645997000000001</v>
      </c>
      <c r="U911" s="6">
        <v>25.223958</v>
      </c>
      <c r="V911" s="6">
        <v>24.770192999999999</v>
      </c>
    </row>
    <row r="912" spans="2:22">
      <c r="B912" s="6">
        <v>32309</v>
      </c>
      <c r="C912" s="6" t="s">
        <v>176</v>
      </c>
      <c r="D912" s="6">
        <v>20702</v>
      </c>
      <c r="E912" s="6" t="s">
        <v>44</v>
      </c>
      <c r="F912" s="6" t="s">
        <v>17</v>
      </c>
      <c r="G912" s="6" t="s">
        <v>1294</v>
      </c>
      <c r="H912" s="6">
        <v>27</v>
      </c>
      <c r="I912" s="6">
        <v>33</v>
      </c>
      <c r="J912" s="6">
        <v>33</v>
      </c>
      <c r="K912" s="6">
        <v>34.851851000000003</v>
      </c>
      <c r="L912" s="6">
        <v>34.933332999999998</v>
      </c>
      <c r="M912" s="6">
        <v>34.897097000000002</v>
      </c>
      <c r="N912" s="6">
        <v>34.893103000000004</v>
      </c>
      <c r="O912" s="6">
        <v>34.949179999999998</v>
      </c>
      <c r="P912" s="6">
        <v>34.926701000000001</v>
      </c>
      <c r="Q912" s="6">
        <v>34.894556999999999</v>
      </c>
      <c r="R912" s="6">
        <v>34.950949000000001</v>
      </c>
      <c r="S912" s="6">
        <v>34.883485</v>
      </c>
      <c r="T912" s="6">
        <v>34.894556999999999</v>
      </c>
      <c r="U912" s="6">
        <v>34.950949000000001</v>
      </c>
      <c r="V912" s="6">
        <v>34.883485</v>
      </c>
    </row>
    <row r="913" spans="2:22">
      <c r="B913" s="6">
        <v>32309</v>
      </c>
      <c r="C913" s="6" t="s">
        <v>176</v>
      </c>
      <c r="D913" s="6">
        <v>20902</v>
      </c>
      <c r="E913" s="6" t="s">
        <v>53</v>
      </c>
      <c r="F913" s="6" t="s">
        <v>16</v>
      </c>
      <c r="G913" s="6" t="s">
        <v>1295</v>
      </c>
      <c r="H913" s="6">
        <v>0</v>
      </c>
      <c r="I913" s="6">
        <v>20</v>
      </c>
      <c r="J913" s="6">
        <v>20</v>
      </c>
      <c r="K913" s="6">
        <v>26.721311</v>
      </c>
      <c r="L913" s="6">
        <v>25.932835000000001</v>
      </c>
      <c r="M913" s="6">
        <v>26.507536999999999</v>
      </c>
      <c r="N913" s="6">
        <v>27.102803000000002</v>
      </c>
      <c r="O913" s="6">
        <v>26.100322999999999</v>
      </c>
      <c r="P913" s="6">
        <v>27.578899</v>
      </c>
      <c r="Q913" s="6">
        <v>27.102803000000002</v>
      </c>
      <c r="R913" s="6">
        <v>26.100322999999999</v>
      </c>
      <c r="S913" s="6">
        <v>27.558453</v>
      </c>
      <c r="T913" s="6">
        <v>26.737159999999999</v>
      </c>
      <c r="U913" s="6">
        <v>25.752351000000001</v>
      </c>
      <c r="V913" s="6">
        <v>27.323633000000001</v>
      </c>
    </row>
    <row r="914" spans="2:22">
      <c r="B914" s="6">
        <v>32309</v>
      </c>
      <c r="C914" s="6" t="s">
        <v>176</v>
      </c>
      <c r="D914" s="6">
        <v>20902</v>
      </c>
      <c r="E914" s="6" t="s">
        <v>53</v>
      </c>
      <c r="F914" s="6" t="s">
        <v>13</v>
      </c>
      <c r="G914" s="6" t="s">
        <v>14</v>
      </c>
      <c r="H914" s="6">
        <v>20</v>
      </c>
      <c r="I914" s="6">
        <v>20</v>
      </c>
      <c r="J914" s="6">
        <v>20</v>
      </c>
      <c r="K914" s="6">
        <v>18.622046999999998</v>
      </c>
      <c r="L914" s="6">
        <v>18.557046</v>
      </c>
      <c r="M914" s="6">
        <v>18.643459</v>
      </c>
      <c r="N914" s="6">
        <v>19.181818</v>
      </c>
      <c r="O914" s="6">
        <v>19.119288999999998</v>
      </c>
      <c r="P914" s="6">
        <v>18.784502</v>
      </c>
      <c r="Q914" s="6">
        <v>19.181818</v>
      </c>
      <c r="R914" s="6">
        <v>19.101835999999999</v>
      </c>
      <c r="S914" s="6">
        <v>18.763134000000001</v>
      </c>
      <c r="T914" s="6">
        <v>19.181818</v>
      </c>
      <c r="U914" s="6">
        <v>19.101835999999999</v>
      </c>
      <c r="V914" s="6">
        <v>18.763134000000001</v>
      </c>
    </row>
    <row r="915" spans="2:22">
      <c r="B915" s="6">
        <v>32309</v>
      </c>
      <c r="C915" s="6" t="s">
        <v>176</v>
      </c>
      <c r="D915" s="6">
        <v>20906</v>
      </c>
      <c r="E915" s="6" t="s">
        <v>48</v>
      </c>
      <c r="F915" s="6" t="s">
        <v>49</v>
      </c>
      <c r="G915" s="6" t="s">
        <v>1296</v>
      </c>
      <c r="H915" s="6">
        <v>0</v>
      </c>
      <c r="I915" s="6">
        <v>16.333333</v>
      </c>
      <c r="J915" s="6">
        <v>16.333333</v>
      </c>
      <c r="K915" s="6">
        <v>17.229590999999999</v>
      </c>
      <c r="L915" s="6">
        <v>17.052391</v>
      </c>
      <c r="M915" s="6">
        <v>17.431988</v>
      </c>
      <c r="N915" s="6">
        <v>17.016705999999999</v>
      </c>
      <c r="O915" s="6">
        <v>16.954350000000002</v>
      </c>
      <c r="P915" s="6">
        <v>17.537869000000001</v>
      </c>
      <c r="Q915" s="6">
        <v>17.016335999999999</v>
      </c>
      <c r="R915" s="6">
        <v>16.958155999999999</v>
      </c>
      <c r="S915" s="6">
        <v>17.538882000000001</v>
      </c>
      <c r="T915" s="6">
        <v>17.016335999999999</v>
      </c>
      <c r="U915" s="6">
        <v>16.958155999999999</v>
      </c>
      <c r="V915" s="6">
        <v>17.538882000000001</v>
      </c>
    </row>
    <row r="916" spans="2:22">
      <c r="B916" s="6">
        <v>32310</v>
      </c>
      <c r="C916" s="6" t="s">
        <v>568</v>
      </c>
      <c r="D916" s="6">
        <v>20500</v>
      </c>
      <c r="E916" s="6" t="s">
        <v>31</v>
      </c>
      <c r="F916" s="6" t="s">
        <v>17</v>
      </c>
      <c r="G916" s="6" t="s">
        <v>1294</v>
      </c>
      <c r="H916" s="6">
        <v>0</v>
      </c>
      <c r="I916" s="6">
        <v>27</v>
      </c>
      <c r="J916" s="6">
        <v>27</v>
      </c>
      <c r="K916" s="6">
        <v>26.046875</v>
      </c>
      <c r="L916" s="6">
        <v>26.199541</v>
      </c>
      <c r="M916" s="6">
        <v>26.109717</v>
      </c>
      <c r="N916" s="6">
        <v>26.108958000000001</v>
      </c>
      <c r="O916" s="6">
        <v>26.328648000000001</v>
      </c>
      <c r="P916" s="6">
        <v>26.003786000000002</v>
      </c>
      <c r="Q916" s="6">
        <v>26.101534000000001</v>
      </c>
      <c r="R916" s="6">
        <v>26.316153</v>
      </c>
      <c r="S916" s="6">
        <v>25.991613999999998</v>
      </c>
      <c r="T916" s="6">
        <v>25.645997000000001</v>
      </c>
      <c r="U916" s="6">
        <v>25.223958</v>
      </c>
      <c r="V916" s="6">
        <v>24.770192999999999</v>
      </c>
    </row>
    <row r="917" spans="2:22">
      <c r="B917" s="6">
        <v>32310</v>
      </c>
      <c r="C917" s="6" t="s">
        <v>568</v>
      </c>
      <c r="D917" s="6">
        <v>20702</v>
      </c>
      <c r="E917" s="6" t="s">
        <v>44</v>
      </c>
      <c r="F917" s="6" t="s">
        <v>17</v>
      </c>
      <c r="G917" s="6" t="s">
        <v>1294</v>
      </c>
      <c r="H917" s="6">
        <v>0</v>
      </c>
      <c r="I917" s="6">
        <v>35</v>
      </c>
      <c r="J917" s="6">
        <v>35</v>
      </c>
      <c r="K917" s="6">
        <v>34.851851000000003</v>
      </c>
      <c r="L917" s="6">
        <v>34.933332999999998</v>
      </c>
      <c r="M917" s="6">
        <v>34.897097000000002</v>
      </c>
      <c r="N917" s="6">
        <v>34.893103000000004</v>
      </c>
      <c r="O917" s="6">
        <v>34.949179999999998</v>
      </c>
      <c r="P917" s="6">
        <v>34.926701000000001</v>
      </c>
      <c r="Q917" s="6">
        <v>34.894556999999999</v>
      </c>
      <c r="R917" s="6">
        <v>34.950949000000001</v>
      </c>
      <c r="S917" s="6">
        <v>34.883485</v>
      </c>
      <c r="T917" s="6">
        <v>34.894556999999999</v>
      </c>
      <c r="U917" s="6">
        <v>34.950949000000001</v>
      </c>
      <c r="V917" s="6">
        <v>34.883485</v>
      </c>
    </row>
    <row r="918" spans="2:22">
      <c r="B918" s="6">
        <v>32310</v>
      </c>
      <c r="C918" s="6" t="s">
        <v>568</v>
      </c>
      <c r="D918" s="6">
        <v>20902</v>
      </c>
      <c r="E918" s="6" t="s">
        <v>53</v>
      </c>
      <c r="F918" s="6" t="s">
        <v>16</v>
      </c>
      <c r="G918" s="6" t="s">
        <v>1295</v>
      </c>
      <c r="H918" s="6">
        <v>0</v>
      </c>
      <c r="I918" s="6">
        <v>25</v>
      </c>
      <c r="J918" s="6">
        <v>25</v>
      </c>
      <c r="K918" s="6">
        <v>26.721311</v>
      </c>
      <c r="L918" s="6">
        <v>25.932835000000001</v>
      </c>
      <c r="M918" s="6">
        <v>26.507536999999999</v>
      </c>
      <c r="N918" s="6">
        <v>27.102803000000002</v>
      </c>
      <c r="O918" s="6">
        <v>26.100322999999999</v>
      </c>
      <c r="P918" s="6">
        <v>27.578899</v>
      </c>
      <c r="Q918" s="6">
        <v>27.102803000000002</v>
      </c>
      <c r="R918" s="6">
        <v>26.100322999999999</v>
      </c>
      <c r="S918" s="6">
        <v>27.558453</v>
      </c>
      <c r="T918" s="6">
        <v>26.737159999999999</v>
      </c>
      <c r="U918" s="6">
        <v>25.752351000000001</v>
      </c>
      <c r="V918" s="6">
        <v>27.323633000000001</v>
      </c>
    </row>
    <row r="919" spans="2:22">
      <c r="B919" s="6">
        <v>32310</v>
      </c>
      <c r="C919" s="6" t="s">
        <v>568</v>
      </c>
      <c r="D919" s="6">
        <v>20902</v>
      </c>
      <c r="E919" s="6" t="s">
        <v>53</v>
      </c>
      <c r="F919" s="6" t="s">
        <v>13</v>
      </c>
      <c r="G919" s="6" t="s">
        <v>14</v>
      </c>
      <c r="H919" s="6">
        <v>0</v>
      </c>
      <c r="I919" s="6">
        <v>20</v>
      </c>
      <c r="J919" s="6">
        <v>20</v>
      </c>
      <c r="K919" s="6">
        <v>18.622046999999998</v>
      </c>
      <c r="L919" s="6">
        <v>18.557046</v>
      </c>
      <c r="M919" s="6">
        <v>18.643459</v>
      </c>
      <c r="N919" s="6">
        <v>19.181818</v>
      </c>
      <c r="O919" s="6">
        <v>19.119288999999998</v>
      </c>
      <c r="P919" s="6">
        <v>18.784502</v>
      </c>
      <c r="Q919" s="6">
        <v>19.181818</v>
      </c>
      <c r="R919" s="6">
        <v>19.101835999999999</v>
      </c>
      <c r="S919" s="6">
        <v>18.763134000000001</v>
      </c>
      <c r="T919" s="6">
        <v>19.181818</v>
      </c>
      <c r="U919" s="6">
        <v>19.101835999999999</v>
      </c>
      <c r="V919" s="6">
        <v>18.763134000000001</v>
      </c>
    </row>
    <row r="920" spans="2:22">
      <c r="B920" s="6">
        <v>32310</v>
      </c>
      <c r="C920" s="6" t="s">
        <v>568</v>
      </c>
      <c r="D920" s="6">
        <v>20906</v>
      </c>
      <c r="E920" s="6" t="s">
        <v>48</v>
      </c>
      <c r="F920" s="6" t="s">
        <v>49</v>
      </c>
      <c r="G920" s="6" t="s">
        <v>1296</v>
      </c>
      <c r="H920" s="6">
        <v>0</v>
      </c>
      <c r="I920" s="6">
        <v>15</v>
      </c>
      <c r="J920" s="6">
        <v>15</v>
      </c>
      <c r="K920" s="6">
        <v>17.229590999999999</v>
      </c>
      <c r="L920" s="6">
        <v>17.052391</v>
      </c>
      <c r="M920" s="6">
        <v>17.431988</v>
      </c>
      <c r="N920" s="6">
        <v>17.016705999999999</v>
      </c>
      <c r="O920" s="6">
        <v>16.954350000000002</v>
      </c>
      <c r="P920" s="6">
        <v>17.537869000000001</v>
      </c>
      <c r="Q920" s="6">
        <v>17.016335999999999</v>
      </c>
      <c r="R920" s="6">
        <v>16.958155999999999</v>
      </c>
      <c r="S920" s="6">
        <v>17.538882000000001</v>
      </c>
      <c r="T920" s="6">
        <v>17.016335999999999</v>
      </c>
      <c r="U920" s="6">
        <v>16.958155999999999</v>
      </c>
      <c r="V920" s="6">
        <v>17.538882000000001</v>
      </c>
    </row>
    <row r="921" spans="2:22">
      <c r="B921" s="6">
        <v>32311</v>
      </c>
      <c r="C921" s="6" t="s">
        <v>768</v>
      </c>
      <c r="D921" s="6">
        <v>20500</v>
      </c>
      <c r="E921" s="6" t="s">
        <v>31</v>
      </c>
      <c r="F921" s="6" t="s">
        <v>17</v>
      </c>
      <c r="G921" s="6" t="s">
        <v>1294</v>
      </c>
      <c r="H921" s="6">
        <v>27</v>
      </c>
      <c r="I921" s="6">
        <v>27</v>
      </c>
      <c r="J921" s="6">
        <v>27</v>
      </c>
      <c r="K921" s="6">
        <v>26.046875</v>
      </c>
      <c r="L921" s="6">
        <v>26.199541</v>
      </c>
      <c r="M921" s="6">
        <v>26.109717</v>
      </c>
      <c r="N921" s="6">
        <v>26.108958000000001</v>
      </c>
      <c r="O921" s="6">
        <v>26.328648000000001</v>
      </c>
      <c r="P921" s="6">
        <v>26.003786000000002</v>
      </c>
      <c r="Q921" s="6">
        <v>26.101534000000001</v>
      </c>
      <c r="R921" s="6">
        <v>26.316153</v>
      </c>
      <c r="S921" s="6">
        <v>25.991613999999998</v>
      </c>
      <c r="T921" s="6">
        <v>25.645997000000001</v>
      </c>
      <c r="U921" s="6">
        <v>25.223958</v>
      </c>
      <c r="V921" s="6">
        <v>24.770192999999999</v>
      </c>
    </row>
    <row r="922" spans="2:22">
      <c r="B922" s="6">
        <v>32311</v>
      </c>
      <c r="C922" s="6" t="s">
        <v>768</v>
      </c>
      <c r="D922" s="6">
        <v>20702</v>
      </c>
      <c r="E922" s="6" t="s">
        <v>44</v>
      </c>
      <c r="F922" s="6" t="s">
        <v>17</v>
      </c>
      <c r="G922" s="6" t="s">
        <v>1294</v>
      </c>
      <c r="H922" s="6">
        <v>35</v>
      </c>
      <c r="I922" s="6">
        <v>35</v>
      </c>
      <c r="J922" s="6">
        <v>35</v>
      </c>
      <c r="K922" s="6">
        <v>34.851851000000003</v>
      </c>
      <c r="L922" s="6">
        <v>34.933332999999998</v>
      </c>
      <c r="M922" s="6">
        <v>34.897097000000002</v>
      </c>
      <c r="N922" s="6">
        <v>34.893103000000004</v>
      </c>
      <c r="O922" s="6">
        <v>34.949179999999998</v>
      </c>
      <c r="P922" s="6">
        <v>34.926701000000001</v>
      </c>
      <c r="Q922" s="6">
        <v>34.894556999999999</v>
      </c>
      <c r="R922" s="6">
        <v>34.950949000000001</v>
      </c>
      <c r="S922" s="6">
        <v>34.883485</v>
      </c>
      <c r="T922" s="6">
        <v>34.894556999999999</v>
      </c>
      <c r="U922" s="6">
        <v>34.950949000000001</v>
      </c>
      <c r="V922" s="6">
        <v>34.883485</v>
      </c>
    </row>
    <row r="923" spans="2:22">
      <c r="B923" s="6">
        <v>32311</v>
      </c>
      <c r="C923" s="6" t="s">
        <v>768</v>
      </c>
      <c r="D923" s="6">
        <v>20902</v>
      </c>
      <c r="E923" s="6" t="s">
        <v>53</v>
      </c>
      <c r="F923" s="6" t="s">
        <v>13</v>
      </c>
      <c r="G923" s="6" t="s">
        <v>14</v>
      </c>
      <c r="H923" s="6">
        <v>20</v>
      </c>
      <c r="I923" s="6">
        <v>20</v>
      </c>
      <c r="J923" s="6">
        <v>20</v>
      </c>
      <c r="K923" s="6">
        <v>18.622046999999998</v>
      </c>
      <c r="L923" s="6">
        <v>18.557046</v>
      </c>
      <c r="M923" s="6">
        <v>18.643459</v>
      </c>
      <c r="N923" s="6">
        <v>19.181818</v>
      </c>
      <c r="O923" s="6">
        <v>19.119288999999998</v>
      </c>
      <c r="P923" s="6">
        <v>18.784502</v>
      </c>
      <c r="Q923" s="6">
        <v>19.181818</v>
      </c>
      <c r="R923" s="6">
        <v>19.101835999999999</v>
      </c>
      <c r="S923" s="6">
        <v>18.763134000000001</v>
      </c>
      <c r="T923" s="6">
        <v>19.181818</v>
      </c>
      <c r="U923" s="6">
        <v>19.101835999999999</v>
      </c>
      <c r="V923" s="6">
        <v>18.763134000000001</v>
      </c>
    </row>
    <row r="924" spans="2:22">
      <c r="B924" s="6">
        <v>32311</v>
      </c>
      <c r="C924" s="6" t="s">
        <v>768</v>
      </c>
      <c r="D924" s="6">
        <v>20906</v>
      </c>
      <c r="E924" s="6" t="s">
        <v>48</v>
      </c>
      <c r="F924" s="6" t="s">
        <v>49</v>
      </c>
      <c r="G924" s="6" t="s">
        <v>1296</v>
      </c>
      <c r="H924" s="6">
        <v>17</v>
      </c>
      <c r="I924" s="6">
        <v>15.333333</v>
      </c>
      <c r="J924" s="6">
        <v>15.333333</v>
      </c>
      <c r="K924" s="6">
        <v>17.229590999999999</v>
      </c>
      <c r="L924" s="6">
        <v>17.052391</v>
      </c>
      <c r="M924" s="6">
        <v>17.431988</v>
      </c>
      <c r="N924" s="6">
        <v>17.016705999999999</v>
      </c>
      <c r="O924" s="6">
        <v>16.954350000000002</v>
      </c>
      <c r="P924" s="6">
        <v>17.537869000000001</v>
      </c>
      <c r="Q924" s="6">
        <v>17.016335999999999</v>
      </c>
      <c r="R924" s="6">
        <v>16.958155999999999</v>
      </c>
      <c r="S924" s="6">
        <v>17.538882000000001</v>
      </c>
      <c r="T924" s="6">
        <v>17.016335999999999</v>
      </c>
      <c r="U924" s="6">
        <v>16.958155999999999</v>
      </c>
      <c r="V924" s="6">
        <v>17.538882000000001</v>
      </c>
    </row>
    <row r="925" spans="2:22">
      <c r="B925" s="6">
        <v>32312</v>
      </c>
      <c r="C925" s="6" t="s">
        <v>621</v>
      </c>
      <c r="D925" s="6">
        <v>20500</v>
      </c>
      <c r="E925" s="6" t="s">
        <v>31</v>
      </c>
      <c r="F925" s="6" t="s">
        <v>17</v>
      </c>
      <c r="G925" s="6" t="s">
        <v>1294</v>
      </c>
      <c r="H925" s="6">
        <v>0</v>
      </c>
      <c r="I925" s="6">
        <v>27</v>
      </c>
      <c r="J925" s="6">
        <v>27</v>
      </c>
      <c r="K925" s="6">
        <v>26.046875</v>
      </c>
      <c r="L925" s="6">
        <v>26.199541</v>
      </c>
      <c r="M925" s="6">
        <v>26.109717</v>
      </c>
      <c r="N925" s="6">
        <v>26.108958000000001</v>
      </c>
      <c r="O925" s="6">
        <v>26.328648000000001</v>
      </c>
      <c r="P925" s="6">
        <v>26.003786000000002</v>
      </c>
      <c r="Q925" s="6">
        <v>26.101534000000001</v>
      </c>
      <c r="R925" s="6">
        <v>26.316153</v>
      </c>
      <c r="S925" s="6">
        <v>25.991613999999998</v>
      </c>
      <c r="T925" s="6">
        <v>25.645997000000001</v>
      </c>
      <c r="U925" s="6">
        <v>25.223958</v>
      </c>
      <c r="V925" s="6">
        <v>24.770192999999999</v>
      </c>
    </row>
    <row r="926" spans="2:22">
      <c r="B926" s="6">
        <v>32312</v>
      </c>
      <c r="C926" s="6" t="s">
        <v>621</v>
      </c>
      <c r="D926" s="6">
        <v>20702</v>
      </c>
      <c r="E926" s="6" t="s">
        <v>44</v>
      </c>
      <c r="F926" s="6" t="s">
        <v>17</v>
      </c>
      <c r="G926" s="6" t="s">
        <v>1294</v>
      </c>
      <c r="H926" s="6">
        <v>0</v>
      </c>
      <c r="I926" s="6">
        <v>35</v>
      </c>
      <c r="J926" s="6">
        <v>35</v>
      </c>
      <c r="K926" s="6">
        <v>34.851851000000003</v>
      </c>
      <c r="L926" s="6">
        <v>34.933332999999998</v>
      </c>
      <c r="M926" s="6">
        <v>34.897097000000002</v>
      </c>
      <c r="N926" s="6">
        <v>34.893103000000004</v>
      </c>
      <c r="O926" s="6">
        <v>34.949179999999998</v>
      </c>
      <c r="P926" s="6">
        <v>34.926701000000001</v>
      </c>
      <c r="Q926" s="6">
        <v>34.894556999999999</v>
      </c>
      <c r="R926" s="6">
        <v>34.950949000000001</v>
      </c>
      <c r="S926" s="6">
        <v>34.883485</v>
      </c>
      <c r="T926" s="6">
        <v>34.894556999999999</v>
      </c>
      <c r="U926" s="6">
        <v>34.950949000000001</v>
      </c>
      <c r="V926" s="6">
        <v>34.883485</v>
      </c>
    </row>
    <row r="927" spans="2:22">
      <c r="B927" s="6">
        <v>32312</v>
      </c>
      <c r="C927" s="6" t="s">
        <v>621</v>
      </c>
      <c r="D927" s="6">
        <v>20902</v>
      </c>
      <c r="E927" s="6" t="s">
        <v>53</v>
      </c>
      <c r="F927" s="6" t="s">
        <v>16</v>
      </c>
      <c r="G927" s="6" t="s">
        <v>1295</v>
      </c>
      <c r="H927" s="6">
        <v>0</v>
      </c>
      <c r="I927" s="6">
        <v>30</v>
      </c>
      <c r="J927" s="6">
        <v>30</v>
      </c>
      <c r="K927" s="6">
        <v>26.721311</v>
      </c>
      <c r="L927" s="6">
        <v>25.932835000000001</v>
      </c>
      <c r="M927" s="6">
        <v>26.507536999999999</v>
      </c>
      <c r="N927" s="6">
        <v>27.102803000000002</v>
      </c>
      <c r="O927" s="6">
        <v>26.100322999999999</v>
      </c>
      <c r="P927" s="6">
        <v>27.578899</v>
      </c>
      <c r="Q927" s="6">
        <v>27.102803000000002</v>
      </c>
      <c r="R927" s="6">
        <v>26.100322999999999</v>
      </c>
      <c r="S927" s="6">
        <v>27.558453</v>
      </c>
      <c r="T927" s="6">
        <v>26.737159999999999</v>
      </c>
      <c r="U927" s="6">
        <v>25.752351000000001</v>
      </c>
      <c r="V927" s="6">
        <v>27.323633000000001</v>
      </c>
    </row>
    <row r="928" spans="2:22">
      <c r="B928" s="6">
        <v>32312</v>
      </c>
      <c r="C928" s="6" t="s">
        <v>621</v>
      </c>
      <c r="D928" s="6">
        <v>20902</v>
      </c>
      <c r="E928" s="6" t="s">
        <v>53</v>
      </c>
      <c r="F928" s="6" t="s">
        <v>13</v>
      </c>
      <c r="G928" s="6" t="s">
        <v>14</v>
      </c>
      <c r="H928" s="6">
        <v>0</v>
      </c>
      <c r="I928" s="6">
        <v>20</v>
      </c>
      <c r="J928" s="6">
        <v>20</v>
      </c>
      <c r="K928" s="6">
        <v>18.622046999999998</v>
      </c>
      <c r="L928" s="6">
        <v>18.557046</v>
      </c>
      <c r="M928" s="6">
        <v>18.643459</v>
      </c>
      <c r="N928" s="6">
        <v>19.181818</v>
      </c>
      <c r="O928" s="6">
        <v>19.119288999999998</v>
      </c>
      <c r="P928" s="6">
        <v>18.784502</v>
      </c>
      <c r="Q928" s="6">
        <v>19.181818</v>
      </c>
      <c r="R928" s="6">
        <v>19.101835999999999</v>
      </c>
      <c r="S928" s="6">
        <v>18.763134000000001</v>
      </c>
      <c r="T928" s="6">
        <v>19.181818</v>
      </c>
      <c r="U928" s="6">
        <v>19.101835999999999</v>
      </c>
      <c r="V928" s="6">
        <v>18.763134000000001</v>
      </c>
    </row>
    <row r="929" spans="2:22">
      <c r="B929" s="6">
        <v>32312</v>
      </c>
      <c r="C929" s="6" t="s">
        <v>621</v>
      </c>
      <c r="D929" s="6">
        <v>20906</v>
      </c>
      <c r="E929" s="6" t="s">
        <v>48</v>
      </c>
      <c r="F929" s="6" t="s">
        <v>49</v>
      </c>
      <c r="G929" s="6" t="s">
        <v>1296</v>
      </c>
      <c r="H929" s="6">
        <v>0</v>
      </c>
      <c r="I929" s="6">
        <v>15</v>
      </c>
      <c r="J929" s="6">
        <v>15</v>
      </c>
      <c r="K929" s="6">
        <v>17.229590999999999</v>
      </c>
      <c r="L929" s="6">
        <v>17.052391</v>
      </c>
      <c r="M929" s="6">
        <v>17.431988</v>
      </c>
      <c r="N929" s="6">
        <v>17.016705999999999</v>
      </c>
      <c r="O929" s="6">
        <v>16.954350000000002</v>
      </c>
      <c r="P929" s="6">
        <v>17.537869000000001</v>
      </c>
      <c r="Q929" s="6">
        <v>17.016335999999999</v>
      </c>
      <c r="R929" s="6">
        <v>16.958155999999999</v>
      </c>
      <c r="S929" s="6">
        <v>17.538882000000001</v>
      </c>
      <c r="T929" s="6">
        <v>17.016335999999999</v>
      </c>
      <c r="U929" s="6">
        <v>16.958155999999999</v>
      </c>
      <c r="V929" s="6">
        <v>17.538882000000001</v>
      </c>
    </row>
    <row r="930" spans="2:22">
      <c r="B930" s="6">
        <v>32313</v>
      </c>
      <c r="C930" s="6" t="s">
        <v>780</v>
      </c>
      <c r="D930" s="6">
        <v>20500</v>
      </c>
      <c r="E930" s="6" t="s">
        <v>31</v>
      </c>
      <c r="F930" s="6" t="s">
        <v>17</v>
      </c>
      <c r="G930" s="6" t="s">
        <v>1294</v>
      </c>
      <c r="H930" s="6">
        <v>0</v>
      </c>
      <c r="I930" s="6">
        <v>27</v>
      </c>
      <c r="J930" s="6">
        <v>27</v>
      </c>
      <c r="K930" s="6">
        <v>26.046875</v>
      </c>
      <c r="L930" s="6">
        <v>26.199541</v>
      </c>
      <c r="M930" s="6">
        <v>26.109717</v>
      </c>
      <c r="N930" s="6">
        <v>26.108958000000001</v>
      </c>
      <c r="O930" s="6">
        <v>26.328648000000001</v>
      </c>
      <c r="P930" s="6">
        <v>26.003786000000002</v>
      </c>
      <c r="Q930" s="6">
        <v>26.101534000000001</v>
      </c>
      <c r="R930" s="6">
        <v>26.316153</v>
      </c>
      <c r="S930" s="6">
        <v>25.991613999999998</v>
      </c>
      <c r="T930" s="6">
        <v>25.645997000000001</v>
      </c>
      <c r="U930" s="6">
        <v>25.223958</v>
      </c>
      <c r="V930" s="6">
        <v>24.770192999999999</v>
      </c>
    </row>
    <row r="931" spans="2:22">
      <c r="B931" s="6">
        <v>32313</v>
      </c>
      <c r="C931" s="6" t="s">
        <v>780</v>
      </c>
      <c r="D931" s="6">
        <v>20702</v>
      </c>
      <c r="E931" s="6" t="s">
        <v>44</v>
      </c>
      <c r="F931" s="6" t="s">
        <v>17</v>
      </c>
      <c r="G931" s="6" t="s">
        <v>1294</v>
      </c>
      <c r="H931" s="6">
        <v>27</v>
      </c>
      <c r="I931" s="6">
        <v>33.666665999999999</v>
      </c>
      <c r="J931" s="6">
        <v>33.666665999999999</v>
      </c>
      <c r="K931" s="6">
        <v>34.851851000000003</v>
      </c>
      <c r="L931" s="6">
        <v>34.933332999999998</v>
      </c>
      <c r="M931" s="6">
        <v>34.897097000000002</v>
      </c>
      <c r="N931" s="6">
        <v>34.893103000000004</v>
      </c>
      <c r="O931" s="6">
        <v>34.949179999999998</v>
      </c>
      <c r="P931" s="6">
        <v>34.926701000000001</v>
      </c>
      <c r="Q931" s="6">
        <v>34.894556999999999</v>
      </c>
      <c r="R931" s="6">
        <v>34.950949000000001</v>
      </c>
      <c r="S931" s="6">
        <v>34.883485</v>
      </c>
      <c r="T931" s="6">
        <v>34.894556999999999</v>
      </c>
      <c r="U931" s="6">
        <v>34.950949000000001</v>
      </c>
      <c r="V931" s="6">
        <v>34.883485</v>
      </c>
    </row>
    <row r="932" spans="2:22">
      <c r="B932" s="6">
        <v>32313</v>
      </c>
      <c r="C932" s="6" t="s">
        <v>780</v>
      </c>
      <c r="D932" s="6">
        <v>20902</v>
      </c>
      <c r="E932" s="6" t="s">
        <v>53</v>
      </c>
      <c r="F932" s="6" t="s">
        <v>13</v>
      </c>
      <c r="G932" s="6" t="s">
        <v>14</v>
      </c>
      <c r="H932" s="6">
        <v>20</v>
      </c>
      <c r="I932" s="6">
        <v>20</v>
      </c>
      <c r="J932" s="6">
        <v>20</v>
      </c>
      <c r="K932" s="6">
        <v>18.622046999999998</v>
      </c>
      <c r="L932" s="6">
        <v>18.557046</v>
      </c>
      <c r="M932" s="6">
        <v>18.643459</v>
      </c>
      <c r="N932" s="6">
        <v>19.181818</v>
      </c>
      <c r="O932" s="6">
        <v>19.119288999999998</v>
      </c>
      <c r="P932" s="6">
        <v>18.784502</v>
      </c>
      <c r="Q932" s="6">
        <v>19.181818</v>
      </c>
      <c r="R932" s="6">
        <v>19.101835999999999</v>
      </c>
      <c r="S932" s="6">
        <v>18.763134000000001</v>
      </c>
      <c r="T932" s="6">
        <v>19.181818</v>
      </c>
      <c r="U932" s="6">
        <v>19.101835999999999</v>
      </c>
      <c r="V932" s="6">
        <v>18.763134000000001</v>
      </c>
    </row>
    <row r="933" spans="2:22">
      <c r="B933" s="6">
        <v>32313</v>
      </c>
      <c r="C933" s="6" t="s">
        <v>780</v>
      </c>
      <c r="D933" s="6">
        <v>20906</v>
      </c>
      <c r="E933" s="6" t="s">
        <v>48</v>
      </c>
      <c r="F933" s="6" t="s">
        <v>49</v>
      </c>
      <c r="G933" s="6" t="s">
        <v>1296</v>
      </c>
      <c r="H933" s="6">
        <v>0</v>
      </c>
      <c r="I933" s="6">
        <v>17.600000000000001</v>
      </c>
      <c r="J933" s="6">
        <v>17.600000000000001</v>
      </c>
      <c r="K933" s="6">
        <v>17.229590999999999</v>
      </c>
      <c r="L933" s="6">
        <v>17.052391</v>
      </c>
      <c r="M933" s="6">
        <v>17.431988</v>
      </c>
      <c r="N933" s="6">
        <v>17.016705999999999</v>
      </c>
      <c r="O933" s="6">
        <v>16.954350000000002</v>
      </c>
      <c r="P933" s="6">
        <v>17.537869000000001</v>
      </c>
      <c r="Q933" s="6">
        <v>17.016335999999999</v>
      </c>
      <c r="R933" s="6">
        <v>16.958155999999999</v>
      </c>
      <c r="S933" s="6">
        <v>17.538882000000001</v>
      </c>
      <c r="T933" s="6">
        <v>17.016335999999999</v>
      </c>
      <c r="U933" s="6">
        <v>16.958155999999999</v>
      </c>
      <c r="V933" s="6">
        <v>17.538882000000001</v>
      </c>
    </row>
    <row r="934" spans="2:22">
      <c r="B934" s="6">
        <v>32314</v>
      </c>
      <c r="C934" s="6" t="s">
        <v>177</v>
      </c>
      <c r="D934" s="6">
        <v>20500</v>
      </c>
      <c r="E934" s="6" t="s">
        <v>31</v>
      </c>
      <c r="F934" s="6" t="s">
        <v>17</v>
      </c>
      <c r="G934" s="6" t="s">
        <v>1294</v>
      </c>
      <c r="H934" s="6">
        <v>0</v>
      </c>
      <c r="I934" s="6">
        <v>27</v>
      </c>
      <c r="J934" s="6">
        <v>27</v>
      </c>
      <c r="K934" s="6">
        <v>26.046875</v>
      </c>
      <c r="L934" s="6">
        <v>26.199541</v>
      </c>
      <c r="M934" s="6">
        <v>26.109717</v>
      </c>
      <c r="N934" s="6">
        <v>26.108958000000001</v>
      </c>
      <c r="O934" s="6">
        <v>26.328648000000001</v>
      </c>
      <c r="P934" s="6">
        <v>26.003786000000002</v>
      </c>
      <c r="Q934" s="6">
        <v>26.101534000000001</v>
      </c>
      <c r="R934" s="6">
        <v>26.316153</v>
      </c>
      <c r="S934" s="6">
        <v>25.991613999999998</v>
      </c>
      <c r="T934" s="6">
        <v>25.645997000000001</v>
      </c>
      <c r="U934" s="6">
        <v>25.223958</v>
      </c>
      <c r="V934" s="6">
        <v>24.770192999999999</v>
      </c>
    </row>
    <row r="935" spans="2:22">
      <c r="B935" s="6">
        <v>32314</v>
      </c>
      <c r="C935" s="6" t="s">
        <v>177</v>
      </c>
      <c r="D935" s="6">
        <v>20702</v>
      </c>
      <c r="E935" s="6" t="s">
        <v>44</v>
      </c>
      <c r="F935" s="6" t="s">
        <v>17</v>
      </c>
      <c r="G935" s="6" t="s">
        <v>1294</v>
      </c>
      <c r="H935" s="6">
        <v>0</v>
      </c>
      <c r="I935" s="6">
        <v>35</v>
      </c>
      <c r="J935" s="6">
        <v>35</v>
      </c>
      <c r="K935" s="6">
        <v>34.851851000000003</v>
      </c>
      <c r="L935" s="6">
        <v>34.933332999999998</v>
      </c>
      <c r="M935" s="6">
        <v>34.897097000000002</v>
      </c>
      <c r="N935" s="6">
        <v>34.893103000000004</v>
      </c>
      <c r="O935" s="6">
        <v>34.949179999999998</v>
      </c>
      <c r="P935" s="6">
        <v>34.926701000000001</v>
      </c>
      <c r="Q935" s="6">
        <v>34.894556999999999</v>
      </c>
      <c r="R935" s="6">
        <v>34.950949000000001</v>
      </c>
      <c r="S935" s="6">
        <v>34.883485</v>
      </c>
      <c r="T935" s="6">
        <v>34.894556999999999</v>
      </c>
      <c r="U935" s="6">
        <v>34.950949000000001</v>
      </c>
      <c r="V935" s="6">
        <v>34.883485</v>
      </c>
    </row>
    <row r="936" spans="2:22">
      <c r="B936" s="6">
        <v>32314</v>
      </c>
      <c r="C936" s="6" t="s">
        <v>177</v>
      </c>
      <c r="D936" s="6">
        <v>20902</v>
      </c>
      <c r="E936" s="6" t="s">
        <v>53</v>
      </c>
      <c r="F936" s="6" t="s">
        <v>13</v>
      </c>
      <c r="G936" s="6" t="s">
        <v>14</v>
      </c>
      <c r="H936" s="6">
        <v>0</v>
      </c>
      <c r="I936" s="6">
        <v>20</v>
      </c>
      <c r="J936" s="6">
        <v>20</v>
      </c>
      <c r="K936" s="6">
        <v>18.622046999999998</v>
      </c>
      <c r="L936" s="6">
        <v>18.557046</v>
      </c>
      <c r="M936" s="6">
        <v>18.643459</v>
      </c>
      <c r="N936" s="6">
        <v>19.181818</v>
      </c>
      <c r="O936" s="6">
        <v>19.119288999999998</v>
      </c>
      <c r="P936" s="6">
        <v>18.784502</v>
      </c>
      <c r="Q936" s="6">
        <v>19.181818</v>
      </c>
      <c r="R936" s="6">
        <v>19.101835999999999</v>
      </c>
      <c r="S936" s="6">
        <v>18.763134000000001</v>
      </c>
      <c r="T936" s="6">
        <v>19.181818</v>
      </c>
      <c r="U936" s="6">
        <v>19.101835999999999</v>
      </c>
      <c r="V936" s="6">
        <v>18.763134000000001</v>
      </c>
    </row>
    <row r="937" spans="2:22">
      <c r="B937" s="6">
        <v>32314</v>
      </c>
      <c r="C937" s="6" t="s">
        <v>177</v>
      </c>
      <c r="D937" s="6">
        <v>20906</v>
      </c>
      <c r="E937" s="6" t="s">
        <v>48</v>
      </c>
      <c r="F937" s="6" t="s">
        <v>49</v>
      </c>
      <c r="G937" s="6" t="s">
        <v>1296</v>
      </c>
      <c r="H937" s="6">
        <v>0</v>
      </c>
      <c r="I937" s="6">
        <v>15</v>
      </c>
      <c r="J937" s="6">
        <v>15</v>
      </c>
      <c r="K937" s="6">
        <v>17.229590999999999</v>
      </c>
      <c r="L937" s="6">
        <v>17.052391</v>
      </c>
      <c r="M937" s="6">
        <v>17.431988</v>
      </c>
      <c r="N937" s="6">
        <v>17.016705999999999</v>
      </c>
      <c r="O937" s="6">
        <v>16.954350000000002</v>
      </c>
      <c r="P937" s="6">
        <v>17.537869000000001</v>
      </c>
      <c r="Q937" s="6">
        <v>17.016335999999999</v>
      </c>
      <c r="R937" s="6">
        <v>16.958155999999999</v>
      </c>
      <c r="S937" s="6">
        <v>17.538882000000001</v>
      </c>
      <c r="T937" s="6">
        <v>17.016335999999999</v>
      </c>
      <c r="U937" s="6">
        <v>16.958155999999999</v>
      </c>
      <c r="V937" s="6">
        <v>17.538882000000001</v>
      </c>
    </row>
    <row r="938" spans="2:22">
      <c r="B938" s="6">
        <v>32315</v>
      </c>
      <c r="C938" s="6" t="s">
        <v>178</v>
      </c>
      <c r="D938" s="6">
        <v>20500</v>
      </c>
      <c r="E938" s="6" t="s">
        <v>31</v>
      </c>
      <c r="F938" s="6" t="s">
        <v>17</v>
      </c>
      <c r="G938" s="6" t="s">
        <v>1294</v>
      </c>
      <c r="H938" s="6">
        <v>0</v>
      </c>
      <c r="I938" s="6">
        <v>27</v>
      </c>
      <c r="J938" s="6">
        <v>27</v>
      </c>
      <c r="K938" s="6">
        <v>26.179282000000001</v>
      </c>
      <c r="L938" s="6">
        <v>26.186138</v>
      </c>
      <c r="M938" s="6">
        <v>25.935728999999998</v>
      </c>
      <c r="N938" s="6">
        <v>26.108958000000001</v>
      </c>
      <c r="O938" s="6">
        <v>26.328648000000001</v>
      </c>
      <c r="P938" s="6">
        <v>26.003786000000002</v>
      </c>
      <c r="Q938" s="6">
        <v>26.101534000000001</v>
      </c>
      <c r="R938" s="6">
        <v>26.316153</v>
      </c>
      <c r="S938" s="6">
        <v>25.991613999999998</v>
      </c>
      <c r="T938" s="6">
        <v>25.645997000000001</v>
      </c>
      <c r="U938" s="6">
        <v>25.223958</v>
      </c>
      <c r="V938" s="6">
        <v>24.770192999999999</v>
      </c>
    </row>
    <row r="939" spans="2:22">
      <c r="B939" s="6">
        <v>32315</v>
      </c>
      <c r="C939" s="6" t="s">
        <v>178</v>
      </c>
      <c r="D939" s="6">
        <v>20702</v>
      </c>
      <c r="E939" s="6" t="s">
        <v>44</v>
      </c>
      <c r="F939" s="6" t="s">
        <v>17</v>
      </c>
      <c r="G939" s="6" t="s">
        <v>1294</v>
      </c>
      <c r="H939" s="6">
        <v>0</v>
      </c>
      <c r="I939" s="6">
        <v>35</v>
      </c>
      <c r="J939" s="6">
        <v>35</v>
      </c>
      <c r="K939" s="6">
        <v>34.902597</v>
      </c>
      <c r="L939" s="6">
        <v>34.946427999999997</v>
      </c>
      <c r="M939" s="6">
        <v>34.934041999999998</v>
      </c>
      <c r="N939" s="6">
        <v>34.893103000000004</v>
      </c>
      <c r="O939" s="6">
        <v>34.949179999999998</v>
      </c>
      <c r="P939" s="6">
        <v>34.926701000000001</v>
      </c>
      <c r="Q939" s="6">
        <v>34.894556999999999</v>
      </c>
      <c r="R939" s="6">
        <v>34.950949000000001</v>
      </c>
      <c r="S939" s="6">
        <v>34.883485</v>
      </c>
      <c r="T939" s="6">
        <v>34.894556999999999</v>
      </c>
      <c r="U939" s="6">
        <v>34.950949000000001</v>
      </c>
      <c r="V939" s="6">
        <v>34.883485</v>
      </c>
    </row>
    <row r="940" spans="2:22">
      <c r="B940" s="6">
        <v>32315</v>
      </c>
      <c r="C940" s="6" t="s">
        <v>178</v>
      </c>
      <c r="D940" s="6">
        <v>20902</v>
      </c>
      <c r="E940" s="6" t="s">
        <v>53</v>
      </c>
      <c r="F940" s="6" t="s">
        <v>16</v>
      </c>
      <c r="G940" s="6" t="s">
        <v>1295</v>
      </c>
      <c r="H940" s="6">
        <v>0</v>
      </c>
      <c r="I940" s="6">
        <v>20</v>
      </c>
      <c r="J940" s="6">
        <v>20</v>
      </c>
      <c r="K940" s="6">
        <v>27.111111000000001</v>
      </c>
      <c r="L940" s="6">
        <v>25.059170999999999</v>
      </c>
      <c r="M940" s="6">
        <v>26.5625</v>
      </c>
      <c r="N940" s="6">
        <v>27.102803000000002</v>
      </c>
      <c r="O940" s="6">
        <v>26.100322999999999</v>
      </c>
      <c r="P940" s="6">
        <v>27.578899</v>
      </c>
      <c r="Q940" s="6">
        <v>27.102803000000002</v>
      </c>
      <c r="R940" s="6">
        <v>26.100322999999999</v>
      </c>
      <c r="S940" s="6">
        <v>27.558453</v>
      </c>
      <c r="T940" s="6">
        <v>26.737159999999999</v>
      </c>
      <c r="U940" s="6">
        <v>25.752351000000001</v>
      </c>
      <c r="V940" s="6">
        <v>27.323633000000001</v>
      </c>
    </row>
    <row r="941" spans="2:22">
      <c r="B941" s="6">
        <v>32315</v>
      </c>
      <c r="C941" s="6" t="s">
        <v>178</v>
      </c>
      <c r="D941" s="6">
        <v>20902</v>
      </c>
      <c r="E941" s="6" t="s">
        <v>53</v>
      </c>
      <c r="F941" s="6" t="s">
        <v>13</v>
      </c>
      <c r="G941" s="6" t="s">
        <v>14</v>
      </c>
      <c r="H941" s="6">
        <v>0</v>
      </c>
      <c r="I941" s="6">
        <v>0</v>
      </c>
      <c r="J941" s="6">
        <v>15</v>
      </c>
      <c r="K941" s="6">
        <v>18.635802000000002</v>
      </c>
      <c r="L941" s="6">
        <v>18.195121</v>
      </c>
      <c r="M941" s="6">
        <v>17.625368000000002</v>
      </c>
      <c r="N941" s="6">
        <v>19.181818</v>
      </c>
      <c r="O941" s="6">
        <v>19.119288999999998</v>
      </c>
      <c r="P941" s="6">
        <v>18.784502</v>
      </c>
      <c r="Q941" s="6">
        <v>19.181818</v>
      </c>
      <c r="R941" s="6">
        <v>19.101835999999999</v>
      </c>
      <c r="S941" s="6">
        <v>18.763134000000001</v>
      </c>
      <c r="T941" s="6">
        <v>19.181818</v>
      </c>
      <c r="U941" s="6">
        <v>19.101835999999999</v>
      </c>
      <c r="V941" s="6">
        <v>18.763134000000001</v>
      </c>
    </row>
    <row r="942" spans="2:22">
      <c r="B942" s="6">
        <v>32315</v>
      </c>
      <c r="C942" s="6" t="s">
        <v>178</v>
      </c>
      <c r="D942" s="6">
        <v>20906</v>
      </c>
      <c r="E942" s="6" t="s">
        <v>48</v>
      </c>
      <c r="F942" s="6" t="s">
        <v>49</v>
      </c>
      <c r="G942" s="6" t="s">
        <v>1296</v>
      </c>
      <c r="H942" s="6">
        <v>15</v>
      </c>
      <c r="I942" s="6">
        <v>15</v>
      </c>
      <c r="J942" s="6">
        <v>15.833333</v>
      </c>
      <c r="K942" s="6">
        <v>16.992394999999998</v>
      </c>
      <c r="L942" s="6">
        <v>16.951830000000001</v>
      </c>
      <c r="M942" s="6">
        <v>17.405908</v>
      </c>
      <c r="N942" s="6">
        <v>17.016705999999999</v>
      </c>
      <c r="O942" s="6">
        <v>16.954350000000002</v>
      </c>
      <c r="P942" s="6">
        <v>17.537869000000001</v>
      </c>
      <c r="Q942" s="6">
        <v>17.016335999999999</v>
      </c>
      <c r="R942" s="6">
        <v>16.958155999999999</v>
      </c>
      <c r="S942" s="6">
        <v>17.538882000000001</v>
      </c>
      <c r="T942" s="6">
        <v>17.016335999999999</v>
      </c>
      <c r="U942" s="6">
        <v>16.958155999999999</v>
      </c>
      <c r="V942" s="6">
        <v>17.538882000000001</v>
      </c>
    </row>
    <row r="943" spans="2:22">
      <c r="B943" s="6">
        <v>32316</v>
      </c>
      <c r="C943" s="6" t="s">
        <v>179</v>
      </c>
      <c r="D943" s="6">
        <v>20500</v>
      </c>
      <c r="E943" s="6" t="s">
        <v>31</v>
      </c>
      <c r="F943" s="6" t="s">
        <v>13</v>
      </c>
      <c r="G943" s="6" t="s">
        <v>14</v>
      </c>
      <c r="H943" s="6">
        <v>0</v>
      </c>
      <c r="I943" s="6">
        <v>0</v>
      </c>
      <c r="J943" s="6">
        <v>20</v>
      </c>
      <c r="K943" s="6">
        <v>25</v>
      </c>
      <c r="L943" s="6">
        <v>25</v>
      </c>
      <c r="M943" s="6">
        <v>20.555554999999998</v>
      </c>
      <c r="N943" s="6">
        <v>25</v>
      </c>
      <c r="O943" s="6">
        <v>22.5</v>
      </c>
      <c r="P943" s="6">
        <v>20.123965999999999</v>
      </c>
      <c r="Q943" s="6">
        <v>25</v>
      </c>
      <c r="R943" s="6">
        <v>22.5</v>
      </c>
      <c r="S943" s="6">
        <v>20.122949999999999</v>
      </c>
      <c r="T943" s="6">
        <v>28.409089999999999</v>
      </c>
      <c r="U943" s="6">
        <v>28.088235000000001</v>
      </c>
      <c r="V943" s="6">
        <v>22.096774</v>
      </c>
    </row>
    <row r="944" spans="2:22">
      <c r="B944" s="6">
        <v>32316</v>
      </c>
      <c r="C944" s="6" t="s">
        <v>179</v>
      </c>
      <c r="D944" s="6">
        <v>20500</v>
      </c>
      <c r="E944" s="6" t="s">
        <v>31</v>
      </c>
      <c r="F944" s="6" t="s">
        <v>17</v>
      </c>
      <c r="G944" s="6" t="s">
        <v>1294</v>
      </c>
      <c r="H944" s="6">
        <v>27</v>
      </c>
      <c r="I944" s="6">
        <v>27</v>
      </c>
      <c r="J944" s="6">
        <v>27</v>
      </c>
      <c r="K944" s="6">
        <v>26.179282000000001</v>
      </c>
      <c r="L944" s="6">
        <v>26.186138</v>
      </c>
      <c r="M944" s="6">
        <v>25.935728999999998</v>
      </c>
      <c r="N944" s="6">
        <v>26.108958000000001</v>
      </c>
      <c r="O944" s="6">
        <v>26.328648000000001</v>
      </c>
      <c r="P944" s="6">
        <v>26.003786000000002</v>
      </c>
      <c r="Q944" s="6">
        <v>26.101534000000001</v>
      </c>
      <c r="R944" s="6">
        <v>26.316153</v>
      </c>
      <c r="S944" s="6">
        <v>25.991613999999998</v>
      </c>
      <c r="T944" s="6">
        <v>25.645997000000001</v>
      </c>
      <c r="U944" s="6">
        <v>25.223958</v>
      </c>
      <c r="V944" s="6">
        <v>24.770192999999999</v>
      </c>
    </row>
    <row r="945" spans="2:22">
      <c r="B945" s="6">
        <v>32316</v>
      </c>
      <c r="C945" s="6" t="s">
        <v>179</v>
      </c>
      <c r="D945" s="6">
        <v>20702</v>
      </c>
      <c r="E945" s="6" t="s">
        <v>44</v>
      </c>
      <c r="F945" s="6" t="s">
        <v>17</v>
      </c>
      <c r="G945" s="6" t="s">
        <v>1294</v>
      </c>
      <c r="H945" s="6">
        <v>35</v>
      </c>
      <c r="I945" s="6">
        <v>35</v>
      </c>
      <c r="J945" s="6">
        <v>35</v>
      </c>
      <c r="K945" s="6">
        <v>34.902597</v>
      </c>
      <c r="L945" s="6">
        <v>34.946427999999997</v>
      </c>
      <c r="M945" s="6">
        <v>34.934041999999998</v>
      </c>
      <c r="N945" s="6">
        <v>34.893103000000004</v>
      </c>
      <c r="O945" s="6">
        <v>34.949179999999998</v>
      </c>
      <c r="P945" s="6">
        <v>34.926701000000001</v>
      </c>
      <c r="Q945" s="6">
        <v>34.894556999999999</v>
      </c>
      <c r="R945" s="6">
        <v>34.950949000000001</v>
      </c>
      <c r="S945" s="6">
        <v>34.883485</v>
      </c>
      <c r="T945" s="6">
        <v>34.894556999999999</v>
      </c>
      <c r="U945" s="6">
        <v>34.950949000000001</v>
      </c>
      <c r="V945" s="6">
        <v>34.883485</v>
      </c>
    </row>
    <row r="946" spans="2:22">
      <c r="B946" s="6">
        <v>32316</v>
      </c>
      <c r="C946" s="6" t="s">
        <v>179</v>
      </c>
      <c r="D946" s="6">
        <v>20902</v>
      </c>
      <c r="E946" s="6" t="s">
        <v>53</v>
      </c>
      <c r="F946" s="6" t="s">
        <v>16</v>
      </c>
      <c r="G946" s="6" t="s">
        <v>1295</v>
      </c>
      <c r="H946" s="6">
        <v>30</v>
      </c>
      <c r="I946" s="6">
        <v>30</v>
      </c>
      <c r="J946" s="6">
        <v>30</v>
      </c>
      <c r="K946" s="6">
        <v>27.111111000000001</v>
      </c>
      <c r="L946" s="6">
        <v>25.059170999999999</v>
      </c>
      <c r="M946" s="6">
        <v>26.5625</v>
      </c>
      <c r="N946" s="6">
        <v>27.102803000000002</v>
      </c>
      <c r="O946" s="6">
        <v>26.100322999999999</v>
      </c>
      <c r="P946" s="6">
        <v>27.578899</v>
      </c>
      <c r="Q946" s="6">
        <v>27.102803000000002</v>
      </c>
      <c r="R946" s="6">
        <v>26.100322999999999</v>
      </c>
      <c r="S946" s="6">
        <v>27.558453</v>
      </c>
      <c r="T946" s="6">
        <v>26.737159999999999</v>
      </c>
      <c r="U946" s="6">
        <v>25.752351000000001</v>
      </c>
      <c r="V946" s="6">
        <v>27.323633000000001</v>
      </c>
    </row>
    <row r="947" spans="2:22">
      <c r="B947" s="6">
        <v>32316</v>
      </c>
      <c r="C947" s="6" t="s">
        <v>179</v>
      </c>
      <c r="D947" s="6">
        <v>20902</v>
      </c>
      <c r="E947" s="6" t="s">
        <v>53</v>
      </c>
      <c r="F947" s="6" t="s">
        <v>13</v>
      </c>
      <c r="G947" s="6" t="s">
        <v>14</v>
      </c>
      <c r="H947" s="6">
        <v>0</v>
      </c>
      <c r="I947" s="6">
        <v>20</v>
      </c>
      <c r="J947" s="6">
        <v>21.25</v>
      </c>
      <c r="K947" s="6">
        <v>18.635802000000002</v>
      </c>
      <c r="L947" s="6">
        <v>18.195121</v>
      </c>
      <c r="M947" s="6">
        <v>17.625368000000002</v>
      </c>
      <c r="N947" s="6">
        <v>19.181818</v>
      </c>
      <c r="O947" s="6">
        <v>19.119288999999998</v>
      </c>
      <c r="P947" s="6">
        <v>18.784502</v>
      </c>
      <c r="Q947" s="6">
        <v>19.181818</v>
      </c>
      <c r="R947" s="6">
        <v>19.101835999999999</v>
      </c>
      <c r="S947" s="6">
        <v>18.763134000000001</v>
      </c>
      <c r="T947" s="6">
        <v>19.181818</v>
      </c>
      <c r="U947" s="6">
        <v>19.101835999999999</v>
      </c>
      <c r="V947" s="6">
        <v>18.763134000000001</v>
      </c>
    </row>
    <row r="948" spans="2:22">
      <c r="B948" s="6">
        <v>32316</v>
      </c>
      <c r="C948" s="6" t="s">
        <v>179</v>
      </c>
      <c r="D948" s="6">
        <v>20906</v>
      </c>
      <c r="E948" s="6" t="s">
        <v>48</v>
      </c>
      <c r="F948" s="6" t="s">
        <v>49</v>
      </c>
      <c r="G948" s="6" t="s">
        <v>1296</v>
      </c>
      <c r="H948" s="6">
        <v>15.5</v>
      </c>
      <c r="I948" s="6">
        <v>15.5</v>
      </c>
      <c r="J948" s="6">
        <v>15.555555</v>
      </c>
      <c r="K948" s="6">
        <v>16.992394999999998</v>
      </c>
      <c r="L948" s="6">
        <v>16.951830000000001</v>
      </c>
      <c r="M948" s="6">
        <v>17.405908</v>
      </c>
      <c r="N948" s="6">
        <v>17.016705999999999</v>
      </c>
      <c r="O948" s="6">
        <v>16.954350000000002</v>
      </c>
      <c r="P948" s="6">
        <v>17.537869000000001</v>
      </c>
      <c r="Q948" s="6">
        <v>17.016335999999999</v>
      </c>
      <c r="R948" s="6">
        <v>16.958155999999999</v>
      </c>
      <c r="S948" s="6">
        <v>17.538882000000001</v>
      </c>
      <c r="T948" s="6">
        <v>17.016335999999999</v>
      </c>
      <c r="U948" s="6">
        <v>16.958155999999999</v>
      </c>
      <c r="V948" s="6">
        <v>17.538882000000001</v>
      </c>
    </row>
    <row r="949" spans="2:22">
      <c r="B949" s="6">
        <v>32317</v>
      </c>
      <c r="C949" s="6" t="s">
        <v>1044</v>
      </c>
      <c r="D949" s="6">
        <v>20500</v>
      </c>
      <c r="E949" s="6" t="s">
        <v>31</v>
      </c>
      <c r="F949" s="6" t="s">
        <v>13</v>
      </c>
      <c r="G949" s="6" t="s">
        <v>14</v>
      </c>
      <c r="H949" s="6">
        <v>0</v>
      </c>
      <c r="I949" s="6">
        <v>0</v>
      </c>
      <c r="J949" s="6">
        <v>20</v>
      </c>
      <c r="K949" s="6">
        <v>25</v>
      </c>
      <c r="L949" s="6">
        <v>25</v>
      </c>
      <c r="M949" s="6">
        <v>20.555554999999998</v>
      </c>
      <c r="N949" s="6">
        <v>25</v>
      </c>
      <c r="O949" s="6">
        <v>22.5</v>
      </c>
      <c r="P949" s="6">
        <v>20.123965999999999</v>
      </c>
      <c r="Q949" s="6">
        <v>25</v>
      </c>
      <c r="R949" s="6">
        <v>22.5</v>
      </c>
      <c r="S949" s="6">
        <v>20.122949999999999</v>
      </c>
      <c r="T949" s="6">
        <v>28.409089999999999</v>
      </c>
      <c r="U949" s="6">
        <v>28.088235000000001</v>
      </c>
      <c r="V949" s="6">
        <v>22.096774</v>
      </c>
    </row>
    <row r="950" spans="2:22">
      <c r="B950" s="6">
        <v>32317</v>
      </c>
      <c r="C950" s="6" t="s">
        <v>1044</v>
      </c>
      <c r="D950" s="6">
        <v>20500</v>
      </c>
      <c r="E950" s="6" t="s">
        <v>31</v>
      </c>
      <c r="F950" s="6" t="s">
        <v>17</v>
      </c>
      <c r="G950" s="6" t="s">
        <v>1294</v>
      </c>
      <c r="H950" s="6">
        <v>27</v>
      </c>
      <c r="I950" s="6">
        <v>27</v>
      </c>
      <c r="J950" s="6">
        <v>27</v>
      </c>
      <c r="K950" s="6">
        <v>26.179282000000001</v>
      </c>
      <c r="L950" s="6">
        <v>26.186138</v>
      </c>
      <c r="M950" s="6">
        <v>25.935728999999998</v>
      </c>
      <c r="N950" s="6">
        <v>26.108958000000001</v>
      </c>
      <c r="O950" s="6">
        <v>26.328648000000001</v>
      </c>
      <c r="P950" s="6">
        <v>26.003786000000002</v>
      </c>
      <c r="Q950" s="6">
        <v>26.101534000000001</v>
      </c>
      <c r="R950" s="6">
        <v>26.316153</v>
      </c>
      <c r="S950" s="6">
        <v>25.991613999999998</v>
      </c>
      <c r="T950" s="6">
        <v>25.645997000000001</v>
      </c>
      <c r="U950" s="6">
        <v>25.223958</v>
      </c>
      <c r="V950" s="6">
        <v>24.770192999999999</v>
      </c>
    </row>
    <row r="951" spans="2:22">
      <c r="B951" s="6">
        <v>32317</v>
      </c>
      <c r="C951" s="6" t="s">
        <v>1044</v>
      </c>
      <c r="D951" s="6">
        <v>20702</v>
      </c>
      <c r="E951" s="6" t="s">
        <v>44</v>
      </c>
      <c r="F951" s="6" t="s">
        <v>17</v>
      </c>
      <c r="G951" s="6" t="s">
        <v>1294</v>
      </c>
      <c r="H951" s="6">
        <v>35</v>
      </c>
      <c r="I951" s="6">
        <v>35</v>
      </c>
      <c r="J951" s="6">
        <v>35</v>
      </c>
      <c r="K951" s="6">
        <v>34.902597</v>
      </c>
      <c r="L951" s="6">
        <v>34.946427999999997</v>
      </c>
      <c r="M951" s="6">
        <v>34.934041999999998</v>
      </c>
      <c r="N951" s="6">
        <v>34.893103000000004</v>
      </c>
      <c r="O951" s="6">
        <v>34.949179999999998</v>
      </c>
      <c r="P951" s="6">
        <v>34.926701000000001</v>
      </c>
      <c r="Q951" s="6">
        <v>34.894556999999999</v>
      </c>
      <c r="R951" s="6">
        <v>34.950949000000001</v>
      </c>
      <c r="S951" s="6">
        <v>34.883485</v>
      </c>
      <c r="T951" s="6">
        <v>34.894556999999999</v>
      </c>
      <c r="U951" s="6">
        <v>34.950949000000001</v>
      </c>
      <c r="V951" s="6">
        <v>34.883485</v>
      </c>
    </row>
    <row r="952" spans="2:22">
      <c r="B952" s="6">
        <v>32317</v>
      </c>
      <c r="C952" s="6" t="s">
        <v>1044</v>
      </c>
      <c r="D952" s="6">
        <v>20902</v>
      </c>
      <c r="E952" s="6" t="s">
        <v>53</v>
      </c>
      <c r="F952" s="6" t="s">
        <v>16</v>
      </c>
      <c r="G952" s="6" t="s">
        <v>1295</v>
      </c>
      <c r="H952" s="6">
        <v>30</v>
      </c>
      <c r="I952" s="6">
        <v>30</v>
      </c>
      <c r="J952" s="6">
        <v>30</v>
      </c>
      <c r="K952" s="6">
        <v>27.111111000000001</v>
      </c>
      <c r="L952" s="6">
        <v>25.059170999999999</v>
      </c>
      <c r="M952" s="6">
        <v>26.5625</v>
      </c>
      <c r="N952" s="6">
        <v>27.102803000000002</v>
      </c>
      <c r="O952" s="6">
        <v>26.100322999999999</v>
      </c>
      <c r="P952" s="6">
        <v>27.578899</v>
      </c>
      <c r="Q952" s="6">
        <v>27.102803000000002</v>
      </c>
      <c r="R952" s="6">
        <v>26.100322999999999</v>
      </c>
      <c r="S952" s="6">
        <v>27.558453</v>
      </c>
      <c r="T952" s="6">
        <v>26.737159999999999</v>
      </c>
      <c r="U952" s="6">
        <v>25.752351000000001</v>
      </c>
      <c r="V952" s="6">
        <v>27.323633000000001</v>
      </c>
    </row>
    <row r="953" spans="2:22">
      <c r="B953" s="6">
        <v>32317</v>
      </c>
      <c r="C953" s="6" t="s">
        <v>1044</v>
      </c>
      <c r="D953" s="6">
        <v>20902</v>
      </c>
      <c r="E953" s="6" t="s">
        <v>53</v>
      </c>
      <c r="F953" s="6" t="s">
        <v>13</v>
      </c>
      <c r="G953" s="6" t="s">
        <v>14</v>
      </c>
      <c r="H953" s="6">
        <v>0</v>
      </c>
      <c r="I953" s="6">
        <v>0</v>
      </c>
      <c r="J953" s="6">
        <v>20</v>
      </c>
      <c r="K953" s="6">
        <v>18.635802000000002</v>
      </c>
      <c r="L953" s="6">
        <v>18.195121</v>
      </c>
      <c r="M953" s="6">
        <v>17.625368000000002</v>
      </c>
      <c r="N953" s="6">
        <v>19.181818</v>
      </c>
      <c r="O953" s="6">
        <v>19.119288999999998</v>
      </c>
      <c r="P953" s="6">
        <v>18.784502</v>
      </c>
      <c r="Q953" s="6">
        <v>19.181818</v>
      </c>
      <c r="R953" s="6">
        <v>19.101835999999999</v>
      </c>
      <c r="S953" s="6">
        <v>18.763134000000001</v>
      </c>
      <c r="T953" s="6">
        <v>19.181818</v>
      </c>
      <c r="U953" s="6">
        <v>19.101835999999999</v>
      </c>
      <c r="V953" s="6">
        <v>18.763134000000001</v>
      </c>
    </row>
    <row r="954" spans="2:22">
      <c r="B954" s="6">
        <v>32317</v>
      </c>
      <c r="C954" s="6" t="s">
        <v>1044</v>
      </c>
      <c r="D954" s="6">
        <v>20906</v>
      </c>
      <c r="E954" s="6" t="s">
        <v>48</v>
      </c>
      <c r="F954" s="6" t="s">
        <v>49</v>
      </c>
      <c r="G954" s="6" t="s">
        <v>1296</v>
      </c>
      <c r="H954" s="6">
        <v>15</v>
      </c>
      <c r="I954" s="6">
        <v>15</v>
      </c>
      <c r="J954" s="6">
        <v>15.5</v>
      </c>
      <c r="K954" s="6">
        <v>16.992394999999998</v>
      </c>
      <c r="L954" s="6">
        <v>16.951830000000001</v>
      </c>
      <c r="M954" s="6">
        <v>17.405908</v>
      </c>
      <c r="N954" s="6">
        <v>17.016705999999999</v>
      </c>
      <c r="O954" s="6">
        <v>16.954350000000002</v>
      </c>
      <c r="P954" s="6">
        <v>17.537869000000001</v>
      </c>
      <c r="Q954" s="6">
        <v>17.016335999999999</v>
      </c>
      <c r="R954" s="6">
        <v>16.958155999999999</v>
      </c>
      <c r="S954" s="6">
        <v>17.538882000000001</v>
      </c>
      <c r="T954" s="6">
        <v>17.016335999999999</v>
      </c>
      <c r="U954" s="6">
        <v>16.958155999999999</v>
      </c>
      <c r="V954" s="6">
        <v>17.538882000000001</v>
      </c>
    </row>
    <row r="955" spans="2:22">
      <c r="B955" s="6">
        <v>32318</v>
      </c>
      <c r="C955" s="6" t="s">
        <v>180</v>
      </c>
      <c r="D955" s="6">
        <v>20500</v>
      </c>
      <c r="E955" s="6" t="s">
        <v>31</v>
      </c>
      <c r="F955" s="6" t="s">
        <v>13</v>
      </c>
      <c r="G955" s="6" t="s">
        <v>14</v>
      </c>
      <c r="H955" s="6">
        <v>0</v>
      </c>
      <c r="I955" s="6">
        <v>0</v>
      </c>
      <c r="J955" s="6">
        <v>20</v>
      </c>
      <c r="K955" s="6">
        <v>25</v>
      </c>
      <c r="L955" s="6">
        <v>25</v>
      </c>
      <c r="M955" s="6">
        <v>20.555554999999998</v>
      </c>
      <c r="N955" s="6">
        <v>25</v>
      </c>
      <c r="O955" s="6">
        <v>22.5</v>
      </c>
      <c r="P955" s="6">
        <v>20.123965999999999</v>
      </c>
      <c r="Q955" s="6">
        <v>25</v>
      </c>
      <c r="R955" s="6">
        <v>22.5</v>
      </c>
      <c r="S955" s="6">
        <v>20.122949999999999</v>
      </c>
      <c r="T955" s="6">
        <v>28.409089999999999</v>
      </c>
      <c r="U955" s="6">
        <v>28.088235000000001</v>
      </c>
      <c r="V955" s="6">
        <v>22.096774</v>
      </c>
    </row>
    <row r="956" spans="2:22">
      <c r="B956" s="6">
        <v>32318</v>
      </c>
      <c r="C956" s="6" t="s">
        <v>180</v>
      </c>
      <c r="D956" s="6">
        <v>20500</v>
      </c>
      <c r="E956" s="6" t="s">
        <v>31</v>
      </c>
      <c r="F956" s="6" t="s">
        <v>17</v>
      </c>
      <c r="G956" s="6" t="s">
        <v>1294</v>
      </c>
      <c r="H956" s="6">
        <v>0</v>
      </c>
      <c r="I956" s="6">
        <v>27</v>
      </c>
      <c r="J956" s="6">
        <v>27</v>
      </c>
      <c r="K956" s="6">
        <v>26.179282000000001</v>
      </c>
      <c r="L956" s="6">
        <v>26.186138</v>
      </c>
      <c r="M956" s="6">
        <v>25.935728999999998</v>
      </c>
      <c r="N956" s="6">
        <v>26.108958000000001</v>
      </c>
      <c r="O956" s="6">
        <v>26.328648000000001</v>
      </c>
      <c r="P956" s="6">
        <v>26.003786000000002</v>
      </c>
      <c r="Q956" s="6">
        <v>26.101534000000001</v>
      </c>
      <c r="R956" s="6">
        <v>26.316153</v>
      </c>
      <c r="S956" s="6">
        <v>25.991613999999998</v>
      </c>
      <c r="T956" s="6">
        <v>25.645997000000001</v>
      </c>
      <c r="U956" s="6">
        <v>25.223958</v>
      </c>
      <c r="V956" s="6">
        <v>24.770192999999999</v>
      </c>
    </row>
    <row r="957" spans="2:22">
      <c r="B957" s="6">
        <v>32318</v>
      </c>
      <c r="C957" s="6" t="s">
        <v>180</v>
      </c>
      <c r="D957" s="6">
        <v>20702</v>
      </c>
      <c r="E957" s="6" t="s">
        <v>44</v>
      </c>
      <c r="F957" s="6" t="s">
        <v>17</v>
      </c>
      <c r="G957" s="6" t="s">
        <v>1294</v>
      </c>
      <c r="H957" s="6">
        <v>0</v>
      </c>
      <c r="I957" s="6">
        <v>35</v>
      </c>
      <c r="J957" s="6">
        <v>35</v>
      </c>
      <c r="K957" s="6">
        <v>34.902597</v>
      </c>
      <c r="L957" s="6">
        <v>34.946427999999997</v>
      </c>
      <c r="M957" s="6">
        <v>34.934041999999998</v>
      </c>
      <c r="N957" s="6">
        <v>34.893103000000004</v>
      </c>
      <c r="O957" s="6">
        <v>34.949179999999998</v>
      </c>
      <c r="P957" s="6">
        <v>34.926701000000001</v>
      </c>
      <c r="Q957" s="6">
        <v>34.894556999999999</v>
      </c>
      <c r="R957" s="6">
        <v>34.950949000000001</v>
      </c>
      <c r="S957" s="6">
        <v>34.883485</v>
      </c>
      <c r="T957" s="6">
        <v>34.894556999999999</v>
      </c>
      <c r="U957" s="6">
        <v>34.950949000000001</v>
      </c>
      <c r="V957" s="6">
        <v>34.883485</v>
      </c>
    </row>
    <row r="958" spans="2:22">
      <c r="B958" s="6">
        <v>32318</v>
      </c>
      <c r="C958" s="6" t="s">
        <v>180</v>
      </c>
      <c r="D958" s="6">
        <v>20902</v>
      </c>
      <c r="E958" s="6" t="s">
        <v>53</v>
      </c>
      <c r="F958" s="6" t="s">
        <v>16</v>
      </c>
      <c r="G958" s="6" t="s">
        <v>1295</v>
      </c>
      <c r="H958" s="6">
        <v>0</v>
      </c>
      <c r="I958" s="6">
        <v>30</v>
      </c>
      <c r="J958" s="6">
        <v>30</v>
      </c>
      <c r="K958" s="6">
        <v>27.111111000000001</v>
      </c>
      <c r="L958" s="6">
        <v>25.059170999999999</v>
      </c>
      <c r="M958" s="6">
        <v>26.5625</v>
      </c>
      <c r="N958" s="6">
        <v>27.102803000000002</v>
      </c>
      <c r="O958" s="6">
        <v>26.100322999999999</v>
      </c>
      <c r="P958" s="6">
        <v>27.578899</v>
      </c>
      <c r="Q958" s="6">
        <v>27.102803000000002</v>
      </c>
      <c r="R958" s="6">
        <v>26.100322999999999</v>
      </c>
      <c r="S958" s="6">
        <v>27.558453</v>
      </c>
      <c r="T958" s="6">
        <v>26.737159999999999</v>
      </c>
      <c r="U958" s="6">
        <v>25.752351000000001</v>
      </c>
      <c r="V958" s="6">
        <v>27.323633000000001</v>
      </c>
    </row>
    <row r="959" spans="2:22">
      <c r="B959" s="6">
        <v>32318</v>
      </c>
      <c r="C959" s="6" t="s">
        <v>180</v>
      </c>
      <c r="D959" s="6">
        <v>20902</v>
      </c>
      <c r="E959" s="6" t="s">
        <v>53</v>
      </c>
      <c r="F959" s="6" t="s">
        <v>13</v>
      </c>
      <c r="G959" s="6" t="s">
        <v>14</v>
      </c>
      <c r="H959" s="6">
        <v>0</v>
      </c>
      <c r="I959" s="6">
        <v>20</v>
      </c>
      <c r="J959" s="6">
        <v>20</v>
      </c>
      <c r="K959" s="6">
        <v>18.635802000000002</v>
      </c>
      <c r="L959" s="6">
        <v>18.195121</v>
      </c>
      <c r="M959" s="6">
        <v>17.625368000000002</v>
      </c>
      <c r="N959" s="6">
        <v>19.181818</v>
      </c>
      <c r="O959" s="6">
        <v>19.119288999999998</v>
      </c>
      <c r="P959" s="6">
        <v>18.784502</v>
      </c>
      <c r="Q959" s="6">
        <v>19.181818</v>
      </c>
      <c r="R959" s="6">
        <v>19.101835999999999</v>
      </c>
      <c r="S959" s="6">
        <v>18.763134000000001</v>
      </c>
      <c r="T959" s="6">
        <v>19.181818</v>
      </c>
      <c r="U959" s="6">
        <v>19.101835999999999</v>
      </c>
      <c r="V959" s="6">
        <v>18.763134000000001</v>
      </c>
    </row>
    <row r="960" spans="2:22">
      <c r="B960" s="6">
        <v>32318</v>
      </c>
      <c r="C960" s="6" t="s">
        <v>180</v>
      </c>
      <c r="D960" s="6">
        <v>20906</v>
      </c>
      <c r="E960" s="6" t="s">
        <v>48</v>
      </c>
      <c r="F960" s="6" t="s">
        <v>49</v>
      </c>
      <c r="G960" s="6" t="s">
        <v>1296</v>
      </c>
      <c r="H960" s="6">
        <v>0</v>
      </c>
      <c r="I960" s="6">
        <v>15</v>
      </c>
      <c r="J960" s="6">
        <v>15.3</v>
      </c>
      <c r="K960" s="6">
        <v>16.992394999999998</v>
      </c>
      <c r="L960" s="6">
        <v>16.951830000000001</v>
      </c>
      <c r="M960" s="6">
        <v>17.405908</v>
      </c>
      <c r="N960" s="6">
        <v>17.016705999999999</v>
      </c>
      <c r="O960" s="6">
        <v>16.954350000000002</v>
      </c>
      <c r="P960" s="6">
        <v>17.537869000000001</v>
      </c>
      <c r="Q960" s="6">
        <v>17.016335999999999</v>
      </c>
      <c r="R960" s="6">
        <v>16.958155999999999</v>
      </c>
      <c r="S960" s="6">
        <v>17.538882000000001</v>
      </c>
      <c r="T960" s="6">
        <v>17.016335999999999</v>
      </c>
      <c r="U960" s="6">
        <v>16.958155999999999</v>
      </c>
      <c r="V960" s="6">
        <v>17.538882000000001</v>
      </c>
    </row>
    <row r="961" spans="2:22">
      <c r="B961" s="6">
        <v>32319</v>
      </c>
      <c r="C961" s="6" t="s">
        <v>181</v>
      </c>
      <c r="D961" s="6">
        <v>20500</v>
      </c>
      <c r="E961" s="6" t="s">
        <v>31</v>
      </c>
      <c r="F961" s="6" t="s">
        <v>13</v>
      </c>
      <c r="G961" s="6" t="s">
        <v>14</v>
      </c>
      <c r="H961" s="6">
        <v>0</v>
      </c>
      <c r="I961" s="6">
        <v>0</v>
      </c>
      <c r="J961" s="6">
        <v>20</v>
      </c>
      <c r="K961" s="6">
        <v>25</v>
      </c>
      <c r="L961" s="6">
        <v>25</v>
      </c>
      <c r="M961" s="6">
        <v>20.555554999999998</v>
      </c>
      <c r="N961" s="6">
        <v>25</v>
      </c>
      <c r="O961" s="6">
        <v>22.5</v>
      </c>
      <c r="P961" s="6">
        <v>20.123965999999999</v>
      </c>
      <c r="Q961" s="6">
        <v>25</v>
      </c>
      <c r="R961" s="6">
        <v>22.5</v>
      </c>
      <c r="S961" s="6">
        <v>20.122949999999999</v>
      </c>
      <c r="T961" s="6">
        <v>28.409089999999999</v>
      </c>
      <c r="U961" s="6">
        <v>28.088235000000001</v>
      </c>
      <c r="V961" s="6">
        <v>22.096774</v>
      </c>
    </row>
    <row r="962" spans="2:22">
      <c r="B962" s="6">
        <v>32319</v>
      </c>
      <c r="C962" s="6" t="s">
        <v>181</v>
      </c>
      <c r="D962" s="6">
        <v>20500</v>
      </c>
      <c r="E962" s="6" t="s">
        <v>31</v>
      </c>
      <c r="F962" s="6" t="s">
        <v>17</v>
      </c>
      <c r="G962" s="6" t="s">
        <v>1294</v>
      </c>
      <c r="H962" s="6">
        <v>0</v>
      </c>
      <c r="I962" s="6">
        <v>27</v>
      </c>
      <c r="J962" s="6">
        <v>27</v>
      </c>
      <c r="K962" s="6">
        <v>26.179282000000001</v>
      </c>
      <c r="L962" s="6">
        <v>26.186138</v>
      </c>
      <c r="M962" s="6">
        <v>25.935728999999998</v>
      </c>
      <c r="N962" s="6">
        <v>26.108958000000001</v>
      </c>
      <c r="O962" s="6">
        <v>26.328648000000001</v>
      </c>
      <c r="P962" s="6">
        <v>26.003786000000002</v>
      </c>
      <c r="Q962" s="6">
        <v>26.101534000000001</v>
      </c>
      <c r="R962" s="6">
        <v>26.316153</v>
      </c>
      <c r="S962" s="6">
        <v>25.991613999999998</v>
      </c>
      <c r="T962" s="6">
        <v>25.645997000000001</v>
      </c>
      <c r="U962" s="6">
        <v>25.223958</v>
      </c>
      <c r="V962" s="6">
        <v>24.770192999999999</v>
      </c>
    </row>
    <row r="963" spans="2:22">
      <c r="B963" s="6">
        <v>32319</v>
      </c>
      <c r="C963" s="6" t="s">
        <v>181</v>
      </c>
      <c r="D963" s="6">
        <v>20702</v>
      </c>
      <c r="E963" s="6" t="s">
        <v>44</v>
      </c>
      <c r="F963" s="6" t="s">
        <v>17</v>
      </c>
      <c r="G963" s="6" t="s">
        <v>1294</v>
      </c>
      <c r="H963" s="6">
        <v>0</v>
      </c>
      <c r="I963" s="6">
        <v>35</v>
      </c>
      <c r="J963" s="6">
        <v>35</v>
      </c>
      <c r="K963" s="6">
        <v>34.902597</v>
      </c>
      <c r="L963" s="6">
        <v>34.946427999999997</v>
      </c>
      <c r="M963" s="6">
        <v>34.934041999999998</v>
      </c>
      <c r="N963" s="6">
        <v>34.893103000000004</v>
      </c>
      <c r="O963" s="6">
        <v>34.949179999999998</v>
      </c>
      <c r="P963" s="6">
        <v>34.926701000000001</v>
      </c>
      <c r="Q963" s="6">
        <v>34.894556999999999</v>
      </c>
      <c r="R963" s="6">
        <v>34.950949000000001</v>
      </c>
      <c r="S963" s="6">
        <v>34.883485</v>
      </c>
      <c r="T963" s="6">
        <v>34.894556999999999</v>
      </c>
      <c r="U963" s="6">
        <v>34.950949000000001</v>
      </c>
      <c r="V963" s="6">
        <v>34.883485</v>
      </c>
    </row>
    <row r="964" spans="2:22">
      <c r="B964" s="6">
        <v>32319</v>
      </c>
      <c r="C964" s="6" t="s">
        <v>181</v>
      </c>
      <c r="D964" s="6">
        <v>20902</v>
      </c>
      <c r="E964" s="6" t="s">
        <v>53</v>
      </c>
      <c r="F964" s="6" t="s">
        <v>13</v>
      </c>
      <c r="G964" s="6" t="s">
        <v>14</v>
      </c>
      <c r="H964" s="6">
        <v>0</v>
      </c>
      <c r="I964" s="6">
        <v>20</v>
      </c>
      <c r="J964" s="6">
        <v>20</v>
      </c>
      <c r="K964" s="6">
        <v>18.635802000000002</v>
      </c>
      <c r="L964" s="6">
        <v>18.195121</v>
      </c>
      <c r="M964" s="6">
        <v>17.625368000000002</v>
      </c>
      <c r="N964" s="6">
        <v>19.181818</v>
      </c>
      <c r="O964" s="6">
        <v>19.119288999999998</v>
      </c>
      <c r="P964" s="6">
        <v>18.784502</v>
      </c>
      <c r="Q964" s="6">
        <v>19.181818</v>
      </c>
      <c r="R964" s="6">
        <v>19.101835999999999</v>
      </c>
      <c r="S964" s="6">
        <v>18.763134000000001</v>
      </c>
      <c r="T964" s="6">
        <v>19.181818</v>
      </c>
      <c r="U964" s="6">
        <v>19.101835999999999</v>
      </c>
      <c r="V964" s="6">
        <v>18.763134000000001</v>
      </c>
    </row>
    <row r="965" spans="2:22">
      <c r="B965" s="6">
        <v>32319</v>
      </c>
      <c r="C965" s="6" t="s">
        <v>181</v>
      </c>
      <c r="D965" s="6">
        <v>20906</v>
      </c>
      <c r="E965" s="6" t="s">
        <v>48</v>
      </c>
      <c r="F965" s="6" t="s">
        <v>49</v>
      </c>
      <c r="G965" s="6" t="s">
        <v>1296</v>
      </c>
      <c r="H965" s="6">
        <v>0</v>
      </c>
      <c r="I965" s="6">
        <v>15</v>
      </c>
      <c r="J965" s="6">
        <v>15.2</v>
      </c>
      <c r="K965" s="6">
        <v>16.992394999999998</v>
      </c>
      <c r="L965" s="6">
        <v>16.951830000000001</v>
      </c>
      <c r="M965" s="6">
        <v>17.405908</v>
      </c>
      <c r="N965" s="6">
        <v>17.016705999999999</v>
      </c>
      <c r="O965" s="6">
        <v>16.954350000000002</v>
      </c>
      <c r="P965" s="6">
        <v>17.537869000000001</v>
      </c>
      <c r="Q965" s="6">
        <v>17.016335999999999</v>
      </c>
      <c r="R965" s="6">
        <v>16.958155999999999</v>
      </c>
      <c r="S965" s="6">
        <v>17.538882000000001</v>
      </c>
      <c r="T965" s="6">
        <v>17.016335999999999</v>
      </c>
      <c r="U965" s="6">
        <v>16.958155999999999</v>
      </c>
      <c r="V965" s="6">
        <v>17.538882000000001</v>
      </c>
    </row>
    <row r="966" spans="2:22">
      <c r="B966" s="6">
        <v>32320</v>
      </c>
      <c r="C966" s="6" t="s">
        <v>182</v>
      </c>
      <c r="D966" s="6">
        <v>20500</v>
      </c>
      <c r="E966" s="6" t="s">
        <v>31</v>
      </c>
      <c r="F966" s="6" t="s">
        <v>13</v>
      </c>
      <c r="G966" s="6" t="s">
        <v>14</v>
      </c>
      <c r="H966" s="6">
        <v>0</v>
      </c>
      <c r="I966" s="6">
        <v>0</v>
      </c>
      <c r="J966" s="6">
        <v>20</v>
      </c>
      <c r="K966" s="6">
        <v>25</v>
      </c>
      <c r="L966" s="6">
        <v>25</v>
      </c>
      <c r="M966" s="6">
        <v>20.555554999999998</v>
      </c>
      <c r="N966" s="6">
        <v>25</v>
      </c>
      <c r="O966" s="6">
        <v>22.5</v>
      </c>
      <c r="P966" s="6">
        <v>20.123965999999999</v>
      </c>
      <c r="Q966" s="6">
        <v>25</v>
      </c>
      <c r="R966" s="6">
        <v>22.5</v>
      </c>
      <c r="S966" s="6">
        <v>20.122949999999999</v>
      </c>
      <c r="T966" s="6">
        <v>28.409089999999999</v>
      </c>
      <c r="U966" s="6">
        <v>28.088235000000001</v>
      </c>
      <c r="V966" s="6">
        <v>22.096774</v>
      </c>
    </row>
    <row r="967" spans="2:22">
      <c r="B967" s="6">
        <v>32320</v>
      </c>
      <c r="C967" s="6" t="s">
        <v>182</v>
      </c>
      <c r="D967" s="6">
        <v>20500</v>
      </c>
      <c r="E967" s="6" t="s">
        <v>31</v>
      </c>
      <c r="F967" s="6" t="s">
        <v>17</v>
      </c>
      <c r="G967" s="6" t="s">
        <v>1294</v>
      </c>
      <c r="H967" s="6">
        <v>27</v>
      </c>
      <c r="I967" s="6">
        <v>27</v>
      </c>
      <c r="J967" s="6">
        <v>27</v>
      </c>
      <c r="K967" s="6">
        <v>26.179282000000001</v>
      </c>
      <c r="L967" s="6">
        <v>26.186138</v>
      </c>
      <c r="M967" s="6">
        <v>25.935728999999998</v>
      </c>
      <c r="N967" s="6">
        <v>26.108958000000001</v>
      </c>
      <c r="O967" s="6">
        <v>26.328648000000001</v>
      </c>
      <c r="P967" s="6">
        <v>26.003786000000002</v>
      </c>
      <c r="Q967" s="6">
        <v>26.101534000000001</v>
      </c>
      <c r="R967" s="6">
        <v>26.316153</v>
      </c>
      <c r="S967" s="6">
        <v>25.991613999999998</v>
      </c>
      <c r="T967" s="6">
        <v>25.645997000000001</v>
      </c>
      <c r="U967" s="6">
        <v>25.223958</v>
      </c>
      <c r="V967" s="6">
        <v>24.770192999999999</v>
      </c>
    </row>
    <row r="968" spans="2:22">
      <c r="B968" s="6">
        <v>32320</v>
      </c>
      <c r="C968" s="6" t="s">
        <v>182</v>
      </c>
      <c r="D968" s="6">
        <v>20702</v>
      </c>
      <c r="E968" s="6" t="s">
        <v>44</v>
      </c>
      <c r="F968" s="6" t="s">
        <v>17</v>
      </c>
      <c r="G968" s="6" t="s">
        <v>1294</v>
      </c>
      <c r="H968" s="6">
        <v>35</v>
      </c>
      <c r="I968" s="6">
        <v>35</v>
      </c>
      <c r="J968" s="6">
        <v>35</v>
      </c>
      <c r="K968" s="6">
        <v>34.902597</v>
      </c>
      <c r="L968" s="6">
        <v>34.946427999999997</v>
      </c>
      <c r="M968" s="6">
        <v>34.934041999999998</v>
      </c>
      <c r="N968" s="6">
        <v>34.893103000000004</v>
      </c>
      <c r="O968" s="6">
        <v>34.949179999999998</v>
      </c>
      <c r="P968" s="6">
        <v>34.926701000000001</v>
      </c>
      <c r="Q968" s="6">
        <v>34.894556999999999</v>
      </c>
      <c r="R968" s="6">
        <v>34.950949000000001</v>
      </c>
      <c r="S968" s="6">
        <v>34.883485</v>
      </c>
      <c r="T968" s="6">
        <v>34.894556999999999</v>
      </c>
      <c r="U968" s="6">
        <v>34.950949000000001</v>
      </c>
      <c r="V968" s="6">
        <v>34.883485</v>
      </c>
    </row>
    <row r="969" spans="2:22">
      <c r="B969" s="6">
        <v>32320</v>
      </c>
      <c r="C969" s="6" t="s">
        <v>182</v>
      </c>
      <c r="D969" s="6">
        <v>20902</v>
      </c>
      <c r="E969" s="6" t="s">
        <v>53</v>
      </c>
      <c r="F969" s="6" t="s">
        <v>16</v>
      </c>
      <c r="G969" s="6" t="s">
        <v>1295</v>
      </c>
      <c r="H969" s="6">
        <v>30</v>
      </c>
      <c r="I969" s="6">
        <v>30</v>
      </c>
      <c r="J969" s="6">
        <v>30</v>
      </c>
      <c r="K969" s="6">
        <v>27.111111000000001</v>
      </c>
      <c r="L969" s="6">
        <v>25.059170999999999</v>
      </c>
      <c r="M969" s="6">
        <v>26.5625</v>
      </c>
      <c r="N969" s="6">
        <v>27.102803000000002</v>
      </c>
      <c r="O969" s="6">
        <v>26.100322999999999</v>
      </c>
      <c r="P969" s="6">
        <v>27.578899</v>
      </c>
      <c r="Q969" s="6">
        <v>27.102803000000002</v>
      </c>
      <c r="R969" s="6">
        <v>26.100322999999999</v>
      </c>
      <c r="S969" s="6">
        <v>27.558453</v>
      </c>
      <c r="T969" s="6">
        <v>26.737159999999999</v>
      </c>
      <c r="U969" s="6">
        <v>25.752351000000001</v>
      </c>
      <c r="V969" s="6">
        <v>27.323633000000001</v>
      </c>
    </row>
    <row r="970" spans="2:22">
      <c r="B970" s="6">
        <v>32320</v>
      </c>
      <c r="C970" s="6" t="s">
        <v>182</v>
      </c>
      <c r="D970" s="6">
        <v>20902</v>
      </c>
      <c r="E970" s="6" t="s">
        <v>53</v>
      </c>
      <c r="F970" s="6" t="s">
        <v>13</v>
      </c>
      <c r="G970" s="6" t="s">
        <v>14</v>
      </c>
      <c r="H970" s="6">
        <v>0</v>
      </c>
      <c r="I970" s="6">
        <v>20</v>
      </c>
      <c r="J970" s="6">
        <v>20</v>
      </c>
      <c r="K970" s="6">
        <v>18.635802000000002</v>
      </c>
      <c r="L970" s="6">
        <v>18.195121</v>
      </c>
      <c r="M970" s="6">
        <v>17.625368000000002</v>
      </c>
      <c r="N970" s="6">
        <v>19.181818</v>
      </c>
      <c r="O970" s="6">
        <v>19.119288999999998</v>
      </c>
      <c r="P970" s="6">
        <v>18.784502</v>
      </c>
      <c r="Q970" s="6">
        <v>19.181818</v>
      </c>
      <c r="R970" s="6">
        <v>19.101835999999999</v>
      </c>
      <c r="S970" s="6">
        <v>18.763134000000001</v>
      </c>
      <c r="T970" s="6">
        <v>19.181818</v>
      </c>
      <c r="U970" s="6">
        <v>19.101835999999999</v>
      </c>
      <c r="V970" s="6">
        <v>18.763134000000001</v>
      </c>
    </row>
    <row r="971" spans="2:22">
      <c r="B971" s="6">
        <v>32320</v>
      </c>
      <c r="C971" s="6" t="s">
        <v>182</v>
      </c>
      <c r="D971" s="6">
        <v>20906</v>
      </c>
      <c r="E971" s="6" t="s">
        <v>48</v>
      </c>
      <c r="F971" s="6" t="s">
        <v>49</v>
      </c>
      <c r="G971" s="6" t="s">
        <v>1296</v>
      </c>
      <c r="H971" s="6">
        <v>0</v>
      </c>
      <c r="I971" s="6">
        <v>15</v>
      </c>
      <c r="J971" s="6">
        <v>15.166665999999999</v>
      </c>
      <c r="K971" s="6">
        <v>16.992394999999998</v>
      </c>
      <c r="L971" s="6">
        <v>16.951830000000001</v>
      </c>
      <c r="M971" s="6">
        <v>17.405908</v>
      </c>
      <c r="N971" s="6">
        <v>17.016705999999999</v>
      </c>
      <c r="O971" s="6">
        <v>16.954350000000002</v>
      </c>
      <c r="P971" s="6">
        <v>17.537869000000001</v>
      </c>
      <c r="Q971" s="6">
        <v>17.016335999999999</v>
      </c>
      <c r="R971" s="6">
        <v>16.958155999999999</v>
      </c>
      <c r="S971" s="6">
        <v>17.538882000000001</v>
      </c>
      <c r="T971" s="6">
        <v>17.016335999999999</v>
      </c>
      <c r="U971" s="6">
        <v>16.958155999999999</v>
      </c>
      <c r="V971" s="6">
        <v>17.538882000000001</v>
      </c>
    </row>
    <row r="972" spans="2:22">
      <c r="B972" s="6">
        <v>32321</v>
      </c>
      <c r="C972" s="6" t="s">
        <v>1104</v>
      </c>
      <c r="D972" s="6">
        <v>20500</v>
      </c>
      <c r="E972" s="6" t="s">
        <v>31</v>
      </c>
      <c r="F972" s="6" t="s">
        <v>17</v>
      </c>
      <c r="G972" s="6" t="s">
        <v>1294</v>
      </c>
      <c r="H972" s="6">
        <v>0</v>
      </c>
      <c r="I972" s="6">
        <v>0</v>
      </c>
      <c r="J972" s="6">
        <v>27</v>
      </c>
      <c r="K972" s="6">
        <v>26.179282000000001</v>
      </c>
      <c r="L972" s="6">
        <v>26.186138</v>
      </c>
      <c r="M972" s="6">
        <v>25.935728999999998</v>
      </c>
      <c r="N972" s="6">
        <v>26.108958000000001</v>
      </c>
      <c r="O972" s="6">
        <v>26.328648000000001</v>
      </c>
      <c r="P972" s="6">
        <v>26.003786000000002</v>
      </c>
      <c r="Q972" s="6">
        <v>26.101534000000001</v>
      </c>
      <c r="R972" s="6">
        <v>26.316153</v>
      </c>
      <c r="S972" s="6">
        <v>25.991613999999998</v>
      </c>
      <c r="T972" s="6">
        <v>25.645997000000001</v>
      </c>
      <c r="U972" s="6">
        <v>25.223958</v>
      </c>
      <c r="V972" s="6">
        <v>24.770192999999999</v>
      </c>
    </row>
    <row r="973" spans="2:22">
      <c r="B973" s="6">
        <v>32321</v>
      </c>
      <c r="C973" s="6" t="s">
        <v>1104</v>
      </c>
      <c r="D973" s="6">
        <v>20713</v>
      </c>
      <c r="E973" s="6" t="s">
        <v>147</v>
      </c>
      <c r="F973" s="6" t="s">
        <v>17</v>
      </c>
      <c r="G973" s="6" t="s">
        <v>1294</v>
      </c>
      <c r="H973" s="6">
        <v>0</v>
      </c>
      <c r="I973" s="6">
        <v>0</v>
      </c>
      <c r="J973" s="6">
        <v>25</v>
      </c>
      <c r="K973" s="6">
        <v>25</v>
      </c>
      <c r="L973" s="6">
        <v>25.175438</v>
      </c>
      <c r="M973" s="6">
        <v>25.10989</v>
      </c>
      <c r="N973" s="6">
        <v>25.272727</v>
      </c>
      <c r="O973" s="6">
        <v>25.25</v>
      </c>
      <c r="P973" s="6">
        <v>25.15015</v>
      </c>
      <c r="Q973" s="6">
        <v>25.272727</v>
      </c>
      <c r="R973" s="6">
        <v>25.25</v>
      </c>
      <c r="S973" s="6">
        <v>25.15015</v>
      </c>
      <c r="T973" s="6">
        <v>25.272727</v>
      </c>
      <c r="U973" s="6">
        <v>25.25</v>
      </c>
      <c r="V973" s="6">
        <v>25.15015</v>
      </c>
    </row>
    <row r="974" spans="2:22">
      <c r="B974" s="6">
        <v>32321</v>
      </c>
      <c r="C974" s="6" t="s">
        <v>1104</v>
      </c>
      <c r="D974" s="6">
        <v>20902</v>
      </c>
      <c r="E974" s="6" t="s">
        <v>53</v>
      </c>
      <c r="F974" s="6" t="s">
        <v>13</v>
      </c>
      <c r="G974" s="6" t="s">
        <v>14</v>
      </c>
      <c r="H974" s="6">
        <v>0</v>
      </c>
      <c r="I974" s="6">
        <v>0</v>
      </c>
      <c r="J974" s="6">
        <v>20</v>
      </c>
      <c r="K974" s="6">
        <v>18.635802000000002</v>
      </c>
      <c r="L974" s="6">
        <v>18.195121</v>
      </c>
      <c r="M974" s="6">
        <v>17.625368000000002</v>
      </c>
      <c r="N974" s="6">
        <v>19.181818</v>
      </c>
      <c r="O974" s="6">
        <v>19.119288999999998</v>
      </c>
      <c r="P974" s="6">
        <v>18.784502</v>
      </c>
      <c r="Q974" s="6">
        <v>19.181818</v>
      </c>
      <c r="R974" s="6">
        <v>19.101835999999999</v>
      </c>
      <c r="S974" s="6">
        <v>18.763134000000001</v>
      </c>
      <c r="T974" s="6">
        <v>19.181818</v>
      </c>
      <c r="U974" s="6">
        <v>19.101835999999999</v>
      </c>
      <c r="V974" s="6">
        <v>18.763134000000001</v>
      </c>
    </row>
    <row r="975" spans="2:22">
      <c r="B975" s="6">
        <v>32321</v>
      </c>
      <c r="C975" s="6" t="s">
        <v>1104</v>
      </c>
      <c r="D975" s="6">
        <v>20906</v>
      </c>
      <c r="E975" s="6" t="s">
        <v>48</v>
      </c>
      <c r="F975" s="6" t="s">
        <v>49</v>
      </c>
      <c r="G975" s="6" t="s">
        <v>1296</v>
      </c>
      <c r="H975" s="6">
        <v>0</v>
      </c>
      <c r="I975" s="6">
        <v>0</v>
      </c>
      <c r="J975" s="6">
        <v>18</v>
      </c>
      <c r="K975" s="6">
        <v>16.992394999999998</v>
      </c>
      <c r="L975" s="6">
        <v>16.951830000000001</v>
      </c>
      <c r="M975" s="6">
        <v>17.405908</v>
      </c>
      <c r="N975" s="6">
        <v>17.016705999999999</v>
      </c>
      <c r="O975" s="6">
        <v>16.954350000000002</v>
      </c>
      <c r="P975" s="6">
        <v>17.537869000000001</v>
      </c>
      <c r="Q975" s="6">
        <v>17.016335999999999</v>
      </c>
      <c r="R975" s="6">
        <v>16.958155999999999</v>
      </c>
      <c r="S975" s="6">
        <v>17.538882000000001</v>
      </c>
      <c r="T975" s="6">
        <v>17.016335999999999</v>
      </c>
      <c r="U975" s="6">
        <v>16.958155999999999</v>
      </c>
      <c r="V975" s="6">
        <v>17.538882000000001</v>
      </c>
    </row>
    <row r="976" spans="2:22">
      <c r="B976" s="6">
        <v>32325</v>
      </c>
      <c r="C976" s="6" t="s">
        <v>1189</v>
      </c>
      <c r="D976" s="6">
        <v>23314</v>
      </c>
      <c r="E976" s="6" t="s">
        <v>1233</v>
      </c>
      <c r="F976" s="6" t="s">
        <v>73</v>
      </c>
      <c r="G976" s="6" t="s">
        <v>1299</v>
      </c>
      <c r="H976" s="6">
        <v>0</v>
      </c>
      <c r="I976" s="6">
        <v>0</v>
      </c>
      <c r="J976" s="6">
        <v>1</v>
      </c>
      <c r="K976" s="6">
        <v>1</v>
      </c>
      <c r="L976" s="6">
        <v>1</v>
      </c>
      <c r="M976" s="6">
        <v>1</v>
      </c>
      <c r="N976" s="6">
        <v>1</v>
      </c>
      <c r="O976" s="6">
        <v>1</v>
      </c>
      <c r="P976" s="6">
        <v>1</v>
      </c>
      <c r="Q976" s="6">
        <v>1</v>
      </c>
      <c r="R976" s="6">
        <v>1</v>
      </c>
      <c r="S976" s="6">
        <v>1</v>
      </c>
      <c r="T976" s="6">
        <v>1</v>
      </c>
      <c r="U976" s="6">
        <v>1</v>
      </c>
      <c r="V976" s="6">
        <v>1</v>
      </c>
    </row>
    <row r="977" spans="2:22">
      <c r="B977" s="6">
        <v>32325</v>
      </c>
      <c r="C977" s="6" t="s">
        <v>1189</v>
      </c>
      <c r="D977" s="6">
        <v>23317</v>
      </c>
      <c r="E977" s="6" t="s">
        <v>1234</v>
      </c>
      <c r="F977" s="6" t="s">
        <v>73</v>
      </c>
      <c r="G977" s="6" t="s">
        <v>1299</v>
      </c>
      <c r="H977" s="6">
        <v>0</v>
      </c>
      <c r="I977" s="6">
        <v>0</v>
      </c>
      <c r="J977" s="6">
        <v>5</v>
      </c>
      <c r="K977" s="6">
        <v>0</v>
      </c>
      <c r="L977" s="6">
        <v>0</v>
      </c>
      <c r="M977" s="6">
        <v>5</v>
      </c>
      <c r="N977" s="6">
        <v>0</v>
      </c>
      <c r="O977" s="6">
        <v>0</v>
      </c>
      <c r="P977" s="6">
        <v>5</v>
      </c>
      <c r="Q977" s="6">
        <v>0</v>
      </c>
      <c r="R977" s="6">
        <v>0</v>
      </c>
      <c r="S977" s="6">
        <v>5</v>
      </c>
      <c r="T977" s="6">
        <v>0</v>
      </c>
      <c r="U977" s="6">
        <v>0</v>
      </c>
      <c r="V977" s="6">
        <v>5</v>
      </c>
    </row>
    <row r="978" spans="2:22">
      <c r="B978" s="6">
        <v>32325</v>
      </c>
      <c r="C978" s="6" t="s">
        <v>1189</v>
      </c>
      <c r="D978" s="6">
        <v>23500</v>
      </c>
      <c r="E978" s="6" t="s">
        <v>37</v>
      </c>
      <c r="F978" s="6" t="s">
        <v>73</v>
      </c>
      <c r="G978" s="6" t="s">
        <v>1299</v>
      </c>
      <c r="H978" s="6">
        <v>0</v>
      </c>
      <c r="I978" s="6">
        <v>0</v>
      </c>
      <c r="J978" s="6">
        <v>1</v>
      </c>
      <c r="K978" s="6">
        <v>1</v>
      </c>
      <c r="L978" s="6">
        <v>1</v>
      </c>
      <c r="M978" s="6">
        <v>1</v>
      </c>
      <c r="N978" s="6">
        <v>1</v>
      </c>
      <c r="O978" s="6">
        <v>1</v>
      </c>
      <c r="P978" s="6">
        <v>1</v>
      </c>
      <c r="Q978" s="6">
        <v>1</v>
      </c>
      <c r="R978" s="6">
        <v>1</v>
      </c>
      <c r="S978" s="6">
        <v>1</v>
      </c>
      <c r="T978" s="6">
        <v>1</v>
      </c>
      <c r="U978" s="6">
        <v>1</v>
      </c>
      <c r="V978" s="6">
        <v>1</v>
      </c>
    </row>
    <row r="979" spans="2:22">
      <c r="B979" s="6">
        <v>32325</v>
      </c>
      <c r="C979" s="6" t="s">
        <v>1189</v>
      </c>
      <c r="D979" s="6">
        <v>80012</v>
      </c>
      <c r="E979" s="6" t="s">
        <v>1230</v>
      </c>
      <c r="F979" s="6" t="s">
        <v>73</v>
      </c>
      <c r="G979" s="6" t="s">
        <v>1299</v>
      </c>
      <c r="H979" s="6">
        <v>0</v>
      </c>
      <c r="I979" s="6">
        <v>0</v>
      </c>
      <c r="J979" s="6">
        <v>15</v>
      </c>
      <c r="K979" s="6">
        <v>0</v>
      </c>
      <c r="L979" s="6">
        <v>0</v>
      </c>
      <c r="M979" s="6">
        <v>15</v>
      </c>
      <c r="N979" s="6">
        <v>15</v>
      </c>
      <c r="O979" s="6">
        <v>15</v>
      </c>
      <c r="P979" s="6">
        <v>15</v>
      </c>
      <c r="Q979" s="6">
        <v>15</v>
      </c>
      <c r="R979" s="6">
        <v>15</v>
      </c>
      <c r="S979" s="6">
        <v>15</v>
      </c>
      <c r="T979" s="6">
        <v>15</v>
      </c>
      <c r="U979" s="6">
        <v>15</v>
      </c>
      <c r="V979" s="6">
        <v>15</v>
      </c>
    </row>
    <row r="980" spans="2:22">
      <c r="B980" s="6">
        <v>32347</v>
      </c>
      <c r="C980" s="6" t="s">
        <v>1043</v>
      </c>
      <c r="D980" s="6">
        <v>20500</v>
      </c>
      <c r="E980" s="6" t="s">
        <v>31</v>
      </c>
      <c r="F980" s="6" t="s">
        <v>17</v>
      </c>
      <c r="G980" s="6" t="s">
        <v>1294</v>
      </c>
      <c r="H980" s="6">
        <v>16</v>
      </c>
      <c r="I980" s="6">
        <v>16</v>
      </c>
      <c r="J980" s="6">
        <v>16</v>
      </c>
      <c r="K980" s="6">
        <v>16</v>
      </c>
      <c r="L980" s="6">
        <v>16</v>
      </c>
      <c r="M980" s="6">
        <v>16</v>
      </c>
      <c r="N980" s="6">
        <v>16</v>
      </c>
      <c r="O980" s="6">
        <v>16</v>
      </c>
      <c r="P980" s="6">
        <v>16</v>
      </c>
      <c r="Q980" s="6">
        <v>16</v>
      </c>
      <c r="R980" s="6">
        <v>16</v>
      </c>
      <c r="S980" s="6">
        <v>16</v>
      </c>
      <c r="T980" s="6">
        <v>25.645997000000001</v>
      </c>
      <c r="U980" s="6">
        <v>25.223958</v>
      </c>
      <c r="V980" s="6">
        <v>24.770192999999999</v>
      </c>
    </row>
    <row r="981" spans="2:22">
      <c r="B981" s="6">
        <v>32359</v>
      </c>
      <c r="C981" s="6" t="s">
        <v>1132</v>
      </c>
      <c r="D981" s="6">
        <v>20500</v>
      </c>
      <c r="E981" s="6" t="s">
        <v>31</v>
      </c>
      <c r="F981" s="6" t="s">
        <v>17</v>
      </c>
      <c r="G981" s="6" t="s">
        <v>1294</v>
      </c>
      <c r="H981" s="6">
        <v>0</v>
      </c>
      <c r="I981" s="6">
        <v>0</v>
      </c>
      <c r="J981" s="6">
        <v>27</v>
      </c>
      <c r="K981" s="6">
        <v>26.179282000000001</v>
      </c>
      <c r="L981" s="6">
        <v>26.186138</v>
      </c>
      <c r="M981" s="6">
        <v>25.935728999999998</v>
      </c>
      <c r="N981" s="6">
        <v>26.108958000000001</v>
      </c>
      <c r="O981" s="6">
        <v>26.328648000000001</v>
      </c>
      <c r="P981" s="6">
        <v>26.003786000000002</v>
      </c>
      <c r="Q981" s="6">
        <v>26.101534000000001</v>
      </c>
      <c r="R981" s="6">
        <v>26.316153</v>
      </c>
      <c r="S981" s="6">
        <v>25.991613999999998</v>
      </c>
      <c r="T981" s="6">
        <v>25.645997000000001</v>
      </c>
      <c r="U981" s="6">
        <v>25.223958</v>
      </c>
      <c r="V981" s="6">
        <v>24.770192999999999</v>
      </c>
    </row>
    <row r="982" spans="2:22">
      <c r="B982" s="6">
        <v>32359</v>
      </c>
      <c r="C982" s="6" t="s">
        <v>1132</v>
      </c>
      <c r="D982" s="6">
        <v>20713</v>
      </c>
      <c r="E982" s="6" t="s">
        <v>147</v>
      </c>
      <c r="F982" s="6" t="s">
        <v>17</v>
      </c>
      <c r="G982" s="6" t="s">
        <v>1294</v>
      </c>
      <c r="H982" s="6">
        <v>0</v>
      </c>
      <c r="I982" s="6">
        <v>0</v>
      </c>
      <c r="J982" s="6">
        <v>25</v>
      </c>
      <c r="K982" s="6">
        <v>25</v>
      </c>
      <c r="L982" s="6">
        <v>25.175438</v>
      </c>
      <c r="M982" s="6">
        <v>25.10989</v>
      </c>
      <c r="N982" s="6">
        <v>25.272727</v>
      </c>
      <c r="O982" s="6">
        <v>25.25</v>
      </c>
      <c r="P982" s="6">
        <v>25.15015</v>
      </c>
      <c r="Q982" s="6">
        <v>25.272727</v>
      </c>
      <c r="R982" s="6">
        <v>25.25</v>
      </c>
      <c r="S982" s="6">
        <v>25.15015</v>
      </c>
      <c r="T982" s="6">
        <v>25.272727</v>
      </c>
      <c r="U982" s="6">
        <v>25.25</v>
      </c>
      <c r="V982" s="6">
        <v>25.15015</v>
      </c>
    </row>
    <row r="983" spans="2:22">
      <c r="B983" s="6">
        <v>32359</v>
      </c>
      <c r="C983" s="6" t="s">
        <v>1132</v>
      </c>
      <c r="D983" s="6">
        <v>20902</v>
      </c>
      <c r="E983" s="6" t="s">
        <v>53</v>
      </c>
      <c r="F983" s="6" t="s">
        <v>13</v>
      </c>
      <c r="G983" s="6" t="s">
        <v>14</v>
      </c>
      <c r="H983" s="6">
        <v>0</v>
      </c>
      <c r="I983" s="6">
        <v>0</v>
      </c>
      <c r="J983" s="6">
        <v>20</v>
      </c>
      <c r="K983" s="6">
        <v>18.635802000000002</v>
      </c>
      <c r="L983" s="6">
        <v>18.195121</v>
      </c>
      <c r="M983" s="6">
        <v>17.625368000000002</v>
      </c>
      <c r="N983" s="6">
        <v>19.181818</v>
      </c>
      <c r="O983" s="6">
        <v>19.119288999999998</v>
      </c>
      <c r="P983" s="6">
        <v>18.784502</v>
      </c>
      <c r="Q983" s="6">
        <v>19.181818</v>
      </c>
      <c r="R983" s="6">
        <v>19.101835999999999</v>
      </c>
      <c r="S983" s="6">
        <v>18.763134000000001</v>
      </c>
      <c r="T983" s="6">
        <v>19.181818</v>
      </c>
      <c r="U983" s="6">
        <v>19.101835999999999</v>
      </c>
      <c r="V983" s="6">
        <v>18.763134000000001</v>
      </c>
    </row>
    <row r="984" spans="2:22">
      <c r="B984" s="6">
        <v>32359</v>
      </c>
      <c r="C984" s="6" t="s">
        <v>1132</v>
      </c>
      <c r="D984" s="6">
        <v>20906</v>
      </c>
      <c r="E984" s="6" t="s">
        <v>48</v>
      </c>
      <c r="F984" s="6" t="s">
        <v>49</v>
      </c>
      <c r="G984" s="6" t="s">
        <v>1296</v>
      </c>
      <c r="H984" s="6">
        <v>0</v>
      </c>
      <c r="I984" s="6">
        <v>0</v>
      </c>
      <c r="J984" s="6">
        <v>20</v>
      </c>
      <c r="K984" s="6">
        <v>16.992394999999998</v>
      </c>
      <c r="L984" s="6">
        <v>16.951830000000001</v>
      </c>
      <c r="M984" s="6">
        <v>17.405908</v>
      </c>
      <c r="N984" s="6">
        <v>17.016705999999999</v>
      </c>
      <c r="O984" s="6">
        <v>16.954350000000002</v>
      </c>
      <c r="P984" s="6">
        <v>17.537869000000001</v>
      </c>
      <c r="Q984" s="6">
        <v>17.016335999999999</v>
      </c>
      <c r="R984" s="6">
        <v>16.958155999999999</v>
      </c>
      <c r="S984" s="6">
        <v>17.538882000000001</v>
      </c>
      <c r="T984" s="6">
        <v>17.016335999999999</v>
      </c>
      <c r="U984" s="6">
        <v>16.958155999999999</v>
      </c>
      <c r="V984" s="6">
        <v>17.538882000000001</v>
      </c>
    </row>
    <row r="985" spans="2:22">
      <c r="B985" s="6">
        <v>32360</v>
      </c>
      <c r="C985" s="6" t="s">
        <v>183</v>
      </c>
      <c r="D985" s="6">
        <v>20500</v>
      </c>
      <c r="E985" s="6" t="s">
        <v>31</v>
      </c>
      <c r="F985" s="6" t="s">
        <v>17</v>
      </c>
      <c r="G985" s="6" t="s">
        <v>1294</v>
      </c>
      <c r="H985" s="6">
        <v>25</v>
      </c>
      <c r="I985" s="6">
        <v>25</v>
      </c>
      <c r="J985" s="6">
        <v>25</v>
      </c>
      <c r="K985" s="6">
        <v>26.046875</v>
      </c>
      <c r="L985" s="6">
        <v>26.199541</v>
      </c>
      <c r="M985" s="6">
        <v>26.109717</v>
      </c>
      <c r="N985" s="6">
        <v>26.108958000000001</v>
      </c>
      <c r="O985" s="6">
        <v>26.328648000000001</v>
      </c>
      <c r="P985" s="6">
        <v>26.003786000000002</v>
      </c>
      <c r="Q985" s="6">
        <v>26.101534000000001</v>
      </c>
      <c r="R985" s="6">
        <v>26.316153</v>
      </c>
      <c r="S985" s="6">
        <v>25.991613999999998</v>
      </c>
      <c r="T985" s="6">
        <v>25.645997000000001</v>
      </c>
      <c r="U985" s="6">
        <v>25.223958</v>
      </c>
      <c r="V985" s="6">
        <v>24.770192999999999</v>
      </c>
    </row>
    <row r="986" spans="2:22">
      <c r="B986" s="6">
        <v>32360</v>
      </c>
      <c r="C986" s="6" t="s">
        <v>183</v>
      </c>
      <c r="D986" s="6">
        <v>20706</v>
      </c>
      <c r="E986" s="6" t="s">
        <v>52</v>
      </c>
      <c r="F986" s="6" t="s">
        <v>17</v>
      </c>
      <c r="G986" s="6" t="s">
        <v>1294</v>
      </c>
      <c r="H986" s="6">
        <v>40</v>
      </c>
      <c r="I986" s="6">
        <v>40</v>
      </c>
      <c r="J986" s="6">
        <v>40</v>
      </c>
      <c r="K986" s="6">
        <v>39.625</v>
      </c>
      <c r="L986" s="6">
        <v>39.852941000000001</v>
      </c>
      <c r="M986" s="6">
        <v>39.894365999999998</v>
      </c>
      <c r="N986" s="6">
        <v>39.962778999999998</v>
      </c>
      <c r="O986" s="6">
        <v>39.971750999999998</v>
      </c>
      <c r="P986" s="6">
        <v>39.969020999999998</v>
      </c>
      <c r="Q986" s="6">
        <v>39.963768000000002</v>
      </c>
      <c r="R986" s="6">
        <v>39.972496999999997</v>
      </c>
      <c r="S986" s="6">
        <v>39.969659999999998</v>
      </c>
      <c r="T986" s="6">
        <v>39.867787999999997</v>
      </c>
      <c r="U986" s="6">
        <v>39.928649</v>
      </c>
      <c r="V986" s="6">
        <v>39.945453999999998</v>
      </c>
    </row>
    <row r="987" spans="2:22">
      <c r="B987" s="6">
        <v>32360</v>
      </c>
      <c r="C987" s="6" t="s">
        <v>183</v>
      </c>
      <c r="D987" s="6">
        <v>20902</v>
      </c>
      <c r="E987" s="6" t="s">
        <v>53</v>
      </c>
      <c r="F987" s="6" t="s">
        <v>16</v>
      </c>
      <c r="G987" s="6" t="s">
        <v>1295</v>
      </c>
      <c r="H987" s="6">
        <v>0</v>
      </c>
      <c r="I987" s="6">
        <v>20</v>
      </c>
      <c r="J987" s="6">
        <v>20</v>
      </c>
      <c r="K987" s="6">
        <v>26.721311</v>
      </c>
      <c r="L987" s="6">
        <v>25.932835000000001</v>
      </c>
      <c r="M987" s="6">
        <v>26.507536999999999</v>
      </c>
      <c r="N987" s="6">
        <v>27.102803000000002</v>
      </c>
      <c r="O987" s="6">
        <v>26.100322999999999</v>
      </c>
      <c r="P987" s="6">
        <v>27.578899</v>
      </c>
      <c r="Q987" s="6">
        <v>27.102803000000002</v>
      </c>
      <c r="R987" s="6">
        <v>26.100322999999999</v>
      </c>
      <c r="S987" s="6">
        <v>27.558453</v>
      </c>
      <c r="T987" s="6">
        <v>26.737159999999999</v>
      </c>
      <c r="U987" s="6">
        <v>25.752351000000001</v>
      </c>
      <c r="V987" s="6">
        <v>27.323633000000001</v>
      </c>
    </row>
    <row r="988" spans="2:22">
      <c r="B988" s="6">
        <v>32360</v>
      </c>
      <c r="C988" s="6" t="s">
        <v>183</v>
      </c>
      <c r="D988" s="6">
        <v>20902</v>
      </c>
      <c r="E988" s="6" t="s">
        <v>53</v>
      </c>
      <c r="F988" s="6" t="s">
        <v>13</v>
      </c>
      <c r="G988" s="6" t="s">
        <v>14</v>
      </c>
      <c r="H988" s="6">
        <v>15</v>
      </c>
      <c r="I988" s="6">
        <v>15</v>
      </c>
      <c r="J988" s="6">
        <v>15</v>
      </c>
      <c r="K988" s="6">
        <v>18.622046999999998</v>
      </c>
      <c r="L988" s="6">
        <v>18.557046</v>
      </c>
      <c r="M988" s="6">
        <v>18.643459</v>
      </c>
      <c r="N988" s="6">
        <v>19.181818</v>
      </c>
      <c r="O988" s="6">
        <v>19.119288999999998</v>
      </c>
      <c r="P988" s="6">
        <v>18.784502</v>
      </c>
      <c r="Q988" s="6">
        <v>19.181818</v>
      </c>
      <c r="R988" s="6">
        <v>19.101835999999999</v>
      </c>
      <c r="S988" s="6">
        <v>18.763134000000001</v>
      </c>
      <c r="T988" s="6">
        <v>19.181818</v>
      </c>
      <c r="U988" s="6">
        <v>19.101835999999999</v>
      </c>
      <c r="V988" s="6">
        <v>18.763134000000001</v>
      </c>
    </row>
    <row r="989" spans="2:22">
      <c r="B989" s="6">
        <v>32360</v>
      </c>
      <c r="C989" s="6" t="s">
        <v>183</v>
      </c>
      <c r="D989" s="6">
        <v>20906</v>
      </c>
      <c r="E989" s="6" t="s">
        <v>48</v>
      </c>
      <c r="F989" s="6" t="s">
        <v>49</v>
      </c>
      <c r="G989" s="6" t="s">
        <v>1296</v>
      </c>
      <c r="H989" s="6">
        <v>17</v>
      </c>
      <c r="I989" s="6">
        <v>17</v>
      </c>
      <c r="J989" s="6">
        <v>17</v>
      </c>
      <c r="K989" s="6">
        <v>17.229590999999999</v>
      </c>
      <c r="L989" s="6">
        <v>17.052391</v>
      </c>
      <c r="M989" s="6">
        <v>17.431988</v>
      </c>
      <c r="N989" s="6">
        <v>17.016705999999999</v>
      </c>
      <c r="O989" s="6">
        <v>16.954350000000002</v>
      </c>
      <c r="P989" s="6">
        <v>17.537869000000001</v>
      </c>
      <c r="Q989" s="6">
        <v>17.016335999999999</v>
      </c>
      <c r="R989" s="6">
        <v>16.958155999999999</v>
      </c>
      <c r="S989" s="6">
        <v>17.538882000000001</v>
      </c>
      <c r="T989" s="6">
        <v>17.016335999999999</v>
      </c>
      <c r="U989" s="6">
        <v>16.958155999999999</v>
      </c>
      <c r="V989" s="6">
        <v>17.538882000000001</v>
      </c>
    </row>
    <row r="990" spans="2:22">
      <c r="B990" s="6">
        <v>32361</v>
      </c>
      <c r="C990" s="6" t="s">
        <v>184</v>
      </c>
      <c r="D990" s="6">
        <v>20500</v>
      </c>
      <c r="E990" s="6" t="s">
        <v>31</v>
      </c>
      <c r="F990" s="6" t="s">
        <v>17</v>
      </c>
      <c r="G990" s="6" t="s">
        <v>1294</v>
      </c>
      <c r="H990" s="6">
        <v>25</v>
      </c>
      <c r="I990" s="6">
        <v>25</v>
      </c>
      <c r="J990" s="6">
        <v>25</v>
      </c>
      <c r="K990" s="6">
        <v>26.046875</v>
      </c>
      <c r="L990" s="6">
        <v>26.199541</v>
      </c>
      <c r="M990" s="6">
        <v>26.109717</v>
      </c>
      <c r="N990" s="6">
        <v>26.108958000000001</v>
      </c>
      <c r="O990" s="6">
        <v>26.328648000000001</v>
      </c>
      <c r="P990" s="6">
        <v>26.003786000000002</v>
      </c>
      <c r="Q990" s="6">
        <v>26.101534000000001</v>
      </c>
      <c r="R990" s="6">
        <v>26.316153</v>
      </c>
      <c r="S990" s="6">
        <v>25.991613999999998</v>
      </c>
      <c r="T990" s="6">
        <v>25.645997000000001</v>
      </c>
      <c r="U990" s="6">
        <v>25.223958</v>
      </c>
      <c r="V990" s="6">
        <v>24.770192999999999</v>
      </c>
    </row>
    <row r="991" spans="2:22">
      <c r="B991" s="6">
        <v>32361</v>
      </c>
      <c r="C991" s="6" t="s">
        <v>184</v>
      </c>
      <c r="D991" s="6">
        <v>20706</v>
      </c>
      <c r="E991" s="6" t="s">
        <v>52</v>
      </c>
      <c r="F991" s="6" t="s">
        <v>17</v>
      </c>
      <c r="G991" s="6" t="s">
        <v>1294</v>
      </c>
      <c r="H991" s="6">
        <v>40</v>
      </c>
      <c r="I991" s="6">
        <v>40</v>
      </c>
      <c r="J991" s="6">
        <v>40</v>
      </c>
      <c r="K991" s="6">
        <v>39.625</v>
      </c>
      <c r="L991" s="6">
        <v>39.852941000000001</v>
      </c>
      <c r="M991" s="6">
        <v>39.894365999999998</v>
      </c>
      <c r="N991" s="6">
        <v>39.962778999999998</v>
      </c>
      <c r="O991" s="6">
        <v>39.971750999999998</v>
      </c>
      <c r="P991" s="6">
        <v>39.969020999999998</v>
      </c>
      <c r="Q991" s="6">
        <v>39.963768000000002</v>
      </c>
      <c r="R991" s="6">
        <v>39.972496999999997</v>
      </c>
      <c r="S991" s="6">
        <v>39.969659999999998</v>
      </c>
      <c r="T991" s="6">
        <v>39.867787999999997</v>
      </c>
      <c r="U991" s="6">
        <v>39.928649</v>
      </c>
      <c r="V991" s="6">
        <v>39.945453999999998</v>
      </c>
    </row>
    <row r="992" spans="2:22">
      <c r="B992" s="6">
        <v>32361</v>
      </c>
      <c r="C992" s="6" t="s">
        <v>184</v>
      </c>
      <c r="D992" s="6">
        <v>20902</v>
      </c>
      <c r="E992" s="6" t="s">
        <v>53</v>
      </c>
      <c r="F992" s="6" t="s">
        <v>13</v>
      </c>
      <c r="G992" s="6" t="s">
        <v>14</v>
      </c>
      <c r="H992" s="6">
        <v>15</v>
      </c>
      <c r="I992" s="6">
        <v>15</v>
      </c>
      <c r="J992" s="6">
        <v>15</v>
      </c>
      <c r="K992" s="6">
        <v>18.622046999999998</v>
      </c>
      <c r="L992" s="6">
        <v>18.557046</v>
      </c>
      <c r="M992" s="6">
        <v>18.643459</v>
      </c>
      <c r="N992" s="6">
        <v>19.181818</v>
      </c>
      <c r="O992" s="6">
        <v>19.119288999999998</v>
      </c>
      <c r="P992" s="6">
        <v>18.784502</v>
      </c>
      <c r="Q992" s="6">
        <v>19.181818</v>
      </c>
      <c r="R992" s="6">
        <v>19.101835999999999</v>
      </c>
      <c r="S992" s="6">
        <v>18.763134000000001</v>
      </c>
      <c r="T992" s="6">
        <v>19.181818</v>
      </c>
      <c r="U992" s="6">
        <v>19.101835999999999</v>
      </c>
      <c r="V992" s="6">
        <v>18.763134000000001</v>
      </c>
    </row>
    <row r="993" spans="2:22">
      <c r="B993" s="6">
        <v>32361</v>
      </c>
      <c r="C993" s="6" t="s">
        <v>184</v>
      </c>
      <c r="D993" s="6">
        <v>20906</v>
      </c>
      <c r="E993" s="6" t="s">
        <v>48</v>
      </c>
      <c r="F993" s="6" t="s">
        <v>49</v>
      </c>
      <c r="G993" s="6" t="s">
        <v>1296</v>
      </c>
      <c r="H993" s="6">
        <v>18.5</v>
      </c>
      <c r="I993" s="6">
        <v>17.5</v>
      </c>
      <c r="J993" s="6">
        <v>17.882352000000001</v>
      </c>
      <c r="K993" s="6">
        <v>17.229590999999999</v>
      </c>
      <c r="L993" s="6">
        <v>17.052391</v>
      </c>
      <c r="M993" s="6">
        <v>17.431988</v>
      </c>
      <c r="N993" s="6">
        <v>17.016705999999999</v>
      </c>
      <c r="O993" s="6">
        <v>16.954350000000002</v>
      </c>
      <c r="P993" s="6">
        <v>17.537869000000001</v>
      </c>
      <c r="Q993" s="6">
        <v>17.016335999999999</v>
      </c>
      <c r="R993" s="6">
        <v>16.958155999999999</v>
      </c>
      <c r="S993" s="6">
        <v>17.538882000000001</v>
      </c>
      <c r="T993" s="6">
        <v>17.016335999999999</v>
      </c>
      <c r="U993" s="6">
        <v>16.958155999999999</v>
      </c>
      <c r="V993" s="6">
        <v>17.538882000000001</v>
      </c>
    </row>
    <row r="994" spans="2:22">
      <c r="B994" s="6">
        <v>32362</v>
      </c>
      <c r="C994" s="6" t="s">
        <v>1118</v>
      </c>
      <c r="D994" s="6">
        <v>20500</v>
      </c>
      <c r="E994" s="6" t="s">
        <v>31</v>
      </c>
      <c r="F994" s="6" t="s">
        <v>17</v>
      </c>
      <c r="G994" s="6" t="s">
        <v>1294</v>
      </c>
      <c r="H994" s="6">
        <v>25</v>
      </c>
      <c r="I994" s="6">
        <v>25</v>
      </c>
      <c r="J994" s="6">
        <v>25</v>
      </c>
      <c r="K994" s="6">
        <v>26.046875</v>
      </c>
      <c r="L994" s="6">
        <v>26.199541</v>
      </c>
      <c r="M994" s="6">
        <v>26.109717</v>
      </c>
      <c r="N994" s="6">
        <v>26.108958000000001</v>
      </c>
      <c r="O994" s="6">
        <v>26.328648000000001</v>
      </c>
      <c r="P994" s="6">
        <v>26.003786000000002</v>
      </c>
      <c r="Q994" s="6">
        <v>26.101534000000001</v>
      </c>
      <c r="R994" s="6">
        <v>26.316153</v>
      </c>
      <c r="S994" s="6">
        <v>25.991613999999998</v>
      </c>
      <c r="T994" s="6">
        <v>25.645997000000001</v>
      </c>
      <c r="U994" s="6">
        <v>25.223958</v>
      </c>
      <c r="V994" s="6">
        <v>24.770192999999999</v>
      </c>
    </row>
    <row r="995" spans="2:22">
      <c r="B995" s="6">
        <v>32362</v>
      </c>
      <c r="C995" s="6" t="s">
        <v>1118</v>
      </c>
      <c r="D995" s="6">
        <v>20706</v>
      </c>
      <c r="E995" s="6" t="s">
        <v>52</v>
      </c>
      <c r="F995" s="6" t="s">
        <v>17</v>
      </c>
      <c r="G995" s="6" t="s">
        <v>1294</v>
      </c>
      <c r="H995" s="6">
        <v>40</v>
      </c>
      <c r="I995" s="6">
        <v>40</v>
      </c>
      <c r="J995" s="6">
        <v>40</v>
      </c>
      <c r="K995" s="6">
        <v>39.625</v>
      </c>
      <c r="L995" s="6">
        <v>39.852941000000001</v>
      </c>
      <c r="M995" s="6">
        <v>39.894365999999998</v>
      </c>
      <c r="N995" s="6">
        <v>39.962778999999998</v>
      </c>
      <c r="O995" s="6">
        <v>39.971750999999998</v>
      </c>
      <c r="P995" s="6">
        <v>39.969020999999998</v>
      </c>
      <c r="Q995" s="6">
        <v>39.963768000000002</v>
      </c>
      <c r="R995" s="6">
        <v>39.972496999999997</v>
      </c>
      <c r="S995" s="6">
        <v>39.969659999999998</v>
      </c>
      <c r="T995" s="6">
        <v>39.867787999999997</v>
      </c>
      <c r="U995" s="6">
        <v>39.928649</v>
      </c>
      <c r="V995" s="6">
        <v>39.945453999999998</v>
      </c>
    </row>
    <row r="996" spans="2:22">
      <c r="B996" s="6">
        <v>32362</v>
      </c>
      <c r="C996" s="6" t="s">
        <v>1118</v>
      </c>
      <c r="D996" s="6">
        <v>20902</v>
      </c>
      <c r="E996" s="6" t="s">
        <v>53</v>
      </c>
      <c r="F996" s="6" t="s">
        <v>13</v>
      </c>
      <c r="G996" s="6" t="s">
        <v>14</v>
      </c>
      <c r="H996" s="6">
        <v>15</v>
      </c>
      <c r="I996" s="6">
        <v>15</v>
      </c>
      <c r="J996" s="6">
        <v>15</v>
      </c>
      <c r="K996" s="6">
        <v>18.622046999999998</v>
      </c>
      <c r="L996" s="6">
        <v>18.557046</v>
      </c>
      <c r="M996" s="6">
        <v>18.643459</v>
      </c>
      <c r="N996" s="6">
        <v>19.181818</v>
      </c>
      <c r="O996" s="6">
        <v>19.119288999999998</v>
      </c>
      <c r="P996" s="6">
        <v>18.784502</v>
      </c>
      <c r="Q996" s="6">
        <v>19.181818</v>
      </c>
      <c r="R996" s="6">
        <v>19.101835999999999</v>
      </c>
      <c r="S996" s="6">
        <v>18.763134000000001</v>
      </c>
      <c r="T996" s="6">
        <v>19.181818</v>
      </c>
      <c r="U996" s="6">
        <v>19.101835999999999</v>
      </c>
      <c r="V996" s="6">
        <v>18.763134000000001</v>
      </c>
    </row>
    <row r="997" spans="2:22">
      <c r="B997" s="6">
        <v>32362</v>
      </c>
      <c r="C997" s="6" t="s">
        <v>1118</v>
      </c>
      <c r="D997" s="6">
        <v>20906</v>
      </c>
      <c r="E997" s="6" t="s">
        <v>48</v>
      </c>
      <c r="F997" s="6" t="s">
        <v>49</v>
      </c>
      <c r="G997" s="6" t="s">
        <v>1296</v>
      </c>
      <c r="H997" s="6">
        <v>17</v>
      </c>
      <c r="I997" s="6">
        <v>17</v>
      </c>
      <c r="J997" s="6">
        <v>19.142856999999999</v>
      </c>
      <c r="K997" s="6">
        <v>17.229590999999999</v>
      </c>
      <c r="L997" s="6">
        <v>17.052391</v>
      </c>
      <c r="M997" s="6">
        <v>17.431988</v>
      </c>
      <c r="N997" s="6">
        <v>17.016705999999999</v>
      </c>
      <c r="O997" s="6">
        <v>16.954350000000002</v>
      </c>
      <c r="P997" s="6">
        <v>17.537869000000001</v>
      </c>
      <c r="Q997" s="6">
        <v>17.016335999999999</v>
      </c>
      <c r="R997" s="6">
        <v>16.958155999999999</v>
      </c>
      <c r="S997" s="6">
        <v>17.538882000000001</v>
      </c>
      <c r="T997" s="6">
        <v>17.016335999999999</v>
      </c>
      <c r="U997" s="6">
        <v>16.958155999999999</v>
      </c>
      <c r="V997" s="6">
        <v>17.538882000000001</v>
      </c>
    </row>
    <row r="998" spans="2:22">
      <c r="B998" s="6">
        <v>32363</v>
      </c>
      <c r="C998" s="6" t="s">
        <v>185</v>
      </c>
      <c r="D998" s="6">
        <v>20500</v>
      </c>
      <c r="E998" s="6" t="s">
        <v>31</v>
      </c>
      <c r="F998" s="6" t="s">
        <v>13</v>
      </c>
      <c r="G998" s="6" t="s">
        <v>14</v>
      </c>
      <c r="H998" s="6">
        <v>0</v>
      </c>
      <c r="I998" s="6">
        <v>0</v>
      </c>
      <c r="J998" s="6">
        <v>20</v>
      </c>
      <c r="K998" s="6">
        <v>0</v>
      </c>
      <c r="L998" s="6">
        <v>0</v>
      </c>
      <c r="M998" s="6">
        <v>20</v>
      </c>
      <c r="N998" s="6">
        <v>25</v>
      </c>
      <c r="O998" s="6">
        <v>22.5</v>
      </c>
      <c r="P998" s="6">
        <v>20.123965999999999</v>
      </c>
      <c r="Q998" s="6">
        <v>25</v>
      </c>
      <c r="R998" s="6">
        <v>22.5</v>
      </c>
      <c r="S998" s="6">
        <v>20.122949999999999</v>
      </c>
      <c r="T998" s="6">
        <v>28.409089999999999</v>
      </c>
      <c r="U998" s="6">
        <v>28.088235000000001</v>
      </c>
      <c r="V998" s="6">
        <v>22.096774</v>
      </c>
    </row>
    <row r="999" spans="2:22">
      <c r="B999" s="6">
        <v>32363</v>
      </c>
      <c r="C999" s="6" t="s">
        <v>185</v>
      </c>
      <c r="D999" s="6">
        <v>20500</v>
      </c>
      <c r="E999" s="6" t="s">
        <v>31</v>
      </c>
      <c r="F999" s="6" t="s">
        <v>17</v>
      </c>
      <c r="G999" s="6" t="s">
        <v>1294</v>
      </c>
      <c r="H999" s="6">
        <v>25</v>
      </c>
      <c r="I999" s="6">
        <v>25</v>
      </c>
      <c r="J999" s="6">
        <v>25</v>
      </c>
      <c r="K999" s="6">
        <v>26.046875</v>
      </c>
      <c r="L999" s="6">
        <v>26.199541</v>
      </c>
      <c r="M999" s="6">
        <v>26.109717</v>
      </c>
      <c r="N999" s="6">
        <v>26.108958000000001</v>
      </c>
      <c r="O999" s="6">
        <v>26.328648000000001</v>
      </c>
      <c r="P999" s="6">
        <v>26.003786000000002</v>
      </c>
      <c r="Q999" s="6">
        <v>26.101534000000001</v>
      </c>
      <c r="R999" s="6">
        <v>26.316153</v>
      </c>
      <c r="S999" s="6">
        <v>25.991613999999998</v>
      </c>
      <c r="T999" s="6">
        <v>25.645997000000001</v>
      </c>
      <c r="U999" s="6">
        <v>25.223958</v>
      </c>
      <c r="V999" s="6">
        <v>24.770192999999999</v>
      </c>
    </row>
    <row r="1000" spans="2:22">
      <c r="B1000" s="6">
        <v>32363</v>
      </c>
      <c r="C1000" s="6" t="s">
        <v>185</v>
      </c>
      <c r="D1000" s="6">
        <v>20706</v>
      </c>
      <c r="E1000" s="6" t="s">
        <v>52</v>
      </c>
      <c r="F1000" s="6" t="s">
        <v>17</v>
      </c>
      <c r="G1000" s="6" t="s">
        <v>1294</v>
      </c>
      <c r="H1000" s="6">
        <v>40</v>
      </c>
      <c r="I1000" s="6">
        <v>40</v>
      </c>
      <c r="J1000" s="6">
        <v>40</v>
      </c>
      <c r="K1000" s="6">
        <v>39.625</v>
      </c>
      <c r="L1000" s="6">
        <v>39.852941000000001</v>
      </c>
      <c r="M1000" s="6">
        <v>39.894365999999998</v>
      </c>
      <c r="N1000" s="6">
        <v>39.962778999999998</v>
      </c>
      <c r="O1000" s="6">
        <v>39.971750999999998</v>
      </c>
      <c r="P1000" s="6">
        <v>39.969020999999998</v>
      </c>
      <c r="Q1000" s="6">
        <v>39.963768000000002</v>
      </c>
      <c r="R1000" s="6">
        <v>39.972496999999997</v>
      </c>
      <c r="S1000" s="6">
        <v>39.969659999999998</v>
      </c>
      <c r="T1000" s="6">
        <v>39.867787999999997</v>
      </c>
      <c r="U1000" s="6">
        <v>39.928649</v>
      </c>
      <c r="V1000" s="6">
        <v>39.945453999999998</v>
      </c>
    </row>
    <row r="1001" spans="2:22">
      <c r="B1001" s="6">
        <v>32363</v>
      </c>
      <c r="C1001" s="6" t="s">
        <v>185</v>
      </c>
      <c r="D1001" s="6">
        <v>20902</v>
      </c>
      <c r="E1001" s="6" t="s">
        <v>53</v>
      </c>
      <c r="F1001" s="6" t="s">
        <v>13</v>
      </c>
      <c r="G1001" s="6" t="s">
        <v>14</v>
      </c>
      <c r="H1001" s="6">
        <v>15</v>
      </c>
      <c r="I1001" s="6">
        <v>15</v>
      </c>
      <c r="J1001" s="6">
        <v>15</v>
      </c>
      <c r="K1001" s="6">
        <v>18.622046999999998</v>
      </c>
      <c r="L1001" s="6">
        <v>18.557046</v>
      </c>
      <c r="M1001" s="6">
        <v>18.643459</v>
      </c>
      <c r="N1001" s="6">
        <v>19.181818</v>
      </c>
      <c r="O1001" s="6">
        <v>19.119288999999998</v>
      </c>
      <c r="P1001" s="6">
        <v>18.784502</v>
      </c>
      <c r="Q1001" s="6">
        <v>19.181818</v>
      </c>
      <c r="R1001" s="6">
        <v>19.101835999999999</v>
      </c>
      <c r="S1001" s="6">
        <v>18.763134000000001</v>
      </c>
      <c r="T1001" s="6">
        <v>19.181818</v>
      </c>
      <c r="U1001" s="6">
        <v>19.101835999999999</v>
      </c>
      <c r="V1001" s="6">
        <v>18.763134000000001</v>
      </c>
    </row>
    <row r="1002" spans="2:22">
      <c r="B1002" s="6">
        <v>32363</v>
      </c>
      <c r="C1002" s="6" t="s">
        <v>185</v>
      </c>
      <c r="D1002" s="6">
        <v>20906</v>
      </c>
      <c r="E1002" s="6" t="s">
        <v>48</v>
      </c>
      <c r="F1002" s="6" t="s">
        <v>49</v>
      </c>
      <c r="G1002" s="6" t="s">
        <v>1296</v>
      </c>
      <c r="H1002" s="6">
        <v>17</v>
      </c>
      <c r="I1002" s="6">
        <v>17</v>
      </c>
      <c r="J1002" s="6">
        <v>17.545453999999999</v>
      </c>
      <c r="K1002" s="6">
        <v>17.229590999999999</v>
      </c>
      <c r="L1002" s="6">
        <v>17.052391</v>
      </c>
      <c r="M1002" s="6">
        <v>17.431988</v>
      </c>
      <c r="N1002" s="6">
        <v>17.016705999999999</v>
      </c>
      <c r="O1002" s="6">
        <v>16.954350000000002</v>
      </c>
      <c r="P1002" s="6">
        <v>17.537869000000001</v>
      </c>
      <c r="Q1002" s="6">
        <v>17.016335999999999</v>
      </c>
      <c r="R1002" s="6">
        <v>16.958155999999999</v>
      </c>
      <c r="S1002" s="6">
        <v>17.538882000000001</v>
      </c>
      <c r="T1002" s="6">
        <v>17.016335999999999</v>
      </c>
      <c r="U1002" s="6">
        <v>16.958155999999999</v>
      </c>
      <c r="V1002" s="6">
        <v>17.538882000000001</v>
      </c>
    </row>
    <row r="1003" spans="2:22">
      <c r="B1003" s="6">
        <v>32369</v>
      </c>
      <c r="C1003" s="6" t="s">
        <v>1119</v>
      </c>
      <c r="D1003" s="6">
        <v>20500</v>
      </c>
      <c r="E1003" s="6" t="s">
        <v>31</v>
      </c>
      <c r="F1003" s="6" t="s">
        <v>17</v>
      </c>
      <c r="G1003" s="6" t="s">
        <v>1294</v>
      </c>
      <c r="H1003" s="6">
        <v>27</v>
      </c>
      <c r="I1003" s="6">
        <v>27</v>
      </c>
      <c r="J1003" s="6">
        <v>27</v>
      </c>
      <c r="K1003" s="6">
        <v>26.179282000000001</v>
      </c>
      <c r="L1003" s="6">
        <v>26.186138</v>
      </c>
      <c r="M1003" s="6">
        <v>25.935728999999998</v>
      </c>
      <c r="N1003" s="6">
        <v>26.108958000000001</v>
      </c>
      <c r="O1003" s="6">
        <v>26.328648000000001</v>
      </c>
      <c r="P1003" s="6">
        <v>26.003786000000002</v>
      </c>
      <c r="Q1003" s="6">
        <v>26.101534000000001</v>
      </c>
      <c r="R1003" s="6">
        <v>26.316153</v>
      </c>
      <c r="S1003" s="6">
        <v>25.991613999999998</v>
      </c>
      <c r="T1003" s="6">
        <v>25.645997000000001</v>
      </c>
      <c r="U1003" s="6">
        <v>25.223958</v>
      </c>
      <c r="V1003" s="6">
        <v>24.770192999999999</v>
      </c>
    </row>
    <row r="1004" spans="2:22">
      <c r="B1004" s="6">
        <v>32369</v>
      </c>
      <c r="C1004" s="6" t="s">
        <v>1119</v>
      </c>
      <c r="D1004" s="6">
        <v>20702</v>
      </c>
      <c r="E1004" s="6" t="s">
        <v>44</v>
      </c>
      <c r="F1004" s="6" t="s">
        <v>17</v>
      </c>
      <c r="G1004" s="6" t="s">
        <v>1294</v>
      </c>
      <c r="H1004" s="6">
        <v>35</v>
      </c>
      <c r="I1004" s="6">
        <v>35</v>
      </c>
      <c r="J1004" s="6">
        <v>35</v>
      </c>
      <c r="K1004" s="6">
        <v>34.902597</v>
      </c>
      <c r="L1004" s="6">
        <v>34.946427999999997</v>
      </c>
      <c r="M1004" s="6">
        <v>34.934041999999998</v>
      </c>
      <c r="N1004" s="6">
        <v>34.893103000000004</v>
      </c>
      <c r="O1004" s="6">
        <v>34.949179999999998</v>
      </c>
      <c r="P1004" s="6">
        <v>34.926701000000001</v>
      </c>
      <c r="Q1004" s="6">
        <v>34.894556999999999</v>
      </c>
      <c r="R1004" s="6">
        <v>34.950949000000001</v>
      </c>
      <c r="S1004" s="6">
        <v>34.883485</v>
      </c>
      <c r="T1004" s="6">
        <v>34.894556999999999</v>
      </c>
      <c r="U1004" s="6">
        <v>34.950949000000001</v>
      </c>
      <c r="V1004" s="6">
        <v>34.883485</v>
      </c>
    </row>
    <row r="1005" spans="2:22">
      <c r="B1005" s="6">
        <v>32369</v>
      </c>
      <c r="C1005" s="6" t="s">
        <v>1119</v>
      </c>
      <c r="D1005" s="6">
        <v>20902</v>
      </c>
      <c r="E1005" s="6" t="s">
        <v>53</v>
      </c>
      <c r="F1005" s="6" t="s">
        <v>16</v>
      </c>
      <c r="G1005" s="6" t="s">
        <v>1295</v>
      </c>
      <c r="H1005" s="6">
        <v>20</v>
      </c>
      <c r="I1005" s="6">
        <v>20</v>
      </c>
      <c r="J1005" s="6">
        <v>20</v>
      </c>
      <c r="K1005" s="6">
        <v>27.111111000000001</v>
      </c>
      <c r="L1005" s="6">
        <v>25.059170999999999</v>
      </c>
      <c r="M1005" s="6">
        <v>26.5625</v>
      </c>
      <c r="N1005" s="6">
        <v>27.102803000000002</v>
      </c>
      <c r="O1005" s="6">
        <v>26.100322999999999</v>
      </c>
      <c r="P1005" s="6">
        <v>27.578899</v>
      </c>
      <c r="Q1005" s="6">
        <v>27.102803000000002</v>
      </c>
      <c r="R1005" s="6">
        <v>26.100322999999999</v>
      </c>
      <c r="S1005" s="6">
        <v>27.558453</v>
      </c>
      <c r="T1005" s="6">
        <v>26.737159999999999</v>
      </c>
      <c r="U1005" s="6">
        <v>25.752351000000001</v>
      </c>
      <c r="V1005" s="6">
        <v>27.323633000000001</v>
      </c>
    </row>
    <row r="1006" spans="2:22">
      <c r="B1006" s="6">
        <v>32369</v>
      </c>
      <c r="C1006" s="6" t="s">
        <v>1119</v>
      </c>
      <c r="D1006" s="6">
        <v>20906</v>
      </c>
      <c r="E1006" s="6" t="s">
        <v>48</v>
      </c>
      <c r="F1006" s="6" t="s">
        <v>49</v>
      </c>
      <c r="G1006" s="6" t="s">
        <v>1296</v>
      </c>
      <c r="H1006" s="6">
        <v>17</v>
      </c>
      <c r="I1006" s="6">
        <v>17</v>
      </c>
      <c r="J1006" s="6">
        <v>17</v>
      </c>
      <c r="K1006" s="6">
        <v>16.992394999999998</v>
      </c>
      <c r="L1006" s="6">
        <v>16.951830000000001</v>
      </c>
      <c r="M1006" s="6">
        <v>17.405908</v>
      </c>
      <c r="N1006" s="6">
        <v>17.016705999999999</v>
      </c>
      <c r="O1006" s="6">
        <v>16.954350000000002</v>
      </c>
      <c r="P1006" s="6">
        <v>17.537869000000001</v>
      </c>
      <c r="Q1006" s="6">
        <v>17.016335999999999</v>
      </c>
      <c r="R1006" s="6">
        <v>16.958155999999999</v>
      </c>
      <c r="S1006" s="6">
        <v>17.538882000000001</v>
      </c>
      <c r="T1006" s="6">
        <v>17.016335999999999</v>
      </c>
      <c r="U1006" s="6">
        <v>16.958155999999999</v>
      </c>
      <c r="V1006" s="6">
        <v>17.538882000000001</v>
      </c>
    </row>
    <row r="1007" spans="2:22">
      <c r="B1007" s="6">
        <v>32371</v>
      </c>
      <c r="C1007" s="6" t="s">
        <v>1085</v>
      </c>
      <c r="D1007" s="6">
        <v>20500</v>
      </c>
      <c r="E1007" s="6" t="s">
        <v>31</v>
      </c>
      <c r="F1007" s="6" t="s">
        <v>17</v>
      </c>
      <c r="G1007" s="6" t="s">
        <v>1294</v>
      </c>
      <c r="H1007" s="6">
        <v>27</v>
      </c>
      <c r="I1007" s="6">
        <v>27</v>
      </c>
      <c r="J1007" s="6">
        <v>27</v>
      </c>
      <c r="K1007" s="6">
        <v>26.179282000000001</v>
      </c>
      <c r="L1007" s="6">
        <v>26.186138</v>
      </c>
      <c r="M1007" s="6">
        <v>25.935728999999998</v>
      </c>
      <c r="N1007" s="6">
        <v>26.108958000000001</v>
      </c>
      <c r="O1007" s="6">
        <v>26.328648000000001</v>
      </c>
      <c r="P1007" s="6">
        <v>26.003786000000002</v>
      </c>
      <c r="Q1007" s="6">
        <v>26.101534000000001</v>
      </c>
      <c r="R1007" s="6">
        <v>26.316153</v>
      </c>
      <c r="S1007" s="6">
        <v>25.991613999999998</v>
      </c>
      <c r="T1007" s="6">
        <v>25.645997000000001</v>
      </c>
      <c r="U1007" s="6">
        <v>25.223958</v>
      </c>
      <c r="V1007" s="6">
        <v>24.770192999999999</v>
      </c>
    </row>
    <row r="1008" spans="2:22">
      <c r="B1008" s="6">
        <v>32371</v>
      </c>
      <c r="C1008" s="6" t="s">
        <v>1085</v>
      </c>
      <c r="D1008" s="6">
        <v>20702</v>
      </c>
      <c r="E1008" s="6" t="s">
        <v>44</v>
      </c>
      <c r="F1008" s="6" t="s">
        <v>17</v>
      </c>
      <c r="G1008" s="6" t="s">
        <v>1294</v>
      </c>
      <c r="H1008" s="6">
        <v>35</v>
      </c>
      <c r="I1008" s="6">
        <v>35</v>
      </c>
      <c r="J1008" s="6">
        <v>35</v>
      </c>
      <c r="K1008" s="6">
        <v>34.902597</v>
      </c>
      <c r="L1008" s="6">
        <v>34.946427999999997</v>
      </c>
      <c r="M1008" s="6">
        <v>34.934041999999998</v>
      </c>
      <c r="N1008" s="6">
        <v>34.893103000000004</v>
      </c>
      <c r="O1008" s="6">
        <v>34.949179999999998</v>
      </c>
      <c r="P1008" s="6">
        <v>34.926701000000001</v>
      </c>
      <c r="Q1008" s="6">
        <v>34.894556999999999</v>
      </c>
      <c r="R1008" s="6">
        <v>34.950949000000001</v>
      </c>
      <c r="S1008" s="6">
        <v>34.883485</v>
      </c>
      <c r="T1008" s="6">
        <v>34.894556999999999</v>
      </c>
      <c r="U1008" s="6">
        <v>34.950949000000001</v>
      </c>
      <c r="V1008" s="6">
        <v>34.883485</v>
      </c>
    </row>
    <row r="1009" spans="2:22">
      <c r="B1009" s="6">
        <v>32371</v>
      </c>
      <c r="C1009" s="6" t="s">
        <v>1085</v>
      </c>
      <c r="D1009" s="6">
        <v>20902</v>
      </c>
      <c r="E1009" s="6" t="s">
        <v>53</v>
      </c>
      <c r="F1009" s="6" t="s">
        <v>16</v>
      </c>
      <c r="G1009" s="6" t="s">
        <v>1295</v>
      </c>
      <c r="H1009" s="6">
        <v>20</v>
      </c>
      <c r="I1009" s="6">
        <v>20</v>
      </c>
      <c r="J1009" s="6">
        <v>20</v>
      </c>
      <c r="K1009" s="6">
        <v>27.111111000000001</v>
      </c>
      <c r="L1009" s="6">
        <v>25.059170999999999</v>
      </c>
      <c r="M1009" s="6">
        <v>26.5625</v>
      </c>
      <c r="N1009" s="6">
        <v>27.102803000000002</v>
      </c>
      <c r="O1009" s="6">
        <v>26.100322999999999</v>
      </c>
      <c r="P1009" s="6">
        <v>27.578899</v>
      </c>
      <c r="Q1009" s="6">
        <v>27.102803000000002</v>
      </c>
      <c r="R1009" s="6">
        <v>26.100322999999999</v>
      </c>
      <c r="S1009" s="6">
        <v>27.558453</v>
      </c>
      <c r="T1009" s="6">
        <v>26.737159999999999</v>
      </c>
      <c r="U1009" s="6">
        <v>25.752351000000001</v>
      </c>
      <c r="V1009" s="6">
        <v>27.323633000000001</v>
      </c>
    </row>
    <row r="1010" spans="2:22">
      <c r="B1010" s="6">
        <v>32371</v>
      </c>
      <c r="C1010" s="6" t="s">
        <v>1085</v>
      </c>
      <c r="D1010" s="6">
        <v>20906</v>
      </c>
      <c r="E1010" s="6" t="s">
        <v>48</v>
      </c>
      <c r="F1010" s="6" t="s">
        <v>49</v>
      </c>
      <c r="G1010" s="6" t="s">
        <v>1296</v>
      </c>
      <c r="H1010" s="6">
        <v>17</v>
      </c>
      <c r="I1010" s="6">
        <v>17</v>
      </c>
      <c r="J1010" s="6">
        <v>17</v>
      </c>
      <c r="K1010" s="6">
        <v>16.992394999999998</v>
      </c>
      <c r="L1010" s="6">
        <v>16.951830000000001</v>
      </c>
      <c r="M1010" s="6">
        <v>17.405908</v>
      </c>
      <c r="N1010" s="6">
        <v>17.016705999999999</v>
      </c>
      <c r="O1010" s="6">
        <v>16.954350000000002</v>
      </c>
      <c r="P1010" s="6">
        <v>17.537869000000001</v>
      </c>
      <c r="Q1010" s="6">
        <v>17.016335999999999</v>
      </c>
      <c r="R1010" s="6">
        <v>16.958155999999999</v>
      </c>
      <c r="S1010" s="6">
        <v>17.538882000000001</v>
      </c>
      <c r="T1010" s="6">
        <v>17.016335999999999</v>
      </c>
      <c r="U1010" s="6">
        <v>16.958155999999999</v>
      </c>
      <c r="V1010" s="6">
        <v>17.538882000000001</v>
      </c>
    </row>
    <row r="1011" spans="2:22">
      <c r="B1011" s="6">
        <v>32372</v>
      </c>
      <c r="C1011" s="6" t="s">
        <v>1120</v>
      </c>
      <c r="D1011" s="6">
        <v>20500</v>
      </c>
      <c r="E1011" s="6" t="s">
        <v>31</v>
      </c>
      <c r="F1011" s="6" t="s">
        <v>13</v>
      </c>
      <c r="G1011" s="6" t="s">
        <v>14</v>
      </c>
      <c r="H1011" s="6">
        <v>0</v>
      </c>
      <c r="I1011" s="6">
        <v>0</v>
      </c>
      <c r="J1011" s="6">
        <v>20</v>
      </c>
      <c r="K1011" s="6">
        <v>25</v>
      </c>
      <c r="L1011" s="6">
        <v>25</v>
      </c>
      <c r="M1011" s="6">
        <v>20.555554999999998</v>
      </c>
      <c r="N1011" s="6">
        <v>25</v>
      </c>
      <c r="O1011" s="6">
        <v>22.5</v>
      </c>
      <c r="P1011" s="6">
        <v>20.123965999999999</v>
      </c>
      <c r="Q1011" s="6">
        <v>25</v>
      </c>
      <c r="R1011" s="6">
        <v>22.5</v>
      </c>
      <c r="S1011" s="6">
        <v>20.122949999999999</v>
      </c>
      <c r="T1011" s="6">
        <v>28.409089999999999</v>
      </c>
      <c r="U1011" s="6">
        <v>28.088235000000001</v>
      </c>
      <c r="V1011" s="6">
        <v>22.096774</v>
      </c>
    </row>
    <row r="1012" spans="2:22">
      <c r="B1012" s="6">
        <v>32372</v>
      </c>
      <c r="C1012" s="6" t="s">
        <v>1120</v>
      </c>
      <c r="D1012" s="6">
        <v>20702</v>
      </c>
      <c r="E1012" s="6" t="s">
        <v>44</v>
      </c>
      <c r="F1012" s="6" t="s">
        <v>17</v>
      </c>
      <c r="G1012" s="6" t="s">
        <v>1294</v>
      </c>
      <c r="H1012" s="6">
        <v>0</v>
      </c>
      <c r="I1012" s="6">
        <v>0</v>
      </c>
      <c r="J1012" s="6">
        <v>35</v>
      </c>
      <c r="K1012" s="6">
        <v>34.902597</v>
      </c>
      <c r="L1012" s="6">
        <v>34.946427999999997</v>
      </c>
      <c r="M1012" s="6">
        <v>34.934041999999998</v>
      </c>
      <c r="N1012" s="6">
        <v>34.893103000000004</v>
      </c>
      <c r="O1012" s="6">
        <v>34.949179999999998</v>
      </c>
      <c r="P1012" s="6">
        <v>34.926701000000001</v>
      </c>
      <c r="Q1012" s="6">
        <v>34.894556999999999</v>
      </c>
      <c r="R1012" s="6">
        <v>34.950949000000001</v>
      </c>
      <c r="S1012" s="6">
        <v>34.883485</v>
      </c>
      <c r="T1012" s="6">
        <v>34.894556999999999</v>
      </c>
      <c r="U1012" s="6">
        <v>34.950949000000001</v>
      </c>
      <c r="V1012" s="6">
        <v>34.883485</v>
      </c>
    </row>
    <row r="1013" spans="2:22">
      <c r="B1013" s="6">
        <v>32372</v>
      </c>
      <c r="C1013" s="6" t="s">
        <v>1120</v>
      </c>
      <c r="D1013" s="6">
        <v>20902</v>
      </c>
      <c r="E1013" s="6" t="s">
        <v>53</v>
      </c>
      <c r="F1013" s="6" t="s">
        <v>13</v>
      </c>
      <c r="G1013" s="6" t="s">
        <v>14</v>
      </c>
      <c r="H1013" s="6">
        <v>0</v>
      </c>
      <c r="I1013" s="6">
        <v>0</v>
      </c>
      <c r="J1013" s="6">
        <v>20</v>
      </c>
      <c r="K1013" s="6">
        <v>18.635802000000002</v>
      </c>
      <c r="L1013" s="6">
        <v>18.195121</v>
      </c>
      <c r="M1013" s="6">
        <v>17.625368000000002</v>
      </c>
      <c r="N1013" s="6">
        <v>19.181818</v>
      </c>
      <c r="O1013" s="6">
        <v>19.119288999999998</v>
      </c>
      <c r="P1013" s="6">
        <v>18.784502</v>
      </c>
      <c r="Q1013" s="6">
        <v>19.181818</v>
      </c>
      <c r="R1013" s="6">
        <v>19.101835999999999</v>
      </c>
      <c r="S1013" s="6">
        <v>18.763134000000001</v>
      </c>
      <c r="T1013" s="6">
        <v>19.181818</v>
      </c>
      <c r="U1013" s="6">
        <v>19.101835999999999</v>
      </c>
      <c r="V1013" s="6">
        <v>18.763134000000001</v>
      </c>
    </row>
    <row r="1014" spans="2:22">
      <c r="B1014" s="6">
        <v>32372</v>
      </c>
      <c r="C1014" s="6" t="s">
        <v>1120</v>
      </c>
      <c r="D1014" s="6">
        <v>20906</v>
      </c>
      <c r="E1014" s="6" t="s">
        <v>48</v>
      </c>
      <c r="F1014" s="6" t="s">
        <v>49</v>
      </c>
      <c r="G1014" s="6" t="s">
        <v>1296</v>
      </c>
      <c r="H1014" s="6">
        <v>0</v>
      </c>
      <c r="I1014" s="6">
        <v>0</v>
      </c>
      <c r="J1014" s="6">
        <v>20</v>
      </c>
      <c r="K1014" s="6">
        <v>16.992394999999998</v>
      </c>
      <c r="L1014" s="6">
        <v>16.951830000000001</v>
      </c>
      <c r="M1014" s="6">
        <v>17.405908</v>
      </c>
      <c r="N1014" s="6">
        <v>17.016705999999999</v>
      </c>
      <c r="O1014" s="6">
        <v>16.954350000000002</v>
      </c>
      <c r="P1014" s="6">
        <v>17.537869000000001</v>
      </c>
      <c r="Q1014" s="6">
        <v>17.016335999999999</v>
      </c>
      <c r="R1014" s="6">
        <v>16.958155999999999</v>
      </c>
      <c r="S1014" s="6">
        <v>17.538882000000001</v>
      </c>
      <c r="T1014" s="6">
        <v>17.016335999999999</v>
      </c>
      <c r="U1014" s="6">
        <v>16.958155999999999</v>
      </c>
      <c r="V1014" s="6">
        <v>17.538882000000001</v>
      </c>
    </row>
    <row r="1015" spans="2:22">
      <c r="B1015" s="6">
        <v>32373</v>
      </c>
      <c r="C1015" s="6" t="s">
        <v>186</v>
      </c>
      <c r="D1015" s="6">
        <v>20500</v>
      </c>
      <c r="E1015" s="6" t="s">
        <v>31</v>
      </c>
      <c r="F1015" s="6" t="s">
        <v>17</v>
      </c>
      <c r="G1015" s="6" t="s">
        <v>1294</v>
      </c>
      <c r="H1015" s="6">
        <v>0</v>
      </c>
      <c r="I1015" s="6">
        <v>27</v>
      </c>
      <c r="J1015" s="6">
        <v>27</v>
      </c>
      <c r="K1015" s="6">
        <v>26.179282000000001</v>
      </c>
      <c r="L1015" s="6">
        <v>26.186138</v>
      </c>
      <c r="M1015" s="6">
        <v>25.935728999999998</v>
      </c>
      <c r="N1015" s="6">
        <v>26.108958000000001</v>
      </c>
      <c r="O1015" s="6">
        <v>26.328648000000001</v>
      </c>
      <c r="P1015" s="6">
        <v>26.003786000000002</v>
      </c>
      <c r="Q1015" s="6">
        <v>26.101534000000001</v>
      </c>
      <c r="R1015" s="6">
        <v>26.316153</v>
      </c>
      <c r="S1015" s="6">
        <v>25.991613999999998</v>
      </c>
      <c r="T1015" s="6">
        <v>25.645997000000001</v>
      </c>
      <c r="U1015" s="6">
        <v>25.223958</v>
      </c>
      <c r="V1015" s="6">
        <v>24.770192999999999</v>
      </c>
    </row>
    <row r="1016" spans="2:22">
      <c r="B1016" s="6">
        <v>32373</v>
      </c>
      <c r="C1016" s="6" t="s">
        <v>186</v>
      </c>
      <c r="D1016" s="6">
        <v>20702</v>
      </c>
      <c r="E1016" s="6" t="s">
        <v>44</v>
      </c>
      <c r="F1016" s="6" t="s">
        <v>17</v>
      </c>
      <c r="G1016" s="6" t="s">
        <v>1294</v>
      </c>
      <c r="H1016" s="6">
        <v>0</v>
      </c>
      <c r="I1016" s="6">
        <v>35</v>
      </c>
      <c r="J1016" s="6">
        <v>35</v>
      </c>
      <c r="K1016" s="6">
        <v>34.902597</v>
      </c>
      <c r="L1016" s="6">
        <v>34.946427999999997</v>
      </c>
      <c r="M1016" s="6">
        <v>34.934041999999998</v>
      </c>
      <c r="N1016" s="6">
        <v>34.893103000000004</v>
      </c>
      <c r="O1016" s="6">
        <v>34.949179999999998</v>
      </c>
      <c r="P1016" s="6">
        <v>34.926701000000001</v>
      </c>
      <c r="Q1016" s="6">
        <v>34.894556999999999</v>
      </c>
      <c r="R1016" s="6">
        <v>34.950949000000001</v>
      </c>
      <c r="S1016" s="6">
        <v>34.883485</v>
      </c>
      <c r="T1016" s="6">
        <v>34.894556999999999</v>
      </c>
      <c r="U1016" s="6">
        <v>34.950949000000001</v>
      </c>
      <c r="V1016" s="6">
        <v>34.883485</v>
      </c>
    </row>
    <row r="1017" spans="2:22">
      <c r="B1017" s="6">
        <v>32373</v>
      </c>
      <c r="C1017" s="6" t="s">
        <v>186</v>
      </c>
      <c r="D1017" s="6">
        <v>20902</v>
      </c>
      <c r="E1017" s="6" t="s">
        <v>53</v>
      </c>
      <c r="F1017" s="6" t="s">
        <v>13</v>
      </c>
      <c r="G1017" s="6" t="s">
        <v>14</v>
      </c>
      <c r="H1017" s="6">
        <v>0</v>
      </c>
      <c r="I1017" s="6">
        <v>20</v>
      </c>
      <c r="J1017" s="6">
        <v>20</v>
      </c>
      <c r="K1017" s="6">
        <v>18.635802000000002</v>
      </c>
      <c r="L1017" s="6">
        <v>18.195121</v>
      </c>
      <c r="M1017" s="6">
        <v>17.625368000000002</v>
      </c>
      <c r="N1017" s="6">
        <v>19.181818</v>
      </c>
      <c r="O1017" s="6">
        <v>19.119288999999998</v>
      </c>
      <c r="P1017" s="6">
        <v>18.784502</v>
      </c>
      <c r="Q1017" s="6">
        <v>19.181818</v>
      </c>
      <c r="R1017" s="6">
        <v>19.101835999999999</v>
      </c>
      <c r="S1017" s="6">
        <v>18.763134000000001</v>
      </c>
      <c r="T1017" s="6">
        <v>19.181818</v>
      </c>
      <c r="U1017" s="6">
        <v>19.101835999999999</v>
      </c>
      <c r="V1017" s="6">
        <v>18.763134000000001</v>
      </c>
    </row>
    <row r="1018" spans="2:22">
      <c r="B1018" s="6">
        <v>32373</v>
      </c>
      <c r="C1018" s="6" t="s">
        <v>186</v>
      </c>
      <c r="D1018" s="6">
        <v>20906</v>
      </c>
      <c r="E1018" s="6" t="s">
        <v>48</v>
      </c>
      <c r="F1018" s="6" t="s">
        <v>49</v>
      </c>
      <c r="G1018" s="6" t="s">
        <v>1296</v>
      </c>
      <c r="H1018" s="6">
        <v>0</v>
      </c>
      <c r="I1018" s="6">
        <v>17</v>
      </c>
      <c r="J1018" s="6">
        <v>17</v>
      </c>
      <c r="K1018" s="6">
        <v>16.992394999999998</v>
      </c>
      <c r="L1018" s="6">
        <v>16.951830000000001</v>
      </c>
      <c r="M1018" s="6">
        <v>17.405908</v>
      </c>
      <c r="N1018" s="6">
        <v>17.016705999999999</v>
      </c>
      <c r="O1018" s="6">
        <v>16.954350000000002</v>
      </c>
      <c r="P1018" s="6">
        <v>17.537869000000001</v>
      </c>
      <c r="Q1018" s="6">
        <v>17.016335999999999</v>
      </c>
      <c r="R1018" s="6">
        <v>16.958155999999999</v>
      </c>
      <c r="S1018" s="6">
        <v>17.538882000000001</v>
      </c>
      <c r="T1018" s="6">
        <v>17.016335999999999</v>
      </c>
      <c r="U1018" s="6">
        <v>16.958155999999999</v>
      </c>
      <c r="V1018" s="6">
        <v>17.538882000000001</v>
      </c>
    </row>
    <row r="1019" spans="2:22">
      <c r="B1019" s="6">
        <v>32376</v>
      </c>
      <c r="C1019" s="6" t="s">
        <v>187</v>
      </c>
      <c r="D1019" s="6">
        <v>20500</v>
      </c>
      <c r="E1019" s="6" t="s">
        <v>31</v>
      </c>
      <c r="F1019" s="6" t="s">
        <v>17</v>
      </c>
      <c r="G1019" s="6" t="s">
        <v>1294</v>
      </c>
      <c r="H1019" s="6">
        <v>27</v>
      </c>
      <c r="I1019" s="6">
        <v>27</v>
      </c>
      <c r="J1019" s="6">
        <v>27</v>
      </c>
      <c r="K1019" s="6">
        <v>26.093993999999999</v>
      </c>
      <c r="L1019" s="6">
        <v>26.469746000000001</v>
      </c>
      <c r="M1019" s="6">
        <v>26.000619</v>
      </c>
      <c r="N1019" s="6">
        <v>26.108958000000001</v>
      </c>
      <c r="O1019" s="6">
        <v>26.328648000000001</v>
      </c>
      <c r="P1019" s="6">
        <v>26.003786000000002</v>
      </c>
      <c r="Q1019" s="6">
        <v>26.101534000000001</v>
      </c>
      <c r="R1019" s="6">
        <v>26.316153</v>
      </c>
      <c r="S1019" s="6">
        <v>25.991613999999998</v>
      </c>
      <c r="T1019" s="6">
        <v>25.645997000000001</v>
      </c>
      <c r="U1019" s="6">
        <v>25.223958</v>
      </c>
      <c r="V1019" s="6">
        <v>24.770192999999999</v>
      </c>
    </row>
    <row r="1020" spans="2:22">
      <c r="B1020" s="6">
        <v>32376</v>
      </c>
      <c r="C1020" s="6" t="s">
        <v>187</v>
      </c>
      <c r="D1020" s="6">
        <v>20714</v>
      </c>
      <c r="E1020" s="6" t="s">
        <v>188</v>
      </c>
      <c r="F1020" s="6" t="s">
        <v>17</v>
      </c>
      <c r="G1020" s="6" t="s">
        <v>1294</v>
      </c>
      <c r="H1020" s="6">
        <v>40</v>
      </c>
      <c r="I1020" s="6">
        <v>40</v>
      </c>
      <c r="J1020" s="6">
        <v>40</v>
      </c>
      <c r="K1020" s="6">
        <v>40</v>
      </c>
      <c r="L1020" s="6">
        <v>40</v>
      </c>
      <c r="M1020" s="6">
        <v>40</v>
      </c>
      <c r="N1020" s="6">
        <v>40</v>
      </c>
      <c r="O1020" s="6">
        <v>40</v>
      </c>
      <c r="P1020" s="6">
        <v>40</v>
      </c>
      <c r="Q1020" s="6">
        <v>40</v>
      </c>
      <c r="R1020" s="6">
        <v>40</v>
      </c>
      <c r="S1020" s="6">
        <v>40</v>
      </c>
      <c r="T1020" s="6">
        <v>40</v>
      </c>
      <c r="U1020" s="6">
        <v>40</v>
      </c>
      <c r="V1020" s="6">
        <v>40</v>
      </c>
    </row>
    <row r="1021" spans="2:22">
      <c r="B1021" s="6">
        <v>32376</v>
      </c>
      <c r="C1021" s="6" t="s">
        <v>187</v>
      </c>
      <c r="D1021" s="6">
        <v>20902</v>
      </c>
      <c r="E1021" s="6" t="s">
        <v>53</v>
      </c>
      <c r="F1021" s="6" t="s">
        <v>16</v>
      </c>
      <c r="G1021" s="6" t="s">
        <v>1295</v>
      </c>
      <c r="H1021" s="6">
        <v>0</v>
      </c>
      <c r="I1021" s="6">
        <v>26</v>
      </c>
      <c r="J1021" s="6">
        <v>27.142856999999999</v>
      </c>
      <c r="K1021" s="6">
        <v>27.235294</v>
      </c>
      <c r="L1021" s="6">
        <v>26.730157999999999</v>
      </c>
      <c r="M1021" s="6">
        <v>28.302752000000002</v>
      </c>
      <c r="N1021" s="6">
        <v>27.102803000000002</v>
      </c>
      <c r="O1021" s="6">
        <v>26.100322999999999</v>
      </c>
      <c r="P1021" s="6">
        <v>27.578899</v>
      </c>
      <c r="Q1021" s="6">
        <v>27.102803000000002</v>
      </c>
      <c r="R1021" s="6">
        <v>26.100322999999999</v>
      </c>
      <c r="S1021" s="6">
        <v>27.558453</v>
      </c>
      <c r="T1021" s="6">
        <v>26.737159999999999</v>
      </c>
      <c r="U1021" s="6">
        <v>25.752351000000001</v>
      </c>
      <c r="V1021" s="6">
        <v>27.323633000000001</v>
      </c>
    </row>
    <row r="1022" spans="2:22">
      <c r="B1022" s="6">
        <v>32376</v>
      </c>
      <c r="C1022" s="6" t="s">
        <v>187</v>
      </c>
      <c r="D1022" s="6">
        <v>20902</v>
      </c>
      <c r="E1022" s="6" t="s">
        <v>53</v>
      </c>
      <c r="F1022" s="6" t="s">
        <v>13</v>
      </c>
      <c r="G1022" s="6" t="s">
        <v>14</v>
      </c>
      <c r="H1022" s="6">
        <v>23.333333</v>
      </c>
      <c r="I1022" s="6">
        <v>23.333333</v>
      </c>
      <c r="J1022" s="6">
        <v>21.25</v>
      </c>
      <c r="K1022" s="6">
        <v>19.956309999999998</v>
      </c>
      <c r="L1022" s="6">
        <v>19.965827000000001</v>
      </c>
      <c r="M1022" s="6">
        <v>19.613216000000001</v>
      </c>
      <c r="N1022" s="6">
        <v>19.181818</v>
      </c>
      <c r="O1022" s="6">
        <v>19.119288999999998</v>
      </c>
      <c r="P1022" s="6">
        <v>18.784502</v>
      </c>
      <c r="Q1022" s="6">
        <v>19.181818</v>
      </c>
      <c r="R1022" s="6">
        <v>19.101835999999999</v>
      </c>
      <c r="S1022" s="6">
        <v>18.763134000000001</v>
      </c>
      <c r="T1022" s="6">
        <v>19.181818</v>
      </c>
      <c r="U1022" s="6">
        <v>19.101835999999999</v>
      </c>
      <c r="V1022" s="6">
        <v>18.763134000000001</v>
      </c>
    </row>
    <row r="1023" spans="2:22">
      <c r="B1023" s="6">
        <v>32376</v>
      </c>
      <c r="C1023" s="6" t="s">
        <v>187</v>
      </c>
      <c r="D1023" s="6">
        <v>20906</v>
      </c>
      <c r="E1023" s="6" t="s">
        <v>48</v>
      </c>
      <c r="F1023" s="6" t="s">
        <v>49</v>
      </c>
      <c r="G1023" s="6" t="s">
        <v>1296</v>
      </c>
      <c r="H1023" s="6">
        <v>17</v>
      </c>
      <c r="I1023" s="6">
        <v>17</v>
      </c>
      <c r="J1023" s="6">
        <v>17.2</v>
      </c>
      <c r="K1023" s="6">
        <v>16.923482</v>
      </c>
      <c r="L1023" s="6">
        <v>16.908185</v>
      </c>
      <c r="M1023" s="6">
        <v>17.652851999999999</v>
      </c>
      <c r="N1023" s="6">
        <v>17.016705999999999</v>
      </c>
      <c r="O1023" s="6">
        <v>16.954350000000002</v>
      </c>
      <c r="P1023" s="6">
        <v>17.537869000000001</v>
      </c>
      <c r="Q1023" s="6">
        <v>17.016335999999999</v>
      </c>
      <c r="R1023" s="6">
        <v>16.958155999999999</v>
      </c>
      <c r="S1023" s="6">
        <v>17.538882000000001</v>
      </c>
      <c r="T1023" s="6">
        <v>17.016335999999999</v>
      </c>
      <c r="U1023" s="6">
        <v>16.958155999999999</v>
      </c>
      <c r="V1023" s="6">
        <v>17.538882000000001</v>
      </c>
    </row>
    <row r="1024" spans="2:22">
      <c r="B1024" s="6">
        <v>32377</v>
      </c>
      <c r="C1024" s="6" t="s">
        <v>189</v>
      </c>
      <c r="D1024" s="6">
        <v>20500</v>
      </c>
      <c r="E1024" s="6" t="s">
        <v>31</v>
      </c>
      <c r="F1024" s="6" t="s">
        <v>17</v>
      </c>
      <c r="G1024" s="6" t="s">
        <v>1294</v>
      </c>
      <c r="H1024" s="6">
        <v>27</v>
      </c>
      <c r="I1024" s="6">
        <v>27</v>
      </c>
      <c r="J1024" s="6">
        <v>27.838709000000001</v>
      </c>
      <c r="K1024" s="6">
        <v>26.093993999999999</v>
      </c>
      <c r="L1024" s="6">
        <v>26.469746000000001</v>
      </c>
      <c r="M1024" s="6">
        <v>26.000619</v>
      </c>
      <c r="N1024" s="6">
        <v>26.108958000000001</v>
      </c>
      <c r="O1024" s="6">
        <v>26.328648000000001</v>
      </c>
      <c r="P1024" s="6">
        <v>26.003786000000002</v>
      </c>
      <c r="Q1024" s="6">
        <v>26.101534000000001</v>
      </c>
      <c r="R1024" s="6">
        <v>26.316153</v>
      </c>
      <c r="S1024" s="6">
        <v>25.991613999999998</v>
      </c>
      <c r="T1024" s="6">
        <v>25.645997000000001</v>
      </c>
      <c r="U1024" s="6">
        <v>25.223958</v>
      </c>
      <c r="V1024" s="6">
        <v>24.770192999999999</v>
      </c>
    </row>
    <row r="1025" spans="2:22">
      <c r="B1025" s="6">
        <v>32377</v>
      </c>
      <c r="C1025" s="6" t="s">
        <v>189</v>
      </c>
      <c r="D1025" s="6">
        <v>20714</v>
      </c>
      <c r="E1025" s="6" t="s">
        <v>188</v>
      </c>
      <c r="F1025" s="6" t="s">
        <v>17</v>
      </c>
      <c r="G1025" s="6" t="s">
        <v>1294</v>
      </c>
      <c r="H1025" s="6">
        <v>40</v>
      </c>
      <c r="I1025" s="6">
        <v>40</v>
      </c>
      <c r="J1025" s="6">
        <v>40</v>
      </c>
      <c r="K1025" s="6">
        <v>40</v>
      </c>
      <c r="L1025" s="6">
        <v>40</v>
      </c>
      <c r="M1025" s="6">
        <v>40</v>
      </c>
      <c r="N1025" s="6">
        <v>40</v>
      </c>
      <c r="O1025" s="6">
        <v>40</v>
      </c>
      <c r="P1025" s="6">
        <v>40</v>
      </c>
      <c r="Q1025" s="6">
        <v>40</v>
      </c>
      <c r="R1025" s="6">
        <v>40</v>
      </c>
      <c r="S1025" s="6">
        <v>40</v>
      </c>
      <c r="T1025" s="6">
        <v>40</v>
      </c>
      <c r="U1025" s="6">
        <v>40</v>
      </c>
      <c r="V1025" s="6">
        <v>40</v>
      </c>
    </row>
    <row r="1026" spans="2:22">
      <c r="B1026" s="6">
        <v>32377</v>
      </c>
      <c r="C1026" s="6" t="s">
        <v>189</v>
      </c>
      <c r="D1026" s="6">
        <v>20902</v>
      </c>
      <c r="E1026" s="6" t="s">
        <v>53</v>
      </c>
      <c r="F1026" s="6" t="s">
        <v>16</v>
      </c>
      <c r="G1026" s="6" t="s">
        <v>1295</v>
      </c>
      <c r="H1026" s="6">
        <v>0</v>
      </c>
      <c r="I1026" s="6">
        <v>30</v>
      </c>
      <c r="J1026" s="6">
        <v>30</v>
      </c>
      <c r="K1026" s="6">
        <v>27.235294</v>
      </c>
      <c r="L1026" s="6">
        <v>26.730157999999999</v>
      </c>
      <c r="M1026" s="6">
        <v>28.302752000000002</v>
      </c>
      <c r="N1026" s="6">
        <v>27.102803000000002</v>
      </c>
      <c r="O1026" s="6">
        <v>26.100322999999999</v>
      </c>
      <c r="P1026" s="6">
        <v>27.578899</v>
      </c>
      <c r="Q1026" s="6">
        <v>27.102803000000002</v>
      </c>
      <c r="R1026" s="6">
        <v>26.100322999999999</v>
      </c>
      <c r="S1026" s="6">
        <v>27.558453</v>
      </c>
      <c r="T1026" s="6">
        <v>26.737159999999999</v>
      </c>
      <c r="U1026" s="6">
        <v>25.752351000000001</v>
      </c>
      <c r="V1026" s="6">
        <v>27.323633000000001</v>
      </c>
    </row>
    <row r="1027" spans="2:22">
      <c r="B1027" s="6">
        <v>32377</v>
      </c>
      <c r="C1027" s="6" t="s">
        <v>189</v>
      </c>
      <c r="D1027" s="6">
        <v>20902</v>
      </c>
      <c r="E1027" s="6" t="s">
        <v>53</v>
      </c>
      <c r="F1027" s="6" t="s">
        <v>13</v>
      </c>
      <c r="G1027" s="6" t="s">
        <v>14</v>
      </c>
      <c r="H1027" s="6">
        <v>21.25</v>
      </c>
      <c r="I1027" s="6">
        <v>21.428571000000002</v>
      </c>
      <c r="J1027" s="6">
        <v>20.714285</v>
      </c>
      <c r="K1027" s="6">
        <v>19.956309999999998</v>
      </c>
      <c r="L1027" s="6">
        <v>19.965827000000001</v>
      </c>
      <c r="M1027" s="6">
        <v>19.613216000000001</v>
      </c>
      <c r="N1027" s="6">
        <v>19.181818</v>
      </c>
      <c r="O1027" s="6">
        <v>19.119288999999998</v>
      </c>
      <c r="P1027" s="6">
        <v>18.784502</v>
      </c>
      <c r="Q1027" s="6">
        <v>19.181818</v>
      </c>
      <c r="R1027" s="6">
        <v>19.101835999999999</v>
      </c>
      <c r="S1027" s="6">
        <v>18.763134000000001</v>
      </c>
      <c r="T1027" s="6">
        <v>19.181818</v>
      </c>
      <c r="U1027" s="6">
        <v>19.101835999999999</v>
      </c>
      <c r="V1027" s="6">
        <v>18.763134000000001</v>
      </c>
    </row>
    <row r="1028" spans="2:22">
      <c r="B1028" s="6">
        <v>32377</v>
      </c>
      <c r="C1028" s="6" t="s">
        <v>189</v>
      </c>
      <c r="D1028" s="6">
        <v>20906</v>
      </c>
      <c r="E1028" s="6" t="s">
        <v>48</v>
      </c>
      <c r="F1028" s="6" t="s">
        <v>49</v>
      </c>
      <c r="G1028" s="6" t="s">
        <v>1296</v>
      </c>
      <c r="H1028" s="6">
        <v>17</v>
      </c>
      <c r="I1028" s="6">
        <v>17</v>
      </c>
      <c r="J1028" s="6">
        <v>17.935483000000001</v>
      </c>
      <c r="K1028" s="6">
        <v>16.923482</v>
      </c>
      <c r="L1028" s="6">
        <v>16.908185</v>
      </c>
      <c r="M1028" s="6">
        <v>17.652851999999999</v>
      </c>
      <c r="N1028" s="6">
        <v>17.016705999999999</v>
      </c>
      <c r="O1028" s="6">
        <v>16.954350000000002</v>
      </c>
      <c r="P1028" s="6">
        <v>17.537869000000001</v>
      </c>
      <c r="Q1028" s="6">
        <v>17.016335999999999</v>
      </c>
      <c r="R1028" s="6">
        <v>16.958155999999999</v>
      </c>
      <c r="S1028" s="6">
        <v>17.538882000000001</v>
      </c>
      <c r="T1028" s="6">
        <v>17.016335999999999</v>
      </c>
      <c r="U1028" s="6">
        <v>16.958155999999999</v>
      </c>
      <c r="V1028" s="6">
        <v>17.538882000000001</v>
      </c>
    </row>
    <row r="1029" spans="2:22">
      <c r="B1029" s="6">
        <v>32378</v>
      </c>
      <c r="C1029" s="6" t="s">
        <v>190</v>
      </c>
      <c r="D1029" s="6">
        <v>20500</v>
      </c>
      <c r="E1029" s="6" t="s">
        <v>31</v>
      </c>
      <c r="F1029" s="6" t="s">
        <v>17</v>
      </c>
      <c r="G1029" s="6" t="s">
        <v>1294</v>
      </c>
      <c r="H1029" s="6">
        <v>27</v>
      </c>
      <c r="I1029" s="6">
        <v>27</v>
      </c>
      <c r="J1029" s="6">
        <v>27</v>
      </c>
      <c r="K1029" s="6">
        <v>26.093993999999999</v>
      </c>
      <c r="L1029" s="6">
        <v>26.469746000000001</v>
      </c>
      <c r="M1029" s="6">
        <v>26.000619</v>
      </c>
      <c r="N1029" s="6">
        <v>26.108958000000001</v>
      </c>
      <c r="O1029" s="6">
        <v>26.328648000000001</v>
      </c>
      <c r="P1029" s="6">
        <v>26.003786000000002</v>
      </c>
      <c r="Q1029" s="6">
        <v>26.101534000000001</v>
      </c>
      <c r="R1029" s="6">
        <v>26.316153</v>
      </c>
      <c r="S1029" s="6">
        <v>25.991613999999998</v>
      </c>
      <c r="T1029" s="6">
        <v>25.645997000000001</v>
      </c>
      <c r="U1029" s="6">
        <v>25.223958</v>
      </c>
      <c r="V1029" s="6">
        <v>24.770192999999999</v>
      </c>
    </row>
    <row r="1030" spans="2:22">
      <c r="B1030" s="6">
        <v>32378</v>
      </c>
      <c r="C1030" s="6" t="s">
        <v>190</v>
      </c>
      <c r="D1030" s="6">
        <v>20714</v>
      </c>
      <c r="E1030" s="6" t="s">
        <v>188</v>
      </c>
      <c r="F1030" s="6" t="s">
        <v>17</v>
      </c>
      <c r="G1030" s="6" t="s">
        <v>1294</v>
      </c>
      <c r="H1030" s="6">
        <v>40</v>
      </c>
      <c r="I1030" s="6">
        <v>40</v>
      </c>
      <c r="J1030" s="6">
        <v>40</v>
      </c>
      <c r="K1030" s="6">
        <v>40</v>
      </c>
      <c r="L1030" s="6">
        <v>40</v>
      </c>
      <c r="M1030" s="6">
        <v>40</v>
      </c>
      <c r="N1030" s="6">
        <v>40</v>
      </c>
      <c r="O1030" s="6">
        <v>40</v>
      </c>
      <c r="P1030" s="6">
        <v>40</v>
      </c>
      <c r="Q1030" s="6">
        <v>40</v>
      </c>
      <c r="R1030" s="6">
        <v>40</v>
      </c>
      <c r="S1030" s="6">
        <v>40</v>
      </c>
      <c r="T1030" s="6">
        <v>40</v>
      </c>
      <c r="U1030" s="6">
        <v>40</v>
      </c>
      <c r="V1030" s="6">
        <v>40</v>
      </c>
    </row>
    <row r="1031" spans="2:22">
      <c r="B1031" s="6">
        <v>32378</v>
      </c>
      <c r="C1031" s="6" t="s">
        <v>190</v>
      </c>
      <c r="D1031" s="6">
        <v>20902</v>
      </c>
      <c r="E1031" s="6" t="s">
        <v>53</v>
      </c>
      <c r="F1031" s="6" t="s">
        <v>16</v>
      </c>
      <c r="G1031" s="6" t="s">
        <v>1295</v>
      </c>
      <c r="H1031" s="6">
        <v>0</v>
      </c>
      <c r="I1031" s="6">
        <v>0</v>
      </c>
      <c r="J1031" s="6">
        <v>30</v>
      </c>
      <c r="K1031" s="6">
        <v>27.235294</v>
      </c>
      <c r="L1031" s="6">
        <v>26.730157999999999</v>
      </c>
      <c r="M1031" s="6">
        <v>28.302752000000002</v>
      </c>
      <c r="N1031" s="6">
        <v>27.102803000000002</v>
      </c>
      <c r="O1031" s="6">
        <v>26.100322999999999</v>
      </c>
      <c r="P1031" s="6">
        <v>27.578899</v>
      </c>
      <c r="Q1031" s="6">
        <v>27.102803000000002</v>
      </c>
      <c r="R1031" s="6">
        <v>26.100322999999999</v>
      </c>
      <c r="S1031" s="6">
        <v>27.558453</v>
      </c>
      <c r="T1031" s="6">
        <v>26.737159999999999</v>
      </c>
      <c r="U1031" s="6">
        <v>25.752351000000001</v>
      </c>
      <c r="V1031" s="6">
        <v>27.323633000000001</v>
      </c>
    </row>
    <row r="1032" spans="2:22">
      <c r="B1032" s="6">
        <v>32378</v>
      </c>
      <c r="C1032" s="6" t="s">
        <v>190</v>
      </c>
      <c r="D1032" s="6">
        <v>20902</v>
      </c>
      <c r="E1032" s="6" t="s">
        <v>53</v>
      </c>
      <c r="F1032" s="6" t="s">
        <v>13</v>
      </c>
      <c r="G1032" s="6" t="s">
        <v>14</v>
      </c>
      <c r="H1032" s="6">
        <v>20</v>
      </c>
      <c r="I1032" s="6">
        <v>20</v>
      </c>
      <c r="J1032" s="6">
        <v>20</v>
      </c>
      <c r="K1032" s="6">
        <v>19.956309999999998</v>
      </c>
      <c r="L1032" s="6">
        <v>19.965827000000001</v>
      </c>
      <c r="M1032" s="6">
        <v>19.613216000000001</v>
      </c>
      <c r="N1032" s="6">
        <v>19.181818</v>
      </c>
      <c r="O1032" s="6">
        <v>19.119288999999998</v>
      </c>
      <c r="P1032" s="6">
        <v>18.784502</v>
      </c>
      <c r="Q1032" s="6">
        <v>19.181818</v>
      </c>
      <c r="R1032" s="6">
        <v>19.101835999999999</v>
      </c>
      <c r="S1032" s="6">
        <v>18.763134000000001</v>
      </c>
      <c r="T1032" s="6">
        <v>19.181818</v>
      </c>
      <c r="U1032" s="6">
        <v>19.101835999999999</v>
      </c>
      <c r="V1032" s="6">
        <v>18.763134000000001</v>
      </c>
    </row>
    <row r="1033" spans="2:22">
      <c r="B1033" s="6">
        <v>32378</v>
      </c>
      <c r="C1033" s="6" t="s">
        <v>190</v>
      </c>
      <c r="D1033" s="6">
        <v>20906</v>
      </c>
      <c r="E1033" s="6" t="s">
        <v>48</v>
      </c>
      <c r="F1033" s="6" t="s">
        <v>49</v>
      </c>
      <c r="G1033" s="6" t="s">
        <v>1296</v>
      </c>
      <c r="H1033" s="6">
        <v>17</v>
      </c>
      <c r="I1033" s="6">
        <v>17.399999999999999</v>
      </c>
      <c r="J1033" s="6">
        <v>17.538461000000002</v>
      </c>
      <c r="K1033" s="6">
        <v>16.923482</v>
      </c>
      <c r="L1033" s="6">
        <v>16.908185</v>
      </c>
      <c r="M1033" s="6">
        <v>17.652851999999999</v>
      </c>
      <c r="N1033" s="6">
        <v>17.016705999999999</v>
      </c>
      <c r="O1033" s="6">
        <v>16.954350000000002</v>
      </c>
      <c r="P1033" s="6">
        <v>17.537869000000001</v>
      </c>
      <c r="Q1033" s="6">
        <v>17.016335999999999</v>
      </c>
      <c r="R1033" s="6">
        <v>16.958155999999999</v>
      </c>
      <c r="S1033" s="6">
        <v>17.538882000000001</v>
      </c>
      <c r="T1033" s="6">
        <v>17.016335999999999</v>
      </c>
      <c r="U1033" s="6">
        <v>16.958155999999999</v>
      </c>
      <c r="V1033" s="6">
        <v>17.538882000000001</v>
      </c>
    </row>
    <row r="1034" spans="2:22">
      <c r="B1034" s="6">
        <v>32379</v>
      </c>
      <c r="C1034" s="6" t="s">
        <v>1117</v>
      </c>
      <c r="D1034" s="6">
        <v>20500</v>
      </c>
      <c r="E1034" s="6" t="s">
        <v>31</v>
      </c>
      <c r="F1034" s="6" t="s">
        <v>17</v>
      </c>
      <c r="G1034" s="6" t="s">
        <v>1294</v>
      </c>
      <c r="H1034" s="6">
        <v>27</v>
      </c>
      <c r="I1034" s="6">
        <v>27</v>
      </c>
      <c r="J1034" s="6">
        <v>27</v>
      </c>
      <c r="K1034" s="6">
        <v>26.093993999999999</v>
      </c>
      <c r="L1034" s="6">
        <v>26.469746000000001</v>
      </c>
      <c r="M1034" s="6">
        <v>26.000619</v>
      </c>
      <c r="N1034" s="6">
        <v>26.108958000000001</v>
      </c>
      <c r="O1034" s="6">
        <v>26.328648000000001</v>
      </c>
      <c r="P1034" s="6">
        <v>26.003786000000002</v>
      </c>
      <c r="Q1034" s="6">
        <v>26.101534000000001</v>
      </c>
      <c r="R1034" s="6">
        <v>26.316153</v>
      </c>
      <c r="S1034" s="6">
        <v>25.991613999999998</v>
      </c>
      <c r="T1034" s="6">
        <v>25.645997000000001</v>
      </c>
      <c r="U1034" s="6">
        <v>25.223958</v>
      </c>
      <c r="V1034" s="6">
        <v>24.770192999999999</v>
      </c>
    </row>
    <row r="1035" spans="2:22">
      <c r="B1035" s="6">
        <v>32379</v>
      </c>
      <c r="C1035" s="6" t="s">
        <v>1117</v>
      </c>
      <c r="D1035" s="6">
        <v>20714</v>
      </c>
      <c r="E1035" s="6" t="s">
        <v>188</v>
      </c>
      <c r="F1035" s="6" t="s">
        <v>17</v>
      </c>
      <c r="G1035" s="6" t="s">
        <v>1294</v>
      </c>
      <c r="H1035" s="6">
        <v>40</v>
      </c>
      <c r="I1035" s="6">
        <v>40</v>
      </c>
      <c r="J1035" s="6">
        <v>40</v>
      </c>
      <c r="K1035" s="6">
        <v>40</v>
      </c>
      <c r="L1035" s="6">
        <v>40</v>
      </c>
      <c r="M1035" s="6">
        <v>40</v>
      </c>
      <c r="N1035" s="6">
        <v>40</v>
      </c>
      <c r="O1035" s="6">
        <v>40</v>
      </c>
      <c r="P1035" s="6">
        <v>40</v>
      </c>
      <c r="Q1035" s="6">
        <v>40</v>
      </c>
      <c r="R1035" s="6">
        <v>40</v>
      </c>
      <c r="S1035" s="6">
        <v>40</v>
      </c>
      <c r="T1035" s="6">
        <v>40</v>
      </c>
      <c r="U1035" s="6">
        <v>40</v>
      </c>
      <c r="V1035" s="6">
        <v>40</v>
      </c>
    </row>
    <row r="1036" spans="2:22">
      <c r="B1036" s="6">
        <v>32379</v>
      </c>
      <c r="C1036" s="6" t="s">
        <v>1117</v>
      </c>
      <c r="D1036" s="6">
        <v>20902</v>
      </c>
      <c r="E1036" s="6" t="s">
        <v>53</v>
      </c>
      <c r="F1036" s="6" t="s">
        <v>13</v>
      </c>
      <c r="G1036" s="6" t="s">
        <v>14</v>
      </c>
      <c r="H1036" s="6">
        <v>20</v>
      </c>
      <c r="I1036" s="6">
        <v>20</v>
      </c>
      <c r="J1036" s="6">
        <v>20</v>
      </c>
      <c r="K1036" s="6">
        <v>19.956309999999998</v>
      </c>
      <c r="L1036" s="6">
        <v>19.965827000000001</v>
      </c>
      <c r="M1036" s="6">
        <v>19.613216000000001</v>
      </c>
      <c r="N1036" s="6">
        <v>19.181818</v>
      </c>
      <c r="O1036" s="6">
        <v>19.119288999999998</v>
      </c>
      <c r="P1036" s="6">
        <v>18.784502</v>
      </c>
      <c r="Q1036" s="6">
        <v>19.181818</v>
      </c>
      <c r="R1036" s="6">
        <v>19.101835999999999</v>
      </c>
      <c r="S1036" s="6">
        <v>18.763134000000001</v>
      </c>
      <c r="T1036" s="6">
        <v>19.181818</v>
      </c>
      <c r="U1036" s="6">
        <v>19.101835999999999</v>
      </c>
      <c r="V1036" s="6">
        <v>18.763134000000001</v>
      </c>
    </row>
    <row r="1037" spans="2:22">
      <c r="B1037" s="6">
        <v>32379</v>
      </c>
      <c r="C1037" s="6" t="s">
        <v>1117</v>
      </c>
      <c r="D1037" s="6">
        <v>20906</v>
      </c>
      <c r="E1037" s="6" t="s">
        <v>48</v>
      </c>
      <c r="F1037" s="6" t="s">
        <v>49</v>
      </c>
      <c r="G1037" s="6" t="s">
        <v>1296</v>
      </c>
      <c r="H1037" s="6">
        <v>17</v>
      </c>
      <c r="I1037" s="6">
        <v>17</v>
      </c>
      <c r="J1037" s="6">
        <v>17</v>
      </c>
      <c r="K1037" s="6">
        <v>16.923482</v>
      </c>
      <c r="L1037" s="6">
        <v>16.908185</v>
      </c>
      <c r="M1037" s="6">
        <v>17.652851999999999</v>
      </c>
      <c r="N1037" s="6">
        <v>17.016705999999999</v>
      </c>
      <c r="O1037" s="6">
        <v>16.954350000000002</v>
      </c>
      <c r="P1037" s="6">
        <v>17.537869000000001</v>
      </c>
      <c r="Q1037" s="6">
        <v>17.016335999999999</v>
      </c>
      <c r="R1037" s="6">
        <v>16.958155999999999</v>
      </c>
      <c r="S1037" s="6">
        <v>17.538882000000001</v>
      </c>
      <c r="T1037" s="6">
        <v>17.016335999999999</v>
      </c>
      <c r="U1037" s="6">
        <v>16.958155999999999</v>
      </c>
      <c r="V1037" s="6">
        <v>17.538882000000001</v>
      </c>
    </row>
    <row r="1038" spans="2:22">
      <c r="B1038" s="6">
        <v>32385</v>
      </c>
      <c r="C1038" s="6" t="s">
        <v>39</v>
      </c>
      <c r="D1038" s="6">
        <v>20700</v>
      </c>
      <c r="E1038" s="6" t="s">
        <v>15</v>
      </c>
      <c r="F1038" s="6" t="s">
        <v>17</v>
      </c>
      <c r="G1038" s="6" t="s">
        <v>1294</v>
      </c>
      <c r="H1038" s="6">
        <v>0</v>
      </c>
      <c r="I1038" s="6">
        <v>0</v>
      </c>
      <c r="J1038" s="6">
        <v>37.5</v>
      </c>
      <c r="K1038" s="6">
        <v>0</v>
      </c>
      <c r="L1038" s="6">
        <v>0</v>
      </c>
      <c r="M1038" s="6">
        <v>36.190475999999997</v>
      </c>
      <c r="N1038" s="6">
        <v>0</v>
      </c>
      <c r="O1038" s="6">
        <v>0</v>
      </c>
      <c r="P1038" s="6">
        <v>36.190475999999997</v>
      </c>
      <c r="Q1038" s="6">
        <v>39.560809999999996</v>
      </c>
      <c r="R1038" s="6">
        <v>39.612546000000002</v>
      </c>
      <c r="S1038" s="6">
        <v>39.702897999999998</v>
      </c>
      <c r="T1038" s="6">
        <v>37.594695999999999</v>
      </c>
      <c r="U1038" s="6">
        <v>37.122718999999996</v>
      </c>
      <c r="V1038" s="6">
        <v>37.548872000000003</v>
      </c>
    </row>
    <row r="1039" spans="2:22">
      <c r="B1039" s="6">
        <v>32389</v>
      </c>
      <c r="C1039" s="6" t="s">
        <v>1051</v>
      </c>
      <c r="D1039" s="6">
        <v>20705</v>
      </c>
      <c r="E1039" s="6" t="s">
        <v>59</v>
      </c>
      <c r="F1039" s="6" t="s">
        <v>17</v>
      </c>
      <c r="G1039" s="6" t="s">
        <v>1294</v>
      </c>
      <c r="H1039" s="6">
        <v>0</v>
      </c>
      <c r="I1039" s="6">
        <v>0</v>
      </c>
      <c r="J1039" s="6">
        <v>20</v>
      </c>
      <c r="K1039" s="6">
        <v>0</v>
      </c>
      <c r="L1039" s="6">
        <v>0</v>
      </c>
      <c r="M1039" s="6">
        <v>20</v>
      </c>
      <c r="N1039" s="6">
        <v>0</v>
      </c>
      <c r="O1039" s="6">
        <v>0</v>
      </c>
      <c r="P1039" s="6">
        <v>20</v>
      </c>
      <c r="Q1039" s="6">
        <v>30</v>
      </c>
      <c r="R1039" s="6">
        <v>30</v>
      </c>
      <c r="S1039" s="6">
        <v>29.784172000000002</v>
      </c>
      <c r="T1039" s="6">
        <v>30</v>
      </c>
      <c r="U1039" s="6">
        <v>30</v>
      </c>
      <c r="V1039" s="6">
        <v>29.784172000000002</v>
      </c>
    </row>
    <row r="1040" spans="2:22">
      <c r="B1040" s="6">
        <v>32389</v>
      </c>
      <c r="C1040" s="6" t="s">
        <v>1051</v>
      </c>
      <c r="D1040" s="6">
        <v>20902</v>
      </c>
      <c r="E1040" s="6" t="s">
        <v>53</v>
      </c>
      <c r="F1040" s="6" t="s">
        <v>13</v>
      </c>
      <c r="G1040" s="6" t="s">
        <v>14</v>
      </c>
      <c r="H1040" s="6">
        <v>0</v>
      </c>
      <c r="I1040" s="6">
        <v>0</v>
      </c>
      <c r="J1040" s="6">
        <v>15</v>
      </c>
      <c r="K1040" s="6">
        <v>0</v>
      </c>
      <c r="L1040" s="6">
        <v>20</v>
      </c>
      <c r="M1040" s="6">
        <v>16.666665999999999</v>
      </c>
      <c r="N1040" s="6">
        <v>0</v>
      </c>
      <c r="O1040" s="6">
        <v>17.8125</v>
      </c>
      <c r="P1040" s="6">
        <v>16.8</v>
      </c>
      <c r="Q1040" s="6">
        <v>19.181818</v>
      </c>
      <c r="R1040" s="6">
        <v>19.101835999999999</v>
      </c>
      <c r="S1040" s="6">
        <v>18.763134000000001</v>
      </c>
      <c r="T1040" s="6">
        <v>19.181818</v>
      </c>
      <c r="U1040" s="6">
        <v>19.101835999999999</v>
      </c>
      <c r="V1040" s="6">
        <v>18.763134000000001</v>
      </c>
    </row>
    <row r="1041" spans="2:22">
      <c r="B1041" s="6">
        <v>32389</v>
      </c>
      <c r="C1041" s="6" t="s">
        <v>1051</v>
      </c>
      <c r="D1041" s="6">
        <v>23100</v>
      </c>
      <c r="E1041" s="6" t="s">
        <v>54</v>
      </c>
      <c r="F1041" s="6" t="s">
        <v>16</v>
      </c>
      <c r="G1041" s="6" t="s">
        <v>1295</v>
      </c>
      <c r="H1041" s="6">
        <v>0</v>
      </c>
      <c r="I1041" s="6">
        <v>0</v>
      </c>
      <c r="J1041" s="6">
        <v>20</v>
      </c>
      <c r="K1041" s="6">
        <v>0</v>
      </c>
      <c r="L1041" s="6">
        <v>0</v>
      </c>
      <c r="M1041" s="6">
        <v>20</v>
      </c>
      <c r="N1041" s="6">
        <v>20</v>
      </c>
      <c r="O1041" s="6">
        <v>20</v>
      </c>
      <c r="P1041" s="6">
        <v>20</v>
      </c>
      <c r="Q1041" s="6">
        <v>17.533783</v>
      </c>
      <c r="R1041" s="6">
        <v>16.700679999999998</v>
      </c>
      <c r="S1041" s="6">
        <v>17.127882</v>
      </c>
      <c r="T1041" s="6">
        <v>17.533783</v>
      </c>
      <c r="U1041" s="6">
        <v>16.700679999999998</v>
      </c>
      <c r="V1041" s="6">
        <v>17.127882</v>
      </c>
    </row>
    <row r="1042" spans="2:22">
      <c r="B1042" s="6">
        <v>32405</v>
      </c>
      <c r="C1042" s="6" t="s">
        <v>216</v>
      </c>
      <c r="D1042" s="6">
        <v>12400</v>
      </c>
      <c r="E1042" s="6" t="s">
        <v>217</v>
      </c>
      <c r="F1042" s="6" t="s">
        <v>16</v>
      </c>
      <c r="G1042" s="6" t="s">
        <v>1295</v>
      </c>
      <c r="H1042" s="6">
        <v>0</v>
      </c>
      <c r="I1042" s="6">
        <v>0</v>
      </c>
      <c r="J1042" s="6">
        <v>9.5</v>
      </c>
      <c r="K1042" s="6">
        <v>5</v>
      </c>
      <c r="L1042" s="6">
        <v>5</v>
      </c>
      <c r="M1042" s="6">
        <v>6.1</v>
      </c>
      <c r="N1042" s="6">
        <v>5</v>
      </c>
      <c r="O1042" s="6">
        <v>5</v>
      </c>
      <c r="P1042" s="6">
        <v>6.1</v>
      </c>
      <c r="Q1042" s="6">
        <v>5</v>
      </c>
      <c r="R1042" s="6">
        <v>5</v>
      </c>
      <c r="S1042" s="6">
        <v>6.1</v>
      </c>
      <c r="T1042" s="6">
        <v>8.8875729999999997</v>
      </c>
      <c r="U1042" s="6">
        <v>8.6089380000000002</v>
      </c>
      <c r="V1042" s="6">
        <v>8.6174140000000001</v>
      </c>
    </row>
    <row r="1043" spans="2:22">
      <c r="B1043" s="6">
        <v>32405</v>
      </c>
      <c r="C1043" s="6" t="s">
        <v>216</v>
      </c>
      <c r="D1043" s="6">
        <v>20500</v>
      </c>
      <c r="E1043" s="6" t="s">
        <v>31</v>
      </c>
      <c r="F1043" s="6" t="s">
        <v>16</v>
      </c>
      <c r="G1043" s="6" t="s">
        <v>1295</v>
      </c>
      <c r="H1043" s="6">
        <v>0</v>
      </c>
      <c r="I1043" s="6">
        <v>0</v>
      </c>
      <c r="J1043" s="6">
        <v>15</v>
      </c>
      <c r="K1043" s="6">
        <v>15</v>
      </c>
      <c r="L1043" s="6">
        <v>15</v>
      </c>
      <c r="M1043" s="6">
        <v>15</v>
      </c>
      <c r="N1043" s="6">
        <v>15</v>
      </c>
      <c r="O1043" s="6">
        <v>15</v>
      </c>
      <c r="P1043" s="6">
        <v>15</v>
      </c>
      <c r="Q1043" s="6">
        <v>15</v>
      </c>
      <c r="R1043" s="6">
        <v>15</v>
      </c>
      <c r="S1043" s="6">
        <v>15</v>
      </c>
      <c r="T1043" s="6">
        <v>16.909089999999999</v>
      </c>
      <c r="U1043" s="6">
        <v>13.130081000000001</v>
      </c>
      <c r="V1043" s="6">
        <v>12.707865</v>
      </c>
    </row>
    <row r="1044" spans="2:22">
      <c r="B1044" s="6">
        <v>32405</v>
      </c>
      <c r="C1044" s="6" t="s">
        <v>216</v>
      </c>
      <c r="D1044" s="6">
        <v>20600</v>
      </c>
      <c r="E1044" s="6" t="s">
        <v>32</v>
      </c>
      <c r="F1044" s="6" t="s">
        <v>16</v>
      </c>
      <c r="G1044" s="6" t="s">
        <v>1295</v>
      </c>
      <c r="H1044" s="6">
        <v>0</v>
      </c>
      <c r="I1044" s="6">
        <v>0</v>
      </c>
      <c r="J1044" s="6">
        <v>11.666665999999999</v>
      </c>
      <c r="K1044" s="6">
        <v>0</v>
      </c>
      <c r="L1044" s="6">
        <v>0</v>
      </c>
      <c r="M1044" s="6">
        <v>13.181818</v>
      </c>
      <c r="N1044" s="6">
        <v>0</v>
      </c>
      <c r="O1044" s="6">
        <v>0</v>
      </c>
      <c r="P1044" s="6">
        <v>13.181818</v>
      </c>
      <c r="Q1044" s="6">
        <v>15</v>
      </c>
      <c r="R1044" s="6">
        <v>11.333333</v>
      </c>
      <c r="S1044" s="6">
        <v>11.764704999999999</v>
      </c>
      <c r="T1044" s="6">
        <v>37.272727000000003</v>
      </c>
      <c r="U1044" s="6">
        <v>35.853658000000003</v>
      </c>
      <c r="V1044" s="6">
        <v>40.728476000000001</v>
      </c>
    </row>
    <row r="1045" spans="2:22">
      <c r="B1045" s="6">
        <v>32407</v>
      </c>
      <c r="C1045" s="6" t="s">
        <v>1012</v>
      </c>
      <c r="D1045" s="6">
        <v>12400</v>
      </c>
      <c r="E1045" s="6" t="s">
        <v>217</v>
      </c>
      <c r="F1045" s="6" t="s">
        <v>16</v>
      </c>
      <c r="G1045" s="6" t="s">
        <v>1295</v>
      </c>
      <c r="H1045" s="6">
        <v>0</v>
      </c>
      <c r="I1045" s="6">
        <v>0</v>
      </c>
      <c r="J1045" s="6">
        <v>8</v>
      </c>
      <c r="K1045" s="6">
        <v>13.375</v>
      </c>
      <c r="L1045" s="6">
        <v>10.9375</v>
      </c>
      <c r="M1045" s="6">
        <v>9.2653060000000007</v>
      </c>
      <c r="N1045" s="6">
        <v>9.2387090000000001</v>
      </c>
      <c r="O1045" s="6">
        <v>8.7126429999999999</v>
      </c>
      <c r="P1045" s="6">
        <v>8.6856360000000006</v>
      </c>
      <c r="Q1045" s="6">
        <v>9.2387090000000001</v>
      </c>
      <c r="R1045" s="6">
        <v>8.7126429999999999</v>
      </c>
      <c r="S1045" s="6">
        <v>8.6856360000000006</v>
      </c>
      <c r="T1045" s="6">
        <v>8.8875729999999997</v>
      </c>
      <c r="U1045" s="6">
        <v>8.6089380000000002</v>
      </c>
      <c r="V1045" s="6">
        <v>8.6174140000000001</v>
      </c>
    </row>
    <row r="1046" spans="2:22">
      <c r="B1046" s="6">
        <v>32407</v>
      </c>
      <c r="C1046" s="6" t="s">
        <v>1012</v>
      </c>
      <c r="D1046" s="6">
        <v>20920</v>
      </c>
      <c r="E1046" s="6" t="s">
        <v>231</v>
      </c>
      <c r="F1046" s="6" t="s">
        <v>16</v>
      </c>
      <c r="G1046" s="6" t="s">
        <v>1295</v>
      </c>
      <c r="H1046" s="6">
        <v>0</v>
      </c>
      <c r="I1046" s="6">
        <v>0</v>
      </c>
      <c r="J1046" s="6">
        <v>7</v>
      </c>
      <c r="K1046" s="6">
        <v>8.1999999999999993</v>
      </c>
      <c r="L1046" s="6">
        <v>8</v>
      </c>
      <c r="M1046" s="6">
        <v>7.2068960000000004</v>
      </c>
      <c r="N1046" s="6">
        <v>8.1999999999999993</v>
      </c>
      <c r="O1046" s="6">
        <v>8.0909089999999999</v>
      </c>
      <c r="P1046" s="6">
        <v>7.923076</v>
      </c>
      <c r="Q1046" s="6">
        <v>8.1999999999999993</v>
      </c>
      <c r="R1046" s="6">
        <v>8.0909089999999999</v>
      </c>
      <c r="S1046" s="6">
        <v>7.923076</v>
      </c>
      <c r="T1046" s="6">
        <v>8.1999999999999993</v>
      </c>
      <c r="U1046" s="6">
        <v>8.0909089999999999</v>
      </c>
      <c r="V1046" s="6">
        <v>7.923076</v>
      </c>
    </row>
    <row r="1047" spans="2:22">
      <c r="B1047" s="6">
        <v>32407</v>
      </c>
      <c r="C1047" s="6" t="s">
        <v>1012</v>
      </c>
      <c r="D1047" s="6">
        <v>23311</v>
      </c>
      <c r="E1047" s="6" t="s">
        <v>221</v>
      </c>
      <c r="F1047" s="6" t="s">
        <v>16</v>
      </c>
      <c r="G1047" s="6" t="s">
        <v>1295</v>
      </c>
      <c r="H1047" s="6">
        <v>0</v>
      </c>
      <c r="I1047" s="6">
        <v>0</v>
      </c>
      <c r="J1047" s="6">
        <v>10</v>
      </c>
      <c r="K1047" s="6">
        <v>10</v>
      </c>
      <c r="L1047" s="6">
        <v>10</v>
      </c>
      <c r="M1047" s="6">
        <v>10</v>
      </c>
      <c r="N1047" s="6">
        <v>10.099009000000001</v>
      </c>
      <c r="O1047" s="6">
        <v>10.02364</v>
      </c>
      <c r="P1047" s="6">
        <v>10.011260999999999</v>
      </c>
      <c r="Q1047" s="6">
        <v>10.099009000000001</v>
      </c>
      <c r="R1047" s="6">
        <v>10.02364</v>
      </c>
      <c r="S1047" s="6">
        <v>10.011260999999999</v>
      </c>
      <c r="T1047" s="6">
        <v>10.099009000000001</v>
      </c>
      <c r="U1047" s="6">
        <v>10.02364</v>
      </c>
      <c r="V1047" s="6">
        <v>10.011260999999999</v>
      </c>
    </row>
    <row r="1048" spans="2:22">
      <c r="B1048" s="6">
        <v>32407</v>
      </c>
      <c r="C1048" s="6" t="s">
        <v>1012</v>
      </c>
      <c r="D1048" s="6">
        <v>23315</v>
      </c>
      <c r="E1048" s="6" t="s">
        <v>246</v>
      </c>
      <c r="F1048" s="6" t="s">
        <v>16</v>
      </c>
      <c r="G1048" s="6" t="s">
        <v>1295</v>
      </c>
      <c r="H1048" s="6">
        <v>0</v>
      </c>
      <c r="I1048" s="6">
        <v>0</v>
      </c>
      <c r="J1048" s="6">
        <v>10</v>
      </c>
      <c r="K1048" s="6">
        <v>10</v>
      </c>
      <c r="L1048" s="6">
        <v>10</v>
      </c>
      <c r="M1048" s="6">
        <v>9.625</v>
      </c>
      <c r="N1048" s="6">
        <v>10</v>
      </c>
      <c r="O1048" s="6">
        <v>10</v>
      </c>
      <c r="P1048" s="6">
        <v>9.6571420000000003</v>
      </c>
      <c r="Q1048" s="6">
        <v>10</v>
      </c>
      <c r="R1048" s="6">
        <v>10</v>
      </c>
      <c r="S1048" s="6">
        <v>9.6571420000000003</v>
      </c>
      <c r="T1048" s="6">
        <v>10</v>
      </c>
      <c r="U1048" s="6">
        <v>10</v>
      </c>
      <c r="V1048" s="6">
        <v>9.6571420000000003</v>
      </c>
    </row>
    <row r="1049" spans="2:22">
      <c r="B1049" s="6">
        <v>32409</v>
      </c>
      <c r="C1049" s="6" t="s">
        <v>71</v>
      </c>
      <c r="D1049" s="6">
        <v>23100</v>
      </c>
      <c r="E1049" s="6" t="s">
        <v>54</v>
      </c>
      <c r="F1049" s="6" t="s">
        <v>16</v>
      </c>
      <c r="G1049" s="6" t="s">
        <v>1295</v>
      </c>
      <c r="H1049" s="6">
        <v>15</v>
      </c>
      <c r="I1049" s="6">
        <v>15</v>
      </c>
      <c r="J1049" s="6">
        <v>15</v>
      </c>
      <c r="K1049" s="6">
        <v>15</v>
      </c>
      <c r="L1049" s="6">
        <v>15</v>
      </c>
      <c r="M1049" s="6">
        <v>16.617647000000002</v>
      </c>
      <c r="N1049" s="6">
        <v>19.069766999999999</v>
      </c>
      <c r="O1049" s="6">
        <v>18.208955</v>
      </c>
      <c r="P1049" s="6">
        <v>18.689516000000001</v>
      </c>
      <c r="Q1049" s="6">
        <v>17.533783</v>
      </c>
      <c r="R1049" s="6">
        <v>16.700679999999998</v>
      </c>
      <c r="S1049" s="6">
        <v>17.127882</v>
      </c>
      <c r="T1049" s="6">
        <v>17.533783</v>
      </c>
      <c r="U1049" s="6">
        <v>16.700679999999998</v>
      </c>
      <c r="V1049" s="6">
        <v>17.127882</v>
      </c>
    </row>
    <row r="1050" spans="2:22">
      <c r="B1050" s="6">
        <v>32409</v>
      </c>
      <c r="C1050" s="6" t="s">
        <v>71</v>
      </c>
      <c r="D1050" s="6">
        <v>24000</v>
      </c>
      <c r="E1050" s="6" t="s">
        <v>72</v>
      </c>
      <c r="F1050" s="6" t="s">
        <v>73</v>
      </c>
      <c r="G1050" s="6" t="s">
        <v>1299</v>
      </c>
      <c r="H1050" s="6">
        <v>15</v>
      </c>
      <c r="I1050" s="6">
        <v>15</v>
      </c>
      <c r="J1050" s="6">
        <v>15</v>
      </c>
      <c r="K1050" s="6">
        <v>15</v>
      </c>
      <c r="L1050" s="6">
        <v>15</v>
      </c>
      <c r="M1050" s="6">
        <v>15</v>
      </c>
      <c r="N1050" s="6">
        <v>15</v>
      </c>
      <c r="O1050" s="6">
        <v>15</v>
      </c>
      <c r="P1050" s="6">
        <v>15</v>
      </c>
      <c r="Q1050" s="6">
        <v>15</v>
      </c>
      <c r="R1050" s="6">
        <v>15</v>
      </c>
      <c r="S1050" s="6">
        <v>15</v>
      </c>
      <c r="T1050" s="6">
        <v>15</v>
      </c>
      <c r="U1050" s="6">
        <v>15</v>
      </c>
      <c r="V1050" s="6">
        <v>16.363636</v>
      </c>
    </row>
    <row r="1051" spans="2:22">
      <c r="B1051" s="6">
        <v>32413</v>
      </c>
      <c r="C1051" s="6" t="s">
        <v>247</v>
      </c>
      <c r="D1051" s="6">
        <v>12400</v>
      </c>
      <c r="E1051" s="6" t="s">
        <v>217</v>
      </c>
      <c r="F1051" s="6" t="s">
        <v>16</v>
      </c>
      <c r="G1051" s="6" t="s">
        <v>1295</v>
      </c>
      <c r="H1051" s="6">
        <v>8</v>
      </c>
      <c r="I1051" s="6">
        <v>8</v>
      </c>
      <c r="J1051" s="6">
        <v>8.1875</v>
      </c>
      <c r="K1051" s="6">
        <v>8.2173909999999992</v>
      </c>
      <c r="L1051" s="6">
        <v>8.1046829999999996</v>
      </c>
      <c r="M1051" s="6">
        <v>8.2384710000000005</v>
      </c>
      <c r="N1051" s="6">
        <v>9.2387090000000001</v>
      </c>
      <c r="O1051" s="6">
        <v>8.7126429999999999</v>
      </c>
      <c r="P1051" s="6">
        <v>8.6856360000000006</v>
      </c>
      <c r="Q1051" s="6">
        <v>9.2387090000000001</v>
      </c>
      <c r="R1051" s="6">
        <v>8.7126429999999999</v>
      </c>
      <c r="S1051" s="6">
        <v>8.6856360000000006</v>
      </c>
      <c r="T1051" s="6">
        <v>8.8875729999999997</v>
      </c>
      <c r="U1051" s="6">
        <v>8.6089380000000002</v>
      </c>
      <c r="V1051" s="6">
        <v>8.6174140000000001</v>
      </c>
    </row>
    <row r="1052" spans="2:22">
      <c r="B1052" s="6">
        <v>32413</v>
      </c>
      <c r="C1052" s="6" t="s">
        <v>247</v>
      </c>
      <c r="D1052" s="6">
        <v>23311</v>
      </c>
      <c r="E1052" s="6" t="s">
        <v>221</v>
      </c>
      <c r="F1052" s="6" t="s">
        <v>16</v>
      </c>
      <c r="G1052" s="6" t="s">
        <v>1295</v>
      </c>
      <c r="H1052" s="6">
        <v>10</v>
      </c>
      <c r="I1052" s="6">
        <v>10</v>
      </c>
      <c r="J1052" s="6">
        <v>10</v>
      </c>
      <c r="K1052" s="6">
        <v>10.144926999999999</v>
      </c>
      <c r="L1052" s="6">
        <v>10.029239</v>
      </c>
      <c r="M1052" s="6">
        <v>10.013888</v>
      </c>
      <c r="N1052" s="6">
        <v>10.099009000000001</v>
      </c>
      <c r="O1052" s="6">
        <v>10.02364</v>
      </c>
      <c r="P1052" s="6">
        <v>10.011260999999999</v>
      </c>
      <c r="Q1052" s="6">
        <v>10.099009000000001</v>
      </c>
      <c r="R1052" s="6">
        <v>10.02364</v>
      </c>
      <c r="S1052" s="6">
        <v>10.011260999999999</v>
      </c>
      <c r="T1052" s="6">
        <v>10.099009000000001</v>
      </c>
      <c r="U1052" s="6">
        <v>10.02364</v>
      </c>
      <c r="V1052" s="6">
        <v>10.011260999999999</v>
      </c>
    </row>
    <row r="1053" spans="2:22">
      <c r="B1053" s="6">
        <v>32414</v>
      </c>
      <c r="C1053" s="6" t="s">
        <v>248</v>
      </c>
      <c r="D1053" s="6">
        <v>12400</v>
      </c>
      <c r="E1053" s="6" t="s">
        <v>217</v>
      </c>
      <c r="F1053" s="6" t="s">
        <v>16</v>
      </c>
      <c r="G1053" s="6" t="s">
        <v>1295</v>
      </c>
      <c r="H1053" s="6">
        <v>8</v>
      </c>
      <c r="I1053" s="6">
        <v>8</v>
      </c>
      <c r="J1053" s="6">
        <v>8.0506320000000002</v>
      </c>
      <c r="K1053" s="6">
        <v>8.2173909999999992</v>
      </c>
      <c r="L1053" s="6">
        <v>8.1046829999999996</v>
      </c>
      <c r="M1053" s="6">
        <v>8.2384710000000005</v>
      </c>
      <c r="N1053" s="6">
        <v>9.2387090000000001</v>
      </c>
      <c r="O1053" s="6">
        <v>8.7126429999999999</v>
      </c>
      <c r="P1053" s="6">
        <v>8.6856360000000006</v>
      </c>
      <c r="Q1053" s="6">
        <v>9.2387090000000001</v>
      </c>
      <c r="R1053" s="6">
        <v>8.7126429999999999</v>
      </c>
      <c r="S1053" s="6">
        <v>8.6856360000000006</v>
      </c>
      <c r="T1053" s="6">
        <v>8.8875729999999997</v>
      </c>
      <c r="U1053" s="6">
        <v>8.6089380000000002</v>
      </c>
      <c r="V1053" s="6">
        <v>8.6174140000000001</v>
      </c>
    </row>
    <row r="1054" spans="2:22">
      <c r="B1054" s="6">
        <v>32414</v>
      </c>
      <c r="C1054" s="6" t="s">
        <v>248</v>
      </c>
      <c r="D1054" s="6">
        <v>23311</v>
      </c>
      <c r="E1054" s="6" t="s">
        <v>221</v>
      </c>
      <c r="F1054" s="6" t="s">
        <v>16</v>
      </c>
      <c r="G1054" s="6" t="s">
        <v>1295</v>
      </c>
      <c r="H1054" s="6">
        <v>10</v>
      </c>
      <c r="I1054" s="6">
        <v>10</v>
      </c>
      <c r="J1054" s="6">
        <v>10</v>
      </c>
      <c r="K1054" s="6">
        <v>10.144926999999999</v>
      </c>
      <c r="L1054" s="6">
        <v>10.029239</v>
      </c>
      <c r="M1054" s="6">
        <v>10.013888</v>
      </c>
      <c r="N1054" s="6">
        <v>10.099009000000001</v>
      </c>
      <c r="O1054" s="6">
        <v>10.02364</v>
      </c>
      <c r="P1054" s="6">
        <v>10.011260999999999</v>
      </c>
      <c r="Q1054" s="6">
        <v>10.099009000000001</v>
      </c>
      <c r="R1054" s="6">
        <v>10.02364</v>
      </c>
      <c r="S1054" s="6">
        <v>10.011260999999999</v>
      </c>
      <c r="T1054" s="6">
        <v>10.099009000000001</v>
      </c>
      <c r="U1054" s="6">
        <v>10.02364</v>
      </c>
      <c r="V1054" s="6">
        <v>10.011260999999999</v>
      </c>
    </row>
    <row r="1055" spans="2:22">
      <c r="B1055" s="6">
        <v>32415</v>
      </c>
      <c r="C1055" s="6" t="s">
        <v>249</v>
      </c>
      <c r="D1055" s="6">
        <v>12400</v>
      </c>
      <c r="E1055" s="6" t="s">
        <v>217</v>
      </c>
      <c r="F1055" s="6" t="s">
        <v>16</v>
      </c>
      <c r="G1055" s="6" t="s">
        <v>1295</v>
      </c>
      <c r="H1055" s="6">
        <v>8</v>
      </c>
      <c r="I1055" s="6">
        <v>8</v>
      </c>
      <c r="J1055" s="6">
        <v>8.0185180000000003</v>
      </c>
      <c r="K1055" s="6">
        <v>8.2173909999999992</v>
      </c>
      <c r="L1055" s="6">
        <v>8.1046829999999996</v>
      </c>
      <c r="M1055" s="6">
        <v>8.2384710000000005</v>
      </c>
      <c r="N1055" s="6">
        <v>9.2387090000000001</v>
      </c>
      <c r="O1055" s="6">
        <v>8.7126429999999999</v>
      </c>
      <c r="P1055" s="6">
        <v>8.6856360000000006</v>
      </c>
      <c r="Q1055" s="6">
        <v>9.2387090000000001</v>
      </c>
      <c r="R1055" s="6">
        <v>8.7126429999999999</v>
      </c>
      <c r="S1055" s="6">
        <v>8.6856360000000006</v>
      </c>
      <c r="T1055" s="6">
        <v>8.8875729999999997</v>
      </c>
      <c r="U1055" s="6">
        <v>8.6089380000000002</v>
      </c>
      <c r="V1055" s="6">
        <v>8.6174140000000001</v>
      </c>
    </row>
    <row r="1056" spans="2:22">
      <c r="B1056" s="6">
        <v>32415</v>
      </c>
      <c r="C1056" s="6" t="s">
        <v>249</v>
      </c>
      <c r="D1056" s="6">
        <v>23311</v>
      </c>
      <c r="E1056" s="6" t="s">
        <v>221</v>
      </c>
      <c r="F1056" s="6" t="s">
        <v>16</v>
      </c>
      <c r="G1056" s="6" t="s">
        <v>1295</v>
      </c>
      <c r="H1056" s="6">
        <v>10.238095</v>
      </c>
      <c r="I1056" s="6">
        <v>10.111110999999999</v>
      </c>
      <c r="J1056" s="6">
        <v>10.046296</v>
      </c>
      <c r="K1056" s="6">
        <v>10.144926999999999</v>
      </c>
      <c r="L1056" s="6">
        <v>10.029239</v>
      </c>
      <c r="M1056" s="6">
        <v>10.013888</v>
      </c>
      <c r="N1056" s="6">
        <v>10.099009000000001</v>
      </c>
      <c r="O1056" s="6">
        <v>10.02364</v>
      </c>
      <c r="P1056" s="6">
        <v>10.011260999999999</v>
      </c>
      <c r="Q1056" s="6">
        <v>10.099009000000001</v>
      </c>
      <c r="R1056" s="6">
        <v>10.02364</v>
      </c>
      <c r="S1056" s="6">
        <v>10.011260999999999</v>
      </c>
      <c r="T1056" s="6">
        <v>10.099009000000001</v>
      </c>
      <c r="U1056" s="6">
        <v>10.02364</v>
      </c>
      <c r="V1056" s="6">
        <v>10.011260999999999</v>
      </c>
    </row>
    <row r="1057" spans="2:22">
      <c r="B1057" s="6">
        <v>32416</v>
      </c>
      <c r="C1057" s="6" t="s">
        <v>1009</v>
      </c>
      <c r="D1057" s="6">
        <v>12400</v>
      </c>
      <c r="E1057" s="6" t="s">
        <v>217</v>
      </c>
      <c r="F1057" s="6" t="s">
        <v>16</v>
      </c>
      <c r="G1057" s="6" t="s">
        <v>1295</v>
      </c>
      <c r="H1057" s="6">
        <v>0</v>
      </c>
      <c r="I1057" s="6">
        <v>0</v>
      </c>
      <c r="J1057" s="6">
        <v>10</v>
      </c>
      <c r="K1057" s="6">
        <v>0</v>
      </c>
      <c r="L1057" s="6">
        <v>10</v>
      </c>
      <c r="M1057" s="6">
        <v>10</v>
      </c>
      <c r="N1057" s="6">
        <v>9.2387090000000001</v>
      </c>
      <c r="O1057" s="6">
        <v>8.7126429999999999</v>
      </c>
      <c r="P1057" s="6">
        <v>8.6856360000000006</v>
      </c>
      <c r="Q1057" s="6">
        <v>9.2387090000000001</v>
      </c>
      <c r="R1057" s="6">
        <v>8.7126429999999999</v>
      </c>
      <c r="S1057" s="6">
        <v>8.6856360000000006</v>
      </c>
      <c r="T1057" s="6">
        <v>8.8875729999999997</v>
      </c>
      <c r="U1057" s="6">
        <v>8.6089380000000002</v>
      </c>
      <c r="V1057" s="6">
        <v>8.6174140000000001</v>
      </c>
    </row>
    <row r="1058" spans="2:22">
      <c r="B1058" s="6">
        <v>32416</v>
      </c>
      <c r="C1058" s="6" t="s">
        <v>1009</v>
      </c>
      <c r="D1058" s="6">
        <v>20920</v>
      </c>
      <c r="E1058" s="6" t="s">
        <v>231</v>
      </c>
      <c r="F1058" s="6" t="s">
        <v>16</v>
      </c>
      <c r="G1058" s="6" t="s">
        <v>1295</v>
      </c>
      <c r="H1058" s="6">
        <v>0</v>
      </c>
      <c r="I1058" s="6">
        <v>0</v>
      </c>
      <c r="J1058" s="6">
        <v>10</v>
      </c>
      <c r="K1058" s="6">
        <v>0</v>
      </c>
      <c r="L1058" s="6">
        <v>7</v>
      </c>
      <c r="M1058" s="6">
        <v>7.75</v>
      </c>
      <c r="N1058" s="6">
        <v>8.1999999999999993</v>
      </c>
      <c r="O1058" s="6">
        <v>8.0909089999999999</v>
      </c>
      <c r="P1058" s="6">
        <v>7.923076</v>
      </c>
      <c r="Q1058" s="6">
        <v>8.1999999999999993</v>
      </c>
      <c r="R1058" s="6">
        <v>8.0909089999999999</v>
      </c>
      <c r="S1058" s="6">
        <v>7.923076</v>
      </c>
      <c r="T1058" s="6">
        <v>8.1999999999999993</v>
      </c>
      <c r="U1058" s="6">
        <v>8.0909089999999999</v>
      </c>
      <c r="V1058" s="6">
        <v>7.923076</v>
      </c>
    </row>
    <row r="1059" spans="2:22">
      <c r="B1059" s="6">
        <v>32416</v>
      </c>
      <c r="C1059" s="6" t="s">
        <v>1009</v>
      </c>
      <c r="D1059" s="6">
        <v>23311</v>
      </c>
      <c r="E1059" s="6" t="s">
        <v>221</v>
      </c>
      <c r="F1059" s="6" t="s">
        <v>16</v>
      </c>
      <c r="G1059" s="6" t="s">
        <v>1295</v>
      </c>
      <c r="H1059" s="6">
        <v>0</v>
      </c>
      <c r="I1059" s="6">
        <v>0</v>
      </c>
      <c r="J1059" s="6">
        <v>10</v>
      </c>
      <c r="K1059" s="6">
        <v>0</v>
      </c>
      <c r="L1059" s="6">
        <v>10</v>
      </c>
      <c r="M1059" s="6">
        <v>10</v>
      </c>
      <c r="N1059" s="6">
        <v>10.099009000000001</v>
      </c>
      <c r="O1059" s="6">
        <v>10.02364</v>
      </c>
      <c r="P1059" s="6">
        <v>10.011260999999999</v>
      </c>
      <c r="Q1059" s="6">
        <v>10.099009000000001</v>
      </c>
      <c r="R1059" s="6">
        <v>10.02364</v>
      </c>
      <c r="S1059" s="6">
        <v>10.011260999999999</v>
      </c>
      <c r="T1059" s="6">
        <v>10.099009000000001</v>
      </c>
      <c r="U1059" s="6">
        <v>10.02364</v>
      </c>
      <c r="V1059" s="6">
        <v>10.011260999999999</v>
      </c>
    </row>
    <row r="1060" spans="2:22">
      <c r="B1060" s="6">
        <v>32416</v>
      </c>
      <c r="C1060" s="6" t="s">
        <v>1009</v>
      </c>
      <c r="D1060" s="6">
        <v>23312</v>
      </c>
      <c r="E1060" s="6" t="s">
        <v>215</v>
      </c>
      <c r="F1060" s="6" t="s">
        <v>16</v>
      </c>
      <c r="G1060" s="6" t="s">
        <v>1295</v>
      </c>
      <c r="H1060" s="6">
        <v>0</v>
      </c>
      <c r="I1060" s="6">
        <v>0</v>
      </c>
      <c r="J1060" s="6">
        <v>10</v>
      </c>
      <c r="K1060" s="6">
        <v>0</v>
      </c>
      <c r="L1060" s="6">
        <v>0</v>
      </c>
      <c r="M1060" s="6">
        <v>10</v>
      </c>
      <c r="N1060" s="6">
        <v>0</v>
      </c>
      <c r="O1060" s="6">
        <v>10</v>
      </c>
      <c r="P1060" s="6">
        <v>10</v>
      </c>
      <c r="Q1060" s="6">
        <v>0</v>
      </c>
      <c r="R1060" s="6">
        <v>10</v>
      </c>
      <c r="S1060" s="6">
        <v>10</v>
      </c>
      <c r="T1060" s="6">
        <v>10</v>
      </c>
      <c r="U1060" s="6">
        <v>10</v>
      </c>
      <c r="V1060" s="6">
        <v>10.5</v>
      </c>
    </row>
    <row r="1061" spans="2:22">
      <c r="B1061" s="6">
        <v>32416</v>
      </c>
      <c r="C1061" s="6" t="s">
        <v>1009</v>
      </c>
      <c r="D1061" s="6">
        <v>25005</v>
      </c>
      <c r="E1061" s="6" t="s">
        <v>232</v>
      </c>
      <c r="F1061" s="6" t="s">
        <v>16</v>
      </c>
      <c r="G1061" s="6" t="s">
        <v>1295</v>
      </c>
      <c r="H1061" s="6">
        <v>0</v>
      </c>
      <c r="I1061" s="6">
        <v>0</v>
      </c>
      <c r="J1061" s="6">
        <v>10</v>
      </c>
      <c r="K1061" s="6">
        <v>0</v>
      </c>
      <c r="L1061" s="6">
        <v>10</v>
      </c>
      <c r="M1061" s="6">
        <v>10</v>
      </c>
      <c r="N1061" s="6">
        <v>10</v>
      </c>
      <c r="O1061" s="6">
        <v>10</v>
      </c>
      <c r="P1061" s="6">
        <v>10</v>
      </c>
      <c r="Q1061" s="6">
        <v>10</v>
      </c>
      <c r="R1061" s="6">
        <v>10</v>
      </c>
      <c r="S1061" s="6">
        <v>10</v>
      </c>
      <c r="T1061" s="6">
        <v>10</v>
      </c>
      <c r="U1061" s="6">
        <v>10</v>
      </c>
      <c r="V1061" s="6">
        <v>10</v>
      </c>
    </row>
    <row r="1062" spans="2:22">
      <c r="B1062" s="6">
        <v>32416</v>
      </c>
      <c r="C1062" s="6" t="s">
        <v>1009</v>
      </c>
      <c r="D1062" s="6">
        <v>80013</v>
      </c>
      <c r="E1062" s="6" t="s">
        <v>250</v>
      </c>
      <c r="F1062" s="6" t="s">
        <v>16</v>
      </c>
      <c r="G1062" s="6" t="s">
        <v>1295</v>
      </c>
      <c r="H1062" s="6">
        <v>0</v>
      </c>
      <c r="I1062" s="6">
        <v>0</v>
      </c>
      <c r="J1062" s="6">
        <v>10</v>
      </c>
      <c r="K1062" s="6">
        <v>0</v>
      </c>
      <c r="L1062" s="6">
        <v>0</v>
      </c>
      <c r="M1062" s="6">
        <v>10</v>
      </c>
      <c r="N1062" s="6">
        <v>0</v>
      </c>
      <c r="O1062" s="6">
        <v>0</v>
      </c>
      <c r="P1062" s="6">
        <v>10</v>
      </c>
      <c r="Q1062" s="6">
        <v>0</v>
      </c>
      <c r="R1062" s="6">
        <v>0</v>
      </c>
      <c r="S1062" s="6">
        <v>10</v>
      </c>
      <c r="T1062" s="6">
        <v>0</v>
      </c>
      <c r="U1062" s="6">
        <v>0</v>
      </c>
      <c r="V1062" s="6">
        <v>10</v>
      </c>
    </row>
    <row r="1063" spans="2:22">
      <c r="B1063" s="6">
        <v>32418</v>
      </c>
      <c r="C1063" s="6" t="s">
        <v>1021</v>
      </c>
      <c r="D1063" s="6">
        <v>12400</v>
      </c>
      <c r="E1063" s="6" t="s">
        <v>217</v>
      </c>
      <c r="F1063" s="6" t="s">
        <v>16</v>
      </c>
      <c r="G1063" s="6" t="s">
        <v>1295</v>
      </c>
      <c r="H1063" s="6">
        <v>0</v>
      </c>
      <c r="I1063" s="6">
        <v>0</v>
      </c>
      <c r="J1063" s="6">
        <v>10</v>
      </c>
      <c r="K1063" s="6">
        <v>0</v>
      </c>
      <c r="L1063" s="6">
        <v>8</v>
      </c>
      <c r="M1063" s="6">
        <v>8.5882349999999992</v>
      </c>
      <c r="N1063" s="6">
        <v>9.2387090000000001</v>
      </c>
      <c r="O1063" s="6">
        <v>8.7126429999999999</v>
      </c>
      <c r="P1063" s="6">
        <v>8.6856360000000006</v>
      </c>
      <c r="Q1063" s="6">
        <v>9.2387090000000001</v>
      </c>
      <c r="R1063" s="6">
        <v>8.7126429999999999</v>
      </c>
      <c r="S1063" s="6">
        <v>8.6856360000000006</v>
      </c>
      <c r="T1063" s="6">
        <v>8.8875729999999997</v>
      </c>
      <c r="U1063" s="6">
        <v>8.6089380000000002</v>
      </c>
      <c r="V1063" s="6">
        <v>8.6174140000000001</v>
      </c>
    </row>
    <row r="1064" spans="2:22">
      <c r="B1064" s="6">
        <v>32418</v>
      </c>
      <c r="C1064" s="6" t="s">
        <v>1021</v>
      </c>
      <c r="D1064" s="6">
        <v>20920</v>
      </c>
      <c r="E1064" s="6" t="s">
        <v>231</v>
      </c>
      <c r="F1064" s="6" t="s">
        <v>16</v>
      </c>
      <c r="G1064" s="6" t="s">
        <v>1295</v>
      </c>
      <c r="H1064" s="6">
        <v>0</v>
      </c>
      <c r="I1064" s="6">
        <v>0</v>
      </c>
      <c r="J1064" s="6">
        <v>10</v>
      </c>
      <c r="K1064" s="6">
        <v>0</v>
      </c>
      <c r="L1064" s="6">
        <v>10</v>
      </c>
      <c r="M1064" s="6">
        <v>9.294117</v>
      </c>
      <c r="N1064" s="6">
        <v>8.1999999999999993</v>
      </c>
      <c r="O1064" s="6">
        <v>8.0909089999999999</v>
      </c>
      <c r="P1064" s="6">
        <v>7.923076</v>
      </c>
      <c r="Q1064" s="6">
        <v>8.1999999999999993</v>
      </c>
      <c r="R1064" s="6">
        <v>8.0909089999999999</v>
      </c>
      <c r="S1064" s="6">
        <v>7.923076</v>
      </c>
      <c r="T1064" s="6">
        <v>8.1999999999999993</v>
      </c>
      <c r="U1064" s="6">
        <v>8.0909089999999999</v>
      </c>
      <c r="V1064" s="6">
        <v>7.923076</v>
      </c>
    </row>
    <row r="1065" spans="2:22">
      <c r="B1065" s="6">
        <v>32418</v>
      </c>
      <c r="C1065" s="6" t="s">
        <v>1021</v>
      </c>
      <c r="D1065" s="6">
        <v>23311</v>
      </c>
      <c r="E1065" s="6" t="s">
        <v>221</v>
      </c>
      <c r="F1065" s="6" t="s">
        <v>16</v>
      </c>
      <c r="G1065" s="6" t="s">
        <v>1295</v>
      </c>
      <c r="H1065" s="6">
        <v>0</v>
      </c>
      <c r="I1065" s="6">
        <v>0</v>
      </c>
      <c r="J1065" s="6">
        <v>10</v>
      </c>
      <c r="K1065" s="6">
        <v>0</v>
      </c>
      <c r="L1065" s="6">
        <v>0</v>
      </c>
      <c r="M1065" s="6">
        <v>10</v>
      </c>
      <c r="N1065" s="6">
        <v>10.099009000000001</v>
      </c>
      <c r="O1065" s="6">
        <v>10.02364</v>
      </c>
      <c r="P1065" s="6">
        <v>10.011260999999999</v>
      </c>
      <c r="Q1065" s="6">
        <v>10.099009000000001</v>
      </c>
      <c r="R1065" s="6">
        <v>10.02364</v>
      </c>
      <c r="S1065" s="6">
        <v>10.011260999999999</v>
      </c>
      <c r="T1065" s="6">
        <v>10.099009000000001</v>
      </c>
      <c r="U1065" s="6">
        <v>10.02364</v>
      </c>
      <c r="V1065" s="6">
        <v>10.011260999999999</v>
      </c>
    </row>
    <row r="1066" spans="2:22">
      <c r="B1066" s="6">
        <v>32418</v>
      </c>
      <c r="C1066" s="6" t="s">
        <v>1021</v>
      </c>
      <c r="D1066" s="6">
        <v>23312</v>
      </c>
      <c r="E1066" s="6" t="s">
        <v>215</v>
      </c>
      <c r="F1066" s="6" t="s">
        <v>16</v>
      </c>
      <c r="G1066" s="6" t="s">
        <v>1295</v>
      </c>
      <c r="H1066" s="6">
        <v>0</v>
      </c>
      <c r="I1066" s="6">
        <v>0</v>
      </c>
      <c r="J1066" s="6">
        <v>10</v>
      </c>
      <c r="K1066" s="6">
        <v>0</v>
      </c>
      <c r="L1066" s="6">
        <v>0</v>
      </c>
      <c r="M1066" s="6">
        <v>10</v>
      </c>
      <c r="N1066" s="6">
        <v>0</v>
      </c>
      <c r="O1066" s="6">
        <v>10</v>
      </c>
      <c r="P1066" s="6">
        <v>10</v>
      </c>
      <c r="Q1066" s="6">
        <v>0</v>
      </c>
      <c r="R1066" s="6">
        <v>10</v>
      </c>
      <c r="S1066" s="6">
        <v>10</v>
      </c>
      <c r="T1066" s="6">
        <v>10</v>
      </c>
      <c r="U1066" s="6">
        <v>10</v>
      </c>
      <c r="V1066" s="6">
        <v>10.5</v>
      </c>
    </row>
    <row r="1067" spans="2:22">
      <c r="B1067" s="6">
        <v>32418</v>
      </c>
      <c r="C1067" s="6" t="s">
        <v>1021</v>
      </c>
      <c r="D1067" s="6">
        <v>25005</v>
      </c>
      <c r="E1067" s="6" t="s">
        <v>232</v>
      </c>
      <c r="F1067" s="6" t="s">
        <v>16</v>
      </c>
      <c r="G1067" s="6" t="s">
        <v>1295</v>
      </c>
      <c r="H1067" s="6">
        <v>0</v>
      </c>
      <c r="I1067" s="6">
        <v>0</v>
      </c>
      <c r="J1067" s="6">
        <v>10</v>
      </c>
      <c r="K1067" s="6">
        <v>0</v>
      </c>
      <c r="L1067" s="6">
        <v>10</v>
      </c>
      <c r="M1067" s="6">
        <v>10</v>
      </c>
      <c r="N1067" s="6">
        <v>10</v>
      </c>
      <c r="O1067" s="6">
        <v>10</v>
      </c>
      <c r="P1067" s="6">
        <v>10</v>
      </c>
      <c r="Q1067" s="6">
        <v>10</v>
      </c>
      <c r="R1067" s="6">
        <v>10</v>
      </c>
      <c r="S1067" s="6">
        <v>10</v>
      </c>
      <c r="T1067" s="6">
        <v>10</v>
      </c>
      <c r="U1067" s="6">
        <v>10</v>
      </c>
      <c r="V1067" s="6">
        <v>10</v>
      </c>
    </row>
    <row r="1068" spans="2:22">
      <c r="B1068" s="6">
        <v>32418</v>
      </c>
      <c r="C1068" s="6" t="s">
        <v>1021</v>
      </c>
      <c r="D1068" s="6">
        <v>80013</v>
      </c>
      <c r="E1068" s="6" t="s">
        <v>250</v>
      </c>
      <c r="F1068" s="6" t="s">
        <v>16</v>
      </c>
      <c r="G1068" s="6" t="s">
        <v>1295</v>
      </c>
      <c r="H1068" s="6">
        <v>0</v>
      </c>
      <c r="I1068" s="6">
        <v>0</v>
      </c>
      <c r="J1068" s="6">
        <v>10</v>
      </c>
      <c r="K1068" s="6">
        <v>0</v>
      </c>
      <c r="L1068" s="6">
        <v>0</v>
      </c>
      <c r="M1068" s="6">
        <v>10</v>
      </c>
      <c r="N1068" s="6">
        <v>0</v>
      </c>
      <c r="O1068" s="6">
        <v>0</v>
      </c>
      <c r="P1068" s="6">
        <v>10</v>
      </c>
      <c r="Q1068" s="6">
        <v>0</v>
      </c>
      <c r="R1068" s="6">
        <v>0</v>
      </c>
      <c r="S1068" s="6">
        <v>10</v>
      </c>
      <c r="T1068" s="6">
        <v>0</v>
      </c>
      <c r="U1068" s="6">
        <v>0</v>
      </c>
      <c r="V1068" s="6">
        <v>10</v>
      </c>
    </row>
    <row r="1069" spans="2:22">
      <c r="B1069" s="6">
        <v>32423</v>
      </c>
      <c r="C1069" s="6" t="s">
        <v>723</v>
      </c>
      <c r="D1069" s="6">
        <v>20500</v>
      </c>
      <c r="E1069" s="6" t="s">
        <v>31</v>
      </c>
      <c r="F1069" s="6" t="s">
        <v>17</v>
      </c>
      <c r="G1069" s="6" t="s">
        <v>1294</v>
      </c>
      <c r="H1069" s="6">
        <v>0</v>
      </c>
      <c r="I1069" s="6">
        <v>25</v>
      </c>
      <c r="J1069" s="6">
        <v>25</v>
      </c>
      <c r="K1069" s="6">
        <v>26.046875</v>
      </c>
      <c r="L1069" s="6">
        <v>26.199541</v>
      </c>
      <c r="M1069" s="6">
        <v>26.109717</v>
      </c>
      <c r="N1069" s="6">
        <v>26.108958000000001</v>
      </c>
      <c r="O1069" s="6">
        <v>26.328648000000001</v>
      </c>
      <c r="P1069" s="6">
        <v>26.003786000000002</v>
      </c>
      <c r="Q1069" s="6">
        <v>26.101534000000001</v>
      </c>
      <c r="R1069" s="6">
        <v>26.316153</v>
      </c>
      <c r="S1069" s="6">
        <v>25.991613999999998</v>
      </c>
      <c r="T1069" s="6">
        <v>25.645997000000001</v>
      </c>
      <c r="U1069" s="6">
        <v>25.223958</v>
      </c>
      <c r="V1069" s="6">
        <v>24.770192999999999</v>
      </c>
    </row>
    <row r="1070" spans="2:22">
      <c r="B1070" s="6">
        <v>32423</v>
      </c>
      <c r="C1070" s="6" t="s">
        <v>723</v>
      </c>
      <c r="D1070" s="6">
        <v>20705</v>
      </c>
      <c r="E1070" s="6" t="s">
        <v>59</v>
      </c>
      <c r="F1070" s="6" t="s">
        <v>17</v>
      </c>
      <c r="G1070" s="6" t="s">
        <v>1294</v>
      </c>
      <c r="H1070" s="6">
        <v>0</v>
      </c>
      <c r="I1070" s="6">
        <v>30</v>
      </c>
      <c r="J1070" s="6">
        <v>30</v>
      </c>
      <c r="K1070" s="6">
        <v>0</v>
      </c>
      <c r="L1070" s="6">
        <v>30</v>
      </c>
      <c r="M1070" s="6">
        <v>30</v>
      </c>
      <c r="N1070" s="6">
        <v>30</v>
      </c>
      <c r="O1070" s="6">
        <v>30</v>
      </c>
      <c r="P1070" s="6">
        <v>30</v>
      </c>
      <c r="Q1070" s="6">
        <v>30</v>
      </c>
      <c r="R1070" s="6">
        <v>30</v>
      </c>
      <c r="S1070" s="6">
        <v>29.784172000000002</v>
      </c>
      <c r="T1070" s="6">
        <v>30</v>
      </c>
      <c r="U1070" s="6">
        <v>30</v>
      </c>
      <c r="V1070" s="6">
        <v>29.784172000000002</v>
      </c>
    </row>
    <row r="1071" spans="2:22">
      <c r="B1071" s="6">
        <v>32423</v>
      </c>
      <c r="C1071" s="6" t="s">
        <v>723</v>
      </c>
      <c r="D1071" s="6">
        <v>20902</v>
      </c>
      <c r="E1071" s="6" t="s">
        <v>53</v>
      </c>
      <c r="F1071" s="6" t="s">
        <v>13</v>
      </c>
      <c r="G1071" s="6" t="s">
        <v>14</v>
      </c>
      <c r="H1071" s="6">
        <v>0</v>
      </c>
      <c r="I1071" s="6">
        <v>15</v>
      </c>
      <c r="J1071" s="6">
        <v>15</v>
      </c>
      <c r="K1071" s="6">
        <v>18.622046999999998</v>
      </c>
      <c r="L1071" s="6">
        <v>18.557046</v>
      </c>
      <c r="M1071" s="6">
        <v>18.643459</v>
      </c>
      <c r="N1071" s="6">
        <v>19.181818</v>
      </c>
      <c r="O1071" s="6">
        <v>19.119288999999998</v>
      </c>
      <c r="P1071" s="6">
        <v>18.784502</v>
      </c>
      <c r="Q1071" s="6">
        <v>19.181818</v>
      </c>
      <c r="R1071" s="6">
        <v>19.101835999999999</v>
      </c>
      <c r="S1071" s="6">
        <v>18.763134000000001</v>
      </c>
      <c r="T1071" s="6">
        <v>19.181818</v>
      </c>
      <c r="U1071" s="6">
        <v>19.101835999999999</v>
      </c>
      <c r="V1071" s="6">
        <v>18.763134000000001</v>
      </c>
    </row>
    <row r="1072" spans="2:22">
      <c r="B1072" s="6">
        <v>32423</v>
      </c>
      <c r="C1072" s="6" t="s">
        <v>723</v>
      </c>
      <c r="D1072" s="6">
        <v>20906</v>
      </c>
      <c r="E1072" s="6" t="s">
        <v>48</v>
      </c>
      <c r="F1072" s="6" t="s">
        <v>49</v>
      </c>
      <c r="G1072" s="6" t="s">
        <v>1296</v>
      </c>
      <c r="H1072" s="6">
        <v>0</v>
      </c>
      <c r="I1072" s="6">
        <v>17</v>
      </c>
      <c r="J1072" s="6">
        <v>17</v>
      </c>
      <c r="K1072" s="6">
        <v>17.229590999999999</v>
      </c>
      <c r="L1072" s="6">
        <v>17.052391</v>
      </c>
      <c r="M1072" s="6">
        <v>17.431988</v>
      </c>
      <c r="N1072" s="6">
        <v>17.016705999999999</v>
      </c>
      <c r="O1072" s="6">
        <v>16.954350000000002</v>
      </c>
      <c r="P1072" s="6">
        <v>17.537869000000001</v>
      </c>
      <c r="Q1072" s="6">
        <v>17.016335999999999</v>
      </c>
      <c r="R1072" s="6">
        <v>16.958155999999999</v>
      </c>
      <c r="S1072" s="6">
        <v>17.538882000000001</v>
      </c>
      <c r="T1072" s="6">
        <v>17.016335999999999</v>
      </c>
      <c r="U1072" s="6">
        <v>16.958155999999999</v>
      </c>
      <c r="V1072" s="6">
        <v>17.538882000000001</v>
      </c>
    </row>
    <row r="1073" spans="2:22">
      <c r="B1073" s="6">
        <v>32425</v>
      </c>
      <c r="C1073" s="6" t="s">
        <v>669</v>
      </c>
      <c r="D1073" s="6">
        <v>20500</v>
      </c>
      <c r="E1073" s="6" t="s">
        <v>31</v>
      </c>
      <c r="F1073" s="6" t="s">
        <v>17</v>
      </c>
      <c r="G1073" s="6" t="s">
        <v>1294</v>
      </c>
      <c r="H1073" s="6">
        <v>0</v>
      </c>
      <c r="I1073" s="6">
        <v>25</v>
      </c>
      <c r="J1073" s="6">
        <v>25</v>
      </c>
      <c r="K1073" s="6">
        <v>26.179282000000001</v>
      </c>
      <c r="L1073" s="6">
        <v>26.186138</v>
      </c>
      <c r="M1073" s="6">
        <v>25.935728999999998</v>
      </c>
      <c r="N1073" s="6">
        <v>26.108958000000001</v>
      </c>
      <c r="O1073" s="6">
        <v>26.328648000000001</v>
      </c>
      <c r="P1073" s="6">
        <v>26.003786000000002</v>
      </c>
      <c r="Q1073" s="6">
        <v>26.101534000000001</v>
      </c>
      <c r="R1073" s="6">
        <v>26.316153</v>
      </c>
      <c r="S1073" s="6">
        <v>25.991613999999998</v>
      </c>
      <c r="T1073" s="6">
        <v>25.645997000000001</v>
      </c>
      <c r="U1073" s="6">
        <v>25.223958</v>
      </c>
      <c r="V1073" s="6">
        <v>24.770192999999999</v>
      </c>
    </row>
    <row r="1074" spans="2:22">
      <c r="B1074" s="6">
        <v>32425</v>
      </c>
      <c r="C1074" s="6" t="s">
        <v>669</v>
      </c>
      <c r="D1074" s="6">
        <v>20705</v>
      </c>
      <c r="E1074" s="6" t="s">
        <v>59</v>
      </c>
      <c r="F1074" s="6" t="s">
        <v>17</v>
      </c>
      <c r="G1074" s="6" t="s">
        <v>1294</v>
      </c>
      <c r="H1074" s="6">
        <v>0</v>
      </c>
      <c r="I1074" s="6">
        <v>30</v>
      </c>
      <c r="J1074" s="6">
        <v>30</v>
      </c>
      <c r="K1074" s="6">
        <v>30</v>
      </c>
      <c r="L1074" s="6">
        <v>30</v>
      </c>
      <c r="M1074" s="6">
        <v>30</v>
      </c>
      <c r="N1074" s="6">
        <v>30</v>
      </c>
      <c r="O1074" s="6">
        <v>30</v>
      </c>
      <c r="P1074" s="6">
        <v>30</v>
      </c>
      <c r="Q1074" s="6">
        <v>30</v>
      </c>
      <c r="R1074" s="6">
        <v>30</v>
      </c>
      <c r="S1074" s="6">
        <v>29.784172000000002</v>
      </c>
      <c r="T1074" s="6">
        <v>30</v>
      </c>
      <c r="U1074" s="6">
        <v>30</v>
      </c>
      <c r="V1074" s="6">
        <v>29.784172000000002</v>
      </c>
    </row>
    <row r="1075" spans="2:22">
      <c r="B1075" s="6">
        <v>32425</v>
      </c>
      <c r="C1075" s="6" t="s">
        <v>669</v>
      </c>
      <c r="D1075" s="6">
        <v>20902</v>
      </c>
      <c r="E1075" s="6" t="s">
        <v>53</v>
      </c>
      <c r="F1075" s="6" t="s">
        <v>13</v>
      </c>
      <c r="G1075" s="6" t="s">
        <v>14</v>
      </c>
      <c r="H1075" s="6">
        <v>0</v>
      </c>
      <c r="I1075" s="6">
        <v>15</v>
      </c>
      <c r="J1075" s="6">
        <v>15</v>
      </c>
      <c r="K1075" s="6">
        <v>18.635802000000002</v>
      </c>
      <c r="L1075" s="6">
        <v>18.195121</v>
      </c>
      <c r="M1075" s="6">
        <v>17.625368000000002</v>
      </c>
      <c r="N1075" s="6">
        <v>19.181818</v>
      </c>
      <c r="O1075" s="6">
        <v>19.119288999999998</v>
      </c>
      <c r="P1075" s="6">
        <v>18.784502</v>
      </c>
      <c r="Q1075" s="6">
        <v>19.181818</v>
      </c>
      <c r="R1075" s="6">
        <v>19.101835999999999</v>
      </c>
      <c r="S1075" s="6">
        <v>18.763134000000001</v>
      </c>
      <c r="T1075" s="6">
        <v>19.181818</v>
      </c>
      <c r="U1075" s="6">
        <v>19.101835999999999</v>
      </c>
      <c r="V1075" s="6">
        <v>18.763134000000001</v>
      </c>
    </row>
    <row r="1076" spans="2:22">
      <c r="B1076" s="6">
        <v>32425</v>
      </c>
      <c r="C1076" s="6" t="s">
        <v>669</v>
      </c>
      <c r="D1076" s="6">
        <v>20906</v>
      </c>
      <c r="E1076" s="6" t="s">
        <v>48</v>
      </c>
      <c r="F1076" s="6" t="s">
        <v>49</v>
      </c>
      <c r="G1076" s="6" t="s">
        <v>1296</v>
      </c>
      <c r="H1076" s="6">
        <v>0</v>
      </c>
      <c r="I1076" s="6">
        <v>17</v>
      </c>
      <c r="J1076" s="6">
        <v>17</v>
      </c>
      <c r="K1076" s="6">
        <v>16.992394999999998</v>
      </c>
      <c r="L1076" s="6">
        <v>16.951830000000001</v>
      </c>
      <c r="M1076" s="6">
        <v>17.405908</v>
      </c>
      <c r="N1076" s="6">
        <v>17.016705999999999</v>
      </c>
      <c r="O1076" s="6">
        <v>16.954350000000002</v>
      </c>
      <c r="P1076" s="6">
        <v>17.537869000000001</v>
      </c>
      <c r="Q1076" s="6">
        <v>17.016335999999999</v>
      </c>
      <c r="R1076" s="6">
        <v>16.958155999999999</v>
      </c>
      <c r="S1076" s="6">
        <v>17.538882000000001</v>
      </c>
      <c r="T1076" s="6">
        <v>17.016335999999999</v>
      </c>
      <c r="U1076" s="6">
        <v>16.958155999999999</v>
      </c>
      <c r="V1076" s="6">
        <v>17.538882000000001</v>
      </c>
    </row>
    <row r="1077" spans="2:22">
      <c r="B1077" s="6">
        <v>32426</v>
      </c>
      <c r="C1077" s="6" t="s">
        <v>866</v>
      </c>
      <c r="D1077" s="6">
        <v>20500</v>
      </c>
      <c r="E1077" s="6" t="s">
        <v>31</v>
      </c>
      <c r="F1077" s="6" t="s">
        <v>17</v>
      </c>
      <c r="G1077" s="6" t="s">
        <v>1294</v>
      </c>
      <c r="H1077" s="6">
        <v>0</v>
      </c>
      <c r="I1077" s="6">
        <v>25</v>
      </c>
      <c r="J1077" s="6">
        <v>25</v>
      </c>
      <c r="K1077" s="6">
        <v>26.179282000000001</v>
      </c>
      <c r="L1077" s="6">
        <v>26.186138</v>
      </c>
      <c r="M1077" s="6">
        <v>25.935728999999998</v>
      </c>
      <c r="N1077" s="6">
        <v>26.108958000000001</v>
      </c>
      <c r="O1077" s="6">
        <v>26.328648000000001</v>
      </c>
      <c r="P1077" s="6">
        <v>26.003786000000002</v>
      </c>
      <c r="Q1077" s="6">
        <v>26.101534000000001</v>
      </c>
      <c r="R1077" s="6">
        <v>26.316153</v>
      </c>
      <c r="S1077" s="6">
        <v>25.991613999999998</v>
      </c>
      <c r="T1077" s="6">
        <v>25.645997000000001</v>
      </c>
      <c r="U1077" s="6">
        <v>25.223958</v>
      </c>
      <c r="V1077" s="6">
        <v>24.770192999999999</v>
      </c>
    </row>
    <row r="1078" spans="2:22">
      <c r="B1078" s="6">
        <v>32426</v>
      </c>
      <c r="C1078" s="6" t="s">
        <v>866</v>
      </c>
      <c r="D1078" s="6">
        <v>20705</v>
      </c>
      <c r="E1078" s="6" t="s">
        <v>59</v>
      </c>
      <c r="F1078" s="6" t="s">
        <v>17</v>
      </c>
      <c r="G1078" s="6" t="s">
        <v>1294</v>
      </c>
      <c r="H1078" s="6">
        <v>0</v>
      </c>
      <c r="I1078" s="6">
        <v>30</v>
      </c>
      <c r="J1078" s="6">
        <v>30</v>
      </c>
      <c r="K1078" s="6">
        <v>30</v>
      </c>
      <c r="L1078" s="6">
        <v>30</v>
      </c>
      <c r="M1078" s="6">
        <v>30</v>
      </c>
      <c r="N1078" s="6">
        <v>30</v>
      </c>
      <c r="O1078" s="6">
        <v>30</v>
      </c>
      <c r="P1078" s="6">
        <v>30</v>
      </c>
      <c r="Q1078" s="6">
        <v>30</v>
      </c>
      <c r="R1078" s="6">
        <v>30</v>
      </c>
      <c r="S1078" s="6">
        <v>29.784172000000002</v>
      </c>
      <c r="T1078" s="6">
        <v>30</v>
      </c>
      <c r="U1078" s="6">
        <v>30</v>
      </c>
      <c r="V1078" s="6">
        <v>29.784172000000002</v>
      </c>
    </row>
    <row r="1079" spans="2:22">
      <c r="B1079" s="6">
        <v>32426</v>
      </c>
      <c r="C1079" s="6" t="s">
        <v>866</v>
      </c>
      <c r="D1079" s="6">
        <v>20902</v>
      </c>
      <c r="E1079" s="6" t="s">
        <v>53</v>
      </c>
      <c r="F1079" s="6" t="s">
        <v>13</v>
      </c>
      <c r="G1079" s="6" t="s">
        <v>14</v>
      </c>
      <c r="H1079" s="6">
        <v>0</v>
      </c>
      <c r="I1079" s="6">
        <v>15</v>
      </c>
      <c r="J1079" s="6">
        <v>15</v>
      </c>
      <c r="K1079" s="6">
        <v>18.635802000000002</v>
      </c>
      <c r="L1079" s="6">
        <v>18.195121</v>
      </c>
      <c r="M1079" s="6">
        <v>17.625368000000002</v>
      </c>
      <c r="N1079" s="6">
        <v>19.181818</v>
      </c>
      <c r="O1079" s="6">
        <v>19.119288999999998</v>
      </c>
      <c r="P1079" s="6">
        <v>18.784502</v>
      </c>
      <c r="Q1079" s="6">
        <v>19.181818</v>
      </c>
      <c r="R1079" s="6">
        <v>19.101835999999999</v>
      </c>
      <c r="S1079" s="6">
        <v>18.763134000000001</v>
      </c>
      <c r="T1079" s="6">
        <v>19.181818</v>
      </c>
      <c r="U1079" s="6">
        <v>19.101835999999999</v>
      </c>
      <c r="V1079" s="6">
        <v>18.763134000000001</v>
      </c>
    </row>
    <row r="1080" spans="2:22">
      <c r="B1080" s="6">
        <v>32426</v>
      </c>
      <c r="C1080" s="6" t="s">
        <v>866</v>
      </c>
      <c r="D1080" s="6">
        <v>20906</v>
      </c>
      <c r="E1080" s="6" t="s">
        <v>48</v>
      </c>
      <c r="F1080" s="6" t="s">
        <v>49</v>
      </c>
      <c r="G1080" s="6" t="s">
        <v>1296</v>
      </c>
      <c r="H1080" s="6">
        <v>0</v>
      </c>
      <c r="I1080" s="6">
        <v>17</v>
      </c>
      <c r="J1080" s="6">
        <v>17</v>
      </c>
      <c r="K1080" s="6">
        <v>16.992394999999998</v>
      </c>
      <c r="L1080" s="6">
        <v>16.951830000000001</v>
      </c>
      <c r="M1080" s="6">
        <v>17.405908</v>
      </c>
      <c r="N1080" s="6">
        <v>17.016705999999999</v>
      </c>
      <c r="O1080" s="6">
        <v>16.954350000000002</v>
      </c>
      <c r="P1080" s="6">
        <v>17.537869000000001</v>
      </c>
      <c r="Q1080" s="6">
        <v>17.016335999999999</v>
      </c>
      <c r="R1080" s="6">
        <v>16.958155999999999</v>
      </c>
      <c r="S1080" s="6">
        <v>17.538882000000001</v>
      </c>
      <c r="T1080" s="6">
        <v>17.016335999999999</v>
      </c>
      <c r="U1080" s="6">
        <v>16.958155999999999</v>
      </c>
      <c r="V1080" s="6">
        <v>17.538882000000001</v>
      </c>
    </row>
    <row r="1081" spans="2:22">
      <c r="B1081" s="6">
        <v>32427</v>
      </c>
      <c r="C1081" s="6" t="s">
        <v>749</v>
      </c>
      <c r="D1081" s="6">
        <v>20500</v>
      </c>
      <c r="E1081" s="6" t="s">
        <v>31</v>
      </c>
      <c r="F1081" s="6" t="s">
        <v>17</v>
      </c>
      <c r="G1081" s="6" t="s">
        <v>1294</v>
      </c>
      <c r="H1081" s="6">
        <v>0</v>
      </c>
      <c r="I1081" s="6">
        <v>25</v>
      </c>
      <c r="J1081" s="6">
        <v>25</v>
      </c>
      <c r="K1081" s="6">
        <v>26.179282000000001</v>
      </c>
      <c r="L1081" s="6">
        <v>26.186138</v>
      </c>
      <c r="M1081" s="6">
        <v>25.935728999999998</v>
      </c>
      <c r="N1081" s="6">
        <v>26.108958000000001</v>
      </c>
      <c r="O1081" s="6">
        <v>26.328648000000001</v>
      </c>
      <c r="P1081" s="6">
        <v>26.003786000000002</v>
      </c>
      <c r="Q1081" s="6">
        <v>26.101534000000001</v>
      </c>
      <c r="R1081" s="6">
        <v>26.316153</v>
      </c>
      <c r="S1081" s="6">
        <v>25.991613999999998</v>
      </c>
      <c r="T1081" s="6">
        <v>25.645997000000001</v>
      </c>
      <c r="U1081" s="6">
        <v>25.223958</v>
      </c>
      <c r="V1081" s="6">
        <v>24.770192999999999</v>
      </c>
    </row>
    <row r="1082" spans="2:22">
      <c r="B1082" s="6">
        <v>32427</v>
      </c>
      <c r="C1082" s="6" t="s">
        <v>749</v>
      </c>
      <c r="D1082" s="6">
        <v>20705</v>
      </c>
      <c r="E1082" s="6" t="s">
        <v>59</v>
      </c>
      <c r="F1082" s="6" t="s">
        <v>17</v>
      </c>
      <c r="G1082" s="6" t="s">
        <v>1294</v>
      </c>
      <c r="H1082" s="6">
        <v>0</v>
      </c>
      <c r="I1082" s="6">
        <v>30</v>
      </c>
      <c r="J1082" s="6">
        <v>30</v>
      </c>
      <c r="K1082" s="6">
        <v>30</v>
      </c>
      <c r="L1082" s="6">
        <v>30</v>
      </c>
      <c r="M1082" s="6">
        <v>30</v>
      </c>
      <c r="N1082" s="6">
        <v>30</v>
      </c>
      <c r="O1082" s="6">
        <v>30</v>
      </c>
      <c r="P1082" s="6">
        <v>30</v>
      </c>
      <c r="Q1082" s="6">
        <v>30</v>
      </c>
      <c r="R1082" s="6">
        <v>30</v>
      </c>
      <c r="S1082" s="6">
        <v>29.784172000000002</v>
      </c>
      <c r="T1082" s="6">
        <v>30</v>
      </c>
      <c r="U1082" s="6">
        <v>30</v>
      </c>
      <c r="V1082" s="6">
        <v>29.784172000000002</v>
      </c>
    </row>
    <row r="1083" spans="2:22">
      <c r="B1083" s="6">
        <v>32427</v>
      </c>
      <c r="C1083" s="6" t="s">
        <v>749</v>
      </c>
      <c r="D1083" s="6">
        <v>20902</v>
      </c>
      <c r="E1083" s="6" t="s">
        <v>53</v>
      </c>
      <c r="F1083" s="6" t="s">
        <v>13</v>
      </c>
      <c r="G1083" s="6" t="s">
        <v>14</v>
      </c>
      <c r="H1083" s="6">
        <v>0</v>
      </c>
      <c r="I1083" s="6">
        <v>15</v>
      </c>
      <c r="J1083" s="6">
        <v>15</v>
      </c>
      <c r="K1083" s="6">
        <v>18.635802000000002</v>
      </c>
      <c r="L1083" s="6">
        <v>18.195121</v>
      </c>
      <c r="M1083" s="6">
        <v>17.625368000000002</v>
      </c>
      <c r="N1083" s="6">
        <v>19.181818</v>
      </c>
      <c r="O1083" s="6">
        <v>19.119288999999998</v>
      </c>
      <c r="P1083" s="6">
        <v>18.784502</v>
      </c>
      <c r="Q1083" s="6">
        <v>19.181818</v>
      </c>
      <c r="R1083" s="6">
        <v>19.101835999999999</v>
      </c>
      <c r="S1083" s="6">
        <v>18.763134000000001</v>
      </c>
      <c r="T1083" s="6">
        <v>19.181818</v>
      </c>
      <c r="U1083" s="6">
        <v>19.101835999999999</v>
      </c>
      <c r="V1083" s="6">
        <v>18.763134000000001</v>
      </c>
    </row>
    <row r="1084" spans="2:22">
      <c r="B1084" s="6">
        <v>32427</v>
      </c>
      <c r="C1084" s="6" t="s">
        <v>749</v>
      </c>
      <c r="D1084" s="6">
        <v>20906</v>
      </c>
      <c r="E1084" s="6" t="s">
        <v>48</v>
      </c>
      <c r="F1084" s="6" t="s">
        <v>49</v>
      </c>
      <c r="G1084" s="6" t="s">
        <v>1296</v>
      </c>
      <c r="H1084" s="6">
        <v>0</v>
      </c>
      <c r="I1084" s="6">
        <v>17</v>
      </c>
      <c r="J1084" s="6">
        <v>17</v>
      </c>
      <c r="K1084" s="6">
        <v>16.992394999999998</v>
      </c>
      <c r="L1084" s="6">
        <v>16.951830000000001</v>
      </c>
      <c r="M1084" s="6">
        <v>17.405908</v>
      </c>
      <c r="N1084" s="6">
        <v>17.016705999999999</v>
      </c>
      <c r="O1084" s="6">
        <v>16.954350000000002</v>
      </c>
      <c r="P1084" s="6">
        <v>17.537869000000001</v>
      </c>
      <c r="Q1084" s="6">
        <v>17.016335999999999</v>
      </c>
      <c r="R1084" s="6">
        <v>16.958155999999999</v>
      </c>
      <c r="S1084" s="6">
        <v>17.538882000000001</v>
      </c>
      <c r="T1084" s="6">
        <v>17.016335999999999</v>
      </c>
      <c r="U1084" s="6">
        <v>16.958155999999999</v>
      </c>
      <c r="V1084" s="6">
        <v>17.538882000000001</v>
      </c>
    </row>
    <row r="1085" spans="2:22">
      <c r="B1085" s="6">
        <v>32429</v>
      </c>
      <c r="C1085" s="6" t="s">
        <v>40</v>
      </c>
      <c r="D1085" s="6">
        <v>20600</v>
      </c>
      <c r="E1085" s="6" t="s">
        <v>32</v>
      </c>
      <c r="F1085" s="6" t="s">
        <v>16</v>
      </c>
      <c r="G1085" s="6" t="s">
        <v>1295</v>
      </c>
      <c r="H1085" s="6">
        <v>0</v>
      </c>
      <c r="I1085" s="6">
        <v>50</v>
      </c>
      <c r="J1085" s="6">
        <v>50</v>
      </c>
      <c r="K1085" s="6">
        <v>50</v>
      </c>
      <c r="L1085" s="6">
        <v>50</v>
      </c>
      <c r="M1085" s="6">
        <v>50</v>
      </c>
      <c r="N1085" s="6">
        <v>50</v>
      </c>
      <c r="O1085" s="6">
        <v>50</v>
      </c>
      <c r="P1085" s="6">
        <v>50</v>
      </c>
      <c r="Q1085" s="6">
        <v>50</v>
      </c>
      <c r="R1085" s="6">
        <v>50</v>
      </c>
      <c r="S1085" s="6">
        <v>48.507461999999997</v>
      </c>
      <c r="T1085" s="6">
        <v>37.272727000000003</v>
      </c>
      <c r="U1085" s="6">
        <v>35.853658000000003</v>
      </c>
      <c r="V1085" s="6">
        <v>40.728476000000001</v>
      </c>
    </row>
    <row r="1086" spans="2:22">
      <c r="B1086" s="6">
        <v>32430</v>
      </c>
      <c r="C1086" s="6" t="s">
        <v>41</v>
      </c>
      <c r="D1086" s="6">
        <v>20600</v>
      </c>
      <c r="E1086" s="6" t="s">
        <v>32</v>
      </c>
      <c r="F1086" s="6" t="s">
        <v>16</v>
      </c>
      <c r="G1086" s="6" t="s">
        <v>1295</v>
      </c>
      <c r="H1086" s="6">
        <v>50</v>
      </c>
      <c r="I1086" s="6">
        <v>50</v>
      </c>
      <c r="J1086" s="6">
        <v>50</v>
      </c>
      <c r="K1086" s="6">
        <v>50</v>
      </c>
      <c r="L1086" s="6">
        <v>50</v>
      </c>
      <c r="M1086" s="6">
        <v>50</v>
      </c>
      <c r="N1086" s="6">
        <v>50</v>
      </c>
      <c r="O1086" s="6">
        <v>50</v>
      </c>
      <c r="P1086" s="6">
        <v>50</v>
      </c>
      <c r="Q1086" s="6">
        <v>50</v>
      </c>
      <c r="R1086" s="6">
        <v>50</v>
      </c>
      <c r="S1086" s="6">
        <v>48.507461999999997</v>
      </c>
      <c r="T1086" s="6">
        <v>37.272727000000003</v>
      </c>
      <c r="U1086" s="6">
        <v>35.853658000000003</v>
      </c>
      <c r="V1086" s="6">
        <v>40.728476000000001</v>
      </c>
    </row>
    <row r="1087" spans="2:22">
      <c r="B1087" s="6">
        <v>32431</v>
      </c>
      <c r="C1087" s="6" t="s">
        <v>251</v>
      </c>
      <c r="D1087" s="6">
        <v>12400</v>
      </c>
      <c r="E1087" s="6" t="s">
        <v>217</v>
      </c>
      <c r="F1087" s="6" t="s">
        <v>16</v>
      </c>
      <c r="G1087" s="6" t="s">
        <v>1295</v>
      </c>
      <c r="H1087" s="6">
        <v>8</v>
      </c>
      <c r="I1087" s="6">
        <v>8</v>
      </c>
      <c r="J1087" s="6">
        <v>8</v>
      </c>
      <c r="K1087" s="6">
        <v>8.2173909999999992</v>
      </c>
      <c r="L1087" s="6">
        <v>8.1046829999999996</v>
      </c>
      <c r="M1087" s="6">
        <v>8.2384710000000005</v>
      </c>
      <c r="N1087" s="6">
        <v>9.2387090000000001</v>
      </c>
      <c r="O1087" s="6">
        <v>8.7126429999999999</v>
      </c>
      <c r="P1087" s="6">
        <v>8.6856360000000006</v>
      </c>
      <c r="Q1087" s="6">
        <v>9.2387090000000001</v>
      </c>
      <c r="R1087" s="6">
        <v>8.7126429999999999</v>
      </c>
      <c r="S1087" s="6">
        <v>8.6856360000000006</v>
      </c>
      <c r="T1087" s="6">
        <v>8.8875729999999997</v>
      </c>
      <c r="U1087" s="6">
        <v>8.6089380000000002</v>
      </c>
      <c r="V1087" s="6">
        <v>8.6174140000000001</v>
      </c>
    </row>
    <row r="1088" spans="2:22">
      <c r="B1088" s="6">
        <v>32431</v>
      </c>
      <c r="C1088" s="6" t="s">
        <v>251</v>
      </c>
      <c r="D1088" s="6">
        <v>23311</v>
      </c>
      <c r="E1088" s="6" t="s">
        <v>221</v>
      </c>
      <c r="F1088" s="6" t="s">
        <v>16</v>
      </c>
      <c r="G1088" s="6" t="s">
        <v>1295</v>
      </c>
      <c r="H1088" s="6">
        <v>10</v>
      </c>
      <c r="I1088" s="6">
        <v>10</v>
      </c>
      <c r="J1088" s="6">
        <v>10</v>
      </c>
      <c r="K1088" s="6">
        <v>10.144926999999999</v>
      </c>
      <c r="L1088" s="6">
        <v>10.029239</v>
      </c>
      <c r="M1088" s="6">
        <v>10.013888</v>
      </c>
      <c r="N1088" s="6">
        <v>10.099009000000001</v>
      </c>
      <c r="O1088" s="6">
        <v>10.02364</v>
      </c>
      <c r="P1088" s="6">
        <v>10.011260999999999</v>
      </c>
      <c r="Q1088" s="6">
        <v>10.099009000000001</v>
      </c>
      <c r="R1088" s="6">
        <v>10.02364</v>
      </c>
      <c r="S1088" s="6">
        <v>10.011260999999999</v>
      </c>
      <c r="T1088" s="6">
        <v>10.099009000000001</v>
      </c>
      <c r="U1088" s="6">
        <v>10.02364</v>
      </c>
      <c r="V1088" s="6">
        <v>10.011260999999999</v>
      </c>
    </row>
    <row r="1089" spans="2:22">
      <c r="B1089" s="6">
        <v>32433</v>
      </c>
      <c r="C1089" s="6" t="s">
        <v>1002</v>
      </c>
      <c r="D1089" s="6">
        <v>12400</v>
      </c>
      <c r="E1089" s="6" t="s">
        <v>217</v>
      </c>
      <c r="F1089" s="6" t="s">
        <v>16</v>
      </c>
      <c r="G1089" s="6" t="s">
        <v>1295</v>
      </c>
      <c r="H1089" s="6">
        <v>0</v>
      </c>
      <c r="I1089" s="6">
        <v>0</v>
      </c>
      <c r="J1089" s="6">
        <v>10</v>
      </c>
      <c r="K1089" s="6">
        <v>13.375</v>
      </c>
      <c r="L1089" s="6">
        <v>10.9375</v>
      </c>
      <c r="M1089" s="6">
        <v>9.2653060000000007</v>
      </c>
      <c r="N1089" s="6">
        <v>9.2387090000000001</v>
      </c>
      <c r="O1089" s="6">
        <v>8.7126429999999999</v>
      </c>
      <c r="P1089" s="6">
        <v>8.6856360000000006</v>
      </c>
      <c r="Q1089" s="6">
        <v>9.2387090000000001</v>
      </c>
      <c r="R1089" s="6">
        <v>8.7126429999999999</v>
      </c>
      <c r="S1089" s="6">
        <v>8.6856360000000006</v>
      </c>
      <c r="T1089" s="6">
        <v>8.8875729999999997</v>
      </c>
      <c r="U1089" s="6">
        <v>8.6089380000000002</v>
      </c>
      <c r="V1089" s="6">
        <v>8.6174140000000001</v>
      </c>
    </row>
    <row r="1090" spans="2:22">
      <c r="B1090" s="6">
        <v>32433</v>
      </c>
      <c r="C1090" s="6" t="s">
        <v>1002</v>
      </c>
      <c r="D1090" s="6">
        <v>20904</v>
      </c>
      <c r="E1090" s="6" t="s">
        <v>156</v>
      </c>
      <c r="F1090" s="6" t="s">
        <v>16</v>
      </c>
      <c r="G1090" s="6" t="s">
        <v>1295</v>
      </c>
      <c r="H1090" s="6">
        <v>0</v>
      </c>
      <c r="I1090" s="6">
        <v>0</v>
      </c>
      <c r="J1090" s="6">
        <v>20</v>
      </c>
      <c r="K1090" s="6">
        <v>10</v>
      </c>
      <c r="L1090" s="6">
        <v>10</v>
      </c>
      <c r="M1090" s="6">
        <v>11.173913000000001</v>
      </c>
      <c r="N1090" s="6">
        <v>14.736841999999999</v>
      </c>
      <c r="O1090" s="6">
        <v>14.21875</v>
      </c>
      <c r="P1090" s="6">
        <v>13.268817</v>
      </c>
      <c r="Q1090" s="6">
        <v>14.736841999999999</v>
      </c>
      <c r="R1090" s="6">
        <v>14.21875</v>
      </c>
      <c r="S1090" s="6">
        <v>13.268817</v>
      </c>
      <c r="T1090" s="6">
        <v>14.736841999999999</v>
      </c>
      <c r="U1090" s="6">
        <v>14.21875</v>
      </c>
      <c r="V1090" s="6">
        <v>13.268817</v>
      </c>
    </row>
    <row r="1091" spans="2:22">
      <c r="B1091" s="6">
        <v>32433</v>
      </c>
      <c r="C1091" s="6" t="s">
        <v>1002</v>
      </c>
      <c r="D1091" s="6">
        <v>23311</v>
      </c>
      <c r="E1091" s="6" t="s">
        <v>221</v>
      </c>
      <c r="F1091" s="6" t="s">
        <v>16</v>
      </c>
      <c r="G1091" s="6" t="s">
        <v>1295</v>
      </c>
      <c r="H1091" s="6">
        <v>0</v>
      </c>
      <c r="I1091" s="6">
        <v>0</v>
      </c>
      <c r="J1091" s="6">
        <v>10</v>
      </c>
      <c r="K1091" s="6">
        <v>10</v>
      </c>
      <c r="L1091" s="6">
        <v>10</v>
      </c>
      <c r="M1091" s="6">
        <v>10</v>
      </c>
      <c r="N1091" s="6">
        <v>10.099009000000001</v>
      </c>
      <c r="O1091" s="6">
        <v>10.02364</v>
      </c>
      <c r="P1091" s="6">
        <v>10.011260999999999</v>
      </c>
      <c r="Q1091" s="6">
        <v>10.099009000000001</v>
      </c>
      <c r="R1091" s="6">
        <v>10.02364</v>
      </c>
      <c r="S1091" s="6">
        <v>10.011260999999999</v>
      </c>
      <c r="T1091" s="6">
        <v>10.099009000000001</v>
      </c>
      <c r="U1091" s="6">
        <v>10.02364</v>
      </c>
      <c r="V1091" s="6">
        <v>10.011260999999999</v>
      </c>
    </row>
    <row r="1092" spans="2:22">
      <c r="B1092" s="6">
        <v>32434</v>
      </c>
      <c r="C1092" s="6" t="s">
        <v>1003</v>
      </c>
      <c r="D1092" s="6">
        <v>12400</v>
      </c>
      <c r="E1092" s="6" t="s">
        <v>217</v>
      </c>
      <c r="F1092" s="6" t="s">
        <v>16</v>
      </c>
      <c r="G1092" s="6" t="s">
        <v>1295</v>
      </c>
      <c r="H1092" s="6">
        <v>0</v>
      </c>
      <c r="I1092" s="6">
        <v>0</v>
      </c>
      <c r="J1092" s="6">
        <v>10</v>
      </c>
      <c r="K1092" s="6">
        <v>13.375</v>
      </c>
      <c r="L1092" s="6">
        <v>10.9375</v>
      </c>
      <c r="M1092" s="6">
        <v>9.2653060000000007</v>
      </c>
      <c r="N1092" s="6">
        <v>9.2387090000000001</v>
      </c>
      <c r="O1092" s="6">
        <v>8.7126429999999999</v>
      </c>
      <c r="P1092" s="6">
        <v>8.6856360000000006</v>
      </c>
      <c r="Q1092" s="6">
        <v>9.2387090000000001</v>
      </c>
      <c r="R1092" s="6">
        <v>8.7126429999999999</v>
      </c>
      <c r="S1092" s="6">
        <v>8.6856360000000006</v>
      </c>
      <c r="T1092" s="6">
        <v>8.8875729999999997</v>
      </c>
      <c r="U1092" s="6">
        <v>8.6089380000000002</v>
      </c>
      <c r="V1092" s="6">
        <v>8.6174140000000001</v>
      </c>
    </row>
    <row r="1093" spans="2:22">
      <c r="B1093" s="6">
        <v>32434</v>
      </c>
      <c r="C1093" s="6" t="s">
        <v>1003</v>
      </c>
      <c r="D1093" s="6">
        <v>20904</v>
      </c>
      <c r="E1093" s="6" t="s">
        <v>156</v>
      </c>
      <c r="F1093" s="6" t="s">
        <v>16</v>
      </c>
      <c r="G1093" s="6" t="s">
        <v>1295</v>
      </c>
      <c r="H1093" s="6">
        <v>0</v>
      </c>
      <c r="I1093" s="6">
        <v>0</v>
      </c>
      <c r="J1093" s="6">
        <v>20</v>
      </c>
      <c r="K1093" s="6">
        <v>10</v>
      </c>
      <c r="L1093" s="6">
        <v>10</v>
      </c>
      <c r="M1093" s="6">
        <v>11.173913000000001</v>
      </c>
      <c r="N1093" s="6">
        <v>14.736841999999999</v>
      </c>
      <c r="O1093" s="6">
        <v>14.21875</v>
      </c>
      <c r="P1093" s="6">
        <v>13.268817</v>
      </c>
      <c r="Q1093" s="6">
        <v>14.736841999999999</v>
      </c>
      <c r="R1093" s="6">
        <v>14.21875</v>
      </c>
      <c r="S1093" s="6">
        <v>13.268817</v>
      </c>
      <c r="T1093" s="6">
        <v>14.736841999999999</v>
      </c>
      <c r="U1093" s="6">
        <v>14.21875</v>
      </c>
      <c r="V1093" s="6">
        <v>13.268817</v>
      </c>
    </row>
    <row r="1094" spans="2:22">
      <c r="B1094" s="6">
        <v>32434</v>
      </c>
      <c r="C1094" s="6" t="s">
        <v>1003</v>
      </c>
      <c r="D1094" s="6">
        <v>23311</v>
      </c>
      <c r="E1094" s="6" t="s">
        <v>221</v>
      </c>
      <c r="F1094" s="6" t="s">
        <v>16</v>
      </c>
      <c r="G1094" s="6" t="s">
        <v>1295</v>
      </c>
      <c r="H1094" s="6">
        <v>0</v>
      </c>
      <c r="I1094" s="6">
        <v>0</v>
      </c>
      <c r="J1094" s="6">
        <v>10</v>
      </c>
      <c r="K1094" s="6">
        <v>10</v>
      </c>
      <c r="L1094" s="6">
        <v>10</v>
      </c>
      <c r="M1094" s="6">
        <v>10</v>
      </c>
      <c r="N1094" s="6">
        <v>10.099009000000001</v>
      </c>
      <c r="O1094" s="6">
        <v>10.02364</v>
      </c>
      <c r="P1094" s="6">
        <v>10.011260999999999</v>
      </c>
      <c r="Q1094" s="6">
        <v>10.099009000000001</v>
      </c>
      <c r="R1094" s="6">
        <v>10.02364</v>
      </c>
      <c r="S1094" s="6">
        <v>10.011260999999999</v>
      </c>
      <c r="T1094" s="6">
        <v>10.099009000000001</v>
      </c>
      <c r="U1094" s="6">
        <v>10.02364</v>
      </c>
      <c r="V1094" s="6">
        <v>10.011260999999999</v>
      </c>
    </row>
    <row r="1095" spans="2:22">
      <c r="B1095" s="6">
        <v>32435</v>
      </c>
      <c r="C1095" s="6" t="s">
        <v>1087</v>
      </c>
      <c r="D1095" s="6">
        <v>20600</v>
      </c>
      <c r="E1095" s="6" t="s">
        <v>32</v>
      </c>
      <c r="F1095" s="6" t="s">
        <v>16</v>
      </c>
      <c r="G1095" s="6" t="s">
        <v>1295</v>
      </c>
      <c r="H1095" s="6">
        <v>15</v>
      </c>
      <c r="I1095" s="6">
        <v>11.333333</v>
      </c>
      <c r="J1095" s="6">
        <v>11.086956000000001</v>
      </c>
      <c r="K1095" s="6">
        <v>15</v>
      </c>
      <c r="L1095" s="6">
        <v>11.333333</v>
      </c>
      <c r="M1095" s="6">
        <v>11.086956000000001</v>
      </c>
      <c r="N1095" s="6">
        <v>15</v>
      </c>
      <c r="O1095" s="6">
        <v>11.333333</v>
      </c>
      <c r="P1095" s="6">
        <v>11.086956000000001</v>
      </c>
      <c r="Q1095" s="6">
        <v>15</v>
      </c>
      <c r="R1095" s="6">
        <v>11.333333</v>
      </c>
      <c r="S1095" s="6">
        <v>11.764704999999999</v>
      </c>
      <c r="T1095" s="6">
        <v>37.272727000000003</v>
      </c>
      <c r="U1095" s="6">
        <v>35.853658000000003</v>
      </c>
      <c r="V1095" s="6">
        <v>40.728476000000001</v>
      </c>
    </row>
    <row r="1096" spans="2:22">
      <c r="B1096" s="6">
        <v>32435</v>
      </c>
      <c r="C1096" s="6" t="s">
        <v>1087</v>
      </c>
      <c r="D1096" s="6">
        <v>23100</v>
      </c>
      <c r="E1096" s="6" t="s">
        <v>54</v>
      </c>
      <c r="F1096" s="6" t="s">
        <v>16</v>
      </c>
      <c r="G1096" s="6" t="s">
        <v>1295</v>
      </c>
      <c r="H1096" s="6">
        <v>15</v>
      </c>
      <c r="I1096" s="6">
        <v>11.333333</v>
      </c>
      <c r="J1096" s="6">
        <v>11.739129999999999</v>
      </c>
      <c r="K1096" s="6">
        <v>15</v>
      </c>
      <c r="L1096" s="6">
        <v>11.333333</v>
      </c>
      <c r="M1096" s="6">
        <v>11.739129999999999</v>
      </c>
      <c r="N1096" s="6">
        <v>19.069766999999999</v>
      </c>
      <c r="O1096" s="6">
        <v>18.208955</v>
      </c>
      <c r="P1096" s="6">
        <v>18.689516000000001</v>
      </c>
      <c r="Q1096" s="6">
        <v>17.533783</v>
      </c>
      <c r="R1096" s="6">
        <v>16.700679999999998</v>
      </c>
      <c r="S1096" s="6">
        <v>17.127882</v>
      </c>
      <c r="T1096" s="6">
        <v>17.533783</v>
      </c>
      <c r="U1096" s="6">
        <v>16.700679999999998</v>
      </c>
      <c r="V1096" s="6">
        <v>17.127882</v>
      </c>
    </row>
    <row r="1097" spans="2:22">
      <c r="B1097" s="6">
        <v>32438</v>
      </c>
      <c r="C1097" s="6" t="s">
        <v>1004</v>
      </c>
      <c r="D1097" s="6">
        <v>12400</v>
      </c>
      <c r="E1097" s="6" t="s">
        <v>217</v>
      </c>
      <c r="F1097" s="6" t="s">
        <v>16</v>
      </c>
      <c r="G1097" s="6" t="s">
        <v>1295</v>
      </c>
      <c r="H1097" s="6">
        <v>0</v>
      </c>
      <c r="I1097" s="6">
        <v>8</v>
      </c>
      <c r="J1097" s="6">
        <v>8</v>
      </c>
      <c r="K1097" s="6">
        <v>8.2173909999999992</v>
      </c>
      <c r="L1097" s="6">
        <v>8.1046829999999996</v>
      </c>
      <c r="M1097" s="6">
        <v>8.2384710000000005</v>
      </c>
      <c r="N1097" s="6">
        <v>9.2387090000000001</v>
      </c>
      <c r="O1097" s="6">
        <v>8.7126429999999999</v>
      </c>
      <c r="P1097" s="6">
        <v>8.6856360000000006</v>
      </c>
      <c r="Q1097" s="6">
        <v>9.2387090000000001</v>
      </c>
      <c r="R1097" s="6">
        <v>8.7126429999999999</v>
      </c>
      <c r="S1097" s="6">
        <v>8.6856360000000006</v>
      </c>
      <c r="T1097" s="6">
        <v>8.8875729999999997</v>
      </c>
      <c r="U1097" s="6">
        <v>8.6089380000000002</v>
      </c>
      <c r="V1097" s="6">
        <v>8.6174140000000001</v>
      </c>
    </row>
    <row r="1098" spans="2:22">
      <c r="B1098" s="6">
        <v>32438</v>
      </c>
      <c r="C1098" s="6" t="s">
        <v>1004</v>
      </c>
      <c r="D1098" s="6">
        <v>23311</v>
      </c>
      <c r="E1098" s="6" t="s">
        <v>221</v>
      </c>
      <c r="F1098" s="6" t="s">
        <v>16</v>
      </c>
      <c r="G1098" s="6" t="s">
        <v>1295</v>
      </c>
      <c r="H1098" s="6">
        <v>0</v>
      </c>
      <c r="I1098" s="6">
        <v>10</v>
      </c>
      <c r="J1098" s="6">
        <v>10</v>
      </c>
      <c r="K1098" s="6">
        <v>10.144926999999999</v>
      </c>
      <c r="L1098" s="6">
        <v>10.029239</v>
      </c>
      <c r="M1098" s="6">
        <v>10.013888</v>
      </c>
      <c r="N1098" s="6">
        <v>10.099009000000001</v>
      </c>
      <c r="O1098" s="6">
        <v>10.02364</v>
      </c>
      <c r="P1098" s="6">
        <v>10.011260999999999</v>
      </c>
      <c r="Q1098" s="6">
        <v>10.099009000000001</v>
      </c>
      <c r="R1098" s="6">
        <v>10.02364</v>
      </c>
      <c r="S1098" s="6">
        <v>10.011260999999999</v>
      </c>
      <c r="T1098" s="6">
        <v>10.099009000000001</v>
      </c>
      <c r="U1098" s="6">
        <v>10.02364</v>
      </c>
      <c r="V1098" s="6">
        <v>10.011260999999999</v>
      </c>
    </row>
    <row r="1099" spans="2:22">
      <c r="B1099" s="6">
        <v>32442</v>
      </c>
      <c r="C1099" s="6" t="s">
        <v>1170</v>
      </c>
      <c r="D1099" s="6">
        <v>25000</v>
      </c>
      <c r="E1099" s="6" t="s">
        <v>1226</v>
      </c>
      <c r="F1099" s="6" t="s">
        <v>16</v>
      </c>
      <c r="G1099" s="6" t="s">
        <v>1295</v>
      </c>
      <c r="H1099" s="6">
        <v>0</v>
      </c>
      <c r="I1099" s="6">
        <v>0</v>
      </c>
      <c r="J1099" s="6">
        <v>20</v>
      </c>
      <c r="K1099" s="6">
        <v>13.076923000000001</v>
      </c>
      <c r="L1099" s="6">
        <v>14.533333000000001</v>
      </c>
      <c r="M1099" s="6">
        <v>15.393442</v>
      </c>
      <c r="N1099" s="6">
        <v>13.076923000000001</v>
      </c>
      <c r="O1099" s="6">
        <v>14.533333000000001</v>
      </c>
      <c r="P1099" s="6">
        <v>15.139533999999999</v>
      </c>
      <c r="Q1099" s="6">
        <v>13.076923000000001</v>
      </c>
      <c r="R1099" s="6">
        <v>14.533333000000001</v>
      </c>
      <c r="S1099" s="6">
        <v>15.139533999999999</v>
      </c>
      <c r="T1099" s="6">
        <v>13.076923000000001</v>
      </c>
      <c r="U1099" s="6">
        <v>14.533333000000001</v>
      </c>
      <c r="V1099" s="6">
        <v>15.139533999999999</v>
      </c>
    </row>
    <row r="1100" spans="2:22">
      <c r="B1100" s="6">
        <v>32442</v>
      </c>
      <c r="C1100" s="6" t="s">
        <v>1170</v>
      </c>
      <c r="D1100" s="6">
        <v>25006</v>
      </c>
      <c r="E1100" s="6" t="s">
        <v>1235</v>
      </c>
      <c r="F1100" s="6" t="s">
        <v>38</v>
      </c>
      <c r="G1100" s="6" t="s">
        <v>1302</v>
      </c>
      <c r="H1100" s="6">
        <v>0</v>
      </c>
      <c r="I1100" s="6">
        <v>0</v>
      </c>
      <c r="J1100" s="6">
        <v>10</v>
      </c>
      <c r="K1100" s="6">
        <v>23</v>
      </c>
      <c r="L1100" s="6">
        <v>21</v>
      </c>
      <c r="M1100" s="6">
        <v>17.291665999999999</v>
      </c>
      <c r="N1100" s="6">
        <v>23</v>
      </c>
      <c r="O1100" s="6">
        <v>21</v>
      </c>
      <c r="P1100" s="6">
        <v>17.291665999999999</v>
      </c>
      <c r="Q1100" s="6">
        <v>23</v>
      </c>
      <c r="R1100" s="6">
        <v>21</v>
      </c>
      <c r="S1100" s="6">
        <v>17.291665999999999</v>
      </c>
      <c r="T1100" s="6">
        <v>23</v>
      </c>
      <c r="U1100" s="6">
        <v>21</v>
      </c>
      <c r="V1100" s="6">
        <v>17.291665999999999</v>
      </c>
    </row>
    <row r="1101" spans="2:22">
      <c r="B1101" s="6">
        <v>32450</v>
      </c>
      <c r="C1101" s="6" t="s">
        <v>1190</v>
      </c>
      <c r="D1101" s="6">
        <v>23314</v>
      </c>
      <c r="E1101" s="6" t="s">
        <v>1233</v>
      </c>
      <c r="F1101" s="6" t="s">
        <v>1305</v>
      </c>
      <c r="G1101" s="6" t="s">
        <v>1306</v>
      </c>
      <c r="H1101" s="6">
        <v>0</v>
      </c>
      <c r="I1101" s="6">
        <v>0</v>
      </c>
      <c r="J1101" s="6">
        <v>1</v>
      </c>
      <c r="K1101" s="6">
        <v>0</v>
      </c>
      <c r="L1101" s="6">
        <v>1</v>
      </c>
      <c r="M1101" s="6">
        <v>1</v>
      </c>
      <c r="N1101" s="6">
        <v>0</v>
      </c>
      <c r="O1101" s="6">
        <v>1</v>
      </c>
      <c r="P1101" s="6">
        <v>1</v>
      </c>
      <c r="Q1101" s="6">
        <v>0</v>
      </c>
      <c r="R1101" s="6">
        <v>1</v>
      </c>
      <c r="S1101" s="6">
        <v>1</v>
      </c>
      <c r="T1101" s="6">
        <v>0</v>
      </c>
      <c r="U1101" s="6">
        <v>1</v>
      </c>
      <c r="V1101" s="6">
        <v>1</v>
      </c>
    </row>
    <row r="1102" spans="2:22">
      <c r="B1102" s="6">
        <v>32450</v>
      </c>
      <c r="C1102" s="6" t="s">
        <v>1190</v>
      </c>
      <c r="D1102" s="6">
        <v>23317</v>
      </c>
      <c r="E1102" s="6" t="s">
        <v>1234</v>
      </c>
      <c r="F1102" s="6" t="s">
        <v>73</v>
      </c>
      <c r="G1102" s="6" t="s">
        <v>1299</v>
      </c>
      <c r="H1102" s="6">
        <v>0</v>
      </c>
      <c r="I1102" s="6">
        <v>0</v>
      </c>
      <c r="J1102" s="6">
        <v>5</v>
      </c>
      <c r="K1102" s="6">
        <v>0</v>
      </c>
      <c r="L1102" s="6">
        <v>0</v>
      </c>
      <c r="M1102" s="6">
        <v>5</v>
      </c>
      <c r="N1102" s="6">
        <v>0</v>
      </c>
      <c r="O1102" s="6">
        <v>0</v>
      </c>
      <c r="P1102" s="6">
        <v>5</v>
      </c>
      <c r="Q1102" s="6">
        <v>0</v>
      </c>
      <c r="R1102" s="6">
        <v>0</v>
      </c>
      <c r="S1102" s="6">
        <v>5</v>
      </c>
      <c r="T1102" s="6">
        <v>0</v>
      </c>
      <c r="U1102" s="6">
        <v>0</v>
      </c>
      <c r="V1102" s="6">
        <v>5</v>
      </c>
    </row>
    <row r="1103" spans="2:22">
      <c r="B1103" s="6">
        <v>32450</v>
      </c>
      <c r="C1103" s="6" t="s">
        <v>1190</v>
      </c>
      <c r="D1103" s="6">
        <v>23500</v>
      </c>
      <c r="E1103" s="6" t="s">
        <v>37</v>
      </c>
      <c r="F1103" s="6" t="s">
        <v>73</v>
      </c>
      <c r="G1103" s="6" t="s">
        <v>1299</v>
      </c>
      <c r="H1103" s="6">
        <v>0</v>
      </c>
      <c r="I1103" s="6">
        <v>0</v>
      </c>
      <c r="J1103" s="6">
        <v>1</v>
      </c>
      <c r="K1103" s="6">
        <v>1</v>
      </c>
      <c r="L1103" s="6">
        <v>1</v>
      </c>
      <c r="M1103" s="6">
        <v>1</v>
      </c>
      <c r="N1103" s="6">
        <v>1</v>
      </c>
      <c r="O1103" s="6">
        <v>1</v>
      </c>
      <c r="P1103" s="6">
        <v>1</v>
      </c>
      <c r="Q1103" s="6">
        <v>1</v>
      </c>
      <c r="R1103" s="6">
        <v>1</v>
      </c>
      <c r="S1103" s="6">
        <v>1</v>
      </c>
      <c r="T1103" s="6">
        <v>1</v>
      </c>
      <c r="U1103" s="6">
        <v>1</v>
      </c>
      <c r="V1103" s="6">
        <v>1</v>
      </c>
    </row>
    <row r="1104" spans="2:22">
      <c r="B1104" s="6">
        <v>32450</v>
      </c>
      <c r="C1104" s="6" t="s">
        <v>1190</v>
      </c>
      <c r="D1104" s="6">
        <v>41202</v>
      </c>
      <c r="E1104" s="6" t="s">
        <v>1162</v>
      </c>
      <c r="F1104" s="6" t="s">
        <v>73</v>
      </c>
      <c r="G1104" s="6" t="s">
        <v>1299</v>
      </c>
      <c r="H1104" s="6">
        <v>0</v>
      </c>
      <c r="I1104" s="6">
        <v>0</v>
      </c>
      <c r="J1104" s="6">
        <v>15</v>
      </c>
      <c r="K1104" s="6">
        <v>15</v>
      </c>
      <c r="L1104" s="6">
        <v>15</v>
      </c>
      <c r="M1104" s="6">
        <v>15</v>
      </c>
      <c r="N1104" s="6">
        <v>15</v>
      </c>
      <c r="O1104" s="6">
        <v>15</v>
      </c>
      <c r="P1104" s="6">
        <v>15</v>
      </c>
      <c r="Q1104" s="6">
        <v>15</v>
      </c>
      <c r="R1104" s="6">
        <v>15</v>
      </c>
      <c r="S1104" s="6">
        <v>15</v>
      </c>
      <c r="T1104" s="6">
        <v>15</v>
      </c>
      <c r="U1104" s="6">
        <v>15</v>
      </c>
      <c r="V1104" s="6">
        <v>15</v>
      </c>
    </row>
    <row r="1105" spans="2:22">
      <c r="B1105" s="6">
        <v>32452</v>
      </c>
      <c r="C1105" s="6" t="s">
        <v>253</v>
      </c>
      <c r="D1105" s="6">
        <v>23313</v>
      </c>
      <c r="E1105" s="6" t="s">
        <v>254</v>
      </c>
      <c r="F1105" s="6" t="s">
        <v>38</v>
      </c>
      <c r="G1105" s="6" t="s">
        <v>1302</v>
      </c>
      <c r="H1105" s="6">
        <v>0</v>
      </c>
      <c r="I1105" s="6">
        <v>0</v>
      </c>
      <c r="J1105" s="6">
        <v>9</v>
      </c>
      <c r="K1105" s="6">
        <v>0</v>
      </c>
      <c r="L1105" s="6">
        <v>0</v>
      </c>
      <c r="M1105" s="6">
        <v>9</v>
      </c>
      <c r="N1105" s="6">
        <v>0</v>
      </c>
      <c r="O1105" s="6">
        <v>0</v>
      </c>
      <c r="P1105" s="6">
        <v>9</v>
      </c>
      <c r="Q1105" s="6">
        <v>0</v>
      </c>
      <c r="R1105" s="6">
        <v>0</v>
      </c>
      <c r="S1105" s="6">
        <v>9</v>
      </c>
      <c r="T1105" s="6">
        <v>0</v>
      </c>
      <c r="U1105" s="6">
        <v>0</v>
      </c>
      <c r="V1105" s="6">
        <v>9</v>
      </c>
    </row>
    <row r="1106" spans="2:22">
      <c r="B1106" s="6">
        <v>32453</v>
      </c>
      <c r="C1106" s="6" t="s">
        <v>255</v>
      </c>
      <c r="D1106" s="6">
        <v>12400</v>
      </c>
      <c r="E1106" s="6" t="s">
        <v>217</v>
      </c>
      <c r="F1106" s="6" t="s">
        <v>16</v>
      </c>
      <c r="G1106" s="6" t="s">
        <v>1295</v>
      </c>
      <c r="H1106" s="6">
        <v>10</v>
      </c>
      <c r="I1106" s="6">
        <v>10</v>
      </c>
      <c r="J1106" s="6">
        <v>10</v>
      </c>
      <c r="K1106" s="6">
        <v>10</v>
      </c>
      <c r="L1106" s="6">
        <v>10</v>
      </c>
      <c r="M1106" s="6">
        <v>9.9817350000000005</v>
      </c>
      <c r="N1106" s="6">
        <v>9.2387090000000001</v>
      </c>
      <c r="O1106" s="6">
        <v>8.7126429999999999</v>
      </c>
      <c r="P1106" s="6">
        <v>8.6856360000000006</v>
      </c>
      <c r="Q1106" s="6">
        <v>9.2387090000000001</v>
      </c>
      <c r="R1106" s="6">
        <v>8.7126429999999999</v>
      </c>
      <c r="S1106" s="6">
        <v>8.6856360000000006</v>
      </c>
      <c r="T1106" s="6">
        <v>8.8875729999999997</v>
      </c>
      <c r="U1106" s="6">
        <v>8.6089380000000002</v>
      </c>
      <c r="V1106" s="6">
        <v>8.6174140000000001</v>
      </c>
    </row>
    <row r="1107" spans="2:22">
      <c r="B1107" s="6">
        <v>32453</v>
      </c>
      <c r="C1107" s="6" t="s">
        <v>255</v>
      </c>
      <c r="D1107" s="6">
        <v>23311</v>
      </c>
      <c r="E1107" s="6" t="s">
        <v>221</v>
      </c>
      <c r="F1107" s="6" t="s">
        <v>16</v>
      </c>
      <c r="G1107" s="6" t="s">
        <v>1295</v>
      </c>
      <c r="H1107" s="6">
        <v>10</v>
      </c>
      <c r="I1107" s="6">
        <v>10</v>
      </c>
      <c r="J1107" s="6">
        <v>10</v>
      </c>
      <c r="K1107" s="6">
        <v>10</v>
      </c>
      <c r="L1107" s="6">
        <v>10</v>
      </c>
      <c r="M1107" s="6">
        <v>10</v>
      </c>
      <c r="N1107" s="6">
        <v>10.099009000000001</v>
      </c>
      <c r="O1107" s="6">
        <v>10.02364</v>
      </c>
      <c r="P1107" s="6">
        <v>10.011260999999999</v>
      </c>
      <c r="Q1107" s="6">
        <v>10.099009000000001</v>
      </c>
      <c r="R1107" s="6">
        <v>10.02364</v>
      </c>
      <c r="S1107" s="6">
        <v>10.011260999999999</v>
      </c>
      <c r="T1107" s="6">
        <v>10.099009000000001</v>
      </c>
      <c r="U1107" s="6">
        <v>10.02364</v>
      </c>
      <c r="V1107" s="6">
        <v>10.011260999999999</v>
      </c>
    </row>
    <row r="1108" spans="2:22">
      <c r="B1108" s="6">
        <v>32454</v>
      </c>
      <c r="C1108" s="6" t="s">
        <v>356</v>
      </c>
      <c r="D1108" s="6">
        <v>20601</v>
      </c>
      <c r="E1108" s="6" t="s">
        <v>43</v>
      </c>
      <c r="F1108" s="6" t="s">
        <v>13</v>
      </c>
      <c r="G1108" s="6" t="s">
        <v>14</v>
      </c>
      <c r="H1108" s="6">
        <v>0</v>
      </c>
      <c r="I1108" s="6">
        <v>20</v>
      </c>
      <c r="J1108" s="6">
        <v>20</v>
      </c>
      <c r="K1108" s="6">
        <v>20</v>
      </c>
      <c r="L1108" s="6">
        <v>18.181818</v>
      </c>
      <c r="M1108" s="6">
        <v>18.571428000000001</v>
      </c>
      <c r="N1108" s="6">
        <v>19.047619000000001</v>
      </c>
      <c r="O1108" s="6">
        <v>18.378378000000001</v>
      </c>
      <c r="P1108" s="6">
        <v>18.8</v>
      </c>
      <c r="Q1108" s="6">
        <v>19.047619000000001</v>
      </c>
      <c r="R1108" s="6">
        <v>18.378378000000001</v>
      </c>
      <c r="S1108" s="6">
        <v>18.8</v>
      </c>
      <c r="T1108" s="6">
        <v>19.047619000000001</v>
      </c>
      <c r="U1108" s="6">
        <v>18.378378000000001</v>
      </c>
      <c r="V1108" s="6">
        <v>18.8</v>
      </c>
    </row>
    <row r="1109" spans="2:22">
      <c r="B1109" s="6">
        <v>32454</v>
      </c>
      <c r="C1109" s="6" t="s">
        <v>356</v>
      </c>
      <c r="D1109" s="6">
        <v>20702</v>
      </c>
      <c r="E1109" s="6" t="s">
        <v>44</v>
      </c>
      <c r="F1109" s="6" t="s">
        <v>17</v>
      </c>
      <c r="G1109" s="6" t="s">
        <v>1294</v>
      </c>
      <c r="H1109" s="6">
        <v>0</v>
      </c>
      <c r="I1109" s="6">
        <v>35</v>
      </c>
      <c r="J1109" s="6">
        <v>35</v>
      </c>
      <c r="K1109" s="6">
        <v>0</v>
      </c>
      <c r="L1109" s="6">
        <v>35</v>
      </c>
      <c r="M1109" s="6">
        <v>33.200000000000003</v>
      </c>
      <c r="N1109" s="6">
        <v>35</v>
      </c>
      <c r="O1109" s="6">
        <v>35</v>
      </c>
      <c r="P1109" s="6">
        <v>33.5</v>
      </c>
      <c r="Q1109" s="6">
        <v>34.894556999999999</v>
      </c>
      <c r="R1109" s="6">
        <v>34.950949000000001</v>
      </c>
      <c r="S1109" s="6">
        <v>34.883485</v>
      </c>
      <c r="T1109" s="6">
        <v>34.894556999999999</v>
      </c>
      <c r="U1109" s="6">
        <v>34.950949000000001</v>
      </c>
      <c r="V1109" s="6">
        <v>34.883485</v>
      </c>
    </row>
    <row r="1110" spans="2:22">
      <c r="B1110" s="6">
        <v>32454</v>
      </c>
      <c r="C1110" s="6" t="s">
        <v>356</v>
      </c>
      <c r="D1110" s="6">
        <v>23100</v>
      </c>
      <c r="E1110" s="6" t="s">
        <v>54</v>
      </c>
      <c r="F1110" s="6" t="s">
        <v>13</v>
      </c>
      <c r="G1110" s="6" t="s">
        <v>14</v>
      </c>
      <c r="H1110" s="6">
        <v>0</v>
      </c>
      <c r="I1110" s="6">
        <v>15</v>
      </c>
      <c r="J1110" s="6">
        <v>15</v>
      </c>
      <c r="K1110" s="6">
        <v>0</v>
      </c>
      <c r="L1110" s="6">
        <v>15</v>
      </c>
      <c r="M1110" s="6">
        <v>15</v>
      </c>
      <c r="N1110" s="6">
        <v>0</v>
      </c>
      <c r="O1110" s="6">
        <v>15</v>
      </c>
      <c r="P1110" s="6">
        <v>15</v>
      </c>
      <c r="Q1110" s="6">
        <v>15</v>
      </c>
      <c r="R1110" s="6">
        <v>15</v>
      </c>
      <c r="S1110" s="6">
        <v>15</v>
      </c>
      <c r="T1110" s="6">
        <v>15</v>
      </c>
      <c r="U1110" s="6">
        <v>15</v>
      </c>
      <c r="V1110" s="6">
        <v>15</v>
      </c>
    </row>
    <row r="1111" spans="2:22">
      <c r="B1111" s="6">
        <v>32456</v>
      </c>
      <c r="C1111" s="6" t="s">
        <v>1159</v>
      </c>
      <c r="D1111" s="6">
        <v>21000</v>
      </c>
      <c r="E1111" s="6" t="s">
        <v>276</v>
      </c>
      <c r="F1111" s="6" t="s">
        <v>38</v>
      </c>
      <c r="G1111" s="6" t="s">
        <v>1302</v>
      </c>
      <c r="H1111" s="6">
        <v>10</v>
      </c>
      <c r="I1111" s="6">
        <v>10</v>
      </c>
      <c r="J1111" s="6">
        <v>10</v>
      </c>
      <c r="K1111" s="6">
        <v>10</v>
      </c>
      <c r="L1111" s="6">
        <v>10</v>
      </c>
      <c r="M1111" s="6">
        <v>10</v>
      </c>
      <c r="N1111" s="6">
        <v>10</v>
      </c>
      <c r="O1111" s="6">
        <v>10</v>
      </c>
      <c r="P1111" s="6">
        <v>10</v>
      </c>
      <c r="Q1111" s="6">
        <v>10</v>
      </c>
      <c r="R1111" s="6">
        <v>10</v>
      </c>
      <c r="S1111" s="6">
        <v>10</v>
      </c>
      <c r="T1111" s="6">
        <v>10</v>
      </c>
      <c r="U1111" s="6">
        <v>10</v>
      </c>
      <c r="V1111" s="6">
        <v>10</v>
      </c>
    </row>
    <row r="1112" spans="2:22">
      <c r="B1112" s="6">
        <v>32456</v>
      </c>
      <c r="C1112" s="6" t="s">
        <v>1159</v>
      </c>
      <c r="D1112" s="6">
        <v>23500</v>
      </c>
      <c r="E1112" s="6" t="s">
        <v>37</v>
      </c>
      <c r="F1112" s="6" t="s">
        <v>38</v>
      </c>
      <c r="G1112" s="6" t="s">
        <v>1302</v>
      </c>
      <c r="H1112" s="6">
        <v>10</v>
      </c>
      <c r="I1112" s="6">
        <v>10</v>
      </c>
      <c r="J1112" s="6">
        <v>10</v>
      </c>
      <c r="K1112" s="6">
        <v>10</v>
      </c>
      <c r="L1112" s="6">
        <v>10</v>
      </c>
      <c r="M1112" s="6">
        <v>10</v>
      </c>
      <c r="N1112" s="6">
        <v>10</v>
      </c>
      <c r="O1112" s="6">
        <v>10</v>
      </c>
      <c r="P1112" s="6">
        <v>10</v>
      </c>
      <c r="Q1112" s="6">
        <v>10</v>
      </c>
      <c r="R1112" s="6">
        <v>10</v>
      </c>
      <c r="S1112" s="6">
        <v>10</v>
      </c>
      <c r="T1112" s="6">
        <v>10</v>
      </c>
      <c r="U1112" s="6">
        <v>10</v>
      </c>
      <c r="V1112" s="6">
        <v>10</v>
      </c>
    </row>
    <row r="1113" spans="2:22">
      <c r="B1113" s="6">
        <v>32457</v>
      </c>
      <c r="C1113" s="6" t="s">
        <v>1027</v>
      </c>
      <c r="D1113" s="6">
        <v>12400</v>
      </c>
      <c r="E1113" s="6" t="s">
        <v>217</v>
      </c>
      <c r="F1113" s="6" t="s">
        <v>16</v>
      </c>
      <c r="G1113" s="6" t="s">
        <v>1295</v>
      </c>
      <c r="H1113" s="6">
        <v>0</v>
      </c>
      <c r="I1113" s="6">
        <v>0</v>
      </c>
      <c r="J1113" s="6">
        <v>10</v>
      </c>
      <c r="K1113" s="6">
        <v>0</v>
      </c>
      <c r="L1113" s="6">
        <v>8</v>
      </c>
      <c r="M1113" s="6">
        <v>8.5882349999999992</v>
      </c>
      <c r="N1113" s="6">
        <v>9.2387090000000001</v>
      </c>
      <c r="O1113" s="6">
        <v>8.7126429999999999</v>
      </c>
      <c r="P1113" s="6">
        <v>8.6856360000000006</v>
      </c>
      <c r="Q1113" s="6">
        <v>9.2387090000000001</v>
      </c>
      <c r="R1113" s="6">
        <v>8.7126429999999999</v>
      </c>
      <c r="S1113" s="6">
        <v>8.6856360000000006</v>
      </c>
      <c r="T1113" s="6">
        <v>8.8875729999999997</v>
      </c>
      <c r="U1113" s="6">
        <v>8.6089380000000002</v>
      </c>
      <c r="V1113" s="6">
        <v>8.6174140000000001</v>
      </c>
    </row>
    <row r="1114" spans="2:22">
      <c r="B1114" s="6">
        <v>32457</v>
      </c>
      <c r="C1114" s="6" t="s">
        <v>1027</v>
      </c>
      <c r="D1114" s="6">
        <v>20920</v>
      </c>
      <c r="E1114" s="6" t="s">
        <v>231</v>
      </c>
      <c r="F1114" s="6" t="s">
        <v>16</v>
      </c>
      <c r="G1114" s="6" t="s">
        <v>1295</v>
      </c>
      <c r="H1114" s="6">
        <v>0</v>
      </c>
      <c r="I1114" s="6">
        <v>0</v>
      </c>
      <c r="J1114" s="6">
        <v>10</v>
      </c>
      <c r="K1114" s="6">
        <v>0</v>
      </c>
      <c r="L1114" s="6">
        <v>10</v>
      </c>
      <c r="M1114" s="6">
        <v>9.294117</v>
      </c>
      <c r="N1114" s="6">
        <v>8.1999999999999993</v>
      </c>
      <c r="O1114" s="6">
        <v>8.0909089999999999</v>
      </c>
      <c r="P1114" s="6">
        <v>7.923076</v>
      </c>
      <c r="Q1114" s="6">
        <v>8.1999999999999993</v>
      </c>
      <c r="R1114" s="6">
        <v>8.0909089999999999</v>
      </c>
      <c r="S1114" s="6">
        <v>7.923076</v>
      </c>
      <c r="T1114" s="6">
        <v>8.1999999999999993</v>
      </c>
      <c r="U1114" s="6">
        <v>8.0909089999999999</v>
      </c>
      <c r="V1114" s="6">
        <v>7.923076</v>
      </c>
    </row>
    <row r="1115" spans="2:22">
      <c r="B1115" s="6">
        <v>32457</v>
      </c>
      <c r="C1115" s="6" t="s">
        <v>1027</v>
      </c>
      <c r="D1115" s="6">
        <v>23311</v>
      </c>
      <c r="E1115" s="6" t="s">
        <v>221</v>
      </c>
      <c r="F1115" s="6" t="s">
        <v>16</v>
      </c>
      <c r="G1115" s="6" t="s">
        <v>1295</v>
      </c>
      <c r="H1115" s="6">
        <v>0</v>
      </c>
      <c r="I1115" s="6">
        <v>0</v>
      </c>
      <c r="J1115" s="6">
        <v>10</v>
      </c>
      <c r="K1115" s="6">
        <v>0</v>
      </c>
      <c r="L1115" s="6">
        <v>0</v>
      </c>
      <c r="M1115" s="6">
        <v>10</v>
      </c>
      <c r="N1115" s="6">
        <v>10.099009000000001</v>
      </c>
      <c r="O1115" s="6">
        <v>10.02364</v>
      </c>
      <c r="P1115" s="6">
        <v>10.011260999999999</v>
      </c>
      <c r="Q1115" s="6">
        <v>10.099009000000001</v>
      </c>
      <c r="R1115" s="6">
        <v>10.02364</v>
      </c>
      <c r="S1115" s="6">
        <v>10.011260999999999</v>
      </c>
      <c r="T1115" s="6">
        <v>10.099009000000001</v>
      </c>
      <c r="U1115" s="6">
        <v>10.02364</v>
      </c>
      <c r="V1115" s="6">
        <v>10.011260999999999</v>
      </c>
    </row>
    <row r="1116" spans="2:22">
      <c r="B1116" s="6">
        <v>32457</v>
      </c>
      <c r="C1116" s="6" t="s">
        <v>1027</v>
      </c>
      <c r="D1116" s="6">
        <v>23312</v>
      </c>
      <c r="E1116" s="6" t="s">
        <v>215</v>
      </c>
      <c r="F1116" s="6" t="s">
        <v>16</v>
      </c>
      <c r="G1116" s="6" t="s">
        <v>1295</v>
      </c>
      <c r="H1116" s="6">
        <v>0</v>
      </c>
      <c r="I1116" s="6">
        <v>0</v>
      </c>
      <c r="J1116" s="6">
        <v>10</v>
      </c>
      <c r="K1116" s="6">
        <v>0</v>
      </c>
      <c r="L1116" s="6">
        <v>0</v>
      </c>
      <c r="M1116" s="6">
        <v>10</v>
      </c>
      <c r="N1116" s="6">
        <v>0</v>
      </c>
      <c r="O1116" s="6">
        <v>10</v>
      </c>
      <c r="P1116" s="6">
        <v>10</v>
      </c>
      <c r="Q1116" s="6">
        <v>0</v>
      </c>
      <c r="R1116" s="6">
        <v>10</v>
      </c>
      <c r="S1116" s="6">
        <v>10</v>
      </c>
      <c r="T1116" s="6">
        <v>10</v>
      </c>
      <c r="U1116" s="6">
        <v>10</v>
      </c>
      <c r="V1116" s="6">
        <v>10.5</v>
      </c>
    </row>
    <row r="1117" spans="2:22">
      <c r="B1117" s="6">
        <v>32457</v>
      </c>
      <c r="C1117" s="6" t="s">
        <v>1027</v>
      </c>
      <c r="D1117" s="6">
        <v>25005</v>
      </c>
      <c r="E1117" s="6" t="s">
        <v>232</v>
      </c>
      <c r="F1117" s="6" t="s">
        <v>16</v>
      </c>
      <c r="G1117" s="6" t="s">
        <v>1295</v>
      </c>
      <c r="H1117" s="6">
        <v>0</v>
      </c>
      <c r="I1117" s="6">
        <v>0</v>
      </c>
      <c r="J1117" s="6">
        <v>10</v>
      </c>
      <c r="K1117" s="6">
        <v>0</v>
      </c>
      <c r="L1117" s="6">
        <v>10</v>
      </c>
      <c r="M1117" s="6">
        <v>10</v>
      </c>
      <c r="N1117" s="6">
        <v>10</v>
      </c>
      <c r="O1117" s="6">
        <v>10</v>
      </c>
      <c r="P1117" s="6">
        <v>10</v>
      </c>
      <c r="Q1117" s="6">
        <v>10</v>
      </c>
      <c r="R1117" s="6">
        <v>10</v>
      </c>
      <c r="S1117" s="6">
        <v>10</v>
      </c>
      <c r="T1117" s="6">
        <v>10</v>
      </c>
      <c r="U1117" s="6">
        <v>10</v>
      </c>
      <c r="V1117" s="6">
        <v>10</v>
      </c>
    </row>
    <row r="1118" spans="2:22">
      <c r="B1118" s="6">
        <v>32457</v>
      </c>
      <c r="C1118" s="6" t="s">
        <v>1027</v>
      </c>
      <c r="D1118" s="6">
        <v>80013</v>
      </c>
      <c r="E1118" s="6" t="s">
        <v>250</v>
      </c>
      <c r="F1118" s="6" t="s">
        <v>16</v>
      </c>
      <c r="G1118" s="6" t="s">
        <v>1295</v>
      </c>
      <c r="H1118" s="6">
        <v>0</v>
      </c>
      <c r="I1118" s="6">
        <v>0</v>
      </c>
      <c r="J1118" s="6">
        <v>10</v>
      </c>
      <c r="K1118" s="6">
        <v>0</v>
      </c>
      <c r="L1118" s="6">
        <v>0</v>
      </c>
      <c r="M1118" s="6">
        <v>10</v>
      </c>
      <c r="N1118" s="6">
        <v>0</v>
      </c>
      <c r="O1118" s="6">
        <v>0</v>
      </c>
      <c r="P1118" s="6">
        <v>10</v>
      </c>
      <c r="Q1118" s="6">
        <v>0</v>
      </c>
      <c r="R1118" s="6">
        <v>0</v>
      </c>
      <c r="S1118" s="6">
        <v>10</v>
      </c>
      <c r="T1118" s="6">
        <v>0</v>
      </c>
      <c r="U1118" s="6">
        <v>0</v>
      </c>
      <c r="V1118" s="6">
        <v>10</v>
      </c>
    </row>
    <row r="1119" spans="2:22">
      <c r="B1119" s="6">
        <v>32460</v>
      </c>
      <c r="C1119" s="6" t="s">
        <v>191</v>
      </c>
      <c r="D1119" s="6">
        <v>20500</v>
      </c>
      <c r="E1119" s="6" t="s">
        <v>31</v>
      </c>
      <c r="F1119" s="6" t="s">
        <v>13</v>
      </c>
      <c r="G1119" s="6" t="s">
        <v>14</v>
      </c>
      <c r="H1119" s="6">
        <v>0</v>
      </c>
      <c r="I1119" s="6">
        <v>0</v>
      </c>
      <c r="J1119" s="6">
        <v>20</v>
      </c>
      <c r="K1119" s="6">
        <v>25</v>
      </c>
      <c r="L1119" s="6">
        <v>21.25</v>
      </c>
      <c r="M1119" s="6">
        <v>20.070422000000001</v>
      </c>
      <c r="N1119" s="6">
        <v>25</v>
      </c>
      <c r="O1119" s="6">
        <v>22.5</v>
      </c>
      <c r="P1119" s="6">
        <v>20.123965999999999</v>
      </c>
      <c r="Q1119" s="6">
        <v>25</v>
      </c>
      <c r="R1119" s="6">
        <v>22.5</v>
      </c>
      <c r="S1119" s="6">
        <v>20.122949999999999</v>
      </c>
      <c r="T1119" s="6">
        <v>28.409089999999999</v>
      </c>
      <c r="U1119" s="6">
        <v>28.088235000000001</v>
      </c>
      <c r="V1119" s="6">
        <v>22.096774</v>
      </c>
    </row>
    <row r="1120" spans="2:22">
      <c r="B1120" s="6">
        <v>32460</v>
      </c>
      <c r="C1120" s="6" t="s">
        <v>191</v>
      </c>
      <c r="D1120" s="6">
        <v>20500</v>
      </c>
      <c r="E1120" s="6" t="s">
        <v>31</v>
      </c>
      <c r="F1120" s="6" t="s">
        <v>17</v>
      </c>
      <c r="G1120" s="6" t="s">
        <v>1294</v>
      </c>
      <c r="H1120" s="6">
        <v>0</v>
      </c>
      <c r="I1120" s="6">
        <v>27</v>
      </c>
      <c r="J1120" s="6">
        <v>27.166665999999999</v>
      </c>
      <c r="K1120" s="6">
        <v>26.093993999999999</v>
      </c>
      <c r="L1120" s="6">
        <v>26.469746000000001</v>
      </c>
      <c r="M1120" s="6">
        <v>26.000619</v>
      </c>
      <c r="N1120" s="6">
        <v>26.108958000000001</v>
      </c>
      <c r="O1120" s="6">
        <v>26.328648000000001</v>
      </c>
      <c r="P1120" s="6">
        <v>26.003786000000002</v>
      </c>
      <c r="Q1120" s="6">
        <v>26.101534000000001</v>
      </c>
      <c r="R1120" s="6">
        <v>26.316153</v>
      </c>
      <c r="S1120" s="6">
        <v>25.991613999999998</v>
      </c>
      <c r="T1120" s="6">
        <v>25.645997000000001</v>
      </c>
      <c r="U1120" s="6">
        <v>25.223958</v>
      </c>
      <c r="V1120" s="6">
        <v>24.770192999999999</v>
      </c>
    </row>
    <row r="1121" spans="2:22">
      <c r="B1121" s="6">
        <v>32460</v>
      </c>
      <c r="C1121" s="6" t="s">
        <v>191</v>
      </c>
      <c r="D1121" s="6">
        <v>20706</v>
      </c>
      <c r="E1121" s="6" t="s">
        <v>52</v>
      </c>
      <c r="F1121" s="6" t="s">
        <v>17</v>
      </c>
      <c r="G1121" s="6" t="s">
        <v>1294</v>
      </c>
      <c r="H1121" s="6">
        <v>0</v>
      </c>
      <c r="I1121" s="6">
        <v>40</v>
      </c>
      <c r="J1121" s="6">
        <v>40</v>
      </c>
      <c r="K1121" s="6">
        <v>40</v>
      </c>
      <c r="L1121" s="6">
        <v>39.985993999999998</v>
      </c>
      <c r="M1121" s="6">
        <v>39.981146000000003</v>
      </c>
      <c r="N1121" s="6">
        <v>39.962778999999998</v>
      </c>
      <c r="O1121" s="6">
        <v>39.971750999999998</v>
      </c>
      <c r="P1121" s="6">
        <v>39.969020999999998</v>
      </c>
      <c r="Q1121" s="6">
        <v>39.963768000000002</v>
      </c>
      <c r="R1121" s="6">
        <v>39.972496999999997</v>
      </c>
      <c r="S1121" s="6">
        <v>39.969659999999998</v>
      </c>
      <c r="T1121" s="6">
        <v>39.867787999999997</v>
      </c>
      <c r="U1121" s="6">
        <v>39.928649</v>
      </c>
      <c r="V1121" s="6">
        <v>39.945453999999998</v>
      </c>
    </row>
    <row r="1122" spans="2:22">
      <c r="B1122" s="6">
        <v>32460</v>
      </c>
      <c r="C1122" s="6" t="s">
        <v>191</v>
      </c>
      <c r="D1122" s="6">
        <v>20902</v>
      </c>
      <c r="E1122" s="6" t="s">
        <v>53</v>
      </c>
      <c r="F1122" s="6" t="s">
        <v>16</v>
      </c>
      <c r="G1122" s="6" t="s">
        <v>1295</v>
      </c>
      <c r="H1122" s="6">
        <v>0</v>
      </c>
      <c r="I1122" s="6">
        <v>0</v>
      </c>
      <c r="J1122" s="6">
        <v>30</v>
      </c>
      <c r="K1122" s="6">
        <v>27.235294</v>
      </c>
      <c r="L1122" s="6">
        <v>26.730157999999999</v>
      </c>
      <c r="M1122" s="6">
        <v>28.302752000000002</v>
      </c>
      <c r="N1122" s="6">
        <v>27.102803000000002</v>
      </c>
      <c r="O1122" s="6">
        <v>26.100322999999999</v>
      </c>
      <c r="P1122" s="6">
        <v>27.578899</v>
      </c>
      <c r="Q1122" s="6">
        <v>27.102803000000002</v>
      </c>
      <c r="R1122" s="6">
        <v>26.100322999999999</v>
      </c>
      <c r="S1122" s="6">
        <v>27.558453</v>
      </c>
      <c r="T1122" s="6">
        <v>26.737159999999999</v>
      </c>
      <c r="U1122" s="6">
        <v>25.752351000000001</v>
      </c>
      <c r="V1122" s="6">
        <v>27.323633000000001</v>
      </c>
    </row>
    <row r="1123" spans="2:22">
      <c r="B1123" s="6">
        <v>32460</v>
      </c>
      <c r="C1123" s="6" t="s">
        <v>191</v>
      </c>
      <c r="D1123" s="6">
        <v>20902</v>
      </c>
      <c r="E1123" s="6" t="s">
        <v>53</v>
      </c>
      <c r="F1123" s="6" t="s">
        <v>13</v>
      </c>
      <c r="G1123" s="6" t="s">
        <v>14</v>
      </c>
      <c r="H1123" s="6">
        <v>0</v>
      </c>
      <c r="I1123" s="6">
        <v>20</v>
      </c>
      <c r="J1123" s="6">
        <v>20</v>
      </c>
      <c r="K1123" s="6">
        <v>19.956309999999998</v>
      </c>
      <c r="L1123" s="6">
        <v>19.965827000000001</v>
      </c>
      <c r="M1123" s="6">
        <v>19.613216000000001</v>
      </c>
      <c r="N1123" s="6">
        <v>19.181818</v>
      </c>
      <c r="O1123" s="6">
        <v>19.119288999999998</v>
      </c>
      <c r="P1123" s="6">
        <v>18.784502</v>
      </c>
      <c r="Q1123" s="6">
        <v>19.181818</v>
      </c>
      <c r="R1123" s="6">
        <v>19.101835999999999</v>
      </c>
      <c r="S1123" s="6">
        <v>18.763134000000001</v>
      </c>
      <c r="T1123" s="6">
        <v>19.181818</v>
      </c>
      <c r="U1123" s="6">
        <v>19.101835999999999</v>
      </c>
      <c r="V1123" s="6">
        <v>18.763134000000001</v>
      </c>
    </row>
    <row r="1124" spans="2:22">
      <c r="B1124" s="6">
        <v>32460</v>
      </c>
      <c r="C1124" s="6" t="s">
        <v>191</v>
      </c>
      <c r="D1124" s="6">
        <v>20906</v>
      </c>
      <c r="E1124" s="6" t="s">
        <v>48</v>
      </c>
      <c r="F1124" s="6" t="s">
        <v>49</v>
      </c>
      <c r="G1124" s="6" t="s">
        <v>1296</v>
      </c>
      <c r="H1124" s="6">
        <v>0</v>
      </c>
      <c r="I1124" s="6">
        <v>17</v>
      </c>
      <c r="J1124" s="6">
        <v>17.555554999999998</v>
      </c>
      <c r="K1124" s="6">
        <v>16.923482</v>
      </c>
      <c r="L1124" s="6">
        <v>16.908185</v>
      </c>
      <c r="M1124" s="6">
        <v>17.652851999999999</v>
      </c>
      <c r="N1124" s="6">
        <v>17.016705999999999</v>
      </c>
      <c r="O1124" s="6">
        <v>16.954350000000002</v>
      </c>
      <c r="P1124" s="6">
        <v>17.537869000000001</v>
      </c>
      <c r="Q1124" s="6">
        <v>17.016335999999999</v>
      </c>
      <c r="R1124" s="6">
        <v>16.958155999999999</v>
      </c>
      <c r="S1124" s="6">
        <v>17.538882000000001</v>
      </c>
      <c r="T1124" s="6">
        <v>17.016335999999999</v>
      </c>
      <c r="U1124" s="6">
        <v>16.958155999999999</v>
      </c>
      <c r="V1124" s="6">
        <v>17.538882000000001</v>
      </c>
    </row>
    <row r="1125" spans="2:22">
      <c r="B1125" s="6">
        <v>32461</v>
      </c>
      <c r="C1125" s="6" t="s">
        <v>192</v>
      </c>
      <c r="D1125" s="6">
        <v>20500</v>
      </c>
      <c r="E1125" s="6" t="s">
        <v>31</v>
      </c>
      <c r="F1125" s="6" t="s">
        <v>17</v>
      </c>
      <c r="G1125" s="6" t="s">
        <v>1294</v>
      </c>
      <c r="H1125" s="6">
        <v>0</v>
      </c>
      <c r="I1125" s="6">
        <v>0</v>
      </c>
      <c r="J1125" s="6">
        <v>27</v>
      </c>
      <c r="K1125" s="6">
        <v>26.093993999999999</v>
      </c>
      <c r="L1125" s="6">
        <v>26.469746000000001</v>
      </c>
      <c r="M1125" s="6">
        <v>26.000619</v>
      </c>
      <c r="N1125" s="6">
        <v>26.108958000000001</v>
      </c>
      <c r="O1125" s="6">
        <v>26.328648000000001</v>
      </c>
      <c r="P1125" s="6">
        <v>26.003786000000002</v>
      </c>
      <c r="Q1125" s="6">
        <v>26.101534000000001</v>
      </c>
      <c r="R1125" s="6">
        <v>26.316153</v>
      </c>
      <c r="S1125" s="6">
        <v>25.991613999999998</v>
      </c>
      <c r="T1125" s="6">
        <v>25.645997000000001</v>
      </c>
      <c r="U1125" s="6">
        <v>25.223958</v>
      </c>
      <c r="V1125" s="6">
        <v>24.770192999999999</v>
      </c>
    </row>
    <row r="1126" spans="2:22">
      <c r="B1126" s="6">
        <v>32461</v>
      </c>
      <c r="C1126" s="6" t="s">
        <v>192</v>
      </c>
      <c r="D1126" s="6">
        <v>20706</v>
      </c>
      <c r="E1126" s="6" t="s">
        <v>52</v>
      </c>
      <c r="F1126" s="6" t="s">
        <v>17</v>
      </c>
      <c r="G1126" s="6" t="s">
        <v>1294</v>
      </c>
      <c r="H1126" s="6">
        <v>0</v>
      </c>
      <c r="I1126" s="6">
        <v>0</v>
      </c>
      <c r="J1126" s="6">
        <v>40</v>
      </c>
      <c r="K1126" s="6">
        <v>40</v>
      </c>
      <c r="L1126" s="6">
        <v>39.985993999999998</v>
      </c>
      <c r="M1126" s="6">
        <v>39.981146000000003</v>
      </c>
      <c r="N1126" s="6">
        <v>39.962778999999998</v>
      </c>
      <c r="O1126" s="6">
        <v>39.971750999999998</v>
      </c>
      <c r="P1126" s="6">
        <v>39.969020999999998</v>
      </c>
      <c r="Q1126" s="6">
        <v>39.963768000000002</v>
      </c>
      <c r="R1126" s="6">
        <v>39.972496999999997</v>
      </c>
      <c r="S1126" s="6">
        <v>39.969659999999998</v>
      </c>
      <c r="T1126" s="6">
        <v>39.867787999999997</v>
      </c>
      <c r="U1126" s="6">
        <v>39.928649</v>
      </c>
      <c r="V1126" s="6">
        <v>39.945453999999998</v>
      </c>
    </row>
    <row r="1127" spans="2:22">
      <c r="B1127" s="6">
        <v>32461</v>
      </c>
      <c r="C1127" s="6" t="s">
        <v>192</v>
      </c>
      <c r="D1127" s="6">
        <v>20902</v>
      </c>
      <c r="E1127" s="6" t="s">
        <v>53</v>
      </c>
      <c r="F1127" s="6" t="s">
        <v>13</v>
      </c>
      <c r="G1127" s="6" t="s">
        <v>14</v>
      </c>
      <c r="H1127" s="6">
        <v>0</v>
      </c>
      <c r="I1127" s="6">
        <v>0</v>
      </c>
      <c r="J1127" s="6">
        <v>20</v>
      </c>
      <c r="K1127" s="6">
        <v>19.956309999999998</v>
      </c>
      <c r="L1127" s="6">
        <v>19.965827000000001</v>
      </c>
      <c r="M1127" s="6">
        <v>19.613216000000001</v>
      </c>
      <c r="N1127" s="6">
        <v>19.181818</v>
      </c>
      <c r="O1127" s="6">
        <v>19.119288999999998</v>
      </c>
      <c r="P1127" s="6">
        <v>18.784502</v>
      </c>
      <c r="Q1127" s="6">
        <v>19.181818</v>
      </c>
      <c r="R1127" s="6">
        <v>19.101835999999999</v>
      </c>
      <c r="S1127" s="6">
        <v>18.763134000000001</v>
      </c>
      <c r="T1127" s="6">
        <v>19.181818</v>
      </c>
      <c r="U1127" s="6">
        <v>19.101835999999999</v>
      </c>
      <c r="V1127" s="6">
        <v>18.763134000000001</v>
      </c>
    </row>
    <row r="1128" spans="2:22">
      <c r="B1128" s="6">
        <v>32461</v>
      </c>
      <c r="C1128" s="6" t="s">
        <v>192</v>
      </c>
      <c r="D1128" s="6">
        <v>20906</v>
      </c>
      <c r="E1128" s="6" t="s">
        <v>48</v>
      </c>
      <c r="F1128" s="6" t="s">
        <v>49</v>
      </c>
      <c r="G1128" s="6" t="s">
        <v>1296</v>
      </c>
      <c r="H1128" s="6">
        <v>0</v>
      </c>
      <c r="I1128" s="6">
        <v>0</v>
      </c>
      <c r="J1128" s="6">
        <v>18.5</v>
      </c>
      <c r="K1128" s="6">
        <v>16.923482</v>
      </c>
      <c r="L1128" s="6">
        <v>16.908185</v>
      </c>
      <c r="M1128" s="6">
        <v>17.652851999999999</v>
      </c>
      <c r="N1128" s="6">
        <v>17.016705999999999</v>
      </c>
      <c r="O1128" s="6">
        <v>16.954350000000002</v>
      </c>
      <c r="P1128" s="6">
        <v>17.537869000000001</v>
      </c>
      <c r="Q1128" s="6">
        <v>17.016335999999999</v>
      </c>
      <c r="R1128" s="6">
        <v>16.958155999999999</v>
      </c>
      <c r="S1128" s="6">
        <v>17.538882000000001</v>
      </c>
      <c r="T1128" s="6">
        <v>17.016335999999999</v>
      </c>
      <c r="U1128" s="6">
        <v>16.958155999999999</v>
      </c>
      <c r="V1128" s="6">
        <v>17.538882000000001</v>
      </c>
    </row>
    <row r="1129" spans="2:22">
      <c r="B1129" s="6">
        <v>32463</v>
      </c>
      <c r="C1129" s="6" t="s">
        <v>1178</v>
      </c>
      <c r="D1129" s="6">
        <v>25000</v>
      </c>
      <c r="E1129" s="6" t="s">
        <v>1226</v>
      </c>
      <c r="F1129" s="6" t="s">
        <v>16</v>
      </c>
      <c r="G1129" s="6" t="s">
        <v>1295</v>
      </c>
      <c r="H1129" s="6">
        <v>0</v>
      </c>
      <c r="I1129" s="6">
        <v>0</v>
      </c>
      <c r="J1129" s="6">
        <v>20</v>
      </c>
      <c r="K1129" s="6">
        <v>13.076923000000001</v>
      </c>
      <c r="L1129" s="6">
        <v>14.533333000000001</v>
      </c>
      <c r="M1129" s="6">
        <v>15.393442</v>
      </c>
      <c r="N1129" s="6">
        <v>13.076923000000001</v>
      </c>
      <c r="O1129" s="6">
        <v>14.533333000000001</v>
      </c>
      <c r="P1129" s="6">
        <v>15.139533999999999</v>
      </c>
      <c r="Q1129" s="6">
        <v>13.076923000000001</v>
      </c>
      <c r="R1129" s="6">
        <v>14.533333000000001</v>
      </c>
      <c r="S1129" s="6">
        <v>15.139533999999999</v>
      </c>
      <c r="T1129" s="6">
        <v>13.076923000000001</v>
      </c>
      <c r="U1129" s="6">
        <v>14.533333000000001</v>
      </c>
      <c r="V1129" s="6">
        <v>15.139533999999999</v>
      </c>
    </row>
    <row r="1130" spans="2:22">
      <c r="B1130" s="6">
        <v>32463</v>
      </c>
      <c r="C1130" s="6" t="s">
        <v>1178</v>
      </c>
      <c r="D1130" s="6">
        <v>25000</v>
      </c>
      <c r="E1130" s="6" t="s">
        <v>1226</v>
      </c>
      <c r="F1130" s="6" t="s">
        <v>16</v>
      </c>
      <c r="G1130" s="6" t="s">
        <v>1295</v>
      </c>
      <c r="H1130" s="6">
        <v>0</v>
      </c>
      <c r="I1130" s="6">
        <v>0</v>
      </c>
      <c r="J1130" s="6">
        <v>20</v>
      </c>
      <c r="K1130" s="6">
        <v>13.076923000000001</v>
      </c>
      <c r="L1130" s="6">
        <v>14.533333000000001</v>
      </c>
      <c r="M1130" s="6">
        <v>15.393442</v>
      </c>
      <c r="N1130" s="6">
        <v>13.076923000000001</v>
      </c>
      <c r="O1130" s="6">
        <v>14.533333000000001</v>
      </c>
      <c r="P1130" s="6">
        <v>15.139533999999999</v>
      </c>
      <c r="Q1130" s="6">
        <v>13.076923000000001</v>
      </c>
      <c r="R1130" s="6">
        <v>14.533333000000001</v>
      </c>
      <c r="S1130" s="6">
        <v>15.139533999999999</v>
      </c>
      <c r="T1130" s="6">
        <v>13.076923000000001</v>
      </c>
      <c r="U1130" s="6">
        <v>14.533333000000001</v>
      </c>
      <c r="V1130" s="6">
        <v>15.139533999999999</v>
      </c>
    </row>
    <row r="1131" spans="2:22">
      <c r="B1131" s="6">
        <v>32463</v>
      </c>
      <c r="C1131" s="6" t="s">
        <v>1178</v>
      </c>
      <c r="D1131" s="6">
        <v>25007</v>
      </c>
      <c r="E1131" s="6" t="s">
        <v>1236</v>
      </c>
      <c r="F1131" s="6" t="s">
        <v>16</v>
      </c>
      <c r="G1131" s="6" t="s">
        <v>1295</v>
      </c>
      <c r="H1131" s="6">
        <v>0</v>
      </c>
      <c r="I1131" s="6">
        <v>0</v>
      </c>
      <c r="J1131" s="6">
        <v>15</v>
      </c>
      <c r="K1131" s="6">
        <v>15</v>
      </c>
      <c r="L1131" s="6">
        <v>15</v>
      </c>
      <c r="M1131" s="6">
        <v>15</v>
      </c>
      <c r="N1131" s="6">
        <v>15</v>
      </c>
      <c r="O1131" s="6">
        <v>15</v>
      </c>
      <c r="P1131" s="6">
        <v>15</v>
      </c>
      <c r="Q1131" s="6">
        <v>15</v>
      </c>
      <c r="R1131" s="6">
        <v>15</v>
      </c>
      <c r="S1131" s="6">
        <v>15</v>
      </c>
      <c r="T1131" s="6">
        <v>15</v>
      </c>
      <c r="U1131" s="6">
        <v>15</v>
      </c>
      <c r="V1131" s="6">
        <v>15</v>
      </c>
    </row>
    <row r="1132" spans="2:22">
      <c r="B1132" s="6">
        <v>32463</v>
      </c>
      <c r="C1132" s="6" t="s">
        <v>1178</v>
      </c>
      <c r="D1132" s="6">
        <v>26000</v>
      </c>
      <c r="E1132" s="6" t="s">
        <v>1228</v>
      </c>
      <c r="F1132" s="6" t="s">
        <v>38</v>
      </c>
      <c r="G1132" s="6" t="s">
        <v>1302</v>
      </c>
      <c r="H1132" s="6">
        <v>0</v>
      </c>
      <c r="I1132" s="6">
        <v>0</v>
      </c>
      <c r="J1132" s="6">
        <v>10</v>
      </c>
      <c r="K1132" s="6">
        <v>10</v>
      </c>
      <c r="L1132" s="6">
        <v>10</v>
      </c>
      <c r="M1132" s="6">
        <v>10</v>
      </c>
      <c r="N1132" s="6">
        <v>10</v>
      </c>
      <c r="O1132" s="6">
        <v>10</v>
      </c>
      <c r="P1132" s="6">
        <v>10</v>
      </c>
      <c r="Q1132" s="6">
        <v>10</v>
      </c>
      <c r="R1132" s="6">
        <v>10</v>
      </c>
      <c r="S1132" s="6">
        <v>10</v>
      </c>
      <c r="T1132" s="6">
        <v>10</v>
      </c>
      <c r="U1132" s="6">
        <v>10</v>
      </c>
      <c r="V1132" s="6">
        <v>10</v>
      </c>
    </row>
    <row r="1133" spans="2:22">
      <c r="B1133" s="6">
        <v>32466</v>
      </c>
      <c r="C1133" s="6" t="s">
        <v>1022</v>
      </c>
      <c r="D1133" s="6">
        <v>12400</v>
      </c>
      <c r="E1133" s="6" t="s">
        <v>217</v>
      </c>
      <c r="F1133" s="6" t="s">
        <v>16</v>
      </c>
      <c r="G1133" s="6" t="s">
        <v>1295</v>
      </c>
      <c r="H1133" s="6">
        <v>0</v>
      </c>
      <c r="I1133" s="6">
        <v>0</v>
      </c>
      <c r="J1133" s="6">
        <v>10</v>
      </c>
      <c r="K1133" s="6">
        <v>13.375</v>
      </c>
      <c r="L1133" s="6">
        <v>10.9375</v>
      </c>
      <c r="M1133" s="6">
        <v>9.2653060000000007</v>
      </c>
      <c r="N1133" s="6">
        <v>9.2387090000000001</v>
      </c>
      <c r="O1133" s="6">
        <v>8.7126429999999999</v>
      </c>
      <c r="P1133" s="6">
        <v>8.6856360000000006</v>
      </c>
      <c r="Q1133" s="6">
        <v>9.2387090000000001</v>
      </c>
      <c r="R1133" s="6">
        <v>8.7126429999999999</v>
      </c>
      <c r="S1133" s="6">
        <v>8.6856360000000006</v>
      </c>
      <c r="T1133" s="6">
        <v>8.8875729999999997</v>
      </c>
      <c r="U1133" s="6">
        <v>8.6089380000000002</v>
      </c>
      <c r="V1133" s="6">
        <v>8.6174140000000001</v>
      </c>
    </row>
    <row r="1134" spans="2:22">
      <c r="B1134" s="6">
        <v>32466</v>
      </c>
      <c r="C1134" s="6" t="s">
        <v>1022</v>
      </c>
      <c r="D1134" s="6">
        <v>20904</v>
      </c>
      <c r="E1134" s="6" t="s">
        <v>156</v>
      </c>
      <c r="F1134" s="6" t="s">
        <v>16</v>
      </c>
      <c r="G1134" s="6" t="s">
        <v>1295</v>
      </c>
      <c r="H1134" s="6">
        <v>0</v>
      </c>
      <c r="I1134" s="6">
        <v>0</v>
      </c>
      <c r="J1134" s="6">
        <v>15</v>
      </c>
      <c r="K1134" s="6">
        <v>10</v>
      </c>
      <c r="L1134" s="6">
        <v>10</v>
      </c>
      <c r="M1134" s="6">
        <v>11.173913000000001</v>
      </c>
      <c r="N1134" s="6">
        <v>14.736841999999999</v>
      </c>
      <c r="O1134" s="6">
        <v>14.21875</v>
      </c>
      <c r="P1134" s="6">
        <v>13.268817</v>
      </c>
      <c r="Q1134" s="6">
        <v>14.736841999999999</v>
      </c>
      <c r="R1134" s="6">
        <v>14.21875</v>
      </c>
      <c r="S1134" s="6">
        <v>13.268817</v>
      </c>
      <c r="T1134" s="6">
        <v>14.736841999999999</v>
      </c>
      <c r="U1134" s="6">
        <v>14.21875</v>
      </c>
      <c r="V1134" s="6">
        <v>13.268817</v>
      </c>
    </row>
    <row r="1135" spans="2:22">
      <c r="B1135" s="6">
        <v>32466</v>
      </c>
      <c r="C1135" s="6" t="s">
        <v>1022</v>
      </c>
      <c r="D1135" s="6">
        <v>23118</v>
      </c>
      <c r="E1135" s="6" t="s">
        <v>252</v>
      </c>
      <c r="F1135" s="6" t="s">
        <v>16</v>
      </c>
      <c r="G1135" s="6" t="s">
        <v>1295</v>
      </c>
      <c r="H1135" s="6">
        <v>0</v>
      </c>
      <c r="I1135" s="6">
        <v>0</v>
      </c>
      <c r="J1135" s="6">
        <v>10</v>
      </c>
      <c r="K1135" s="6">
        <v>0</v>
      </c>
      <c r="L1135" s="6">
        <v>0</v>
      </c>
      <c r="M1135" s="6">
        <v>10</v>
      </c>
      <c r="N1135" s="6">
        <v>10</v>
      </c>
      <c r="O1135" s="6">
        <v>10</v>
      </c>
      <c r="P1135" s="6">
        <v>10</v>
      </c>
      <c r="Q1135" s="6">
        <v>10</v>
      </c>
      <c r="R1135" s="6">
        <v>10</v>
      </c>
      <c r="S1135" s="6">
        <v>10</v>
      </c>
      <c r="T1135" s="6">
        <v>10</v>
      </c>
      <c r="U1135" s="6">
        <v>10</v>
      </c>
      <c r="V1135" s="6">
        <v>10</v>
      </c>
    </row>
    <row r="1136" spans="2:22">
      <c r="B1136" s="6">
        <v>32466</v>
      </c>
      <c r="C1136" s="6" t="s">
        <v>1022</v>
      </c>
      <c r="D1136" s="6">
        <v>23311</v>
      </c>
      <c r="E1136" s="6" t="s">
        <v>221</v>
      </c>
      <c r="F1136" s="6" t="s">
        <v>16</v>
      </c>
      <c r="G1136" s="6" t="s">
        <v>1295</v>
      </c>
      <c r="H1136" s="6">
        <v>0</v>
      </c>
      <c r="I1136" s="6">
        <v>0</v>
      </c>
      <c r="J1136" s="6">
        <v>10</v>
      </c>
      <c r="K1136" s="6">
        <v>10</v>
      </c>
      <c r="L1136" s="6">
        <v>10</v>
      </c>
      <c r="M1136" s="6">
        <v>10</v>
      </c>
      <c r="N1136" s="6">
        <v>10.099009000000001</v>
      </c>
      <c r="O1136" s="6">
        <v>10.02364</v>
      </c>
      <c r="P1136" s="6">
        <v>10.011260999999999</v>
      </c>
      <c r="Q1136" s="6">
        <v>10.099009000000001</v>
      </c>
      <c r="R1136" s="6">
        <v>10.02364</v>
      </c>
      <c r="S1136" s="6">
        <v>10.011260999999999</v>
      </c>
      <c r="T1136" s="6">
        <v>10.099009000000001</v>
      </c>
      <c r="U1136" s="6">
        <v>10.02364</v>
      </c>
      <c r="V1136" s="6">
        <v>10.011260999999999</v>
      </c>
    </row>
    <row r="1137" spans="2:22">
      <c r="B1137" s="6">
        <v>32467</v>
      </c>
      <c r="C1137" s="6" t="s">
        <v>715</v>
      </c>
      <c r="D1137" s="6">
        <v>12400</v>
      </c>
      <c r="E1137" s="6" t="s">
        <v>217</v>
      </c>
      <c r="F1137" s="6" t="s">
        <v>16</v>
      </c>
      <c r="G1137" s="6" t="s">
        <v>1295</v>
      </c>
      <c r="H1137" s="6">
        <v>0</v>
      </c>
      <c r="I1137" s="6">
        <v>0</v>
      </c>
      <c r="J1137" s="6">
        <v>10</v>
      </c>
      <c r="K1137" s="6">
        <v>13.375</v>
      </c>
      <c r="L1137" s="6">
        <v>10.9375</v>
      </c>
      <c r="M1137" s="6">
        <v>9.2653060000000007</v>
      </c>
      <c r="N1137" s="6">
        <v>9.2387090000000001</v>
      </c>
      <c r="O1137" s="6">
        <v>8.7126429999999999</v>
      </c>
      <c r="P1137" s="6">
        <v>8.6856360000000006</v>
      </c>
      <c r="Q1137" s="6">
        <v>9.2387090000000001</v>
      </c>
      <c r="R1137" s="6">
        <v>8.7126429999999999</v>
      </c>
      <c r="S1137" s="6">
        <v>8.6856360000000006</v>
      </c>
      <c r="T1137" s="6">
        <v>8.8875729999999997</v>
      </c>
      <c r="U1137" s="6">
        <v>8.6089380000000002</v>
      </c>
      <c r="V1137" s="6">
        <v>8.6174140000000001</v>
      </c>
    </row>
    <row r="1138" spans="2:22">
      <c r="B1138" s="6">
        <v>32467</v>
      </c>
      <c r="C1138" s="6" t="s">
        <v>715</v>
      </c>
      <c r="D1138" s="6">
        <v>20904</v>
      </c>
      <c r="E1138" s="6" t="s">
        <v>156</v>
      </c>
      <c r="F1138" s="6" t="s">
        <v>16</v>
      </c>
      <c r="G1138" s="6" t="s">
        <v>1295</v>
      </c>
      <c r="H1138" s="6">
        <v>0</v>
      </c>
      <c r="I1138" s="6">
        <v>0</v>
      </c>
      <c r="J1138" s="6">
        <v>10</v>
      </c>
      <c r="K1138" s="6">
        <v>10</v>
      </c>
      <c r="L1138" s="6">
        <v>10</v>
      </c>
      <c r="M1138" s="6">
        <v>11.173913000000001</v>
      </c>
      <c r="N1138" s="6">
        <v>14.736841999999999</v>
      </c>
      <c r="O1138" s="6">
        <v>14.21875</v>
      </c>
      <c r="P1138" s="6">
        <v>13.268817</v>
      </c>
      <c r="Q1138" s="6">
        <v>14.736841999999999</v>
      </c>
      <c r="R1138" s="6">
        <v>14.21875</v>
      </c>
      <c r="S1138" s="6">
        <v>13.268817</v>
      </c>
      <c r="T1138" s="6">
        <v>14.736841999999999</v>
      </c>
      <c r="U1138" s="6">
        <v>14.21875</v>
      </c>
      <c r="V1138" s="6">
        <v>13.268817</v>
      </c>
    </row>
    <row r="1139" spans="2:22">
      <c r="B1139" s="6">
        <v>32467</v>
      </c>
      <c r="C1139" s="6" t="s">
        <v>715</v>
      </c>
      <c r="D1139" s="6">
        <v>23311</v>
      </c>
      <c r="E1139" s="6" t="s">
        <v>221</v>
      </c>
      <c r="F1139" s="6" t="s">
        <v>16</v>
      </c>
      <c r="G1139" s="6" t="s">
        <v>1295</v>
      </c>
      <c r="H1139" s="6">
        <v>0</v>
      </c>
      <c r="I1139" s="6">
        <v>0</v>
      </c>
      <c r="J1139" s="6">
        <v>10</v>
      </c>
      <c r="K1139" s="6">
        <v>10</v>
      </c>
      <c r="L1139" s="6">
        <v>10</v>
      </c>
      <c r="M1139" s="6">
        <v>10</v>
      </c>
      <c r="N1139" s="6">
        <v>10.099009000000001</v>
      </c>
      <c r="O1139" s="6">
        <v>10.02364</v>
      </c>
      <c r="P1139" s="6">
        <v>10.011260999999999</v>
      </c>
      <c r="Q1139" s="6">
        <v>10.099009000000001</v>
      </c>
      <c r="R1139" s="6">
        <v>10.02364</v>
      </c>
      <c r="S1139" s="6">
        <v>10.011260999999999</v>
      </c>
      <c r="T1139" s="6">
        <v>10.099009000000001</v>
      </c>
      <c r="U1139" s="6">
        <v>10.02364</v>
      </c>
      <c r="V1139" s="6">
        <v>10.011260999999999</v>
      </c>
    </row>
    <row r="1140" spans="2:22">
      <c r="B1140" s="6">
        <v>32469</v>
      </c>
      <c r="C1140" s="6" t="s">
        <v>256</v>
      </c>
      <c r="D1140" s="6">
        <v>12400</v>
      </c>
      <c r="E1140" s="6" t="s">
        <v>217</v>
      </c>
      <c r="F1140" s="6" t="s">
        <v>16</v>
      </c>
      <c r="G1140" s="6" t="s">
        <v>1295</v>
      </c>
      <c r="H1140" s="6">
        <v>0</v>
      </c>
      <c r="I1140" s="6">
        <v>0</v>
      </c>
      <c r="J1140" s="6">
        <v>10</v>
      </c>
      <c r="K1140" s="6">
        <v>13.375</v>
      </c>
      <c r="L1140" s="6">
        <v>10.9375</v>
      </c>
      <c r="M1140" s="6">
        <v>9.2653060000000007</v>
      </c>
      <c r="N1140" s="6">
        <v>9.2387090000000001</v>
      </c>
      <c r="O1140" s="6">
        <v>8.7126429999999999</v>
      </c>
      <c r="P1140" s="6">
        <v>8.6856360000000006</v>
      </c>
      <c r="Q1140" s="6">
        <v>9.2387090000000001</v>
      </c>
      <c r="R1140" s="6">
        <v>8.7126429999999999</v>
      </c>
      <c r="S1140" s="6">
        <v>8.6856360000000006</v>
      </c>
      <c r="T1140" s="6">
        <v>8.8875729999999997</v>
      </c>
      <c r="U1140" s="6">
        <v>8.6089380000000002</v>
      </c>
      <c r="V1140" s="6">
        <v>8.6174140000000001</v>
      </c>
    </row>
    <row r="1141" spans="2:22">
      <c r="B1141" s="6">
        <v>32469</v>
      </c>
      <c r="C1141" s="6" t="s">
        <v>256</v>
      </c>
      <c r="D1141" s="6">
        <v>20904</v>
      </c>
      <c r="E1141" s="6" t="s">
        <v>156</v>
      </c>
      <c r="F1141" s="6" t="s">
        <v>16</v>
      </c>
      <c r="G1141" s="6" t="s">
        <v>1295</v>
      </c>
      <c r="H1141" s="6">
        <v>0</v>
      </c>
      <c r="I1141" s="6">
        <v>0</v>
      </c>
      <c r="J1141" s="6">
        <v>7</v>
      </c>
      <c r="K1141" s="6">
        <v>10</v>
      </c>
      <c r="L1141" s="6">
        <v>10</v>
      </c>
      <c r="M1141" s="6">
        <v>11.173913000000001</v>
      </c>
      <c r="N1141" s="6">
        <v>14.736841999999999</v>
      </c>
      <c r="O1141" s="6">
        <v>14.21875</v>
      </c>
      <c r="P1141" s="6">
        <v>13.268817</v>
      </c>
      <c r="Q1141" s="6">
        <v>14.736841999999999</v>
      </c>
      <c r="R1141" s="6">
        <v>14.21875</v>
      </c>
      <c r="S1141" s="6">
        <v>13.268817</v>
      </c>
      <c r="T1141" s="6">
        <v>14.736841999999999</v>
      </c>
      <c r="U1141" s="6">
        <v>14.21875</v>
      </c>
      <c r="V1141" s="6">
        <v>13.268817</v>
      </c>
    </row>
    <row r="1142" spans="2:22">
      <c r="B1142" s="6">
        <v>32469</v>
      </c>
      <c r="C1142" s="6" t="s">
        <v>256</v>
      </c>
      <c r="D1142" s="6">
        <v>23118</v>
      </c>
      <c r="E1142" s="6" t="s">
        <v>252</v>
      </c>
      <c r="F1142" s="6" t="s">
        <v>16</v>
      </c>
      <c r="G1142" s="6" t="s">
        <v>1295</v>
      </c>
      <c r="H1142" s="6">
        <v>0</v>
      </c>
      <c r="I1142" s="6">
        <v>0</v>
      </c>
      <c r="J1142" s="6">
        <v>10</v>
      </c>
      <c r="K1142" s="6">
        <v>0</v>
      </c>
      <c r="L1142" s="6">
        <v>0</v>
      </c>
      <c r="M1142" s="6">
        <v>10</v>
      </c>
      <c r="N1142" s="6">
        <v>10</v>
      </c>
      <c r="O1142" s="6">
        <v>10</v>
      </c>
      <c r="P1142" s="6">
        <v>10</v>
      </c>
      <c r="Q1142" s="6">
        <v>10</v>
      </c>
      <c r="R1142" s="6">
        <v>10</v>
      </c>
      <c r="S1142" s="6">
        <v>10</v>
      </c>
      <c r="T1142" s="6">
        <v>10</v>
      </c>
      <c r="U1142" s="6">
        <v>10</v>
      </c>
      <c r="V1142" s="6">
        <v>10</v>
      </c>
    </row>
    <row r="1143" spans="2:22">
      <c r="B1143" s="6">
        <v>32469</v>
      </c>
      <c r="C1143" s="6" t="s">
        <v>256</v>
      </c>
      <c r="D1143" s="6">
        <v>23311</v>
      </c>
      <c r="E1143" s="6" t="s">
        <v>221</v>
      </c>
      <c r="F1143" s="6" t="s">
        <v>16</v>
      </c>
      <c r="G1143" s="6" t="s">
        <v>1295</v>
      </c>
      <c r="H1143" s="6">
        <v>0</v>
      </c>
      <c r="I1143" s="6">
        <v>0</v>
      </c>
      <c r="J1143" s="6">
        <v>10</v>
      </c>
      <c r="K1143" s="6">
        <v>10</v>
      </c>
      <c r="L1143" s="6">
        <v>10</v>
      </c>
      <c r="M1143" s="6">
        <v>10</v>
      </c>
      <c r="N1143" s="6">
        <v>10.099009000000001</v>
      </c>
      <c r="O1143" s="6">
        <v>10.02364</v>
      </c>
      <c r="P1143" s="6">
        <v>10.011260999999999</v>
      </c>
      <c r="Q1143" s="6">
        <v>10.099009000000001</v>
      </c>
      <c r="R1143" s="6">
        <v>10.02364</v>
      </c>
      <c r="S1143" s="6">
        <v>10.011260999999999</v>
      </c>
      <c r="T1143" s="6">
        <v>10.099009000000001</v>
      </c>
      <c r="U1143" s="6">
        <v>10.02364</v>
      </c>
      <c r="V1143" s="6">
        <v>10.011260999999999</v>
      </c>
    </row>
    <row r="1144" spans="2:22">
      <c r="B1144" s="6">
        <v>32470</v>
      </c>
      <c r="C1144" s="6" t="s">
        <v>257</v>
      </c>
      <c r="D1144" s="6">
        <v>12400</v>
      </c>
      <c r="E1144" s="6" t="s">
        <v>217</v>
      </c>
      <c r="F1144" s="6" t="s">
        <v>16</v>
      </c>
      <c r="G1144" s="6" t="s">
        <v>1295</v>
      </c>
      <c r="H1144" s="6">
        <v>8</v>
      </c>
      <c r="I1144" s="6">
        <v>8</v>
      </c>
      <c r="J1144" s="6">
        <v>8</v>
      </c>
      <c r="K1144" s="6">
        <v>8.2173909999999992</v>
      </c>
      <c r="L1144" s="6">
        <v>8.1046829999999996</v>
      </c>
      <c r="M1144" s="6">
        <v>8.2384710000000005</v>
      </c>
      <c r="N1144" s="6">
        <v>9.2387090000000001</v>
      </c>
      <c r="O1144" s="6">
        <v>8.7126429999999999</v>
      </c>
      <c r="P1144" s="6">
        <v>8.6856360000000006</v>
      </c>
      <c r="Q1144" s="6">
        <v>9.2387090000000001</v>
      </c>
      <c r="R1144" s="6">
        <v>8.7126429999999999</v>
      </c>
      <c r="S1144" s="6">
        <v>8.6856360000000006</v>
      </c>
      <c r="T1144" s="6">
        <v>8.8875729999999997</v>
      </c>
      <c r="U1144" s="6">
        <v>8.6089380000000002</v>
      </c>
      <c r="V1144" s="6">
        <v>8.6174140000000001</v>
      </c>
    </row>
    <row r="1145" spans="2:22">
      <c r="B1145" s="6">
        <v>32470</v>
      </c>
      <c r="C1145" s="6" t="s">
        <v>257</v>
      </c>
      <c r="D1145" s="6">
        <v>23311</v>
      </c>
      <c r="E1145" s="6" t="s">
        <v>221</v>
      </c>
      <c r="F1145" s="6" t="s">
        <v>16</v>
      </c>
      <c r="G1145" s="6" t="s">
        <v>1295</v>
      </c>
      <c r="H1145" s="6">
        <v>10</v>
      </c>
      <c r="I1145" s="6">
        <v>10</v>
      </c>
      <c r="J1145" s="6">
        <v>10</v>
      </c>
      <c r="K1145" s="6">
        <v>10.144926999999999</v>
      </c>
      <c r="L1145" s="6">
        <v>10.029239</v>
      </c>
      <c r="M1145" s="6">
        <v>10.013888</v>
      </c>
      <c r="N1145" s="6">
        <v>10.099009000000001</v>
      </c>
      <c r="O1145" s="6">
        <v>10.02364</v>
      </c>
      <c r="P1145" s="6">
        <v>10.011260999999999</v>
      </c>
      <c r="Q1145" s="6">
        <v>10.099009000000001</v>
      </c>
      <c r="R1145" s="6">
        <v>10.02364</v>
      </c>
      <c r="S1145" s="6">
        <v>10.011260999999999</v>
      </c>
      <c r="T1145" s="6">
        <v>10.099009000000001</v>
      </c>
      <c r="U1145" s="6">
        <v>10.02364</v>
      </c>
      <c r="V1145" s="6">
        <v>10.011260999999999</v>
      </c>
    </row>
    <row r="1146" spans="2:22">
      <c r="B1146" s="6">
        <v>32471</v>
      </c>
      <c r="C1146" s="6" t="s">
        <v>193</v>
      </c>
      <c r="D1146" s="6">
        <v>20500</v>
      </c>
      <c r="E1146" s="6" t="s">
        <v>31</v>
      </c>
      <c r="F1146" s="6" t="s">
        <v>17</v>
      </c>
      <c r="G1146" s="6" t="s">
        <v>1294</v>
      </c>
      <c r="H1146" s="6">
        <v>27</v>
      </c>
      <c r="I1146" s="6">
        <v>27</v>
      </c>
      <c r="J1146" s="6">
        <v>27</v>
      </c>
      <c r="K1146" s="6">
        <v>26.093993999999999</v>
      </c>
      <c r="L1146" s="6">
        <v>26.469746000000001</v>
      </c>
      <c r="M1146" s="6">
        <v>26.000619</v>
      </c>
      <c r="N1146" s="6">
        <v>26.108958000000001</v>
      </c>
      <c r="O1146" s="6">
        <v>26.328648000000001</v>
      </c>
      <c r="P1146" s="6">
        <v>26.003786000000002</v>
      </c>
      <c r="Q1146" s="6">
        <v>26.101534000000001</v>
      </c>
      <c r="R1146" s="6">
        <v>26.316153</v>
      </c>
      <c r="S1146" s="6">
        <v>25.991613999999998</v>
      </c>
      <c r="T1146" s="6">
        <v>25.645997000000001</v>
      </c>
      <c r="U1146" s="6">
        <v>25.223958</v>
      </c>
      <c r="V1146" s="6">
        <v>24.770192999999999</v>
      </c>
    </row>
    <row r="1147" spans="2:22">
      <c r="B1147" s="6">
        <v>32471</v>
      </c>
      <c r="C1147" s="6" t="s">
        <v>193</v>
      </c>
      <c r="D1147" s="6">
        <v>20702</v>
      </c>
      <c r="E1147" s="6" t="s">
        <v>44</v>
      </c>
      <c r="F1147" s="6" t="s">
        <v>17</v>
      </c>
      <c r="G1147" s="6" t="s">
        <v>1294</v>
      </c>
      <c r="H1147" s="6">
        <v>35</v>
      </c>
      <c r="I1147" s="6">
        <v>35</v>
      </c>
      <c r="J1147" s="6">
        <v>35</v>
      </c>
      <c r="K1147" s="6">
        <v>35</v>
      </c>
      <c r="L1147" s="6">
        <v>35</v>
      </c>
      <c r="M1147" s="6">
        <v>35</v>
      </c>
      <c r="N1147" s="6">
        <v>34.893103000000004</v>
      </c>
      <c r="O1147" s="6">
        <v>34.949179999999998</v>
      </c>
      <c r="P1147" s="6">
        <v>34.926701000000001</v>
      </c>
      <c r="Q1147" s="6">
        <v>34.894556999999999</v>
      </c>
      <c r="R1147" s="6">
        <v>34.950949000000001</v>
      </c>
      <c r="S1147" s="6">
        <v>34.883485</v>
      </c>
      <c r="T1147" s="6">
        <v>34.894556999999999</v>
      </c>
      <c r="U1147" s="6">
        <v>34.950949000000001</v>
      </c>
      <c r="V1147" s="6">
        <v>34.883485</v>
      </c>
    </row>
    <row r="1148" spans="2:22">
      <c r="B1148" s="6">
        <v>32471</v>
      </c>
      <c r="C1148" s="6" t="s">
        <v>193</v>
      </c>
      <c r="D1148" s="6">
        <v>20902</v>
      </c>
      <c r="E1148" s="6" t="s">
        <v>53</v>
      </c>
      <c r="F1148" s="6" t="s">
        <v>13</v>
      </c>
      <c r="G1148" s="6" t="s">
        <v>14</v>
      </c>
      <c r="H1148" s="6">
        <v>14</v>
      </c>
      <c r="I1148" s="6">
        <v>14</v>
      </c>
      <c r="J1148" s="6">
        <v>13.7</v>
      </c>
      <c r="K1148" s="6">
        <v>19.956309999999998</v>
      </c>
      <c r="L1148" s="6">
        <v>19.965827000000001</v>
      </c>
      <c r="M1148" s="6">
        <v>19.613216000000001</v>
      </c>
      <c r="N1148" s="6">
        <v>19.181818</v>
      </c>
      <c r="O1148" s="6">
        <v>19.119288999999998</v>
      </c>
      <c r="P1148" s="6">
        <v>18.784502</v>
      </c>
      <c r="Q1148" s="6">
        <v>19.181818</v>
      </c>
      <c r="R1148" s="6">
        <v>19.101835999999999</v>
      </c>
      <c r="S1148" s="6">
        <v>18.763134000000001</v>
      </c>
      <c r="T1148" s="6">
        <v>19.181818</v>
      </c>
      <c r="U1148" s="6">
        <v>19.101835999999999</v>
      </c>
      <c r="V1148" s="6">
        <v>18.763134000000001</v>
      </c>
    </row>
    <row r="1149" spans="2:22">
      <c r="B1149" s="6">
        <v>32471</v>
      </c>
      <c r="C1149" s="6" t="s">
        <v>193</v>
      </c>
      <c r="D1149" s="6">
        <v>20906</v>
      </c>
      <c r="E1149" s="6" t="s">
        <v>48</v>
      </c>
      <c r="F1149" s="6" t="s">
        <v>49</v>
      </c>
      <c r="G1149" s="6" t="s">
        <v>1296</v>
      </c>
      <c r="H1149" s="6">
        <v>16</v>
      </c>
      <c r="I1149" s="6">
        <v>16</v>
      </c>
      <c r="J1149" s="6">
        <v>17.2</v>
      </c>
      <c r="K1149" s="6">
        <v>16.923482</v>
      </c>
      <c r="L1149" s="6">
        <v>16.908185</v>
      </c>
      <c r="M1149" s="6">
        <v>17.652851999999999</v>
      </c>
      <c r="N1149" s="6">
        <v>17.016705999999999</v>
      </c>
      <c r="O1149" s="6">
        <v>16.954350000000002</v>
      </c>
      <c r="P1149" s="6">
        <v>17.537869000000001</v>
      </c>
      <c r="Q1149" s="6">
        <v>17.016335999999999</v>
      </c>
      <c r="R1149" s="6">
        <v>16.958155999999999</v>
      </c>
      <c r="S1149" s="6">
        <v>17.538882000000001</v>
      </c>
      <c r="T1149" s="6">
        <v>17.016335999999999</v>
      </c>
      <c r="U1149" s="6">
        <v>16.958155999999999</v>
      </c>
      <c r="V1149" s="6">
        <v>17.538882000000001</v>
      </c>
    </row>
    <row r="1150" spans="2:22">
      <c r="B1150" s="6">
        <v>32472</v>
      </c>
      <c r="C1150" s="6" t="s">
        <v>258</v>
      </c>
      <c r="D1150" s="6">
        <v>12400</v>
      </c>
      <c r="E1150" s="6" t="s">
        <v>217</v>
      </c>
      <c r="F1150" s="6" t="s">
        <v>16</v>
      </c>
      <c r="G1150" s="6" t="s">
        <v>1295</v>
      </c>
      <c r="H1150" s="6">
        <v>0</v>
      </c>
      <c r="I1150" s="6">
        <v>10</v>
      </c>
      <c r="J1150" s="6">
        <v>10</v>
      </c>
      <c r="K1150" s="6">
        <v>0</v>
      </c>
      <c r="L1150" s="6">
        <v>10</v>
      </c>
      <c r="M1150" s="6">
        <v>10</v>
      </c>
      <c r="N1150" s="6">
        <v>9.2387090000000001</v>
      </c>
      <c r="O1150" s="6">
        <v>8.7126429999999999</v>
      </c>
      <c r="P1150" s="6">
        <v>8.6856360000000006</v>
      </c>
      <c r="Q1150" s="6">
        <v>9.2387090000000001</v>
      </c>
      <c r="R1150" s="6">
        <v>8.7126429999999999</v>
      </c>
      <c r="S1150" s="6">
        <v>8.6856360000000006</v>
      </c>
      <c r="T1150" s="6">
        <v>8.8875729999999997</v>
      </c>
      <c r="U1150" s="6">
        <v>8.6089380000000002</v>
      </c>
      <c r="V1150" s="6">
        <v>8.6174140000000001</v>
      </c>
    </row>
    <row r="1151" spans="2:22">
      <c r="B1151" s="6">
        <v>32472</v>
      </c>
      <c r="C1151" s="6" t="s">
        <v>258</v>
      </c>
      <c r="D1151" s="6">
        <v>20920</v>
      </c>
      <c r="E1151" s="6" t="s">
        <v>231</v>
      </c>
      <c r="F1151" s="6" t="s">
        <v>16</v>
      </c>
      <c r="G1151" s="6" t="s">
        <v>1295</v>
      </c>
      <c r="H1151" s="6">
        <v>0</v>
      </c>
      <c r="I1151" s="6">
        <v>7</v>
      </c>
      <c r="J1151" s="6">
        <v>7</v>
      </c>
      <c r="K1151" s="6">
        <v>0</v>
      </c>
      <c r="L1151" s="6">
        <v>7</v>
      </c>
      <c r="M1151" s="6">
        <v>7.75</v>
      </c>
      <c r="N1151" s="6">
        <v>8.1999999999999993</v>
      </c>
      <c r="O1151" s="6">
        <v>8.0909089999999999</v>
      </c>
      <c r="P1151" s="6">
        <v>7.923076</v>
      </c>
      <c r="Q1151" s="6">
        <v>8.1999999999999993</v>
      </c>
      <c r="R1151" s="6">
        <v>8.0909089999999999</v>
      </c>
      <c r="S1151" s="6">
        <v>7.923076</v>
      </c>
      <c r="T1151" s="6">
        <v>8.1999999999999993</v>
      </c>
      <c r="U1151" s="6">
        <v>8.0909089999999999</v>
      </c>
      <c r="V1151" s="6">
        <v>7.923076</v>
      </c>
    </row>
    <row r="1152" spans="2:22">
      <c r="B1152" s="6">
        <v>32472</v>
      </c>
      <c r="C1152" s="6" t="s">
        <v>258</v>
      </c>
      <c r="D1152" s="6">
        <v>23311</v>
      </c>
      <c r="E1152" s="6" t="s">
        <v>221</v>
      </c>
      <c r="F1152" s="6" t="s">
        <v>16</v>
      </c>
      <c r="G1152" s="6" t="s">
        <v>1295</v>
      </c>
      <c r="H1152" s="6">
        <v>0</v>
      </c>
      <c r="I1152" s="6">
        <v>10</v>
      </c>
      <c r="J1152" s="6">
        <v>10</v>
      </c>
      <c r="K1152" s="6">
        <v>0</v>
      </c>
      <c r="L1152" s="6">
        <v>10</v>
      </c>
      <c r="M1152" s="6">
        <v>10</v>
      </c>
      <c r="N1152" s="6">
        <v>10.099009000000001</v>
      </c>
      <c r="O1152" s="6">
        <v>10.02364</v>
      </c>
      <c r="P1152" s="6">
        <v>10.011260999999999</v>
      </c>
      <c r="Q1152" s="6">
        <v>10.099009000000001</v>
      </c>
      <c r="R1152" s="6">
        <v>10.02364</v>
      </c>
      <c r="S1152" s="6">
        <v>10.011260999999999</v>
      </c>
      <c r="T1152" s="6">
        <v>10.099009000000001</v>
      </c>
      <c r="U1152" s="6">
        <v>10.02364</v>
      </c>
      <c r="V1152" s="6">
        <v>10.011260999999999</v>
      </c>
    </row>
    <row r="1153" spans="2:22">
      <c r="B1153" s="6">
        <v>32472</v>
      </c>
      <c r="C1153" s="6" t="s">
        <v>258</v>
      </c>
      <c r="D1153" s="6">
        <v>25005</v>
      </c>
      <c r="E1153" s="6" t="s">
        <v>232</v>
      </c>
      <c r="F1153" s="6" t="s">
        <v>16</v>
      </c>
      <c r="G1153" s="6" t="s">
        <v>1295</v>
      </c>
      <c r="H1153" s="6">
        <v>0</v>
      </c>
      <c r="I1153" s="6">
        <v>10</v>
      </c>
      <c r="J1153" s="6">
        <v>10</v>
      </c>
      <c r="K1153" s="6">
        <v>0</v>
      </c>
      <c r="L1153" s="6">
        <v>10</v>
      </c>
      <c r="M1153" s="6">
        <v>10</v>
      </c>
      <c r="N1153" s="6">
        <v>10</v>
      </c>
      <c r="O1153" s="6">
        <v>10</v>
      </c>
      <c r="P1153" s="6">
        <v>10</v>
      </c>
      <c r="Q1153" s="6">
        <v>10</v>
      </c>
      <c r="R1153" s="6">
        <v>10</v>
      </c>
      <c r="S1153" s="6">
        <v>10</v>
      </c>
      <c r="T1153" s="6">
        <v>10</v>
      </c>
      <c r="U1153" s="6">
        <v>10</v>
      </c>
      <c r="V1153" s="6">
        <v>10</v>
      </c>
    </row>
    <row r="1154" spans="2:22">
      <c r="B1154" s="6">
        <v>32474</v>
      </c>
      <c r="C1154" s="6" t="s">
        <v>259</v>
      </c>
      <c r="D1154" s="6">
        <v>12400</v>
      </c>
      <c r="E1154" s="6" t="s">
        <v>217</v>
      </c>
      <c r="F1154" s="6" t="s">
        <v>16</v>
      </c>
      <c r="G1154" s="6" t="s">
        <v>1295</v>
      </c>
      <c r="H1154" s="6">
        <v>10</v>
      </c>
      <c r="I1154" s="6">
        <v>10</v>
      </c>
      <c r="J1154" s="6">
        <v>9.8461529999999993</v>
      </c>
      <c r="K1154" s="6">
        <v>10</v>
      </c>
      <c r="L1154" s="6">
        <v>10</v>
      </c>
      <c r="M1154" s="6">
        <v>9.9817350000000005</v>
      </c>
      <c r="N1154" s="6">
        <v>9.2387090000000001</v>
      </c>
      <c r="O1154" s="6">
        <v>8.7126429999999999</v>
      </c>
      <c r="P1154" s="6">
        <v>8.6856360000000006</v>
      </c>
      <c r="Q1154" s="6">
        <v>9.2387090000000001</v>
      </c>
      <c r="R1154" s="6">
        <v>8.7126429999999999</v>
      </c>
      <c r="S1154" s="6">
        <v>8.6856360000000006</v>
      </c>
      <c r="T1154" s="6">
        <v>8.8875729999999997</v>
      </c>
      <c r="U1154" s="6">
        <v>8.6089380000000002</v>
      </c>
      <c r="V1154" s="6">
        <v>8.6174140000000001</v>
      </c>
    </row>
    <row r="1155" spans="2:22">
      <c r="B1155" s="6">
        <v>32474</v>
      </c>
      <c r="C1155" s="6" t="s">
        <v>259</v>
      </c>
      <c r="D1155" s="6">
        <v>20904</v>
      </c>
      <c r="E1155" s="6" t="s">
        <v>156</v>
      </c>
      <c r="F1155" s="6" t="s">
        <v>16</v>
      </c>
      <c r="G1155" s="6" t="s">
        <v>1295</v>
      </c>
      <c r="H1155" s="6">
        <v>15</v>
      </c>
      <c r="I1155" s="6">
        <v>15</v>
      </c>
      <c r="J1155" s="6">
        <v>15</v>
      </c>
      <c r="K1155" s="6">
        <v>15</v>
      </c>
      <c r="L1155" s="6">
        <v>15</v>
      </c>
      <c r="M1155" s="6">
        <v>15</v>
      </c>
      <c r="N1155" s="6">
        <v>14.736841999999999</v>
      </c>
      <c r="O1155" s="6">
        <v>14.21875</v>
      </c>
      <c r="P1155" s="6">
        <v>13.268817</v>
      </c>
      <c r="Q1155" s="6">
        <v>14.736841999999999</v>
      </c>
      <c r="R1155" s="6">
        <v>14.21875</v>
      </c>
      <c r="S1155" s="6">
        <v>13.268817</v>
      </c>
      <c r="T1155" s="6">
        <v>14.736841999999999</v>
      </c>
      <c r="U1155" s="6">
        <v>14.21875</v>
      </c>
      <c r="V1155" s="6">
        <v>13.268817</v>
      </c>
    </row>
    <row r="1156" spans="2:22">
      <c r="B1156" s="6">
        <v>32474</v>
      </c>
      <c r="C1156" s="6" t="s">
        <v>259</v>
      </c>
      <c r="D1156" s="6">
        <v>23311</v>
      </c>
      <c r="E1156" s="6" t="s">
        <v>221</v>
      </c>
      <c r="F1156" s="6" t="s">
        <v>16</v>
      </c>
      <c r="G1156" s="6" t="s">
        <v>1295</v>
      </c>
      <c r="H1156" s="6">
        <v>10</v>
      </c>
      <c r="I1156" s="6">
        <v>10</v>
      </c>
      <c r="J1156" s="6">
        <v>10</v>
      </c>
      <c r="K1156" s="6">
        <v>10</v>
      </c>
      <c r="L1156" s="6">
        <v>10</v>
      </c>
      <c r="M1156" s="6">
        <v>10</v>
      </c>
      <c r="N1156" s="6">
        <v>10.099009000000001</v>
      </c>
      <c r="O1156" s="6">
        <v>10.02364</v>
      </c>
      <c r="P1156" s="6">
        <v>10.011260999999999</v>
      </c>
      <c r="Q1156" s="6">
        <v>10.099009000000001</v>
      </c>
      <c r="R1156" s="6">
        <v>10.02364</v>
      </c>
      <c r="S1156" s="6">
        <v>10.011260999999999</v>
      </c>
      <c r="T1156" s="6">
        <v>10.099009000000001</v>
      </c>
      <c r="U1156" s="6">
        <v>10.02364</v>
      </c>
      <c r="V1156" s="6">
        <v>10.011260999999999</v>
      </c>
    </row>
    <row r="1157" spans="2:22">
      <c r="B1157" s="6">
        <v>32487</v>
      </c>
      <c r="C1157" s="6" t="s">
        <v>1007</v>
      </c>
      <c r="D1157" s="6">
        <v>12400</v>
      </c>
      <c r="E1157" s="6" t="s">
        <v>217</v>
      </c>
      <c r="F1157" s="6" t="s">
        <v>16</v>
      </c>
      <c r="G1157" s="6" t="s">
        <v>1295</v>
      </c>
      <c r="H1157" s="6">
        <v>0</v>
      </c>
      <c r="I1157" s="6">
        <v>0</v>
      </c>
      <c r="J1157" s="6">
        <v>8</v>
      </c>
      <c r="K1157" s="6">
        <v>13.375</v>
      </c>
      <c r="L1157" s="6">
        <v>10.9375</v>
      </c>
      <c r="M1157" s="6">
        <v>9.2653060000000007</v>
      </c>
      <c r="N1157" s="6">
        <v>9.2387090000000001</v>
      </c>
      <c r="O1157" s="6">
        <v>8.7126429999999999</v>
      </c>
      <c r="P1157" s="6">
        <v>8.6856360000000006</v>
      </c>
      <c r="Q1157" s="6">
        <v>9.2387090000000001</v>
      </c>
      <c r="R1157" s="6">
        <v>8.7126429999999999</v>
      </c>
      <c r="S1157" s="6">
        <v>8.6856360000000006</v>
      </c>
      <c r="T1157" s="6">
        <v>8.8875729999999997</v>
      </c>
      <c r="U1157" s="6">
        <v>8.6089380000000002</v>
      </c>
      <c r="V1157" s="6">
        <v>8.6174140000000001</v>
      </c>
    </row>
    <row r="1158" spans="2:22">
      <c r="B1158" s="6">
        <v>32487</v>
      </c>
      <c r="C1158" s="6" t="s">
        <v>1007</v>
      </c>
      <c r="D1158" s="6">
        <v>20500</v>
      </c>
      <c r="E1158" s="6" t="s">
        <v>31</v>
      </c>
      <c r="F1158" s="6" t="s">
        <v>16</v>
      </c>
      <c r="G1158" s="6" t="s">
        <v>1295</v>
      </c>
      <c r="H1158" s="6">
        <v>0</v>
      </c>
      <c r="I1158" s="6">
        <v>0</v>
      </c>
      <c r="J1158" s="6">
        <v>10</v>
      </c>
      <c r="K1158" s="6">
        <v>10</v>
      </c>
      <c r="L1158" s="6">
        <v>10</v>
      </c>
      <c r="M1158" s="6">
        <v>9.9722220000000004</v>
      </c>
      <c r="N1158" s="6">
        <v>10</v>
      </c>
      <c r="O1158" s="6">
        <v>10</v>
      </c>
      <c r="P1158" s="6">
        <v>9.9904759999999992</v>
      </c>
      <c r="Q1158" s="6">
        <v>10</v>
      </c>
      <c r="R1158" s="6">
        <v>10</v>
      </c>
      <c r="S1158" s="6">
        <v>9.9904759999999992</v>
      </c>
      <c r="T1158" s="6">
        <v>16.909089999999999</v>
      </c>
      <c r="U1158" s="6">
        <v>13.130081000000001</v>
      </c>
      <c r="V1158" s="6">
        <v>12.707865</v>
      </c>
    </row>
    <row r="1159" spans="2:22">
      <c r="B1159" s="6">
        <v>32487</v>
      </c>
      <c r="C1159" s="6" t="s">
        <v>1007</v>
      </c>
      <c r="D1159" s="6">
        <v>23118</v>
      </c>
      <c r="E1159" s="6" t="s">
        <v>252</v>
      </c>
      <c r="F1159" s="6" t="s">
        <v>16</v>
      </c>
      <c r="G1159" s="6" t="s">
        <v>1295</v>
      </c>
      <c r="H1159" s="6">
        <v>0</v>
      </c>
      <c r="I1159" s="6">
        <v>0</v>
      </c>
      <c r="J1159" s="6">
        <v>10</v>
      </c>
      <c r="K1159" s="6">
        <v>0</v>
      </c>
      <c r="L1159" s="6">
        <v>0</v>
      </c>
      <c r="M1159" s="6">
        <v>10</v>
      </c>
      <c r="N1159" s="6">
        <v>10</v>
      </c>
      <c r="O1159" s="6">
        <v>10</v>
      </c>
      <c r="P1159" s="6">
        <v>10</v>
      </c>
      <c r="Q1159" s="6">
        <v>10</v>
      </c>
      <c r="R1159" s="6">
        <v>10</v>
      </c>
      <c r="S1159" s="6">
        <v>10</v>
      </c>
      <c r="T1159" s="6">
        <v>10</v>
      </c>
      <c r="U1159" s="6">
        <v>10</v>
      </c>
      <c r="V1159" s="6">
        <v>10</v>
      </c>
    </row>
    <row r="1160" spans="2:22">
      <c r="B1160" s="6">
        <v>32487</v>
      </c>
      <c r="C1160" s="6" t="s">
        <v>1007</v>
      </c>
      <c r="D1160" s="6">
        <v>23316</v>
      </c>
      <c r="E1160" s="6" t="s">
        <v>260</v>
      </c>
      <c r="F1160" s="6" t="s">
        <v>16</v>
      </c>
      <c r="G1160" s="6" t="s">
        <v>1295</v>
      </c>
      <c r="H1160" s="6">
        <v>0</v>
      </c>
      <c r="I1160" s="6">
        <v>0</v>
      </c>
      <c r="J1160" s="6">
        <v>10</v>
      </c>
      <c r="K1160" s="6">
        <v>0</v>
      </c>
      <c r="L1160" s="6">
        <v>0</v>
      </c>
      <c r="M1160" s="6">
        <v>10</v>
      </c>
      <c r="N1160" s="6">
        <v>0</v>
      </c>
      <c r="O1160" s="6">
        <v>10</v>
      </c>
      <c r="P1160" s="6">
        <v>10</v>
      </c>
      <c r="Q1160" s="6">
        <v>0</v>
      </c>
      <c r="R1160" s="6">
        <v>10</v>
      </c>
      <c r="S1160" s="6">
        <v>10</v>
      </c>
      <c r="T1160" s="6">
        <v>0</v>
      </c>
      <c r="U1160" s="6">
        <v>10</v>
      </c>
      <c r="V1160" s="6">
        <v>10</v>
      </c>
    </row>
    <row r="1161" spans="2:22">
      <c r="B1161" s="6">
        <v>32489</v>
      </c>
      <c r="C1161" s="6" t="s">
        <v>194</v>
      </c>
      <c r="D1161" s="6">
        <v>20500</v>
      </c>
      <c r="E1161" s="6" t="s">
        <v>31</v>
      </c>
      <c r="F1161" s="6" t="s">
        <v>17</v>
      </c>
      <c r="G1161" s="6" t="s">
        <v>1294</v>
      </c>
      <c r="H1161" s="6">
        <v>27</v>
      </c>
      <c r="I1161" s="6">
        <v>27</v>
      </c>
      <c r="J1161" s="6">
        <v>27</v>
      </c>
      <c r="K1161" s="6">
        <v>26.093993999999999</v>
      </c>
      <c r="L1161" s="6">
        <v>26.469746000000001</v>
      </c>
      <c r="M1161" s="6">
        <v>26.000619</v>
      </c>
      <c r="N1161" s="6">
        <v>26.108958000000001</v>
      </c>
      <c r="O1161" s="6">
        <v>26.328648000000001</v>
      </c>
      <c r="P1161" s="6">
        <v>26.003786000000002</v>
      </c>
      <c r="Q1161" s="6">
        <v>26.101534000000001</v>
      </c>
      <c r="R1161" s="6">
        <v>26.316153</v>
      </c>
      <c r="S1161" s="6">
        <v>25.991613999999998</v>
      </c>
      <c r="T1161" s="6">
        <v>25.645997000000001</v>
      </c>
      <c r="U1161" s="6">
        <v>25.223958</v>
      </c>
      <c r="V1161" s="6">
        <v>24.770192999999999</v>
      </c>
    </row>
    <row r="1162" spans="2:22">
      <c r="B1162" s="6">
        <v>32489</v>
      </c>
      <c r="C1162" s="6" t="s">
        <v>194</v>
      </c>
      <c r="D1162" s="6">
        <v>20706</v>
      </c>
      <c r="E1162" s="6" t="s">
        <v>52</v>
      </c>
      <c r="F1162" s="6" t="s">
        <v>17</v>
      </c>
      <c r="G1162" s="6" t="s">
        <v>1294</v>
      </c>
      <c r="H1162" s="6">
        <v>40</v>
      </c>
      <c r="I1162" s="6">
        <v>40</v>
      </c>
      <c r="J1162" s="6">
        <v>40</v>
      </c>
      <c r="K1162" s="6">
        <v>40</v>
      </c>
      <c r="L1162" s="6">
        <v>39.985993999999998</v>
      </c>
      <c r="M1162" s="6">
        <v>39.981146000000003</v>
      </c>
      <c r="N1162" s="6">
        <v>39.962778999999998</v>
      </c>
      <c r="O1162" s="6">
        <v>39.971750999999998</v>
      </c>
      <c r="P1162" s="6">
        <v>39.969020999999998</v>
      </c>
      <c r="Q1162" s="6">
        <v>39.963768000000002</v>
      </c>
      <c r="R1162" s="6">
        <v>39.972496999999997</v>
      </c>
      <c r="S1162" s="6">
        <v>39.969659999999998</v>
      </c>
      <c r="T1162" s="6">
        <v>39.867787999999997</v>
      </c>
      <c r="U1162" s="6">
        <v>39.928649</v>
      </c>
      <c r="V1162" s="6">
        <v>39.945453999999998</v>
      </c>
    </row>
    <row r="1163" spans="2:22">
      <c r="B1163" s="6">
        <v>32489</v>
      </c>
      <c r="C1163" s="6" t="s">
        <v>194</v>
      </c>
      <c r="D1163" s="6">
        <v>20902</v>
      </c>
      <c r="E1163" s="6" t="s">
        <v>53</v>
      </c>
      <c r="F1163" s="6" t="s">
        <v>16</v>
      </c>
      <c r="G1163" s="6" t="s">
        <v>1295</v>
      </c>
      <c r="H1163" s="6">
        <v>30</v>
      </c>
      <c r="I1163" s="6">
        <v>30</v>
      </c>
      <c r="J1163" s="6">
        <v>26.666665999999999</v>
      </c>
      <c r="K1163" s="6">
        <v>27.235294</v>
      </c>
      <c r="L1163" s="6">
        <v>26.730157999999999</v>
      </c>
      <c r="M1163" s="6">
        <v>28.302752000000002</v>
      </c>
      <c r="N1163" s="6">
        <v>27.102803000000002</v>
      </c>
      <c r="O1163" s="6">
        <v>26.100322999999999</v>
      </c>
      <c r="P1163" s="6">
        <v>27.578899</v>
      </c>
      <c r="Q1163" s="6">
        <v>27.102803000000002</v>
      </c>
      <c r="R1163" s="6">
        <v>26.100322999999999</v>
      </c>
      <c r="S1163" s="6">
        <v>27.558453</v>
      </c>
      <c r="T1163" s="6">
        <v>26.737159999999999</v>
      </c>
      <c r="U1163" s="6">
        <v>25.752351000000001</v>
      </c>
      <c r="V1163" s="6">
        <v>27.323633000000001</v>
      </c>
    </row>
    <row r="1164" spans="2:22">
      <c r="B1164" s="6">
        <v>32489</v>
      </c>
      <c r="C1164" s="6" t="s">
        <v>194</v>
      </c>
      <c r="D1164" s="6">
        <v>20902</v>
      </c>
      <c r="E1164" s="6" t="s">
        <v>53</v>
      </c>
      <c r="F1164" s="6" t="s">
        <v>13</v>
      </c>
      <c r="G1164" s="6" t="s">
        <v>14</v>
      </c>
      <c r="H1164" s="6">
        <v>0</v>
      </c>
      <c r="I1164" s="6">
        <v>20</v>
      </c>
      <c r="J1164" s="6">
        <v>20</v>
      </c>
      <c r="K1164" s="6">
        <v>19.956309999999998</v>
      </c>
      <c r="L1164" s="6">
        <v>19.965827000000001</v>
      </c>
      <c r="M1164" s="6">
        <v>19.613216000000001</v>
      </c>
      <c r="N1164" s="6">
        <v>19.181818</v>
      </c>
      <c r="O1164" s="6">
        <v>19.119288999999998</v>
      </c>
      <c r="P1164" s="6">
        <v>18.784502</v>
      </c>
      <c r="Q1164" s="6">
        <v>19.181818</v>
      </c>
      <c r="R1164" s="6">
        <v>19.101835999999999</v>
      </c>
      <c r="S1164" s="6">
        <v>18.763134000000001</v>
      </c>
      <c r="T1164" s="6">
        <v>19.181818</v>
      </c>
      <c r="U1164" s="6">
        <v>19.101835999999999</v>
      </c>
      <c r="V1164" s="6">
        <v>18.763134000000001</v>
      </c>
    </row>
    <row r="1165" spans="2:22">
      <c r="B1165" s="6">
        <v>32489</v>
      </c>
      <c r="C1165" s="6" t="s">
        <v>194</v>
      </c>
      <c r="D1165" s="6">
        <v>20906</v>
      </c>
      <c r="E1165" s="6" t="s">
        <v>48</v>
      </c>
      <c r="F1165" s="6" t="s">
        <v>49</v>
      </c>
      <c r="G1165" s="6" t="s">
        <v>1296</v>
      </c>
      <c r="H1165" s="6">
        <v>17.666665999999999</v>
      </c>
      <c r="I1165" s="6">
        <v>17.307691999999999</v>
      </c>
      <c r="J1165" s="6">
        <v>17.392856999999999</v>
      </c>
      <c r="K1165" s="6">
        <v>16.923482</v>
      </c>
      <c r="L1165" s="6">
        <v>16.908185</v>
      </c>
      <c r="M1165" s="6">
        <v>17.652851999999999</v>
      </c>
      <c r="N1165" s="6">
        <v>17.016705999999999</v>
      </c>
      <c r="O1165" s="6">
        <v>16.954350000000002</v>
      </c>
      <c r="P1165" s="6">
        <v>17.537869000000001</v>
      </c>
      <c r="Q1165" s="6">
        <v>17.016335999999999</v>
      </c>
      <c r="R1165" s="6">
        <v>16.958155999999999</v>
      </c>
      <c r="S1165" s="6">
        <v>17.538882000000001</v>
      </c>
      <c r="T1165" s="6">
        <v>17.016335999999999</v>
      </c>
      <c r="U1165" s="6">
        <v>16.958155999999999</v>
      </c>
      <c r="V1165" s="6">
        <v>17.538882000000001</v>
      </c>
    </row>
    <row r="1166" spans="2:22">
      <c r="B1166" s="6">
        <v>32495</v>
      </c>
      <c r="C1166" s="6" t="s">
        <v>195</v>
      </c>
      <c r="D1166" s="6">
        <v>20500</v>
      </c>
      <c r="E1166" s="6" t="s">
        <v>31</v>
      </c>
      <c r="F1166" s="6" t="s">
        <v>17</v>
      </c>
      <c r="G1166" s="6" t="s">
        <v>1294</v>
      </c>
      <c r="H1166" s="6">
        <v>0</v>
      </c>
      <c r="I1166" s="6">
        <v>27</v>
      </c>
      <c r="J1166" s="6">
        <v>27</v>
      </c>
      <c r="K1166" s="6">
        <v>26.093993999999999</v>
      </c>
      <c r="L1166" s="6">
        <v>26.469746000000001</v>
      </c>
      <c r="M1166" s="6">
        <v>26.000619</v>
      </c>
      <c r="N1166" s="6">
        <v>26.108958000000001</v>
      </c>
      <c r="O1166" s="6">
        <v>26.328648000000001</v>
      </c>
      <c r="P1166" s="6">
        <v>26.003786000000002</v>
      </c>
      <c r="Q1166" s="6">
        <v>26.101534000000001</v>
      </c>
      <c r="R1166" s="6">
        <v>26.316153</v>
      </c>
      <c r="S1166" s="6">
        <v>25.991613999999998</v>
      </c>
      <c r="T1166" s="6">
        <v>25.645997000000001</v>
      </c>
      <c r="U1166" s="6">
        <v>25.223958</v>
      </c>
      <c r="V1166" s="6">
        <v>24.770192999999999</v>
      </c>
    </row>
    <row r="1167" spans="2:22">
      <c r="B1167" s="6">
        <v>32495</v>
      </c>
      <c r="C1167" s="6" t="s">
        <v>195</v>
      </c>
      <c r="D1167" s="6">
        <v>20714</v>
      </c>
      <c r="E1167" s="6" t="s">
        <v>188</v>
      </c>
      <c r="F1167" s="6" t="s">
        <v>17</v>
      </c>
      <c r="G1167" s="6" t="s">
        <v>1294</v>
      </c>
      <c r="H1167" s="6">
        <v>0</v>
      </c>
      <c r="I1167" s="6">
        <v>40</v>
      </c>
      <c r="J1167" s="6">
        <v>40</v>
      </c>
      <c r="K1167" s="6">
        <v>40</v>
      </c>
      <c r="L1167" s="6">
        <v>40</v>
      </c>
      <c r="M1167" s="6">
        <v>40</v>
      </c>
      <c r="N1167" s="6">
        <v>40</v>
      </c>
      <c r="O1167" s="6">
        <v>40</v>
      </c>
      <c r="P1167" s="6">
        <v>40</v>
      </c>
      <c r="Q1167" s="6">
        <v>40</v>
      </c>
      <c r="R1167" s="6">
        <v>40</v>
      </c>
      <c r="S1167" s="6">
        <v>40</v>
      </c>
      <c r="T1167" s="6">
        <v>40</v>
      </c>
      <c r="U1167" s="6">
        <v>40</v>
      </c>
      <c r="V1167" s="6">
        <v>40</v>
      </c>
    </row>
    <row r="1168" spans="2:22">
      <c r="B1168" s="6">
        <v>32495</v>
      </c>
      <c r="C1168" s="6" t="s">
        <v>195</v>
      </c>
      <c r="D1168" s="6">
        <v>20902</v>
      </c>
      <c r="E1168" s="6" t="s">
        <v>53</v>
      </c>
      <c r="F1168" s="6" t="s">
        <v>16</v>
      </c>
      <c r="G1168" s="6" t="s">
        <v>1295</v>
      </c>
      <c r="H1168" s="6">
        <v>0</v>
      </c>
      <c r="I1168" s="6">
        <v>30</v>
      </c>
      <c r="J1168" s="6">
        <v>30</v>
      </c>
      <c r="K1168" s="6">
        <v>27.235294</v>
      </c>
      <c r="L1168" s="6">
        <v>26.730157999999999</v>
      </c>
      <c r="M1168" s="6">
        <v>28.302752000000002</v>
      </c>
      <c r="N1168" s="6">
        <v>27.102803000000002</v>
      </c>
      <c r="O1168" s="6">
        <v>26.100322999999999</v>
      </c>
      <c r="P1168" s="6">
        <v>27.578899</v>
      </c>
      <c r="Q1168" s="6">
        <v>27.102803000000002</v>
      </c>
      <c r="R1168" s="6">
        <v>26.100322999999999</v>
      </c>
      <c r="S1168" s="6">
        <v>27.558453</v>
      </c>
      <c r="T1168" s="6">
        <v>26.737159999999999</v>
      </c>
      <c r="U1168" s="6">
        <v>25.752351000000001</v>
      </c>
      <c r="V1168" s="6">
        <v>27.323633000000001</v>
      </c>
    </row>
    <row r="1169" spans="2:22">
      <c r="B1169" s="6">
        <v>32495</v>
      </c>
      <c r="C1169" s="6" t="s">
        <v>195</v>
      </c>
      <c r="D1169" s="6">
        <v>20902</v>
      </c>
      <c r="E1169" s="6" t="s">
        <v>53</v>
      </c>
      <c r="F1169" s="6" t="s">
        <v>13</v>
      </c>
      <c r="G1169" s="6" t="s">
        <v>14</v>
      </c>
      <c r="H1169" s="6">
        <v>0</v>
      </c>
      <c r="I1169" s="6">
        <v>20</v>
      </c>
      <c r="J1169" s="6">
        <v>20</v>
      </c>
      <c r="K1169" s="6">
        <v>19.956309999999998</v>
      </c>
      <c r="L1169" s="6">
        <v>19.965827000000001</v>
      </c>
      <c r="M1169" s="6">
        <v>19.613216000000001</v>
      </c>
      <c r="N1169" s="6">
        <v>19.181818</v>
      </c>
      <c r="O1169" s="6">
        <v>19.119288999999998</v>
      </c>
      <c r="P1169" s="6">
        <v>18.784502</v>
      </c>
      <c r="Q1169" s="6">
        <v>19.181818</v>
      </c>
      <c r="R1169" s="6">
        <v>19.101835999999999</v>
      </c>
      <c r="S1169" s="6">
        <v>18.763134000000001</v>
      </c>
      <c r="T1169" s="6">
        <v>19.181818</v>
      </c>
      <c r="U1169" s="6">
        <v>19.101835999999999</v>
      </c>
      <c r="V1169" s="6">
        <v>18.763134000000001</v>
      </c>
    </row>
    <row r="1170" spans="2:22">
      <c r="B1170" s="6">
        <v>32495</v>
      </c>
      <c r="C1170" s="6" t="s">
        <v>195</v>
      </c>
      <c r="D1170" s="6">
        <v>20906</v>
      </c>
      <c r="E1170" s="6" t="s">
        <v>48</v>
      </c>
      <c r="F1170" s="6" t="s">
        <v>49</v>
      </c>
      <c r="G1170" s="6" t="s">
        <v>1296</v>
      </c>
      <c r="H1170" s="6">
        <v>0</v>
      </c>
      <c r="I1170" s="6">
        <v>17</v>
      </c>
      <c r="J1170" s="6">
        <v>17</v>
      </c>
      <c r="K1170" s="6">
        <v>16.923482</v>
      </c>
      <c r="L1170" s="6">
        <v>16.908185</v>
      </c>
      <c r="M1170" s="6">
        <v>17.652851999999999</v>
      </c>
      <c r="N1170" s="6">
        <v>17.016705999999999</v>
      </c>
      <c r="O1170" s="6">
        <v>16.954350000000002</v>
      </c>
      <c r="P1170" s="6">
        <v>17.537869000000001</v>
      </c>
      <c r="Q1170" s="6">
        <v>17.016335999999999</v>
      </c>
      <c r="R1170" s="6">
        <v>16.958155999999999</v>
      </c>
      <c r="S1170" s="6">
        <v>17.538882000000001</v>
      </c>
      <c r="T1170" s="6">
        <v>17.016335999999999</v>
      </c>
      <c r="U1170" s="6">
        <v>16.958155999999999</v>
      </c>
      <c r="V1170" s="6">
        <v>17.538882000000001</v>
      </c>
    </row>
    <row r="1171" spans="2:22">
      <c r="B1171" s="6">
        <v>32496</v>
      </c>
      <c r="C1171" s="6" t="s">
        <v>196</v>
      </c>
      <c r="D1171" s="6">
        <v>20500</v>
      </c>
      <c r="E1171" s="6" t="s">
        <v>31</v>
      </c>
      <c r="F1171" s="6" t="s">
        <v>17</v>
      </c>
      <c r="G1171" s="6" t="s">
        <v>1294</v>
      </c>
      <c r="H1171" s="6">
        <v>27</v>
      </c>
      <c r="I1171" s="6">
        <v>27</v>
      </c>
      <c r="J1171" s="6">
        <v>27</v>
      </c>
      <c r="K1171" s="6">
        <v>26.093993999999999</v>
      </c>
      <c r="L1171" s="6">
        <v>26.469746000000001</v>
      </c>
      <c r="M1171" s="6">
        <v>26.000619</v>
      </c>
      <c r="N1171" s="6">
        <v>26.108958000000001</v>
      </c>
      <c r="O1171" s="6">
        <v>26.328648000000001</v>
      </c>
      <c r="P1171" s="6">
        <v>26.003786000000002</v>
      </c>
      <c r="Q1171" s="6">
        <v>26.101534000000001</v>
      </c>
      <c r="R1171" s="6">
        <v>26.316153</v>
      </c>
      <c r="S1171" s="6">
        <v>25.991613999999998</v>
      </c>
      <c r="T1171" s="6">
        <v>25.645997000000001</v>
      </c>
      <c r="U1171" s="6">
        <v>25.223958</v>
      </c>
      <c r="V1171" s="6">
        <v>24.770192999999999</v>
      </c>
    </row>
    <row r="1172" spans="2:22">
      <c r="B1172" s="6">
        <v>32496</v>
      </c>
      <c r="C1172" s="6" t="s">
        <v>196</v>
      </c>
      <c r="D1172" s="6">
        <v>20714</v>
      </c>
      <c r="E1172" s="6" t="s">
        <v>188</v>
      </c>
      <c r="F1172" s="6" t="s">
        <v>17</v>
      </c>
      <c r="G1172" s="6" t="s">
        <v>1294</v>
      </c>
      <c r="H1172" s="6">
        <v>40</v>
      </c>
      <c r="I1172" s="6">
        <v>40</v>
      </c>
      <c r="J1172" s="6">
        <v>40</v>
      </c>
      <c r="K1172" s="6">
        <v>40</v>
      </c>
      <c r="L1172" s="6">
        <v>40</v>
      </c>
      <c r="M1172" s="6">
        <v>40</v>
      </c>
      <c r="N1172" s="6">
        <v>40</v>
      </c>
      <c r="O1172" s="6">
        <v>40</v>
      </c>
      <c r="P1172" s="6">
        <v>40</v>
      </c>
      <c r="Q1172" s="6">
        <v>40</v>
      </c>
      <c r="R1172" s="6">
        <v>40</v>
      </c>
      <c r="S1172" s="6">
        <v>40</v>
      </c>
      <c r="T1172" s="6">
        <v>40</v>
      </c>
      <c r="U1172" s="6">
        <v>40</v>
      </c>
      <c r="V1172" s="6">
        <v>40</v>
      </c>
    </row>
    <row r="1173" spans="2:22">
      <c r="B1173" s="6">
        <v>32496</v>
      </c>
      <c r="C1173" s="6" t="s">
        <v>196</v>
      </c>
      <c r="D1173" s="6">
        <v>20902</v>
      </c>
      <c r="E1173" s="6" t="s">
        <v>53</v>
      </c>
      <c r="F1173" s="6" t="s">
        <v>13</v>
      </c>
      <c r="G1173" s="6" t="s">
        <v>14</v>
      </c>
      <c r="H1173" s="6">
        <v>20</v>
      </c>
      <c r="I1173" s="6">
        <v>20</v>
      </c>
      <c r="J1173" s="6">
        <v>20</v>
      </c>
      <c r="K1173" s="6">
        <v>19.956309999999998</v>
      </c>
      <c r="L1173" s="6">
        <v>19.965827000000001</v>
      </c>
      <c r="M1173" s="6">
        <v>19.613216000000001</v>
      </c>
      <c r="N1173" s="6">
        <v>19.181818</v>
      </c>
      <c r="O1173" s="6">
        <v>19.119288999999998</v>
      </c>
      <c r="P1173" s="6">
        <v>18.784502</v>
      </c>
      <c r="Q1173" s="6">
        <v>19.181818</v>
      </c>
      <c r="R1173" s="6">
        <v>19.101835999999999</v>
      </c>
      <c r="S1173" s="6">
        <v>18.763134000000001</v>
      </c>
      <c r="T1173" s="6">
        <v>19.181818</v>
      </c>
      <c r="U1173" s="6">
        <v>19.101835999999999</v>
      </c>
      <c r="V1173" s="6">
        <v>18.763134000000001</v>
      </c>
    </row>
    <row r="1174" spans="2:22">
      <c r="B1174" s="6">
        <v>32496</v>
      </c>
      <c r="C1174" s="6" t="s">
        <v>196</v>
      </c>
      <c r="D1174" s="6">
        <v>20906</v>
      </c>
      <c r="E1174" s="6" t="s">
        <v>48</v>
      </c>
      <c r="F1174" s="6" t="s">
        <v>49</v>
      </c>
      <c r="G1174" s="6" t="s">
        <v>1296</v>
      </c>
      <c r="H1174" s="6">
        <v>17</v>
      </c>
      <c r="I1174" s="6">
        <v>17.666665999999999</v>
      </c>
      <c r="J1174" s="6">
        <v>18.071428000000001</v>
      </c>
      <c r="K1174" s="6">
        <v>16.923482</v>
      </c>
      <c r="L1174" s="6">
        <v>16.908185</v>
      </c>
      <c r="M1174" s="6">
        <v>17.652851999999999</v>
      </c>
      <c r="N1174" s="6">
        <v>17.016705999999999</v>
      </c>
      <c r="O1174" s="6">
        <v>16.954350000000002</v>
      </c>
      <c r="P1174" s="6">
        <v>17.537869000000001</v>
      </c>
      <c r="Q1174" s="6">
        <v>17.016335999999999</v>
      </c>
      <c r="R1174" s="6">
        <v>16.958155999999999</v>
      </c>
      <c r="S1174" s="6">
        <v>17.538882000000001</v>
      </c>
      <c r="T1174" s="6">
        <v>17.016335999999999</v>
      </c>
      <c r="U1174" s="6">
        <v>16.958155999999999</v>
      </c>
      <c r="V1174" s="6">
        <v>17.538882000000001</v>
      </c>
    </row>
    <row r="1175" spans="2:22">
      <c r="B1175" s="6">
        <v>32497</v>
      </c>
      <c r="C1175" s="6" t="s">
        <v>197</v>
      </c>
      <c r="D1175" s="6">
        <v>20500</v>
      </c>
      <c r="E1175" s="6" t="s">
        <v>31</v>
      </c>
      <c r="F1175" s="6" t="s">
        <v>17</v>
      </c>
      <c r="G1175" s="6" t="s">
        <v>1294</v>
      </c>
      <c r="H1175" s="6">
        <v>0</v>
      </c>
      <c r="I1175" s="6">
        <v>27</v>
      </c>
      <c r="J1175" s="6">
        <v>27</v>
      </c>
      <c r="K1175" s="6">
        <v>26.093993999999999</v>
      </c>
      <c r="L1175" s="6">
        <v>26.469746000000001</v>
      </c>
      <c r="M1175" s="6">
        <v>26.000619</v>
      </c>
      <c r="N1175" s="6">
        <v>26.108958000000001</v>
      </c>
      <c r="O1175" s="6">
        <v>26.328648000000001</v>
      </c>
      <c r="P1175" s="6">
        <v>26.003786000000002</v>
      </c>
      <c r="Q1175" s="6">
        <v>26.101534000000001</v>
      </c>
      <c r="R1175" s="6">
        <v>26.316153</v>
      </c>
      <c r="S1175" s="6">
        <v>25.991613999999998</v>
      </c>
      <c r="T1175" s="6">
        <v>25.645997000000001</v>
      </c>
      <c r="U1175" s="6">
        <v>25.223958</v>
      </c>
      <c r="V1175" s="6">
        <v>24.770192999999999</v>
      </c>
    </row>
    <row r="1176" spans="2:22">
      <c r="B1176" s="6">
        <v>32497</v>
      </c>
      <c r="C1176" s="6" t="s">
        <v>197</v>
      </c>
      <c r="D1176" s="6">
        <v>20714</v>
      </c>
      <c r="E1176" s="6" t="s">
        <v>188</v>
      </c>
      <c r="F1176" s="6" t="s">
        <v>17</v>
      </c>
      <c r="G1176" s="6" t="s">
        <v>1294</v>
      </c>
      <c r="H1176" s="6">
        <v>0</v>
      </c>
      <c r="I1176" s="6">
        <v>40</v>
      </c>
      <c r="J1176" s="6">
        <v>40</v>
      </c>
      <c r="K1176" s="6">
        <v>40</v>
      </c>
      <c r="L1176" s="6">
        <v>40</v>
      </c>
      <c r="M1176" s="6">
        <v>40</v>
      </c>
      <c r="N1176" s="6">
        <v>40</v>
      </c>
      <c r="O1176" s="6">
        <v>40</v>
      </c>
      <c r="P1176" s="6">
        <v>40</v>
      </c>
      <c r="Q1176" s="6">
        <v>40</v>
      </c>
      <c r="R1176" s="6">
        <v>40</v>
      </c>
      <c r="S1176" s="6">
        <v>40</v>
      </c>
      <c r="T1176" s="6">
        <v>40</v>
      </c>
      <c r="U1176" s="6">
        <v>40</v>
      </c>
      <c r="V1176" s="6">
        <v>40</v>
      </c>
    </row>
    <row r="1177" spans="2:22">
      <c r="B1177" s="6">
        <v>32497</v>
      </c>
      <c r="C1177" s="6" t="s">
        <v>197</v>
      </c>
      <c r="D1177" s="6">
        <v>20902</v>
      </c>
      <c r="E1177" s="6" t="s">
        <v>53</v>
      </c>
      <c r="F1177" s="6" t="s">
        <v>16</v>
      </c>
      <c r="G1177" s="6" t="s">
        <v>1295</v>
      </c>
      <c r="H1177" s="6">
        <v>0</v>
      </c>
      <c r="I1177" s="6">
        <v>0</v>
      </c>
      <c r="J1177" s="6">
        <v>30</v>
      </c>
      <c r="K1177" s="6">
        <v>27.235294</v>
      </c>
      <c r="L1177" s="6">
        <v>26.730157999999999</v>
      </c>
      <c r="M1177" s="6">
        <v>28.302752000000002</v>
      </c>
      <c r="N1177" s="6">
        <v>27.102803000000002</v>
      </c>
      <c r="O1177" s="6">
        <v>26.100322999999999</v>
      </c>
      <c r="P1177" s="6">
        <v>27.578899</v>
      </c>
      <c r="Q1177" s="6">
        <v>27.102803000000002</v>
      </c>
      <c r="R1177" s="6">
        <v>26.100322999999999</v>
      </c>
      <c r="S1177" s="6">
        <v>27.558453</v>
      </c>
      <c r="T1177" s="6">
        <v>26.737159999999999</v>
      </c>
      <c r="U1177" s="6">
        <v>25.752351000000001</v>
      </c>
      <c r="V1177" s="6">
        <v>27.323633000000001</v>
      </c>
    </row>
    <row r="1178" spans="2:22">
      <c r="B1178" s="6">
        <v>32497</v>
      </c>
      <c r="C1178" s="6" t="s">
        <v>197</v>
      </c>
      <c r="D1178" s="6">
        <v>20902</v>
      </c>
      <c r="E1178" s="6" t="s">
        <v>53</v>
      </c>
      <c r="F1178" s="6" t="s">
        <v>13</v>
      </c>
      <c r="G1178" s="6" t="s">
        <v>14</v>
      </c>
      <c r="H1178" s="6">
        <v>0</v>
      </c>
      <c r="I1178" s="6">
        <v>20</v>
      </c>
      <c r="J1178" s="6">
        <v>20</v>
      </c>
      <c r="K1178" s="6">
        <v>19.956309999999998</v>
      </c>
      <c r="L1178" s="6">
        <v>19.965827000000001</v>
      </c>
      <c r="M1178" s="6">
        <v>19.613216000000001</v>
      </c>
      <c r="N1178" s="6">
        <v>19.181818</v>
      </c>
      <c r="O1178" s="6">
        <v>19.119288999999998</v>
      </c>
      <c r="P1178" s="6">
        <v>18.784502</v>
      </c>
      <c r="Q1178" s="6">
        <v>19.181818</v>
      </c>
      <c r="R1178" s="6">
        <v>19.101835999999999</v>
      </c>
      <c r="S1178" s="6">
        <v>18.763134000000001</v>
      </c>
      <c r="T1178" s="6">
        <v>19.181818</v>
      </c>
      <c r="U1178" s="6">
        <v>19.101835999999999</v>
      </c>
      <c r="V1178" s="6">
        <v>18.763134000000001</v>
      </c>
    </row>
    <row r="1179" spans="2:22">
      <c r="B1179" s="6">
        <v>32497</v>
      </c>
      <c r="C1179" s="6" t="s">
        <v>197</v>
      </c>
      <c r="D1179" s="6">
        <v>20906</v>
      </c>
      <c r="E1179" s="6" t="s">
        <v>48</v>
      </c>
      <c r="F1179" s="6" t="s">
        <v>49</v>
      </c>
      <c r="G1179" s="6" t="s">
        <v>1296</v>
      </c>
      <c r="H1179" s="6">
        <v>0</v>
      </c>
      <c r="I1179" s="6">
        <v>17</v>
      </c>
      <c r="J1179" s="6">
        <v>18.2</v>
      </c>
      <c r="K1179" s="6">
        <v>16.923482</v>
      </c>
      <c r="L1179" s="6">
        <v>16.908185</v>
      </c>
      <c r="M1179" s="6">
        <v>17.652851999999999</v>
      </c>
      <c r="N1179" s="6">
        <v>17.016705999999999</v>
      </c>
      <c r="O1179" s="6">
        <v>16.954350000000002</v>
      </c>
      <c r="P1179" s="6">
        <v>17.537869000000001</v>
      </c>
      <c r="Q1179" s="6">
        <v>17.016335999999999</v>
      </c>
      <c r="R1179" s="6">
        <v>16.958155999999999</v>
      </c>
      <c r="S1179" s="6">
        <v>17.538882000000001</v>
      </c>
      <c r="T1179" s="6">
        <v>17.016335999999999</v>
      </c>
      <c r="U1179" s="6">
        <v>16.958155999999999</v>
      </c>
      <c r="V1179" s="6">
        <v>17.538882000000001</v>
      </c>
    </row>
    <row r="1180" spans="2:22">
      <c r="B1180" s="6">
        <v>32498</v>
      </c>
      <c r="C1180" s="6" t="s">
        <v>1010</v>
      </c>
      <c r="D1180" s="6">
        <v>12400</v>
      </c>
      <c r="E1180" s="6" t="s">
        <v>217</v>
      </c>
      <c r="F1180" s="6" t="s">
        <v>16</v>
      </c>
      <c r="G1180" s="6" t="s">
        <v>1295</v>
      </c>
      <c r="H1180" s="6">
        <v>0</v>
      </c>
      <c r="I1180" s="6">
        <v>0</v>
      </c>
      <c r="J1180" s="6">
        <v>8</v>
      </c>
      <c r="K1180" s="6">
        <v>13.375</v>
      </c>
      <c r="L1180" s="6">
        <v>10.9375</v>
      </c>
      <c r="M1180" s="6">
        <v>9.2653060000000007</v>
      </c>
      <c r="N1180" s="6">
        <v>9.2387090000000001</v>
      </c>
      <c r="O1180" s="6">
        <v>8.7126429999999999</v>
      </c>
      <c r="P1180" s="6">
        <v>8.6856360000000006</v>
      </c>
      <c r="Q1180" s="6">
        <v>9.2387090000000001</v>
      </c>
      <c r="R1180" s="6">
        <v>8.7126429999999999</v>
      </c>
      <c r="S1180" s="6">
        <v>8.6856360000000006</v>
      </c>
      <c r="T1180" s="6">
        <v>8.8875729999999997</v>
      </c>
      <c r="U1180" s="6">
        <v>8.6089380000000002</v>
      </c>
      <c r="V1180" s="6">
        <v>8.6174140000000001</v>
      </c>
    </row>
    <row r="1181" spans="2:22">
      <c r="B1181" s="6">
        <v>32498</v>
      </c>
      <c r="C1181" s="6" t="s">
        <v>1010</v>
      </c>
      <c r="D1181" s="6">
        <v>20500</v>
      </c>
      <c r="E1181" s="6" t="s">
        <v>31</v>
      </c>
      <c r="F1181" s="6" t="s">
        <v>16</v>
      </c>
      <c r="G1181" s="6" t="s">
        <v>1295</v>
      </c>
      <c r="H1181" s="6">
        <v>0</v>
      </c>
      <c r="I1181" s="6">
        <v>0</v>
      </c>
      <c r="J1181" s="6">
        <v>10</v>
      </c>
      <c r="K1181" s="6">
        <v>10</v>
      </c>
      <c r="L1181" s="6">
        <v>10</v>
      </c>
      <c r="M1181" s="6">
        <v>9.9722220000000004</v>
      </c>
      <c r="N1181" s="6">
        <v>10</v>
      </c>
      <c r="O1181" s="6">
        <v>10</v>
      </c>
      <c r="P1181" s="6">
        <v>9.9904759999999992</v>
      </c>
      <c r="Q1181" s="6">
        <v>10</v>
      </c>
      <c r="R1181" s="6">
        <v>10</v>
      </c>
      <c r="S1181" s="6">
        <v>9.9904759999999992</v>
      </c>
      <c r="T1181" s="6">
        <v>16.909089999999999</v>
      </c>
      <c r="U1181" s="6">
        <v>13.130081000000001</v>
      </c>
      <c r="V1181" s="6">
        <v>12.707865</v>
      </c>
    </row>
    <row r="1182" spans="2:22">
      <c r="B1182" s="6">
        <v>32498</v>
      </c>
      <c r="C1182" s="6" t="s">
        <v>1010</v>
      </c>
      <c r="D1182" s="6">
        <v>20920</v>
      </c>
      <c r="E1182" s="6" t="s">
        <v>231</v>
      </c>
      <c r="F1182" s="6" t="s">
        <v>16</v>
      </c>
      <c r="G1182" s="6" t="s">
        <v>1295</v>
      </c>
      <c r="H1182" s="6">
        <v>0</v>
      </c>
      <c r="I1182" s="6">
        <v>0</v>
      </c>
      <c r="J1182" s="6">
        <v>7</v>
      </c>
      <c r="K1182" s="6">
        <v>8.1999999999999993</v>
      </c>
      <c r="L1182" s="6">
        <v>8</v>
      </c>
      <c r="M1182" s="6">
        <v>7.2068960000000004</v>
      </c>
      <c r="N1182" s="6">
        <v>8.1999999999999993</v>
      </c>
      <c r="O1182" s="6">
        <v>8.0909089999999999</v>
      </c>
      <c r="P1182" s="6">
        <v>7.923076</v>
      </c>
      <c r="Q1182" s="6">
        <v>8.1999999999999993</v>
      </c>
      <c r="R1182" s="6">
        <v>8.0909089999999999</v>
      </c>
      <c r="S1182" s="6">
        <v>7.923076</v>
      </c>
      <c r="T1182" s="6">
        <v>8.1999999999999993</v>
      </c>
      <c r="U1182" s="6">
        <v>8.0909089999999999</v>
      </c>
      <c r="V1182" s="6">
        <v>7.923076</v>
      </c>
    </row>
    <row r="1183" spans="2:22">
      <c r="B1183" s="6">
        <v>32498</v>
      </c>
      <c r="C1183" s="6" t="s">
        <v>1010</v>
      </c>
      <c r="D1183" s="6">
        <v>23315</v>
      </c>
      <c r="E1183" s="6" t="s">
        <v>246</v>
      </c>
      <c r="F1183" s="6" t="s">
        <v>16</v>
      </c>
      <c r="G1183" s="6" t="s">
        <v>1295</v>
      </c>
      <c r="H1183" s="6">
        <v>0</v>
      </c>
      <c r="I1183" s="6">
        <v>0</v>
      </c>
      <c r="J1183" s="6">
        <v>10</v>
      </c>
      <c r="K1183" s="6">
        <v>10</v>
      </c>
      <c r="L1183" s="6">
        <v>10</v>
      </c>
      <c r="M1183" s="6">
        <v>9.625</v>
      </c>
      <c r="N1183" s="6">
        <v>10</v>
      </c>
      <c r="O1183" s="6">
        <v>10</v>
      </c>
      <c r="P1183" s="6">
        <v>9.6571420000000003</v>
      </c>
      <c r="Q1183" s="6">
        <v>10</v>
      </c>
      <c r="R1183" s="6">
        <v>10</v>
      </c>
      <c r="S1183" s="6">
        <v>9.6571420000000003</v>
      </c>
      <c r="T1183" s="6">
        <v>10</v>
      </c>
      <c r="U1183" s="6">
        <v>10</v>
      </c>
      <c r="V1183" s="6">
        <v>9.6571420000000003</v>
      </c>
    </row>
    <row r="1184" spans="2:22">
      <c r="B1184" s="6">
        <v>32499</v>
      </c>
      <c r="C1184" s="6" t="s">
        <v>1016</v>
      </c>
      <c r="D1184" s="6">
        <v>12400</v>
      </c>
      <c r="E1184" s="6" t="s">
        <v>217</v>
      </c>
      <c r="F1184" s="6" t="s">
        <v>16</v>
      </c>
      <c r="G1184" s="6" t="s">
        <v>1295</v>
      </c>
      <c r="H1184" s="6">
        <v>0</v>
      </c>
      <c r="I1184" s="6">
        <v>0</v>
      </c>
      <c r="J1184" s="6">
        <v>8</v>
      </c>
      <c r="K1184" s="6">
        <v>13.375</v>
      </c>
      <c r="L1184" s="6">
        <v>10.9375</v>
      </c>
      <c r="M1184" s="6">
        <v>9.2653060000000007</v>
      </c>
      <c r="N1184" s="6">
        <v>9.2387090000000001</v>
      </c>
      <c r="O1184" s="6">
        <v>8.7126429999999999</v>
      </c>
      <c r="P1184" s="6">
        <v>8.6856360000000006</v>
      </c>
      <c r="Q1184" s="6">
        <v>9.2387090000000001</v>
      </c>
      <c r="R1184" s="6">
        <v>8.7126429999999999</v>
      </c>
      <c r="S1184" s="6">
        <v>8.6856360000000006</v>
      </c>
      <c r="T1184" s="6">
        <v>8.8875729999999997</v>
      </c>
      <c r="U1184" s="6">
        <v>8.6089380000000002</v>
      </c>
      <c r="V1184" s="6">
        <v>8.6174140000000001</v>
      </c>
    </row>
    <row r="1185" spans="2:22">
      <c r="B1185" s="6">
        <v>32499</v>
      </c>
      <c r="C1185" s="6" t="s">
        <v>1016</v>
      </c>
      <c r="D1185" s="6">
        <v>20500</v>
      </c>
      <c r="E1185" s="6" t="s">
        <v>31</v>
      </c>
      <c r="F1185" s="6" t="s">
        <v>16</v>
      </c>
      <c r="G1185" s="6" t="s">
        <v>1295</v>
      </c>
      <c r="H1185" s="6">
        <v>0</v>
      </c>
      <c r="I1185" s="6">
        <v>0</v>
      </c>
      <c r="J1185" s="6">
        <v>10</v>
      </c>
      <c r="K1185" s="6">
        <v>10</v>
      </c>
      <c r="L1185" s="6">
        <v>10</v>
      </c>
      <c r="M1185" s="6">
        <v>9.9722220000000004</v>
      </c>
      <c r="N1185" s="6">
        <v>10</v>
      </c>
      <c r="O1185" s="6">
        <v>10</v>
      </c>
      <c r="P1185" s="6">
        <v>9.9904759999999992</v>
      </c>
      <c r="Q1185" s="6">
        <v>10</v>
      </c>
      <c r="R1185" s="6">
        <v>10</v>
      </c>
      <c r="S1185" s="6">
        <v>9.9904759999999992</v>
      </c>
      <c r="T1185" s="6">
        <v>16.909089999999999</v>
      </c>
      <c r="U1185" s="6">
        <v>13.130081000000001</v>
      </c>
      <c r="V1185" s="6">
        <v>12.707865</v>
      </c>
    </row>
    <row r="1186" spans="2:22">
      <c r="B1186" s="6">
        <v>32499</v>
      </c>
      <c r="C1186" s="6" t="s">
        <v>1016</v>
      </c>
      <c r="D1186" s="6">
        <v>20920</v>
      </c>
      <c r="E1186" s="6" t="s">
        <v>231</v>
      </c>
      <c r="F1186" s="6" t="s">
        <v>16</v>
      </c>
      <c r="G1186" s="6" t="s">
        <v>1295</v>
      </c>
      <c r="H1186" s="6">
        <v>0</v>
      </c>
      <c r="I1186" s="6">
        <v>0</v>
      </c>
      <c r="J1186" s="6">
        <v>7</v>
      </c>
      <c r="K1186" s="6">
        <v>8.1999999999999993</v>
      </c>
      <c r="L1186" s="6">
        <v>8</v>
      </c>
      <c r="M1186" s="6">
        <v>7.2068960000000004</v>
      </c>
      <c r="N1186" s="6">
        <v>8.1999999999999993</v>
      </c>
      <c r="O1186" s="6">
        <v>8.0909089999999999</v>
      </c>
      <c r="P1186" s="6">
        <v>7.923076</v>
      </c>
      <c r="Q1186" s="6">
        <v>8.1999999999999993</v>
      </c>
      <c r="R1186" s="6">
        <v>8.0909089999999999</v>
      </c>
      <c r="S1186" s="6">
        <v>7.923076</v>
      </c>
      <c r="T1186" s="6">
        <v>8.1999999999999993</v>
      </c>
      <c r="U1186" s="6">
        <v>8.0909089999999999</v>
      </c>
      <c r="V1186" s="6">
        <v>7.923076</v>
      </c>
    </row>
    <row r="1187" spans="2:22">
      <c r="B1187" s="6">
        <v>32500</v>
      </c>
      <c r="C1187" s="6" t="s">
        <v>1024</v>
      </c>
      <c r="D1187" s="6">
        <v>12400</v>
      </c>
      <c r="E1187" s="6" t="s">
        <v>217</v>
      </c>
      <c r="F1187" s="6" t="s">
        <v>16</v>
      </c>
      <c r="G1187" s="6" t="s">
        <v>1295</v>
      </c>
      <c r="H1187" s="6">
        <v>0</v>
      </c>
      <c r="I1187" s="6">
        <v>0</v>
      </c>
      <c r="J1187" s="6">
        <v>8</v>
      </c>
      <c r="K1187" s="6">
        <v>13.375</v>
      </c>
      <c r="L1187" s="6">
        <v>10.9375</v>
      </c>
      <c r="M1187" s="6">
        <v>9.2653060000000007</v>
      </c>
      <c r="N1187" s="6">
        <v>9.2387090000000001</v>
      </c>
      <c r="O1187" s="6">
        <v>8.7126429999999999</v>
      </c>
      <c r="P1187" s="6">
        <v>8.6856360000000006</v>
      </c>
      <c r="Q1187" s="6">
        <v>9.2387090000000001</v>
      </c>
      <c r="R1187" s="6">
        <v>8.7126429999999999</v>
      </c>
      <c r="S1187" s="6">
        <v>8.6856360000000006</v>
      </c>
      <c r="T1187" s="6">
        <v>8.8875729999999997</v>
      </c>
      <c r="U1187" s="6">
        <v>8.6089380000000002</v>
      </c>
      <c r="V1187" s="6">
        <v>8.6174140000000001</v>
      </c>
    </row>
    <row r="1188" spans="2:22">
      <c r="B1188" s="6">
        <v>32500</v>
      </c>
      <c r="C1188" s="6" t="s">
        <v>1024</v>
      </c>
      <c r="D1188" s="6">
        <v>20500</v>
      </c>
      <c r="E1188" s="6" t="s">
        <v>31</v>
      </c>
      <c r="F1188" s="6" t="s">
        <v>16</v>
      </c>
      <c r="G1188" s="6" t="s">
        <v>1295</v>
      </c>
      <c r="H1188" s="6">
        <v>0</v>
      </c>
      <c r="I1188" s="6">
        <v>0</v>
      </c>
      <c r="J1188" s="6">
        <v>9.6666659999999993</v>
      </c>
      <c r="K1188" s="6">
        <v>10</v>
      </c>
      <c r="L1188" s="6">
        <v>10</v>
      </c>
      <c r="M1188" s="6">
        <v>9.9722220000000004</v>
      </c>
      <c r="N1188" s="6">
        <v>10</v>
      </c>
      <c r="O1188" s="6">
        <v>10</v>
      </c>
      <c r="P1188" s="6">
        <v>9.9904759999999992</v>
      </c>
      <c r="Q1188" s="6">
        <v>10</v>
      </c>
      <c r="R1188" s="6">
        <v>10</v>
      </c>
      <c r="S1188" s="6">
        <v>9.9904759999999992</v>
      </c>
      <c r="T1188" s="6">
        <v>16.909089999999999</v>
      </c>
      <c r="U1188" s="6">
        <v>13.130081000000001</v>
      </c>
      <c r="V1188" s="6">
        <v>12.707865</v>
      </c>
    </row>
    <row r="1189" spans="2:22">
      <c r="B1189" s="6">
        <v>32500</v>
      </c>
      <c r="C1189" s="6" t="s">
        <v>1024</v>
      </c>
      <c r="D1189" s="6">
        <v>20920</v>
      </c>
      <c r="E1189" s="6" t="s">
        <v>231</v>
      </c>
      <c r="F1189" s="6" t="s">
        <v>16</v>
      </c>
      <c r="G1189" s="6" t="s">
        <v>1295</v>
      </c>
      <c r="H1189" s="6">
        <v>0</v>
      </c>
      <c r="I1189" s="6">
        <v>0</v>
      </c>
      <c r="J1189" s="6">
        <v>7</v>
      </c>
      <c r="K1189" s="6">
        <v>8.1999999999999993</v>
      </c>
      <c r="L1189" s="6">
        <v>8</v>
      </c>
      <c r="M1189" s="6">
        <v>7.2068960000000004</v>
      </c>
      <c r="N1189" s="6">
        <v>8.1999999999999993</v>
      </c>
      <c r="O1189" s="6">
        <v>8.0909089999999999</v>
      </c>
      <c r="P1189" s="6">
        <v>7.923076</v>
      </c>
      <c r="Q1189" s="6">
        <v>8.1999999999999993</v>
      </c>
      <c r="R1189" s="6">
        <v>8.0909089999999999</v>
      </c>
      <c r="S1189" s="6">
        <v>7.923076</v>
      </c>
      <c r="T1189" s="6">
        <v>8.1999999999999993</v>
      </c>
      <c r="U1189" s="6">
        <v>8.0909089999999999</v>
      </c>
      <c r="V1189" s="6">
        <v>7.923076</v>
      </c>
    </row>
    <row r="1190" spans="2:22">
      <c r="B1190" s="6">
        <v>32500</v>
      </c>
      <c r="C1190" s="6" t="s">
        <v>1024</v>
      </c>
      <c r="D1190" s="6">
        <v>23315</v>
      </c>
      <c r="E1190" s="6" t="s">
        <v>246</v>
      </c>
      <c r="F1190" s="6" t="s">
        <v>16</v>
      </c>
      <c r="G1190" s="6" t="s">
        <v>1295</v>
      </c>
      <c r="H1190" s="6">
        <v>0</v>
      </c>
      <c r="I1190" s="6">
        <v>0</v>
      </c>
      <c r="J1190" s="6">
        <v>10</v>
      </c>
      <c r="K1190" s="6">
        <v>10</v>
      </c>
      <c r="L1190" s="6">
        <v>10</v>
      </c>
      <c r="M1190" s="6">
        <v>9.625</v>
      </c>
      <c r="N1190" s="6">
        <v>10</v>
      </c>
      <c r="O1190" s="6">
        <v>10</v>
      </c>
      <c r="P1190" s="6">
        <v>9.6571420000000003</v>
      </c>
      <c r="Q1190" s="6">
        <v>10</v>
      </c>
      <c r="R1190" s="6">
        <v>10</v>
      </c>
      <c r="S1190" s="6">
        <v>9.6571420000000003</v>
      </c>
      <c r="T1190" s="6">
        <v>10</v>
      </c>
      <c r="U1190" s="6">
        <v>10</v>
      </c>
      <c r="V1190" s="6">
        <v>9.6571420000000003</v>
      </c>
    </row>
    <row r="1191" spans="2:22">
      <c r="B1191" s="6">
        <v>32501</v>
      </c>
      <c r="C1191" s="6" t="s">
        <v>1011</v>
      </c>
      <c r="D1191" s="6">
        <v>12400</v>
      </c>
      <c r="E1191" s="6" t="s">
        <v>217</v>
      </c>
      <c r="F1191" s="6" t="s">
        <v>16</v>
      </c>
      <c r="G1191" s="6" t="s">
        <v>1295</v>
      </c>
      <c r="H1191" s="6">
        <v>0</v>
      </c>
      <c r="I1191" s="6">
        <v>0</v>
      </c>
      <c r="J1191" s="6">
        <v>8</v>
      </c>
      <c r="K1191" s="6">
        <v>13.375</v>
      </c>
      <c r="L1191" s="6">
        <v>10.9375</v>
      </c>
      <c r="M1191" s="6">
        <v>9.2653060000000007</v>
      </c>
      <c r="N1191" s="6">
        <v>9.2387090000000001</v>
      </c>
      <c r="O1191" s="6">
        <v>8.7126429999999999</v>
      </c>
      <c r="P1191" s="6">
        <v>8.6856360000000006</v>
      </c>
      <c r="Q1191" s="6">
        <v>9.2387090000000001</v>
      </c>
      <c r="R1191" s="6">
        <v>8.7126429999999999</v>
      </c>
      <c r="S1191" s="6">
        <v>8.6856360000000006</v>
      </c>
      <c r="T1191" s="6">
        <v>8.8875729999999997</v>
      </c>
      <c r="U1191" s="6">
        <v>8.6089380000000002</v>
      </c>
      <c r="V1191" s="6">
        <v>8.6174140000000001</v>
      </c>
    </row>
    <row r="1192" spans="2:22">
      <c r="B1192" s="6">
        <v>32501</v>
      </c>
      <c r="C1192" s="6" t="s">
        <v>1011</v>
      </c>
      <c r="D1192" s="6">
        <v>20500</v>
      </c>
      <c r="E1192" s="6" t="s">
        <v>31</v>
      </c>
      <c r="F1192" s="6" t="s">
        <v>16</v>
      </c>
      <c r="G1192" s="6" t="s">
        <v>1295</v>
      </c>
      <c r="H1192" s="6">
        <v>0</v>
      </c>
      <c r="I1192" s="6">
        <v>0</v>
      </c>
      <c r="J1192" s="6">
        <v>10</v>
      </c>
      <c r="K1192" s="6">
        <v>10</v>
      </c>
      <c r="L1192" s="6">
        <v>10</v>
      </c>
      <c r="M1192" s="6">
        <v>9.9722220000000004</v>
      </c>
      <c r="N1192" s="6">
        <v>10</v>
      </c>
      <c r="O1192" s="6">
        <v>10</v>
      </c>
      <c r="P1192" s="6">
        <v>9.9904759999999992</v>
      </c>
      <c r="Q1192" s="6">
        <v>10</v>
      </c>
      <c r="R1192" s="6">
        <v>10</v>
      </c>
      <c r="S1192" s="6">
        <v>9.9904759999999992</v>
      </c>
      <c r="T1192" s="6">
        <v>16.909089999999999</v>
      </c>
      <c r="U1192" s="6">
        <v>13.130081000000001</v>
      </c>
      <c r="V1192" s="6">
        <v>12.707865</v>
      </c>
    </row>
    <row r="1193" spans="2:22">
      <c r="B1193" s="6">
        <v>32501</v>
      </c>
      <c r="C1193" s="6" t="s">
        <v>1011</v>
      </c>
      <c r="D1193" s="6">
        <v>20920</v>
      </c>
      <c r="E1193" s="6" t="s">
        <v>231</v>
      </c>
      <c r="F1193" s="6" t="s">
        <v>16</v>
      </c>
      <c r="G1193" s="6" t="s">
        <v>1295</v>
      </c>
      <c r="H1193" s="6">
        <v>0</v>
      </c>
      <c r="I1193" s="6">
        <v>0</v>
      </c>
      <c r="J1193" s="6">
        <v>7</v>
      </c>
      <c r="K1193" s="6">
        <v>8.1999999999999993</v>
      </c>
      <c r="L1193" s="6">
        <v>8</v>
      </c>
      <c r="M1193" s="6">
        <v>7.2068960000000004</v>
      </c>
      <c r="N1193" s="6">
        <v>8.1999999999999993</v>
      </c>
      <c r="O1193" s="6">
        <v>8.0909089999999999</v>
      </c>
      <c r="P1193" s="6">
        <v>7.923076</v>
      </c>
      <c r="Q1193" s="6">
        <v>8.1999999999999993</v>
      </c>
      <c r="R1193" s="6">
        <v>8.0909089999999999</v>
      </c>
      <c r="S1193" s="6">
        <v>7.923076</v>
      </c>
      <c r="T1193" s="6">
        <v>8.1999999999999993</v>
      </c>
      <c r="U1193" s="6">
        <v>8.0909089999999999</v>
      </c>
      <c r="V1193" s="6">
        <v>7.923076</v>
      </c>
    </row>
    <row r="1194" spans="2:22">
      <c r="B1194" s="6">
        <v>32501</v>
      </c>
      <c r="C1194" s="6" t="s">
        <v>1011</v>
      </c>
      <c r="D1194" s="6">
        <v>23315</v>
      </c>
      <c r="E1194" s="6" t="s">
        <v>246</v>
      </c>
      <c r="F1194" s="6" t="s">
        <v>16</v>
      </c>
      <c r="G1194" s="6" t="s">
        <v>1295</v>
      </c>
      <c r="H1194" s="6">
        <v>0</v>
      </c>
      <c r="I1194" s="6">
        <v>0</v>
      </c>
      <c r="J1194" s="6">
        <v>10</v>
      </c>
      <c r="K1194" s="6">
        <v>10</v>
      </c>
      <c r="L1194" s="6">
        <v>10</v>
      </c>
      <c r="M1194" s="6">
        <v>9.625</v>
      </c>
      <c r="N1194" s="6">
        <v>10</v>
      </c>
      <c r="O1194" s="6">
        <v>10</v>
      </c>
      <c r="P1194" s="6">
        <v>9.6571420000000003</v>
      </c>
      <c r="Q1194" s="6">
        <v>10</v>
      </c>
      <c r="R1194" s="6">
        <v>10</v>
      </c>
      <c r="S1194" s="6">
        <v>9.6571420000000003</v>
      </c>
      <c r="T1194" s="6">
        <v>10</v>
      </c>
      <c r="U1194" s="6">
        <v>10</v>
      </c>
      <c r="V1194" s="6">
        <v>9.6571420000000003</v>
      </c>
    </row>
    <row r="1195" spans="2:22">
      <c r="B1195" s="6">
        <v>32502</v>
      </c>
      <c r="C1195" s="6" t="s">
        <v>261</v>
      </c>
      <c r="D1195" s="6">
        <v>12400</v>
      </c>
      <c r="E1195" s="6" t="s">
        <v>217</v>
      </c>
      <c r="F1195" s="6" t="s">
        <v>16</v>
      </c>
      <c r="G1195" s="6" t="s">
        <v>1295</v>
      </c>
      <c r="H1195" s="6">
        <v>0</v>
      </c>
      <c r="I1195" s="6">
        <v>0</v>
      </c>
      <c r="J1195" s="6">
        <v>8</v>
      </c>
      <c r="K1195" s="6">
        <v>13.375</v>
      </c>
      <c r="L1195" s="6">
        <v>10.9375</v>
      </c>
      <c r="M1195" s="6">
        <v>9.2653060000000007</v>
      </c>
      <c r="N1195" s="6">
        <v>9.2387090000000001</v>
      </c>
      <c r="O1195" s="6">
        <v>8.7126429999999999</v>
      </c>
      <c r="P1195" s="6">
        <v>8.6856360000000006</v>
      </c>
      <c r="Q1195" s="6">
        <v>9.2387090000000001</v>
      </c>
      <c r="R1195" s="6">
        <v>8.7126429999999999</v>
      </c>
      <c r="S1195" s="6">
        <v>8.6856360000000006</v>
      </c>
      <c r="T1195" s="6">
        <v>8.8875729999999997</v>
      </c>
      <c r="U1195" s="6">
        <v>8.6089380000000002</v>
      </c>
      <c r="V1195" s="6">
        <v>8.6174140000000001</v>
      </c>
    </row>
    <row r="1196" spans="2:22">
      <c r="B1196" s="6">
        <v>32502</v>
      </c>
      <c r="C1196" s="6" t="s">
        <v>261</v>
      </c>
      <c r="D1196" s="6">
        <v>20500</v>
      </c>
      <c r="E1196" s="6" t="s">
        <v>31</v>
      </c>
      <c r="F1196" s="6" t="s">
        <v>16</v>
      </c>
      <c r="G1196" s="6" t="s">
        <v>1295</v>
      </c>
      <c r="H1196" s="6">
        <v>0</v>
      </c>
      <c r="I1196" s="6">
        <v>0</v>
      </c>
      <c r="J1196" s="6">
        <v>10</v>
      </c>
      <c r="K1196" s="6">
        <v>10</v>
      </c>
      <c r="L1196" s="6">
        <v>10</v>
      </c>
      <c r="M1196" s="6">
        <v>9.9722220000000004</v>
      </c>
      <c r="N1196" s="6">
        <v>10</v>
      </c>
      <c r="O1196" s="6">
        <v>10</v>
      </c>
      <c r="P1196" s="6">
        <v>9.9904759999999992</v>
      </c>
      <c r="Q1196" s="6">
        <v>10</v>
      </c>
      <c r="R1196" s="6">
        <v>10</v>
      </c>
      <c r="S1196" s="6">
        <v>9.9904759999999992</v>
      </c>
      <c r="T1196" s="6">
        <v>16.909089999999999</v>
      </c>
      <c r="U1196" s="6">
        <v>13.130081000000001</v>
      </c>
      <c r="V1196" s="6">
        <v>12.707865</v>
      </c>
    </row>
    <row r="1197" spans="2:22">
      <c r="B1197" s="6">
        <v>32502</v>
      </c>
      <c r="C1197" s="6" t="s">
        <v>261</v>
      </c>
      <c r="D1197" s="6">
        <v>20920</v>
      </c>
      <c r="E1197" s="6" t="s">
        <v>231</v>
      </c>
      <c r="F1197" s="6" t="s">
        <v>16</v>
      </c>
      <c r="G1197" s="6" t="s">
        <v>1295</v>
      </c>
      <c r="H1197" s="6">
        <v>0</v>
      </c>
      <c r="I1197" s="6">
        <v>0</v>
      </c>
      <c r="J1197" s="6">
        <v>7</v>
      </c>
      <c r="K1197" s="6">
        <v>8.1999999999999993</v>
      </c>
      <c r="L1197" s="6">
        <v>8</v>
      </c>
      <c r="M1197" s="6">
        <v>7.2068960000000004</v>
      </c>
      <c r="N1197" s="6">
        <v>8.1999999999999993</v>
      </c>
      <c r="O1197" s="6">
        <v>8.0909089999999999</v>
      </c>
      <c r="P1197" s="6">
        <v>7.923076</v>
      </c>
      <c r="Q1197" s="6">
        <v>8.1999999999999993</v>
      </c>
      <c r="R1197" s="6">
        <v>8.0909089999999999</v>
      </c>
      <c r="S1197" s="6">
        <v>7.923076</v>
      </c>
      <c r="T1197" s="6">
        <v>8.1999999999999993</v>
      </c>
      <c r="U1197" s="6">
        <v>8.0909089999999999</v>
      </c>
      <c r="V1197" s="6">
        <v>7.923076</v>
      </c>
    </row>
    <row r="1198" spans="2:22">
      <c r="B1198" s="6">
        <v>32502</v>
      </c>
      <c r="C1198" s="6" t="s">
        <v>261</v>
      </c>
      <c r="D1198" s="6">
        <v>23315</v>
      </c>
      <c r="E1198" s="6" t="s">
        <v>246</v>
      </c>
      <c r="F1198" s="6" t="s">
        <v>16</v>
      </c>
      <c r="G1198" s="6" t="s">
        <v>1295</v>
      </c>
      <c r="H1198" s="6">
        <v>0</v>
      </c>
      <c r="I1198" s="6">
        <v>0</v>
      </c>
      <c r="J1198" s="6">
        <v>10</v>
      </c>
      <c r="K1198" s="6">
        <v>10</v>
      </c>
      <c r="L1198" s="6">
        <v>10</v>
      </c>
      <c r="M1198" s="6">
        <v>9.625</v>
      </c>
      <c r="N1198" s="6">
        <v>10</v>
      </c>
      <c r="O1198" s="6">
        <v>10</v>
      </c>
      <c r="P1198" s="6">
        <v>9.6571420000000003</v>
      </c>
      <c r="Q1198" s="6">
        <v>10</v>
      </c>
      <c r="R1198" s="6">
        <v>10</v>
      </c>
      <c r="S1198" s="6">
        <v>9.6571420000000003</v>
      </c>
      <c r="T1198" s="6">
        <v>10</v>
      </c>
      <c r="U1198" s="6">
        <v>10</v>
      </c>
      <c r="V1198" s="6">
        <v>9.6571420000000003</v>
      </c>
    </row>
    <row r="1199" spans="2:22">
      <c r="B1199" s="6">
        <v>32503</v>
      </c>
      <c r="C1199" s="6" t="s">
        <v>996</v>
      </c>
      <c r="D1199" s="6">
        <v>12400</v>
      </c>
      <c r="E1199" s="6" t="s">
        <v>217</v>
      </c>
      <c r="F1199" s="6" t="s">
        <v>16</v>
      </c>
      <c r="G1199" s="6" t="s">
        <v>1295</v>
      </c>
      <c r="H1199" s="6">
        <v>0</v>
      </c>
      <c r="I1199" s="6">
        <v>0</v>
      </c>
      <c r="J1199" s="6">
        <v>8</v>
      </c>
      <c r="K1199" s="6">
        <v>13.375</v>
      </c>
      <c r="L1199" s="6">
        <v>10.9375</v>
      </c>
      <c r="M1199" s="6">
        <v>9.2653060000000007</v>
      </c>
      <c r="N1199" s="6">
        <v>9.2387090000000001</v>
      </c>
      <c r="O1199" s="6">
        <v>8.7126429999999999</v>
      </c>
      <c r="P1199" s="6">
        <v>8.6856360000000006</v>
      </c>
      <c r="Q1199" s="6">
        <v>9.2387090000000001</v>
      </c>
      <c r="R1199" s="6">
        <v>8.7126429999999999</v>
      </c>
      <c r="S1199" s="6">
        <v>8.6856360000000006</v>
      </c>
      <c r="T1199" s="6">
        <v>8.8875729999999997</v>
      </c>
      <c r="U1199" s="6">
        <v>8.6089380000000002</v>
      </c>
      <c r="V1199" s="6">
        <v>8.6174140000000001</v>
      </c>
    </row>
    <row r="1200" spans="2:22">
      <c r="B1200" s="6">
        <v>32503</v>
      </c>
      <c r="C1200" s="6" t="s">
        <v>996</v>
      </c>
      <c r="D1200" s="6">
        <v>20500</v>
      </c>
      <c r="E1200" s="6" t="s">
        <v>31</v>
      </c>
      <c r="F1200" s="6" t="s">
        <v>16</v>
      </c>
      <c r="G1200" s="6" t="s">
        <v>1295</v>
      </c>
      <c r="H1200" s="6">
        <v>0</v>
      </c>
      <c r="I1200" s="6">
        <v>0</v>
      </c>
      <c r="J1200" s="6">
        <v>10</v>
      </c>
      <c r="K1200" s="6">
        <v>10</v>
      </c>
      <c r="L1200" s="6">
        <v>10</v>
      </c>
      <c r="M1200" s="6">
        <v>9.9722220000000004</v>
      </c>
      <c r="N1200" s="6">
        <v>10</v>
      </c>
      <c r="O1200" s="6">
        <v>10</v>
      </c>
      <c r="P1200" s="6">
        <v>9.9904759999999992</v>
      </c>
      <c r="Q1200" s="6">
        <v>10</v>
      </c>
      <c r="R1200" s="6">
        <v>10</v>
      </c>
      <c r="S1200" s="6">
        <v>9.9904759999999992</v>
      </c>
      <c r="T1200" s="6">
        <v>16.909089999999999</v>
      </c>
      <c r="U1200" s="6">
        <v>13.130081000000001</v>
      </c>
      <c r="V1200" s="6">
        <v>12.707865</v>
      </c>
    </row>
    <row r="1201" spans="2:22">
      <c r="B1201" s="6">
        <v>32503</v>
      </c>
      <c r="C1201" s="6" t="s">
        <v>996</v>
      </c>
      <c r="D1201" s="6">
        <v>20920</v>
      </c>
      <c r="E1201" s="6" t="s">
        <v>231</v>
      </c>
      <c r="F1201" s="6" t="s">
        <v>16</v>
      </c>
      <c r="G1201" s="6" t="s">
        <v>1295</v>
      </c>
      <c r="H1201" s="6">
        <v>0</v>
      </c>
      <c r="I1201" s="6">
        <v>0</v>
      </c>
      <c r="J1201" s="6">
        <v>7</v>
      </c>
      <c r="K1201" s="6">
        <v>8.1999999999999993</v>
      </c>
      <c r="L1201" s="6">
        <v>8</v>
      </c>
      <c r="M1201" s="6">
        <v>7.2068960000000004</v>
      </c>
      <c r="N1201" s="6">
        <v>8.1999999999999993</v>
      </c>
      <c r="O1201" s="6">
        <v>8.0909089999999999</v>
      </c>
      <c r="P1201" s="6">
        <v>7.923076</v>
      </c>
      <c r="Q1201" s="6">
        <v>8.1999999999999993</v>
      </c>
      <c r="R1201" s="6">
        <v>8.0909089999999999</v>
      </c>
      <c r="S1201" s="6">
        <v>7.923076</v>
      </c>
      <c r="T1201" s="6">
        <v>8.1999999999999993</v>
      </c>
      <c r="U1201" s="6">
        <v>8.0909089999999999</v>
      </c>
      <c r="V1201" s="6">
        <v>7.923076</v>
      </c>
    </row>
    <row r="1202" spans="2:22">
      <c r="B1202" s="6">
        <v>32503</v>
      </c>
      <c r="C1202" s="6" t="s">
        <v>996</v>
      </c>
      <c r="D1202" s="6">
        <v>23315</v>
      </c>
      <c r="E1202" s="6" t="s">
        <v>246</v>
      </c>
      <c r="F1202" s="6" t="s">
        <v>16</v>
      </c>
      <c r="G1202" s="6" t="s">
        <v>1295</v>
      </c>
      <c r="H1202" s="6">
        <v>0</v>
      </c>
      <c r="I1202" s="6">
        <v>0</v>
      </c>
      <c r="J1202" s="6">
        <v>10</v>
      </c>
      <c r="K1202" s="6">
        <v>10</v>
      </c>
      <c r="L1202" s="6">
        <v>10</v>
      </c>
      <c r="M1202" s="6">
        <v>9.625</v>
      </c>
      <c r="N1202" s="6">
        <v>10</v>
      </c>
      <c r="O1202" s="6">
        <v>10</v>
      </c>
      <c r="P1202" s="6">
        <v>9.6571420000000003</v>
      </c>
      <c r="Q1202" s="6">
        <v>10</v>
      </c>
      <c r="R1202" s="6">
        <v>10</v>
      </c>
      <c r="S1202" s="6">
        <v>9.6571420000000003</v>
      </c>
      <c r="T1202" s="6">
        <v>10</v>
      </c>
      <c r="U1202" s="6">
        <v>10</v>
      </c>
      <c r="V1202" s="6">
        <v>9.6571420000000003</v>
      </c>
    </row>
    <row r="1203" spans="2:22">
      <c r="B1203" s="6">
        <v>32504</v>
      </c>
      <c r="C1203" s="6" t="s">
        <v>1006</v>
      </c>
      <c r="D1203" s="6">
        <v>12400</v>
      </c>
      <c r="E1203" s="6" t="s">
        <v>217</v>
      </c>
      <c r="F1203" s="6" t="s">
        <v>16</v>
      </c>
      <c r="G1203" s="6" t="s">
        <v>1295</v>
      </c>
      <c r="H1203" s="6">
        <v>0</v>
      </c>
      <c r="I1203" s="6">
        <v>0</v>
      </c>
      <c r="J1203" s="6">
        <v>8</v>
      </c>
      <c r="K1203" s="6">
        <v>13.375</v>
      </c>
      <c r="L1203" s="6">
        <v>10.9375</v>
      </c>
      <c r="M1203" s="6">
        <v>9.2653060000000007</v>
      </c>
      <c r="N1203" s="6">
        <v>9.2387090000000001</v>
      </c>
      <c r="O1203" s="6">
        <v>8.7126429999999999</v>
      </c>
      <c r="P1203" s="6">
        <v>8.6856360000000006</v>
      </c>
      <c r="Q1203" s="6">
        <v>9.2387090000000001</v>
      </c>
      <c r="R1203" s="6">
        <v>8.7126429999999999</v>
      </c>
      <c r="S1203" s="6">
        <v>8.6856360000000006</v>
      </c>
      <c r="T1203" s="6">
        <v>8.8875729999999997</v>
      </c>
      <c r="U1203" s="6">
        <v>8.6089380000000002</v>
      </c>
      <c r="V1203" s="6">
        <v>8.6174140000000001</v>
      </c>
    </row>
    <row r="1204" spans="2:22">
      <c r="B1204" s="6">
        <v>32504</v>
      </c>
      <c r="C1204" s="6" t="s">
        <v>1006</v>
      </c>
      <c r="D1204" s="6">
        <v>23311</v>
      </c>
      <c r="E1204" s="6" t="s">
        <v>221</v>
      </c>
      <c r="F1204" s="6" t="s">
        <v>16</v>
      </c>
      <c r="G1204" s="6" t="s">
        <v>1295</v>
      </c>
      <c r="H1204" s="6">
        <v>0</v>
      </c>
      <c r="I1204" s="6">
        <v>0</v>
      </c>
      <c r="J1204" s="6">
        <v>10</v>
      </c>
      <c r="K1204" s="6">
        <v>10</v>
      </c>
      <c r="L1204" s="6">
        <v>10</v>
      </c>
      <c r="M1204" s="6">
        <v>10</v>
      </c>
      <c r="N1204" s="6">
        <v>10.099009000000001</v>
      </c>
      <c r="O1204" s="6">
        <v>10.02364</v>
      </c>
      <c r="P1204" s="6">
        <v>10.011260999999999</v>
      </c>
      <c r="Q1204" s="6">
        <v>10.099009000000001</v>
      </c>
      <c r="R1204" s="6">
        <v>10.02364</v>
      </c>
      <c r="S1204" s="6">
        <v>10.011260999999999</v>
      </c>
      <c r="T1204" s="6">
        <v>10.099009000000001</v>
      </c>
      <c r="U1204" s="6">
        <v>10.02364</v>
      </c>
      <c r="V1204" s="6">
        <v>10.011260999999999</v>
      </c>
    </row>
    <row r="1205" spans="2:22">
      <c r="B1205" s="6">
        <v>32504</v>
      </c>
      <c r="C1205" s="6" t="s">
        <v>1006</v>
      </c>
      <c r="D1205" s="6">
        <v>23315</v>
      </c>
      <c r="E1205" s="6" t="s">
        <v>246</v>
      </c>
      <c r="F1205" s="6" t="s">
        <v>16</v>
      </c>
      <c r="G1205" s="6" t="s">
        <v>1295</v>
      </c>
      <c r="H1205" s="6">
        <v>0</v>
      </c>
      <c r="I1205" s="6">
        <v>0</v>
      </c>
      <c r="J1205" s="6">
        <v>10</v>
      </c>
      <c r="K1205" s="6">
        <v>10</v>
      </c>
      <c r="L1205" s="6">
        <v>10</v>
      </c>
      <c r="M1205" s="6">
        <v>9.625</v>
      </c>
      <c r="N1205" s="6">
        <v>10</v>
      </c>
      <c r="O1205" s="6">
        <v>10</v>
      </c>
      <c r="P1205" s="6">
        <v>9.6571420000000003</v>
      </c>
      <c r="Q1205" s="6">
        <v>10</v>
      </c>
      <c r="R1205" s="6">
        <v>10</v>
      </c>
      <c r="S1205" s="6">
        <v>9.6571420000000003</v>
      </c>
      <c r="T1205" s="6">
        <v>10</v>
      </c>
      <c r="U1205" s="6">
        <v>10</v>
      </c>
      <c r="V1205" s="6">
        <v>9.6571420000000003</v>
      </c>
    </row>
    <row r="1206" spans="2:22">
      <c r="B1206" s="6">
        <v>32504</v>
      </c>
      <c r="C1206" s="6" t="s">
        <v>1006</v>
      </c>
      <c r="D1206" s="6">
        <v>23316</v>
      </c>
      <c r="E1206" s="6" t="s">
        <v>260</v>
      </c>
      <c r="F1206" s="6" t="s">
        <v>16</v>
      </c>
      <c r="G1206" s="6" t="s">
        <v>1295</v>
      </c>
      <c r="H1206" s="6">
        <v>0</v>
      </c>
      <c r="I1206" s="6">
        <v>0</v>
      </c>
      <c r="J1206" s="6">
        <v>10</v>
      </c>
      <c r="K1206" s="6">
        <v>0</v>
      </c>
      <c r="L1206" s="6">
        <v>0</v>
      </c>
      <c r="M1206" s="6">
        <v>10</v>
      </c>
      <c r="N1206" s="6">
        <v>0</v>
      </c>
      <c r="O1206" s="6">
        <v>10</v>
      </c>
      <c r="P1206" s="6">
        <v>10</v>
      </c>
      <c r="Q1206" s="6">
        <v>0</v>
      </c>
      <c r="R1206" s="6">
        <v>10</v>
      </c>
      <c r="S1206" s="6">
        <v>10</v>
      </c>
      <c r="T1206" s="6">
        <v>0</v>
      </c>
      <c r="U1206" s="6">
        <v>10</v>
      </c>
      <c r="V1206" s="6">
        <v>10</v>
      </c>
    </row>
    <row r="1207" spans="2:22">
      <c r="B1207" s="6">
        <v>32507</v>
      </c>
      <c r="C1207" s="6" t="s">
        <v>218</v>
      </c>
      <c r="D1207" s="6">
        <v>12400</v>
      </c>
      <c r="E1207" s="6" t="s">
        <v>217</v>
      </c>
      <c r="F1207" s="6" t="s">
        <v>16</v>
      </c>
      <c r="G1207" s="6" t="s">
        <v>1295</v>
      </c>
      <c r="H1207" s="6">
        <v>0</v>
      </c>
      <c r="I1207" s="6">
        <v>5</v>
      </c>
      <c r="J1207" s="6">
        <v>5.4444439999999998</v>
      </c>
      <c r="K1207" s="6">
        <v>5</v>
      </c>
      <c r="L1207" s="6">
        <v>5</v>
      </c>
      <c r="M1207" s="6">
        <v>6.1</v>
      </c>
      <c r="N1207" s="6">
        <v>5</v>
      </c>
      <c r="O1207" s="6">
        <v>5</v>
      </c>
      <c r="P1207" s="6">
        <v>6.1</v>
      </c>
      <c r="Q1207" s="6">
        <v>5</v>
      </c>
      <c r="R1207" s="6">
        <v>5</v>
      </c>
      <c r="S1207" s="6">
        <v>6.1</v>
      </c>
      <c r="T1207" s="6">
        <v>8.8875729999999997</v>
      </c>
      <c r="U1207" s="6">
        <v>8.6089380000000002</v>
      </c>
      <c r="V1207" s="6">
        <v>8.6174140000000001</v>
      </c>
    </row>
    <row r="1208" spans="2:22">
      <c r="B1208" s="6">
        <v>32507</v>
      </c>
      <c r="C1208" s="6" t="s">
        <v>218</v>
      </c>
      <c r="D1208" s="6">
        <v>20500</v>
      </c>
      <c r="E1208" s="6" t="s">
        <v>31</v>
      </c>
      <c r="F1208" s="6" t="s">
        <v>16</v>
      </c>
      <c r="G1208" s="6" t="s">
        <v>1295</v>
      </c>
      <c r="H1208" s="6">
        <v>0</v>
      </c>
      <c r="I1208" s="6">
        <v>15</v>
      </c>
      <c r="J1208" s="6">
        <v>15</v>
      </c>
      <c r="K1208" s="6">
        <v>15</v>
      </c>
      <c r="L1208" s="6">
        <v>15</v>
      </c>
      <c r="M1208" s="6">
        <v>15</v>
      </c>
      <c r="N1208" s="6">
        <v>15</v>
      </c>
      <c r="O1208" s="6">
        <v>15</v>
      </c>
      <c r="P1208" s="6">
        <v>15</v>
      </c>
      <c r="Q1208" s="6">
        <v>15</v>
      </c>
      <c r="R1208" s="6">
        <v>15</v>
      </c>
      <c r="S1208" s="6">
        <v>15</v>
      </c>
      <c r="T1208" s="6">
        <v>16.909089999999999</v>
      </c>
      <c r="U1208" s="6">
        <v>13.130081000000001</v>
      </c>
      <c r="V1208" s="6">
        <v>12.707865</v>
      </c>
    </row>
    <row r="1209" spans="2:22">
      <c r="B1209" s="6">
        <v>32508</v>
      </c>
      <c r="C1209" s="6" t="s">
        <v>1140</v>
      </c>
      <c r="D1209" s="6">
        <v>20500</v>
      </c>
      <c r="E1209" s="6" t="s">
        <v>31</v>
      </c>
      <c r="F1209" s="6" t="s">
        <v>17</v>
      </c>
      <c r="G1209" s="6" t="s">
        <v>1294</v>
      </c>
      <c r="H1209" s="6">
        <v>0</v>
      </c>
      <c r="I1209" s="6">
        <v>0</v>
      </c>
      <c r="J1209" s="6">
        <v>25</v>
      </c>
      <c r="K1209" s="6">
        <v>26.179282000000001</v>
      </c>
      <c r="L1209" s="6">
        <v>26.186138</v>
      </c>
      <c r="M1209" s="6">
        <v>25.935728999999998</v>
      </c>
      <c r="N1209" s="6">
        <v>26.108958000000001</v>
      </c>
      <c r="O1209" s="6">
        <v>26.328648000000001</v>
      </c>
      <c r="P1209" s="6">
        <v>26.003786000000002</v>
      </c>
      <c r="Q1209" s="6">
        <v>26.101534000000001</v>
      </c>
      <c r="R1209" s="6">
        <v>26.316153</v>
      </c>
      <c r="S1209" s="6">
        <v>25.991613999999998</v>
      </c>
      <c r="T1209" s="6">
        <v>25.645997000000001</v>
      </c>
      <c r="U1209" s="6">
        <v>25.223958</v>
      </c>
      <c r="V1209" s="6">
        <v>24.770192999999999</v>
      </c>
    </row>
    <row r="1210" spans="2:22">
      <c r="B1210" s="6">
        <v>32508</v>
      </c>
      <c r="C1210" s="6" t="s">
        <v>1140</v>
      </c>
      <c r="D1210" s="6">
        <v>20702</v>
      </c>
      <c r="E1210" s="6" t="s">
        <v>44</v>
      </c>
      <c r="F1210" s="6" t="s">
        <v>17</v>
      </c>
      <c r="G1210" s="6" t="s">
        <v>1294</v>
      </c>
      <c r="H1210" s="6">
        <v>0</v>
      </c>
      <c r="I1210" s="6">
        <v>0</v>
      </c>
      <c r="J1210" s="6">
        <v>35</v>
      </c>
      <c r="K1210" s="6">
        <v>34.902597</v>
      </c>
      <c r="L1210" s="6">
        <v>34.946427999999997</v>
      </c>
      <c r="M1210" s="6">
        <v>34.934041999999998</v>
      </c>
      <c r="N1210" s="6">
        <v>34.893103000000004</v>
      </c>
      <c r="O1210" s="6">
        <v>34.949179999999998</v>
      </c>
      <c r="P1210" s="6">
        <v>34.926701000000001</v>
      </c>
      <c r="Q1210" s="6">
        <v>34.894556999999999</v>
      </c>
      <c r="R1210" s="6">
        <v>34.950949000000001</v>
      </c>
      <c r="S1210" s="6">
        <v>34.883485</v>
      </c>
      <c r="T1210" s="6">
        <v>34.894556999999999</v>
      </c>
      <c r="U1210" s="6">
        <v>34.950949000000001</v>
      </c>
      <c r="V1210" s="6">
        <v>34.883485</v>
      </c>
    </row>
    <row r="1211" spans="2:22">
      <c r="B1211" s="6">
        <v>32508</v>
      </c>
      <c r="C1211" s="6" t="s">
        <v>1140</v>
      </c>
      <c r="D1211" s="6">
        <v>20902</v>
      </c>
      <c r="E1211" s="6" t="s">
        <v>53</v>
      </c>
      <c r="F1211" s="6" t="s">
        <v>13</v>
      </c>
      <c r="G1211" s="6" t="s">
        <v>14</v>
      </c>
      <c r="H1211" s="6">
        <v>0</v>
      </c>
      <c r="I1211" s="6">
        <v>0</v>
      </c>
      <c r="J1211" s="6">
        <v>15</v>
      </c>
      <c r="K1211" s="6">
        <v>18.635802000000002</v>
      </c>
      <c r="L1211" s="6">
        <v>18.195121</v>
      </c>
      <c r="M1211" s="6">
        <v>17.625368000000002</v>
      </c>
      <c r="N1211" s="6">
        <v>19.181818</v>
      </c>
      <c r="O1211" s="6">
        <v>19.119288999999998</v>
      </c>
      <c r="P1211" s="6">
        <v>18.784502</v>
      </c>
      <c r="Q1211" s="6">
        <v>19.181818</v>
      </c>
      <c r="R1211" s="6">
        <v>19.101835999999999</v>
      </c>
      <c r="S1211" s="6">
        <v>18.763134000000001</v>
      </c>
      <c r="T1211" s="6">
        <v>19.181818</v>
      </c>
      <c r="U1211" s="6">
        <v>19.101835999999999</v>
      </c>
      <c r="V1211" s="6">
        <v>18.763134000000001</v>
      </c>
    </row>
    <row r="1212" spans="2:22">
      <c r="B1212" s="6">
        <v>32508</v>
      </c>
      <c r="C1212" s="6" t="s">
        <v>1140</v>
      </c>
      <c r="D1212" s="6">
        <v>20906</v>
      </c>
      <c r="E1212" s="6" t="s">
        <v>48</v>
      </c>
      <c r="F1212" s="6" t="s">
        <v>49</v>
      </c>
      <c r="G1212" s="6" t="s">
        <v>1296</v>
      </c>
      <c r="H1212" s="6">
        <v>0</v>
      </c>
      <c r="I1212" s="6">
        <v>0</v>
      </c>
      <c r="J1212" s="6">
        <v>17</v>
      </c>
      <c r="K1212" s="6">
        <v>16.992394999999998</v>
      </c>
      <c r="L1212" s="6">
        <v>16.951830000000001</v>
      </c>
      <c r="M1212" s="6">
        <v>17.405908</v>
      </c>
      <c r="N1212" s="6">
        <v>17.016705999999999</v>
      </c>
      <c r="O1212" s="6">
        <v>16.954350000000002</v>
      </c>
      <c r="P1212" s="6">
        <v>17.537869000000001</v>
      </c>
      <c r="Q1212" s="6">
        <v>17.016335999999999</v>
      </c>
      <c r="R1212" s="6">
        <v>16.958155999999999</v>
      </c>
      <c r="S1212" s="6">
        <v>17.538882000000001</v>
      </c>
      <c r="T1212" s="6">
        <v>17.016335999999999</v>
      </c>
      <c r="U1212" s="6">
        <v>16.958155999999999</v>
      </c>
      <c r="V1212" s="6">
        <v>17.538882000000001</v>
      </c>
    </row>
    <row r="1213" spans="2:22">
      <c r="B1213" s="6">
        <v>32510</v>
      </c>
      <c r="C1213" s="6" t="s">
        <v>1046</v>
      </c>
      <c r="D1213" s="6">
        <v>20500</v>
      </c>
      <c r="E1213" s="6" t="s">
        <v>31</v>
      </c>
      <c r="F1213" s="6" t="s">
        <v>17</v>
      </c>
      <c r="G1213" s="6" t="s">
        <v>1294</v>
      </c>
      <c r="H1213" s="6">
        <v>0</v>
      </c>
      <c r="I1213" s="6">
        <v>0</v>
      </c>
      <c r="J1213" s="6">
        <v>25</v>
      </c>
      <c r="K1213" s="6">
        <v>26.046875</v>
      </c>
      <c r="L1213" s="6">
        <v>26.199541</v>
      </c>
      <c r="M1213" s="6">
        <v>26.109717</v>
      </c>
      <c r="N1213" s="6">
        <v>26.108958000000001</v>
      </c>
      <c r="O1213" s="6">
        <v>26.328648000000001</v>
      </c>
      <c r="P1213" s="6">
        <v>26.003786000000002</v>
      </c>
      <c r="Q1213" s="6">
        <v>26.101534000000001</v>
      </c>
      <c r="R1213" s="6">
        <v>26.316153</v>
      </c>
      <c r="S1213" s="6">
        <v>25.991613999999998</v>
      </c>
      <c r="T1213" s="6">
        <v>25.645997000000001</v>
      </c>
      <c r="U1213" s="6">
        <v>25.223958</v>
      </c>
      <c r="V1213" s="6">
        <v>24.770192999999999</v>
      </c>
    </row>
    <row r="1214" spans="2:22">
      <c r="B1214" s="6">
        <v>32510</v>
      </c>
      <c r="C1214" s="6" t="s">
        <v>1046</v>
      </c>
      <c r="D1214" s="6">
        <v>20702</v>
      </c>
      <c r="E1214" s="6" t="s">
        <v>44</v>
      </c>
      <c r="F1214" s="6" t="s">
        <v>17</v>
      </c>
      <c r="G1214" s="6" t="s">
        <v>1294</v>
      </c>
      <c r="H1214" s="6">
        <v>0</v>
      </c>
      <c r="I1214" s="6">
        <v>0</v>
      </c>
      <c r="J1214" s="6">
        <v>35</v>
      </c>
      <c r="K1214" s="6">
        <v>34.851851000000003</v>
      </c>
      <c r="L1214" s="6">
        <v>34.933332999999998</v>
      </c>
      <c r="M1214" s="6">
        <v>34.897097000000002</v>
      </c>
      <c r="N1214" s="6">
        <v>34.893103000000004</v>
      </c>
      <c r="O1214" s="6">
        <v>34.949179999999998</v>
      </c>
      <c r="P1214" s="6">
        <v>34.926701000000001</v>
      </c>
      <c r="Q1214" s="6">
        <v>34.894556999999999</v>
      </c>
      <c r="R1214" s="6">
        <v>34.950949000000001</v>
      </c>
      <c r="S1214" s="6">
        <v>34.883485</v>
      </c>
      <c r="T1214" s="6">
        <v>34.894556999999999</v>
      </c>
      <c r="U1214" s="6">
        <v>34.950949000000001</v>
      </c>
      <c r="V1214" s="6">
        <v>34.883485</v>
      </c>
    </row>
    <row r="1215" spans="2:22">
      <c r="B1215" s="6">
        <v>32510</v>
      </c>
      <c r="C1215" s="6" t="s">
        <v>1046</v>
      </c>
      <c r="D1215" s="6">
        <v>20902</v>
      </c>
      <c r="E1215" s="6" t="s">
        <v>53</v>
      </c>
      <c r="F1215" s="6" t="s">
        <v>13</v>
      </c>
      <c r="G1215" s="6" t="s">
        <v>14</v>
      </c>
      <c r="H1215" s="6">
        <v>0</v>
      </c>
      <c r="I1215" s="6">
        <v>0</v>
      </c>
      <c r="J1215" s="6">
        <v>15</v>
      </c>
      <c r="K1215" s="6">
        <v>18.622046999999998</v>
      </c>
      <c r="L1215" s="6">
        <v>18.557046</v>
      </c>
      <c r="M1215" s="6">
        <v>18.643459</v>
      </c>
      <c r="N1215" s="6">
        <v>19.181818</v>
      </c>
      <c r="O1215" s="6">
        <v>19.119288999999998</v>
      </c>
      <c r="P1215" s="6">
        <v>18.784502</v>
      </c>
      <c r="Q1215" s="6">
        <v>19.181818</v>
      </c>
      <c r="R1215" s="6">
        <v>19.101835999999999</v>
      </c>
      <c r="S1215" s="6">
        <v>18.763134000000001</v>
      </c>
      <c r="T1215" s="6">
        <v>19.181818</v>
      </c>
      <c r="U1215" s="6">
        <v>19.101835999999999</v>
      </c>
      <c r="V1215" s="6">
        <v>18.763134000000001</v>
      </c>
    </row>
    <row r="1216" spans="2:22">
      <c r="B1216" s="6">
        <v>32510</v>
      </c>
      <c r="C1216" s="6" t="s">
        <v>1046</v>
      </c>
      <c r="D1216" s="6">
        <v>20906</v>
      </c>
      <c r="E1216" s="6" t="s">
        <v>48</v>
      </c>
      <c r="F1216" s="6" t="s">
        <v>49</v>
      </c>
      <c r="G1216" s="6" t="s">
        <v>1296</v>
      </c>
      <c r="H1216" s="6">
        <v>0</v>
      </c>
      <c r="I1216" s="6">
        <v>0</v>
      </c>
      <c r="J1216" s="6">
        <v>20</v>
      </c>
      <c r="K1216" s="6">
        <v>17.229590999999999</v>
      </c>
      <c r="L1216" s="6">
        <v>17.052391</v>
      </c>
      <c r="M1216" s="6">
        <v>17.431988</v>
      </c>
      <c r="N1216" s="6">
        <v>17.016705999999999</v>
      </c>
      <c r="O1216" s="6">
        <v>16.954350000000002</v>
      </c>
      <c r="P1216" s="6">
        <v>17.537869000000001</v>
      </c>
      <c r="Q1216" s="6">
        <v>17.016335999999999</v>
      </c>
      <c r="R1216" s="6">
        <v>16.958155999999999</v>
      </c>
      <c r="S1216" s="6">
        <v>17.538882000000001</v>
      </c>
      <c r="T1216" s="6">
        <v>17.016335999999999</v>
      </c>
      <c r="U1216" s="6">
        <v>16.958155999999999</v>
      </c>
      <c r="V1216" s="6">
        <v>17.538882000000001</v>
      </c>
    </row>
    <row r="1217" spans="2:22">
      <c r="B1217" s="6">
        <v>32513</v>
      </c>
      <c r="C1217" s="6" t="s">
        <v>1080</v>
      </c>
      <c r="D1217" s="6">
        <v>20500</v>
      </c>
      <c r="E1217" s="6" t="s">
        <v>31</v>
      </c>
      <c r="F1217" s="6" t="s">
        <v>17</v>
      </c>
      <c r="G1217" s="6" t="s">
        <v>1294</v>
      </c>
      <c r="H1217" s="6">
        <v>0</v>
      </c>
      <c r="I1217" s="6">
        <v>0</v>
      </c>
      <c r="J1217" s="6">
        <v>25</v>
      </c>
      <c r="K1217" s="6">
        <v>26.046875</v>
      </c>
      <c r="L1217" s="6">
        <v>26.199541</v>
      </c>
      <c r="M1217" s="6">
        <v>26.109717</v>
      </c>
      <c r="N1217" s="6">
        <v>26.108958000000001</v>
      </c>
      <c r="O1217" s="6">
        <v>26.328648000000001</v>
      </c>
      <c r="P1217" s="6">
        <v>26.003786000000002</v>
      </c>
      <c r="Q1217" s="6">
        <v>26.101534000000001</v>
      </c>
      <c r="R1217" s="6">
        <v>26.316153</v>
      </c>
      <c r="S1217" s="6">
        <v>25.991613999999998</v>
      </c>
      <c r="T1217" s="6">
        <v>25.645997000000001</v>
      </c>
      <c r="U1217" s="6">
        <v>25.223958</v>
      </c>
      <c r="V1217" s="6">
        <v>24.770192999999999</v>
      </c>
    </row>
    <row r="1218" spans="2:22">
      <c r="B1218" s="6">
        <v>32513</v>
      </c>
      <c r="C1218" s="6" t="s">
        <v>1080</v>
      </c>
      <c r="D1218" s="6">
        <v>20702</v>
      </c>
      <c r="E1218" s="6" t="s">
        <v>44</v>
      </c>
      <c r="F1218" s="6" t="s">
        <v>17</v>
      </c>
      <c r="G1218" s="6" t="s">
        <v>1294</v>
      </c>
      <c r="H1218" s="6">
        <v>0</v>
      </c>
      <c r="I1218" s="6">
        <v>0</v>
      </c>
      <c r="J1218" s="6">
        <v>35</v>
      </c>
      <c r="K1218" s="6">
        <v>34.851851000000003</v>
      </c>
      <c r="L1218" s="6">
        <v>34.933332999999998</v>
      </c>
      <c r="M1218" s="6">
        <v>34.897097000000002</v>
      </c>
      <c r="N1218" s="6">
        <v>34.893103000000004</v>
      </c>
      <c r="O1218" s="6">
        <v>34.949179999999998</v>
      </c>
      <c r="P1218" s="6">
        <v>34.926701000000001</v>
      </c>
      <c r="Q1218" s="6">
        <v>34.894556999999999</v>
      </c>
      <c r="R1218" s="6">
        <v>34.950949000000001</v>
      </c>
      <c r="S1218" s="6">
        <v>34.883485</v>
      </c>
      <c r="T1218" s="6">
        <v>34.894556999999999</v>
      </c>
      <c r="U1218" s="6">
        <v>34.950949000000001</v>
      </c>
      <c r="V1218" s="6">
        <v>34.883485</v>
      </c>
    </row>
    <row r="1219" spans="2:22">
      <c r="B1219" s="6">
        <v>32513</v>
      </c>
      <c r="C1219" s="6" t="s">
        <v>1080</v>
      </c>
      <c r="D1219" s="6">
        <v>20902</v>
      </c>
      <c r="E1219" s="6" t="s">
        <v>53</v>
      </c>
      <c r="F1219" s="6" t="s">
        <v>13</v>
      </c>
      <c r="G1219" s="6" t="s">
        <v>14</v>
      </c>
      <c r="H1219" s="6">
        <v>0</v>
      </c>
      <c r="I1219" s="6">
        <v>0</v>
      </c>
      <c r="J1219" s="6">
        <v>15</v>
      </c>
      <c r="K1219" s="6">
        <v>18.622046999999998</v>
      </c>
      <c r="L1219" s="6">
        <v>18.557046</v>
      </c>
      <c r="M1219" s="6">
        <v>18.643459</v>
      </c>
      <c r="N1219" s="6">
        <v>19.181818</v>
      </c>
      <c r="O1219" s="6">
        <v>19.119288999999998</v>
      </c>
      <c r="P1219" s="6">
        <v>18.784502</v>
      </c>
      <c r="Q1219" s="6">
        <v>19.181818</v>
      </c>
      <c r="R1219" s="6">
        <v>19.101835999999999</v>
      </c>
      <c r="S1219" s="6">
        <v>18.763134000000001</v>
      </c>
      <c r="T1219" s="6">
        <v>19.181818</v>
      </c>
      <c r="U1219" s="6">
        <v>19.101835999999999</v>
      </c>
      <c r="V1219" s="6">
        <v>18.763134000000001</v>
      </c>
    </row>
    <row r="1220" spans="2:22">
      <c r="B1220" s="6">
        <v>32513</v>
      </c>
      <c r="C1220" s="6" t="s">
        <v>1080</v>
      </c>
      <c r="D1220" s="6">
        <v>20906</v>
      </c>
      <c r="E1220" s="6" t="s">
        <v>48</v>
      </c>
      <c r="F1220" s="6" t="s">
        <v>49</v>
      </c>
      <c r="G1220" s="6" t="s">
        <v>1296</v>
      </c>
      <c r="H1220" s="6">
        <v>0</v>
      </c>
      <c r="I1220" s="6">
        <v>0</v>
      </c>
      <c r="J1220" s="6">
        <v>20</v>
      </c>
      <c r="K1220" s="6">
        <v>17.229590999999999</v>
      </c>
      <c r="L1220" s="6">
        <v>17.052391</v>
      </c>
      <c r="M1220" s="6">
        <v>17.431988</v>
      </c>
      <c r="N1220" s="6">
        <v>17.016705999999999</v>
      </c>
      <c r="O1220" s="6">
        <v>16.954350000000002</v>
      </c>
      <c r="P1220" s="6">
        <v>17.537869000000001</v>
      </c>
      <c r="Q1220" s="6">
        <v>17.016335999999999</v>
      </c>
      <c r="R1220" s="6">
        <v>16.958155999999999</v>
      </c>
      <c r="S1220" s="6">
        <v>17.538882000000001</v>
      </c>
      <c r="T1220" s="6">
        <v>17.016335999999999</v>
      </c>
      <c r="U1220" s="6">
        <v>16.958155999999999</v>
      </c>
      <c r="V1220" s="6">
        <v>17.538882000000001</v>
      </c>
    </row>
    <row r="1221" spans="2:22">
      <c r="B1221" s="6">
        <v>32521</v>
      </c>
      <c r="C1221" s="6" t="s">
        <v>1114</v>
      </c>
      <c r="D1221" s="6">
        <v>20500</v>
      </c>
      <c r="E1221" s="6" t="s">
        <v>31</v>
      </c>
      <c r="F1221" s="6" t="s">
        <v>17</v>
      </c>
      <c r="G1221" s="6" t="s">
        <v>1294</v>
      </c>
      <c r="H1221" s="6">
        <v>25</v>
      </c>
      <c r="I1221" s="6">
        <v>25</v>
      </c>
      <c r="J1221" s="6">
        <v>25</v>
      </c>
      <c r="K1221" s="6">
        <v>26.046875</v>
      </c>
      <c r="L1221" s="6">
        <v>26.199541</v>
      </c>
      <c r="M1221" s="6">
        <v>26.109717</v>
      </c>
      <c r="N1221" s="6">
        <v>26.108958000000001</v>
      </c>
      <c r="O1221" s="6">
        <v>26.328648000000001</v>
      </c>
      <c r="P1221" s="6">
        <v>26.003786000000002</v>
      </c>
      <c r="Q1221" s="6">
        <v>26.101534000000001</v>
      </c>
      <c r="R1221" s="6">
        <v>26.316153</v>
      </c>
      <c r="S1221" s="6">
        <v>25.991613999999998</v>
      </c>
      <c r="T1221" s="6">
        <v>25.645997000000001</v>
      </c>
      <c r="U1221" s="6">
        <v>25.223958</v>
      </c>
      <c r="V1221" s="6">
        <v>24.770192999999999</v>
      </c>
    </row>
    <row r="1222" spans="2:22">
      <c r="B1222" s="6">
        <v>32521</v>
      </c>
      <c r="C1222" s="6" t="s">
        <v>1114</v>
      </c>
      <c r="D1222" s="6">
        <v>20706</v>
      </c>
      <c r="E1222" s="6" t="s">
        <v>52</v>
      </c>
      <c r="F1222" s="6" t="s">
        <v>17</v>
      </c>
      <c r="G1222" s="6" t="s">
        <v>1294</v>
      </c>
      <c r="H1222" s="6">
        <v>40</v>
      </c>
      <c r="I1222" s="6">
        <v>40</v>
      </c>
      <c r="J1222" s="6">
        <v>40</v>
      </c>
      <c r="K1222" s="6">
        <v>39.625</v>
      </c>
      <c r="L1222" s="6">
        <v>39.852941000000001</v>
      </c>
      <c r="M1222" s="6">
        <v>39.894365999999998</v>
      </c>
      <c r="N1222" s="6">
        <v>39.962778999999998</v>
      </c>
      <c r="O1222" s="6">
        <v>39.971750999999998</v>
      </c>
      <c r="P1222" s="6">
        <v>39.969020999999998</v>
      </c>
      <c r="Q1222" s="6">
        <v>39.963768000000002</v>
      </c>
      <c r="R1222" s="6">
        <v>39.972496999999997</v>
      </c>
      <c r="S1222" s="6">
        <v>39.969659999999998</v>
      </c>
      <c r="T1222" s="6">
        <v>39.867787999999997</v>
      </c>
      <c r="U1222" s="6">
        <v>39.928649</v>
      </c>
      <c r="V1222" s="6">
        <v>39.945453999999998</v>
      </c>
    </row>
    <row r="1223" spans="2:22">
      <c r="B1223" s="6">
        <v>32521</v>
      </c>
      <c r="C1223" s="6" t="s">
        <v>1114</v>
      </c>
      <c r="D1223" s="6">
        <v>20902</v>
      </c>
      <c r="E1223" s="6" t="s">
        <v>53</v>
      </c>
      <c r="F1223" s="6" t="s">
        <v>13</v>
      </c>
      <c r="G1223" s="6" t="s">
        <v>14</v>
      </c>
      <c r="H1223" s="6">
        <v>15</v>
      </c>
      <c r="I1223" s="6">
        <v>15</v>
      </c>
      <c r="J1223" s="6">
        <v>15</v>
      </c>
      <c r="K1223" s="6">
        <v>18.622046999999998</v>
      </c>
      <c r="L1223" s="6">
        <v>18.557046</v>
      </c>
      <c r="M1223" s="6">
        <v>18.643459</v>
      </c>
      <c r="N1223" s="6">
        <v>19.181818</v>
      </c>
      <c r="O1223" s="6">
        <v>19.119288999999998</v>
      </c>
      <c r="P1223" s="6">
        <v>18.784502</v>
      </c>
      <c r="Q1223" s="6">
        <v>19.181818</v>
      </c>
      <c r="R1223" s="6">
        <v>19.101835999999999</v>
      </c>
      <c r="S1223" s="6">
        <v>18.763134000000001</v>
      </c>
      <c r="T1223" s="6">
        <v>19.181818</v>
      </c>
      <c r="U1223" s="6">
        <v>19.101835999999999</v>
      </c>
      <c r="V1223" s="6">
        <v>18.763134000000001</v>
      </c>
    </row>
    <row r="1224" spans="2:22">
      <c r="B1224" s="6">
        <v>32521</v>
      </c>
      <c r="C1224" s="6" t="s">
        <v>1114</v>
      </c>
      <c r="D1224" s="6">
        <v>20906</v>
      </c>
      <c r="E1224" s="6" t="s">
        <v>48</v>
      </c>
      <c r="F1224" s="6" t="s">
        <v>49</v>
      </c>
      <c r="G1224" s="6" t="s">
        <v>1296</v>
      </c>
      <c r="H1224" s="6">
        <v>18.2</v>
      </c>
      <c r="I1224" s="6">
        <v>17.666665999999999</v>
      </c>
      <c r="J1224" s="6">
        <v>17.666665999999999</v>
      </c>
      <c r="K1224" s="6">
        <v>17.229590999999999</v>
      </c>
      <c r="L1224" s="6">
        <v>17.052391</v>
      </c>
      <c r="M1224" s="6">
        <v>17.431988</v>
      </c>
      <c r="N1224" s="6">
        <v>17.016705999999999</v>
      </c>
      <c r="O1224" s="6">
        <v>16.954350000000002</v>
      </c>
      <c r="P1224" s="6">
        <v>17.537869000000001</v>
      </c>
      <c r="Q1224" s="6">
        <v>17.016335999999999</v>
      </c>
      <c r="R1224" s="6">
        <v>16.958155999999999</v>
      </c>
      <c r="S1224" s="6">
        <v>17.538882000000001</v>
      </c>
      <c r="T1224" s="6">
        <v>17.016335999999999</v>
      </c>
      <c r="U1224" s="6">
        <v>16.958155999999999</v>
      </c>
      <c r="V1224" s="6">
        <v>17.538882000000001</v>
      </c>
    </row>
    <row r="1225" spans="2:22">
      <c r="B1225" s="6">
        <v>32522</v>
      </c>
      <c r="C1225" s="6" t="s">
        <v>1138</v>
      </c>
      <c r="D1225" s="6">
        <v>20500</v>
      </c>
      <c r="E1225" s="6" t="s">
        <v>31</v>
      </c>
      <c r="F1225" s="6" t="s">
        <v>17</v>
      </c>
      <c r="G1225" s="6" t="s">
        <v>1294</v>
      </c>
      <c r="H1225" s="6">
        <v>25</v>
      </c>
      <c r="I1225" s="6">
        <v>25</v>
      </c>
      <c r="J1225" s="6">
        <v>24.782608</v>
      </c>
      <c r="K1225" s="6">
        <v>26.046875</v>
      </c>
      <c r="L1225" s="6">
        <v>26.199541</v>
      </c>
      <c r="M1225" s="6">
        <v>26.109717</v>
      </c>
      <c r="N1225" s="6">
        <v>26.108958000000001</v>
      </c>
      <c r="O1225" s="6">
        <v>26.328648000000001</v>
      </c>
      <c r="P1225" s="6">
        <v>26.003786000000002</v>
      </c>
      <c r="Q1225" s="6">
        <v>26.101534000000001</v>
      </c>
      <c r="R1225" s="6">
        <v>26.316153</v>
      </c>
      <c r="S1225" s="6">
        <v>25.991613999999998</v>
      </c>
      <c r="T1225" s="6">
        <v>25.645997000000001</v>
      </c>
      <c r="U1225" s="6">
        <v>25.223958</v>
      </c>
      <c r="V1225" s="6">
        <v>24.770192999999999</v>
      </c>
    </row>
    <row r="1226" spans="2:22">
      <c r="B1226" s="6">
        <v>32522</v>
      </c>
      <c r="C1226" s="6" t="s">
        <v>1138</v>
      </c>
      <c r="D1226" s="6">
        <v>20706</v>
      </c>
      <c r="E1226" s="6" t="s">
        <v>52</v>
      </c>
      <c r="F1226" s="6" t="s">
        <v>17</v>
      </c>
      <c r="G1226" s="6" t="s">
        <v>1294</v>
      </c>
      <c r="H1226" s="6">
        <v>40</v>
      </c>
      <c r="I1226" s="6">
        <v>40</v>
      </c>
      <c r="J1226" s="6">
        <v>40</v>
      </c>
      <c r="K1226" s="6">
        <v>39.625</v>
      </c>
      <c r="L1226" s="6">
        <v>39.852941000000001</v>
      </c>
      <c r="M1226" s="6">
        <v>39.894365999999998</v>
      </c>
      <c r="N1226" s="6">
        <v>39.962778999999998</v>
      </c>
      <c r="O1226" s="6">
        <v>39.971750999999998</v>
      </c>
      <c r="P1226" s="6">
        <v>39.969020999999998</v>
      </c>
      <c r="Q1226" s="6">
        <v>39.963768000000002</v>
      </c>
      <c r="R1226" s="6">
        <v>39.972496999999997</v>
      </c>
      <c r="S1226" s="6">
        <v>39.969659999999998</v>
      </c>
      <c r="T1226" s="6">
        <v>39.867787999999997</v>
      </c>
      <c r="U1226" s="6">
        <v>39.928649</v>
      </c>
      <c r="V1226" s="6">
        <v>39.945453999999998</v>
      </c>
    </row>
    <row r="1227" spans="2:22">
      <c r="B1227" s="6">
        <v>32522</v>
      </c>
      <c r="C1227" s="6" t="s">
        <v>1138</v>
      </c>
      <c r="D1227" s="6">
        <v>20902</v>
      </c>
      <c r="E1227" s="6" t="s">
        <v>53</v>
      </c>
      <c r="F1227" s="6" t="s">
        <v>13</v>
      </c>
      <c r="G1227" s="6" t="s">
        <v>14</v>
      </c>
      <c r="H1227" s="6">
        <v>15</v>
      </c>
      <c r="I1227" s="6">
        <v>15</v>
      </c>
      <c r="J1227" s="6">
        <v>15</v>
      </c>
      <c r="K1227" s="6">
        <v>18.622046999999998</v>
      </c>
      <c r="L1227" s="6">
        <v>18.557046</v>
      </c>
      <c r="M1227" s="6">
        <v>18.643459</v>
      </c>
      <c r="N1227" s="6">
        <v>19.181818</v>
      </c>
      <c r="O1227" s="6">
        <v>19.119288999999998</v>
      </c>
      <c r="P1227" s="6">
        <v>18.784502</v>
      </c>
      <c r="Q1227" s="6">
        <v>19.181818</v>
      </c>
      <c r="R1227" s="6">
        <v>19.101835999999999</v>
      </c>
      <c r="S1227" s="6">
        <v>18.763134000000001</v>
      </c>
      <c r="T1227" s="6">
        <v>19.181818</v>
      </c>
      <c r="U1227" s="6">
        <v>19.101835999999999</v>
      </c>
      <c r="V1227" s="6">
        <v>18.763134000000001</v>
      </c>
    </row>
    <row r="1228" spans="2:22">
      <c r="B1228" s="6">
        <v>32522</v>
      </c>
      <c r="C1228" s="6" t="s">
        <v>1138</v>
      </c>
      <c r="D1228" s="6">
        <v>20906</v>
      </c>
      <c r="E1228" s="6" t="s">
        <v>48</v>
      </c>
      <c r="F1228" s="6" t="s">
        <v>49</v>
      </c>
      <c r="G1228" s="6" t="s">
        <v>1296</v>
      </c>
      <c r="H1228" s="6">
        <v>17</v>
      </c>
      <c r="I1228" s="6">
        <v>17</v>
      </c>
      <c r="J1228" s="6">
        <v>17.260869</v>
      </c>
      <c r="K1228" s="6">
        <v>17.229590999999999</v>
      </c>
      <c r="L1228" s="6">
        <v>17.052391</v>
      </c>
      <c r="M1228" s="6">
        <v>17.431988</v>
      </c>
      <c r="N1228" s="6">
        <v>17.016705999999999</v>
      </c>
      <c r="O1228" s="6">
        <v>16.954350000000002</v>
      </c>
      <c r="P1228" s="6">
        <v>17.537869000000001</v>
      </c>
      <c r="Q1228" s="6">
        <v>17.016335999999999</v>
      </c>
      <c r="R1228" s="6">
        <v>16.958155999999999</v>
      </c>
      <c r="S1228" s="6">
        <v>17.538882000000001</v>
      </c>
      <c r="T1228" s="6">
        <v>17.016335999999999</v>
      </c>
      <c r="U1228" s="6">
        <v>16.958155999999999</v>
      </c>
      <c r="V1228" s="6">
        <v>17.538882000000001</v>
      </c>
    </row>
    <row r="1229" spans="2:22">
      <c r="B1229" s="6">
        <v>32523</v>
      </c>
      <c r="C1229" s="6" t="s">
        <v>1126</v>
      </c>
      <c r="D1229" s="6">
        <v>20500</v>
      </c>
      <c r="E1229" s="6" t="s">
        <v>31</v>
      </c>
      <c r="F1229" s="6" t="s">
        <v>17</v>
      </c>
      <c r="G1229" s="6" t="s">
        <v>1294</v>
      </c>
      <c r="H1229" s="6">
        <v>0</v>
      </c>
      <c r="I1229" s="6">
        <v>25</v>
      </c>
      <c r="J1229" s="6">
        <v>25</v>
      </c>
      <c r="K1229" s="6">
        <v>26.046875</v>
      </c>
      <c r="L1229" s="6">
        <v>26.199541</v>
      </c>
      <c r="M1229" s="6">
        <v>26.109717</v>
      </c>
      <c r="N1229" s="6">
        <v>26.108958000000001</v>
      </c>
      <c r="O1229" s="6">
        <v>26.328648000000001</v>
      </c>
      <c r="P1229" s="6">
        <v>26.003786000000002</v>
      </c>
      <c r="Q1229" s="6">
        <v>26.101534000000001</v>
      </c>
      <c r="R1229" s="6">
        <v>26.316153</v>
      </c>
      <c r="S1229" s="6">
        <v>25.991613999999998</v>
      </c>
      <c r="T1229" s="6">
        <v>25.645997000000001</v>
      </c>
      <c r="U1229" s="6">
        <v>25.223958</v>
      </c>
      <c r="V1229" s="6">
        <v>24.770192999999999</v>
      </c>
    </row>
    <row r="1230" spans="2:22">
      <c r="B1230" s="6">
        <v>32523</v>
      </c>
      <c r="C1230" s="6" t="s">
        <v>1126</v>
      </c>
      <c r="D1230" s="6">
        <v>20706</v>
      </c>
      <c r="E1230" s="6" t="s">
        <v>52</v>
      </c>
      <c r="F1230" s="6" t="s">
        <v>17</v>
      </c>
      <c r="G1230" s="6" t="s">
        <v>1294</v>
      </c>
      <c r="H1230" s="6">
        <v>0</v>
      </c>
      <c r="I1230" s="6">
        <v>40</v>
      </c>
      <c r="J1230" s="6">
        <v>40</v>
      </c>
      <c r="K1230" s="6">
        <v>39.625</v>
      </c>
      <c r="L1230" s="6">
        <v>39.852941000000001</v>
      </c>
      <c r="M1230" s="6">
        <v>39.894365999999998</v>
      </c>
      <c r="N1230" s="6">
        <v>39.962778999999998</v>
      </c>
      <c r="O1230" s="6">
        <v>39.971750999999998</v>
      </c>
      <c r="P1230" s="6">
        <v>39.969020999999998</v>
      </c>
      <c r="Q1230" s="6">
        <v>39.963768000000002</v>
      </c>
      <c r="R1230" s="6">
        <v>39.972496999999997</v>
      </c>
      <c r="S1230" s="6">
        <v>39.969659999999998</v>
      </c>
      <c r="T1230" s="6">
        <v>39.867787999999997</v>
      </c>
      <c r="U1230" s="6">
        <v>39.928649</v>
      </c>
      <c r="V1230" s="6">
        <v>39.945453999999998</v>
      </c>
    </row>
    <row r="1231" spans="2:22">
      <c r="B1231" s="6">
        <v>32523</v>
      </c>
      <c r="C1231" s="6" t="s">
        <v>1126</v>
      </c>
      <c r="D1231" s="6">
        <v>20902</v>
      </c>
      <c r="E1231" s="6" t="s">
        <v>53</v>
      </c>
      <c r="F1231" s="6" t="s">
        <v>13</v>
      </c>
      <c r="G1231" s="6" t="s">
        <v>14</v>
      </c>
      <c r="H1231" s="6">
        <v>0</v>
      </c>
      <c r="I1231" s="6">
        <v>15</v>
      </c>
      <c r="J1231" s="6">
        <v>15</v>
      </c>
      <c r="K1231" s="6">
        <v>18.622046999999998</v>
      </c>
      <c r="L1231" s="6">
        <v>18.557046</v>
      </c>
      <c r="M1231" s="6">
        <v>18.643459</v>
      </c>
      <c r="N1231" s="6">
        <v>19.181818</v>
      </c>
      <c r="O1231" s="6">
        <v>19.119288999999998</v>
      </c>
      <c r="P1231" s="6">
        <v>18.784502</v>
      </c>
      <c r="Q1231" s="6">
        <v>19.181818</v>
      </c>
      <c r="R1231" s="6">
        <v>19.101835999999999</v>
      </c>
      <c r="S1231" s="6">
        <v>18.763134000000001</v>
      </c>
      <c r="T1231" s="6">
        <v>19.181818</v>
      </c>
      <c r="U1231" s="6">
        <v>19.101835999999999</v>
      </c>
      <c r="V1231" s="6">
        <v>18.763134000000001</v>
      </c>
    </row>
    <row r="1232" spans="2:22">
      <c r="B1232" s="6">
        <v>32523</v>
      </c>
      <c r="C1232" s="6" t="s">
        <v>1126</v>
      </c>
      <c r="D1232" s="6">
        <v>20906</v>
      </c>
      <c r="E1232" s="6" t="s">
        <v>48</v>
      </c>
      <c r="F1232" s="6" t="s">
        <v>49</v>
      </c>
      <c r="G1232" s="6" t="s">
        <v>1296</v>
      </c>
      <c r="H1232" s="6">
        <v>0</v>
      </c>
      <c r="I1232" s="6">
        <v>17</v>
      </c>
      <c r="J1232" s="6">
        <v>17</v>
      </c>
      <c r="K1232" s="6">
        <v>17.229590999999999</v>
      </c>
      <c r="L1232" s="6">
        <v>17.052391</v>
      </c>
      <c r="M1232" s="6">
        <v>17.431988</v>
      </c>
      <c r="N1232" s="6">
        <v>17.016705999999999</v>
      </c>
      <c r="O1232" s="6">
        <v>16.954350000000002</v>
      </c>
      <c r="P1232" s="6">
        <v>17.537869000000001</v>
      </c>
      <c r="Q1232" s="6">
        <v>17.016335999999999</v>
      </c>
      <c r="R1232" s="6">
        <v>16.958155999999999</v>
      </c>
      <c r="S1232" s="6">
        <v>17.538882000000001</v>
      </c>
      <c r="T1232" s="6">
        <v>17.016335999999999</v>
      </c>
      <c r="U1232" s="6">
        <v>16.958155999999999</v>
      </c>
      <c r="V1232" s="6">
        <v>17.538882000000001</v>
      </c>
    </row>
    <row r="1233" spans="2:22">
      <c r="B1233" s="6">
        <v>32524</v>
      </c>
      <c r="C1233" s="6" t="s">
        <v>1059</v>
      </c>
      <c r="D1233" s="6">
        <v>20500</v>
      </c>
      <c r="E1233" s="6" t="s">
        <v>31</v>
      </c>
      <c r="F1233" s="6" t="s">
        <v>17</v>
      </c>
      <c r="G1233" s="6" t="s">
        <v>1294</v>
      </c>
      <c r="H1233" s="6">
        <v>25</v>
      </c>
      <c r="I1233" s="6">
        <v>25</v>
      </c>
      <c r="J1233" s="6">
        <v>24.0625</v>
      </c>
      <c r="K1233" s="6">
        <v>26.046875</v>
      </c>
      <c r="L1233" s="6">
        <v>26.199541</v>
      </c>
      <c r="M1233" s="6">
        <v>26.109717</v>
      </c>
      <c r="N1233" s="6">
        <v>26.108958000000001</v>
      </c>
      <c r="O1233" s="6">
        <v>26.328648000000001</v>
      </c>
      <c r="P1233" s="6">
        <v>26.003786000000002</v>
      </c>
      <c r="Q1233" s="6">
        <v>26.101534000000001</v>
      </c>
      <c r="R1233" s="6">
        <v>26.316153</v>
      </c>
      <c r="S1233" s="6">
        <v>25.991613999999998</v>
      </c>
      <c r="T1233" s="6">
        <v>25.645997000000001</v>
      </c>
      <c r="U1233" s="6">
        <v>25.223958</v>
      </c>
      <c r="V1233" s="6">
        <v>24.770192999999999</v>
      </c>
    </row>
    <row r="1234" spans="2:22">
      <c r="B1234" s="6">
        <v>32524</v>
      </c>
      <c r="C1234" s="6" t="s">
        <v>1059</v>
      </c>
      <c r="D1234" s="6">
        <v>20706</v>
      </c>
      <c r="E1234" s="6" t="s">
        <v>52</v>
      </c>
      <c r="F1234" s="6" t="s">
        <v>17</v>
      </c>
      <c r="G1234" s="6" t="s">
        <v>1294</v>
      </c>
      <c r="H1234" s="6">
        <v>40</v>
      </c>
      <c r="I1234" s="6">
        <v>40</v>
      </c>
      <c r="J1234" s="6">
        <v>40</v>
      </c>
      <c r="K1234" s="6">
        <v>39.625</v>
      </c>
      <c r="L1234" s="6">
        <v>39.852941000000001</v>
      </c>
      <c r="M1234" s="6">
        <v>39.894365999999998</v>
      </c>
      <c r="N1234" s="6">
        <v>39.962778999999998</v>
      </c>
      <c r="O1234" s="6">
        <v>39.971750999999998</v>
      </c>
      <c r="P1234" s="6">
        <v>39.969020999999998</v>
      </c>
      <c r="Q1234" s="6">
        <v>39.963768000000002</v>
      </c>
      <c r="R1234" s="6">
        <v>39.972496999999997</v>
      </c>
      <c r="S1234" s="6">
        <v>39.969659999999998</v>
      </c>
      <c r="T1234" s="6">
        <v>39.867787999999997</v>
      </c>
      <c r="U1234" s="6">
        <v>39.928649</v>
      </c>
      <c r="V1234" s="6">
        <v>39.945453999999998</v>
      </c>
    </row>
    <row r="1235" spans="2:22">
      <c r="B1235" s="6">
        <v>32524</v>
      </c>
      <c r="C1235" s="6" t="s">
        <v>1059</v>
      </c>
      <c r="D1235" s="6">
        <v>20902</v>
      </c>
      <c r="E1235" s="6" t="s">
        <v>53</v>
      </c>
      <c r="F1235" s="6" t="s">
        <v>13</v>
      </c>
      <c r="G1235" s="6" t="s">
        <v>14</v>
      </c>
      <c r="H1235" s="6">
        <v>15</v>
      </c>
      <c r="I1235" s="6">
        <v>15</v>
      </c>
      <c r="J1235" s="6">
        <v>15</v>
      </c>
      <c r="K1235" s="6">
        <v>18.622046999999998</v>
      </c>
      <c r="L1235" s="6">
        <v>18.557046</v>
      </c>
      <c r="M1235" s="6">
        <v>18.643459</v>
      </c>
      <c r="N1235" s="6">
        <v>19.181818</v>
      </c>
      <c r="O1235" s="6">
        <v>19.119288999999998</v>
      </c>
      <c r="P1235" s="6">
        <v>18.784502</v>
      </c>
      <c r="Q1235" s="6">
        <v>19.181818</v>
      </c>
      <c r="R1235" s="6">
        <v>19.101835999999999</v>
      </c>
      <c r="S1235" s="6">
        <v>18.763134000000001</v>
      </c>
      <c r="T1235" s="6">
        <v>19.181818</v>
      </c>
      <c r="U1235" s="6">
        <v>19.101835999999999</v>
      </c>
      <c r="V1235" s="6">
        <v>18.763134000000001</v>
      </c>
    </row>
    <row r="1236" spans="2:22">
      <c r="B1236" s="6">
        <v>32524</v>
      </c>
      <c r="C1236" s="6" t="s">
        <v>1059</v>
      </c>
      <c r="D1236" s="6">
        <v>20906</v>
      </c>
      <c r="E1236" s="6" t="s">
        <v>48</v>
      </c>
      <c r="F1236" s="6" t="s">
        <v>49</v>
      </c>
      <c r="G1236" s="6" t="s">
        <v>1296</v>
      </c>
      <c r="H1236" s="6">
        <v>17.375</v>
      </c>
      <c r="I1236" s="6">
        <v>17.272727</v>
      </c>
      <c r="J1236" s="6">
        <v>17.25</v>
      </c>
      <c r="K1236" s="6">
        <v>17.229590999999999</v>
      </c>
      <c r="L1236" s="6">
        <v>17.052391</v>
      </c>
      <c r="M1236" s="6">
        <v>17.431988</v>
      </c>
      <c r="N1236" s="6">
        <v>17.016705999999999</v>
      </c>
      <c r="O1236" s="6">
        <v>16.954350000000002</v>
      </c>
      <c r="P1236" s="6">
        <v>17.537869000000001</v>
      </c>
      <c r="Q1236" s="6">
        <v>17.016335999999999</v>
      </c>
      <c r="R1236" s="6">
        <v>16.958155999999999</v>
      </c>
      <c r="S1236" s="6">
        <v>17.538882000000001</v>
      </c>
      <c r="T1236" s="6">
        <v>17.016335999999999</v>
      </c>
      <c r="U1236" s="6">
        <v>16.958155999999999</v>
      </c>
      <c r="V1236" s="6">
        <v>17.538882000000001</v>
      </c>
    </row>
    <row r="1237" spans="2:22">
      <c r="B1237" s="6">
        <v>32528</v>
      </c>
      <c r="C1237" s="6" t="s">
        <v>74</v>
      </c>
      <c r="D1237" s="6">
        <v>20700</v>
      </c>
      <c r="E1237" s="6" t="s">
        <v>15</v>
      </c>
      <c r="F1237" s="6" t="s">
        <v>17</v>
      </c>
      <c r="G1237" s="6" t="s">
        <v>1294</v>
      </c>
      <c r="H1237" s="6">
        <v>35</v>
      </c>
      <c r="I1237" s="6">
        <v>35.357142000000003</v>
      </c>
      <c r="J1237" s="6">
        <v>36.388888000000001</v>
      </c>
      <c r="K1237" s="6">
        <v>35</v>
      </c>
      <c r="L1237" s="6">
        <v>35.072462999999999</v>
      </c>
      <c r="M1237" s="6">
        <v>35.325203000000002</v>
      </c>
      <c r="N1237" s="6">
        <v>35</v>
      </c>
      <c r="O1237" s="6">
        <v>35.032466999999997</v>
      </c>
      <c r="P1237" s="6">
        <v>35.15748</v>
      </c>
      <c r="Q1237" s="6">
        <v>35.125</v>
      </c>
      <c r="R1237" s="6">
        <v>35.188679</v>
      </c>
      <c r="S1237" s="6">
        <v>35.358490000000003</v>
      </c>
      <c r="T1237" s="6">
        <v>37.594695999999999</v>
      </c>
      <c r="U1237" s="6">
        <v>37.122718999999996</v>
      </c>
      <c r="V1237" s="6">
        <v>37.548872000000003</v>
      </c>
    </row>
    <row r="1238" spans="2:22">
      <c r="B1238" s="6">
        <v>32528</v>
      </c>
      <c r="C1238" s="6" t="s">
        <v>74</v>
      </c>
      <c r="D1238" s="6">
        <v>23100</v>
      </c>
      <c r="E1238" s="6" t="s">
        <v>54</v>
      </c>
      <c r="F1238" s="6" t="s">
        <v>16</v>
      </c>
      <c r="G1238" s="6" t="s">
        <v>1295</v>
      </c>
      <c r="H1238" s="6">
        <v>15</v>
      </c>
      <c r="I1238" s="6">
        <v>15</v>
      </c>
      <c r="J1238" s="6">
        <v>15.833333</v>
      </c>
      <c r="K1238" s="6">
        <v>15</v>
      </c>
      <c r="L1238" s="6">
        <v>15</v>
      </c>
      <c r="M1238" s="6">
        <v>16.617647000000002</v>
      </c>
      <c r="N1238" s="6">
        <v>19.069766999999999</v>
      </c>
      <c r="O1238" s="6">
        <v>18.208955</v>
      </c>
      <c r="P1238" s="6">
        <v>18.689516000000001</v>
      </c>
      <c r="Q1238" s="6">
        <v>17.533783</v>
      </c>
      <c r="R1238" s="6">
        <v>16.700679999999998</v>
      </c>
      <c r="S1238" s="6">
        <v>17.127882</v>
      </c>
      <c r="T1238" s="6">
        <v>17.533783</v>
      </c>
      <c r="U1238" s="6">
        <v>16.700679999999998</v>
      </c>
      <c r="V1238" s="6">
        <v>17.127882</v>
      </c>
    </row>
    <row r="1239" spans="2:22">
      <c r="B1239" s="6">
        <v>32530</v>
      </c>
      <c r="C1239" s="6" t="s">
        <v>202</v>
      </c>
      <c r="D1239" s="6">
        <v>20500</v>
      </c>
      <c r="E1239" s="6" t="s">
        <v>31</v>
      </c>
      <c r="F1239" s="6" t="s">
        <v>17</v>
      </c>
      <c r="G1239" s="6" t="s">
        <v>1294</v>
      </c>
      <c r="H1239" s="6">
        <v>0</v>
      </c>
      <c r="I1239" s="6">
        <v>27</v>
      </c>
      <c r="J1239" s="6">
        <v>27</v>
      </c>
      <c r="K1239" s="6">
        <v>26.046875</v>
      </c>
      <c r="L1239" s="6">
        <v>26.199541</v>
      </c>
      <c r="M1239" s="6">
        <v>26.109717</v>
      </c>
      <c r="N1239" s="6">
        <v>26.108958000000001</v>
      </c>
      <c r="O1239" s="6">
        <v>26.328648000000001</v>
      </c>
      <c r="P1239" s="6">
        <v>26.003786000000002</v>
      </c>
      <c r="Q1239" s="6">
        <v>26.101534000000001</v>
      </c>
      <c r="R1239" s="6">
        <v>26.316153</v>
      </c>
      <c r="S1239" s="6">
        <v>25.991613999999998</v>
      </c>
      <c r="T1239" s="6">
        <v>25.645997000000001</v>
      </c>
      <c r="U1239" s="6">
        <v>25.223958</v>
      </c>
      <c r="V1239" s="6">
        <v>24.770192999999999</v>
      </c>
    </row>
    <row r="1240" spans="2:22">
      <c r="B1240" s="6">
        <v>32530</v>
      </c>
      <c r="C1240" s="6" t="s">
        <v>202</v>
      </c>
      <c r="D1240" s="6">
        <v>20706</v>
      </c>
      <c r="E1240" s="6" t="s">
        <v>52</v>
      </c>
      <c r="F1240" s="6" t="s">
        <v>17</v>
      </c>
      <c r="G1240" s="6" t="s">
        <v>1294</v>
      </c>
      <c r="H1240" s="6">
        <v>0</v>
      </c>
      <c r="I1240" s="6">
        <v>40</v>
      </c>
      <c r="J1240" s="6">
        <v>40</v>
      </c>
      <c r="K1240" s="6">
        <v>39.625</v>
      </c>
      <c r="L1240" s="6">
        <v>39.852941000000001</v>
      </c>
      <c r="M1240" s="6">
        <v>39.894365999999998</v>
      </c>
      <c r="N1240" s="6">
        <v>39.962778999999998</v>
      </c>
      <c r="O1240" s="6">
        <v>39.971750999999998</v>
      </c>
      <c r="P1240" s="6">
        <v>39.969020999999998</v>
      </c>
      <c r="Q1240" s="6">
        <v>39.963768000000002</v>
      </c>
      <c r="R1240" s="6">
        <v>39.972496999999997</v>
      </c>
      <c r="S1240" s="6">
        <v>39.969659999999998</v>
      </c>
      <c r="T1240" s="6">
        <v>39.867787999999997</v>
      </c>
      <c r="U1240" s="6">
        <v>39.928649</v>
      </c>
      <c r="V1240" s="6">
        <v>39.945453999999998</v>
      </c>
    </row>
    <row r="1241" spans="2:22">
      <c r="B1241" s="6">
        <v>32530</v>
      </c>
      <c r="C1241" s="6" t="s">
        <v>202</v>
      </c>
      <c r="D1241" s="6">
        <v>20902</v>
      </c>
      <c r="E1241" s="6" t="s">
        <v>53</v>
      </c>
      <c r="F1241" s="6" t="s">
        <v>13</v>
      </c>
      <c r="G1241" s="6" t="s">
        <v>14</v>
      </c>
      <c r="H1241" s="6">
        <v>0</v>
      </c>
      <c r="I1241" s="6">
        <v>20</v>
      </c>
      <c r="J1241" s="6">
        <v>20</v>
      </c>
      <c r="K1241" s="6">
        <v>18.622046999999998</v>
      </c>
      <c r="L1241" s="6">
        <v>18.557046</v>
      </c>
      <c r="M1241" s="6">
        <v>18.643459</v>
      </c>
      <c r="N1241" s="6">
        <v>19.181818</v>
      </c>
      <c r="O1241" s="6">
        <v>19.119288999999998</v>
      </c>
      <c r="P1241" s="6">
        <v>18.784502</v>
      </c>
      <c r="Q1241" s="6">
        <v>19.181818</v>
      </c>
      <c r="R1241" s="6">
        <v>19.101835999999999</v>
      </c>
      <c r="S1241" s="6">
        <v>18.763134000000001</v>
      </c>
      <c r="T1241" s="6">
        <v>19.181818</v>
      </c>
      <c r="U1241" s="6">
        <v>19.101835999999999</v>
      </c>
      <c r="V1241" s="6">
        <v>18.763134000000001</v>
      </c>
    </row>
    <row r="1242" spans="2:22">
      <c r="B1242" s="6">
        <v>32530</v>
      </c>
      <c r="C1242" s="6" t="s">
        <v>202</v>
      </c>
      <c r="D1242" s="6">
        <v>20906</v>
      </c>
      <c r="E1242" s="6" t="s">
        <v>48</v>
      </c>
      <c r="F1242" s="6" t="s">
        <v>49</v>
      </c>
      <c r="G1242" s="6" t="s">
        <v>1296</v>
      </c>
      <c r="H1242" s="6">
        <v>0</v>
      </c>
      <c r="I1242" s="6">
        <v>17</v>
      </c>
      <c r="J1242" s="6">
        <v>17</v>
      </c>
      <c r="K1242" s="6">
        <v>17.229590999999999</v>
      </c>
      <c r="L1242" s="6">
        <v>17.052391</v>
      </c>
      <c r="M1242" s="6">
        <v>17.431988</v>
      </c>
      <c r="N1242" s="6">
        <v>17.016705999999999</v>
      </c>
      <c r="O1242" s="6">
        <v>16.954350000000002</v>
      </c>
      <c r="P1242" s="6">
        <v>17.537869000000001</v>
      </c>
      <c r="Q1242" s="6">
        <v>17.016335999999999</v>
      </c>
      <c r="R1242" s="6">
        <v>16.958155999999999</v>
      </c>
      <c r="S1242" s="6">
        <v>17.538882000000001</v>
      </c>
      <c r="T1242" s="6">
        <v>17.016335999999999</v>
      </c>
      <c r="U1242" s="6">
        <v>16.958155999999999</v>
      </c>
      <c r="V1242" s="6">
        <v>17.538882000000001</v>
      </c>
    </row>
    <row r="1243" spans="2:22">
      <c r="B1243" s="6">
        <v>32532</v>
      </c>
      <c r="C1243" s="6" t="s">
        <v>218</v>
      </c>
      <c r="D1243" s="6">
        <v>12400</v>
      </c>
      <c r="E1243" s="6" t="s">
        <v>217</v>
      </c>
      <c r="F1243" s="6" t="s">
        <v>16</v>
      </c>
      <c r="G1243" s="6" t="s">
        <v>1295</v>
      </c>
      <c r="H1243" s="6">
        <v>5</v>
      </c>
      <c r="I1243" s="6">
        <v>5</v>
      </c>
      <c r="J1243" s="6">
        <v>5.1538459999999997</v>
      </c>
      <c r="K1243" s="6">
        <v>5</v>
      </c>
      <c r="L1243" s="6">
        <v>5</v>
      </c>
      <c r="M1243" s="6">
        <v>6.1</v>
      </c>
      <c r="N1243" s="6">
        <v>5</v>
      </c>
      <c r="O1243" s="6">
        <v>5</v>
      </c>
      <c r="P1243" s="6">
        <v>6.1</v>
      </c>
      <c r="Q1243" s="6">
        <v>5</v>
      </c>
      <c r="R1243" s="6">
        <v>5</v>
      </c>
      <c r="S1243" s="6">
        <v>6.1</v>
      </c>
      <c r="T1243" s="6">
        <v>8.8875729999999997</v>
      </c>
      <c r="U1243" s="6">
        <v>8.6089380000000002</v>
      </c>
      <c r="V1243" s="6">
        <v>8.6174140000000001</v>
      </c>
    </row>
    <row r="1244" spans="2:22">
      <c r="B1244" s="6">
        <v>32532</v>
      </c>
      <c r="C1244" s="6" t="s">
        <v>218</v>
      </c>
      <c r="D1244" s="6">
        <v>20500</v>
      </c>
      <c r="E1244" s="6" t="s">
        <v>31</v>
      </c>
      <c r="F1244" s="6" t="s">
        <v>16</v>
      </c>
      <c r="G1244" s="6" t="s">
        <v>1295</v>
      </c>
      <c r="H1244" s="6">
        <v>15</v>
      </c>
      <c r="I1244" s="6">
        <v>15</v>
      </c>
      <c r="J1244" s="6">
        <v>15</v>
      </c>
      <c r="K1244" s="6">
        <v>15</v>
      </c>
      <c r="L1244" s="6">
        <v>15</v>
      </c>
      <c r="M1244" s="6">
        <v>15</v>
      </c>
      <c r="N1244" s="6">
        <v>15</v>
      </c>
      <c r="O1244" s="6">
        <v>15</v>
      </c>
      <c r="P1244" s="6">
        <v>15</v>
      </c>
      <c r="Q1244" s="6">
        <v>15</v>
      </c>
      <c r="R1244" s="6">
        <v>15</v>
      </c>
      <c r="S1244" s="6">
        <v>15</v>
      </c>
      <c r="T1244" s="6">
        <v>16.909089999999999</v>
      </c>
      <c r="U1244" s="6">
        <v>13.130081000000001</v>
      </c>
      <c r="V1244" s="6">
        <v>12.707865</v>
      </c>
    </row>
    <row r="1245" spans="2:22">
      <c r="B1245" s="6">
        <v>32532</v>
      </c>
      <c r="C1245" s="6" t="s">
        <v>218</v>
      </c>
      <c r="D1245" s="6">
        <v>25001</v>
      </c>
      <c r="E1245" s="6" t="s">
        <v>1232</v>
      </c>
      <c r="F1245" s="6" t="s">
        <v>17</v>
      </c>
      <c r="G1245" s="6" t="s">
        <v>1294</v>
      </c>
      <c r="H1245" s="6">
        <v>0</v>
      </c>
      <c r="I1245" s="6">
        <v>0</v>
      </c>
      <c r="J1245" s="6">
        <v>16</v>
      </c>
      <c r="K1245" s="6">
        <v>0</v>
      </c>
      <c r="L1245" s="6">
        <v>0</v>
      </c>
      <c r="M1245" s="6">
        <v>16</v>
      </c>
      <c r="N1245" s="6">
        <v>0</v>
      </c>
      <c r="O1245" s="6">
        <v>0</v>
      </c>
      <c r="P1245" s="6">
        <v>16</v>
      </c>
      <c r="Q1245" s="6">
        <v>0</v>
      </c>
      <c r="R1245" s="6">
        <v>0</v>
      </c>
      <c r="S1245" s="6">
        <v>16</v>
      </c>
      <c r="T1245" s="6">
        <v>0</v>
      </c>
      <c r="U1245" s="6">
        <v>0</v>
      </c>
      <c r="V1245" s="6">
        <v>16</v>
      </c>
    </row>
    <row r="1246" spans="2:22">
      <c r="B1246" s="6">
        <v>32534</v>
      </c>
      <c r="C1246" s="6" t="s">
        <v>262</v>
      </c>
      <c r="D1246" s="6">
        <v>12400</v>
      </c>
      <c r="E1246" s="6" t="s">
        <v>217</v>
      </c>
      <c r="F1246" s="6" t="s">
        <v>16</v>
      </c>
      <c r="G1246" s="6" t="s">
        <v>1295</v>
      </c>
      <c r="H1246" s="6">
        <v>0</v>
      </c>
      <c r="I1246" s="6">
        <v>0</v>
      </c>
      <c r="J1246" s="6">
        <v>8</v>
      </c>
      <c r="K1246" s="6">
        <v>8.2173909999999992</v>
      </c>
      <c r="L1246" s="6">
        <v>8.1046829999999996</v>
      </c>
      <c r="M1246" s="6">
        <v>8.2384710000000005</v>
      </c>
      <c r="N1246" s="6">
        <v>9.2387090000000001</v>
      </c>
      <c r="O1246" s="6">
        <v>8.7126429999999999</v>
      </c>
      <c r="P1246" s="6">
        <v>8.6856360000000006</v>
      </c>
      <c r="Q1246" s="6">
        <v>9.2387090000000001</v>
      </c>
      <c r="R1246" s="6">
        <v>8.7126429999999999</v>
      </c>
      <c r="S1246" s="6">
        <v>8.6856360000000006</v>
      </c>
      <c r="T1246" s="6">
        <v>8.8875729999999997</v>
      </c>
      <c r="U1246" s="6">
        <v>8.6089380000000002</v>
      </c>
      <c r="V1246" s="6">
        <v>8.6174140000000001</v>
      </c>
    </row>
    <row r="1247" spans="2:22">
      <c r="B1247" s="6">
        <v>32534</v>
      </c>
      <c r="C1247" s="6" t="s">
        <v>262</v>
      </c>
      <c r="D1247" s="6">
        <v>23311</v>
      </c>
      <c r="E1247" s="6" t="s">
        <v>221</v>
      </c>
      <c r="F1247" s="6" t="s">
        <v>16</v>
      </c>
      <c r="G1247" s="6" t="s">
        <v>1295</v>
      </c>
      <c r="H1247" s="6">
        <v>0</v>
      </c>
      <c r="I1247" s="6">
        <v>0</v>
      </c>
      <c r="J1247" s="6">
        <v>10</v>
      </c>
      <c r="K1247" s="6">
        <v>10.144926999999999</v>
      </c>
      <c r="L1247" s="6">
        <v>10.029239</v>
      </c>
      <c r="M1247" s="6">
        <v>10.013888</v>
      </c>
      <c r="N1247" s="6">
        <v>10.099009000000001</v>
      </c>
      <c r="O1247" s="6">
        <v>10.02364</v>
      </c>
      <c r="P1247" s="6">
        <v>10.011260999999999</v>
      </c>
      <c r="Q1247" s="6">
        <v>10.099009000000001</v>
      </c>
      <c r="R1247" s="6">
        <v>10.02364</v>
      </c>
      <c r="S1247" s="6">
        <v>10.011260999999999</v>
      </c>
      <c r="T1247" s="6">
        <v>10.099009000000001</v>
      </c>
      <c r="U1247" s="6">
        <v>10.02364</v>
      </c>
      <c r="V1247" s="6">
        <v>10.011260999999999</v>
      </c>
    </row>
    <row r="1248" spans="2:22">
      <c r="B1248" s="6">
        <v>32536</v>
      </c>
      <c r="C1248" s="6" t="s">
        <v>203</v>
      </c>
      <c r="D1248" s="6">
        <v>20500</v>
      </c>
      <c r="E1248" s="6" t="s">
        <v>31</v>
      </c>
      <c r="F1248" s="6" t="s">
        <v>17</v>
      </c>
      <c r="G1248" s="6" t="s">
        <v>1294</v>
      </c>
      <c r="H1248" s="6">
        <v>0</v>
      </c>
      <c r="I1248" s="6">
        <v>0</v>
      </c>
      <c r="J1248" s="6">
        <v>23.75</v>
      </c>
      <c r="K1248" s="6">
        <v>26.179282000000001</v>
      </c>
      <c r="L1248" s="6">
        <v>26.186138</v>
      </c>
      <c r="M1248" s="6">
        <v>25.935728999999998</v>
      </c>
      <c r="N1248" s="6">
        <v>26.108958000000001</v>
      </c>
      <c r="O1248" s="6">
        <v>26.328648000000001</v>
      </c>
      <c r="P1248" s="6">
        <v>26.003786000000002</v>
      </c>
      <c r="Q1248" s="6">
        <v>26.101534000000001</v>
      </c>
      <c r="R1248" s="6">
        <v>26.316153</v>
      </c>
      <c r="S1248" s="6">
        <v>25.991613999999998</v>
      </c>
      <c r="T1248" s="6">
        <v>25.645997000000001</v>
      </c>
      <c r="U1248" s="6">
        <v>25.223958</v>
      </c>
      <c r="V1248" s="6">
        <v>24.770192999999999</v>
      </c>
    </row>
    <row r="1249" spans="2:22">
      <c r="B1249" s="6">
        <v>32536</v>
      </c>
      <c r="C1249" s="6" t="s">
        <v>203</v>
      </c>
      <c r="D1249" s="6">
        <v>20702</v>
      </c>
      <c r="E1249" s="6" t="s">
        <v>44</v>
      </c>
      <c r="F1249" s="6" t="s">
        <v>17</v>
      </c>
      <c r="G1249" s="6" t="s">
        <v>1294</v>
      </c>
      <c r="H1249" s="6">
        <v>0</v>
      </c>
      <c r="I1249" s="6">
        <v>0</v>
      </c>
      <c r="J1249" s="6">
        <v>35</v>
      </c>
      <c r="K1249" s="6">
        <v>34.902597</v>
      </c>
      <c r="L1249" s="6">
        <v>34.946427999999997</v>
      </c>
      <c r="M1249" s="6">
        <v>34.934041999999998</v>
      </c>
      <c r="N1249" s="6">
        <v>34.893103000000004</v>
      </c>
      <c r="O1249" s="6">
        <v>34.949179999999998</v>
      </c>
      <c r="P1249" s="6">
        <v>34.926701000000001</v>
      </c>
      <c r="Q1249" s="6">
        <v>34.894556999999999</v>
      </c>
      <c r="R1249" s="6">
        <v>34.950949000000001</v>
      </c>
      <c r="S1249" s="6">
        <v>34.883485</v>
      </c>
      <c r="T1249" s="6">
        <v>34.894556999999999</v>
      </c>
      <c r="U1249" s="6">
        <v>34.950949000000001</v>
      </c>
      <c r="V1249" s="6">
        <v>34.883485</v>
      </c>
    </row>
    <row r="1250" spans="2:22">
      <c r="B1250" s="6">
        <v>32536</v>
      </c>
      <c r="C1250" s="6" t="s">
        <v>203</v>
      </c>
      <c r="D1250" s="6">
        <v>20902</v>
      </c>
      <c r="E1250" s="6" t="s">
        <v>53</v>
      </c>
      <c r="F1250" s="6" t="s">
        <v>13</v>
      </c>
      <c r="G1250" s="6" t="s">
        <v>14</v>
      </c>
      <c r="H1250" s="6">
        <v>0</v>
      </c>
      <c r="I1250" s="6">
        <v>0</v>
      </c>
      <c r="J1250" s="6">
        <v>15</v>
      </c>
      <c r="K1250" s="6">
        <v>18.635802000000002</v>
      </c>
      <c r="L1250" s="6">
        <v>18.195121</v>
      </c>
      <c r="M1250" s="6">
        <v>17.625368000000002</v>
      </c>
      <c r="N1250" s="6">
        <v>19.181818</v>
      </c>
      <c r="O1250" s="6">
        <v>19.119288999999998</v>
      </c>
      <c r="P1250" s="6">
        <v>18.784502</v>
      </c>
      <c r="Q1250" s="6">
        <v>19.181818</v>
      </c>
      <c r="R1250" s="6">
        <v>19.101835999999999</v>
      </c>
      <c r="S1250" s="6">
        <v>18.763134000000001</v>
      </c>
      <c r="T1250" s="6">
        <v>19.181818</v>
      </c>
      <c r="U1250" s="6">
        <v>19.101835999999999</v>
      </c>
      <c r="V1250" s="6">
        <v>18.763134000000001</v>
      </c>
    </row>
    <row r="1251" spans="2:22">
      <c r="B1251" s="6">
        <v>32536</v>
      </c>
      <c r="C1251" s="6" t="s">
        <v>203</v>
      </c>
      <c r="D1251" s="6">
        <v>20906</v>
      </c>
      <c r="E1251" s="6" t="s">
        <v>48</v>
      </c>
      <c r="F1251" s="6" t="s">
        <v>49</v>
      </c>
      <c r="G1251" s="6" t="s">
        <v>1296</v>
      </c>
      <c r="H1251" s="6">
        <v>0</v>
      </c>
      <c r="I1251" s="6">
        <v>0</v>
      </c>
      <c r="J1251" s="6">
        <v>17</v>
      </c>
      <c r="K1251" s="6">
        <v>16.992394999999998</v>
      </c>
      <c r="L1251" s="6">
        <v>16.951830000000001</v>
      </c>
      <c r="M1251" s="6">
        <v>17.405908</v>
      </c>
      <c r="N1251" s="6">
        <v>17.016705999999999</v>
      </c>
      <c r="O1251" s="6">
        <v>16.954350000000002</v>
      </c>
      <c r="P1251" s="6">
        <v>17.537869000000001</v>
      </c>
      <c r="Q1251" s="6">
        <v>17.016335999999999</v>
      </c>
      <c r="R1251" s="6">
        <v>16.958155999999999</v>
      </c>
      <c r="S1251" s="6">
        <v>17.538882000000001</v>
      </c>
      <c r="T1251" s="6">
        <v>17.016335999999999</v>
      </c>
      <c r="U1251" s="6">
        <v>16.958155999999999</v>
      </c>
      <c r="V1251" s="6">
        <v>17.538882000000001</v>
      </c>
    </row>
    <row r="1252" spans="2:22">
      <c r="B1252" s="6">
        <v>32537</v>
      </c>
      <c r="C1252" s="6" t="s">
        <v>1098</v>
      </c>
      <c r="D1252" s="6">
        <v>20500</v>
      </c>
      <c r="E1252" s="6" t="s">
        <v>31</v>
      </c>
      <c r="F1252" s="6" t="s">
        <v>17</v>
      </c>
      <c r="G1252" s="6" t="s">
        <v>1294</v>
      </c>
      <c r="H1252" s="6">
        <v>0</v>
      </c>
      <c r="I1252" s="6">
        <v>0</v>
      </c>
      <c r="J1252" s="6">
        <v>25</v>
      </c>
      <c r="K1252" s="6">
        <v>26.179282000000001</v>
      </c>
      <c r="L1252" s="6">
        <v>26.186138</v>
      </c>
      <c r="M1252" s="6">
        <v>25.935728999999998</v>
      </c>
      <c r="N1252" s="6">
        <v>26.108958000000001</v>
      </c>
      <c r="O1252" s="6">
        <v>26.328648000000001</v>
      </c>
      <c r="P1252" s="6">
        <v>26.003786000000002</v>
      </c>
      <c r="Q1252" s="6">
        <v>26.101534000000001</v>
      </c>
      <c r="R1252" s="6">
        <v>26.316153</v>
      </c>
      <c r="S1252" s="6">
        <v>25.991613999999998</v>
      </c>
      <c r="T1252" s="6">
        <v>25.645997000000001</v>
      </c>
      <c r="U1252" s="6">
        <v>25.223958</v>
      </c>
      <c r="V1252" s="6">
        <v>24.770192999999999</v>
      </c>
    </row>
    <row r="1253" spans="2:22">
      <c r="B1253" s="6">
        <v>32537</v>
      </c>
      <c r="C1253" s="6" t="s">
        <v>1098</v>
      </c>
      <c r="D1253" s="6">
        <v>20702</v>
      </c>
      <c r="E1253" s="6" t="s">
        <v>44</v>
      </c>
      <c r="F1253" s="6" t="s">
        <v>17</v>
      </c>
      <c r="G1253" s="6" t="s">
        <v>1294</v>
      </c>
      <c r="H1253" s="6">
        <v>0</v>
      </c>
      <c r="I1253" s="6">
        <v>0</v>
      </c>
      <c r="J1253" s="6">
        <v>35</v>
      </c>
      <c r="K1253" s="6">
        <v>34.902597</v>
      </c>
      <c r="L1253" s="6">
        <v>34.946427999999997</v>
      </c>
      <c r="M1253" s="6">
        <v>34.934041999999998</v>
      </c>
      <c r="N1253" s="6">
        <v>34.893103000000004</v>
      </c>
      <c r="O1253" s="6">
        <v>34.949179999999998</v>
      </c>
      <c r="P1253" s="6">
        <v>34.926701000000001</v>
      </c>
      <c r="Q1253" s="6">
        <v>34.894556999999999</v>
      </c>
      <c r="R1253" s="6">
        <v>34.950949000000001</v>
      </c>
      <c r="S1253" s="6">
        <v>34.883485</v>
      </c>
      <c r="T1253" s="6">
        <v>34.894556999999999</v>
      </c>
      <c r="U1253" s="6">
        <v>34.950949000000001</v>
      </c>
      <c r="V1253" s="6">
        <v>34.883485</v>
      </c>
    </row>
    <row r="1254" spans="2:22">
      <c r="B1254" s="6">
        <v>32537</v>
      </c>
      <c r="C1254" s="6" t="s">
        <v>1098</v>
      </c>
      <c r="D1254" s="6">
        <v>20902</v>
      </c>
      <c r="E1254" s="6" t="s">
        <v>53</v>
      </c>
      <c r="F1254" s="6" t="s">
        <v>13</v>
      </c>
      <c r="G1254" s="6" t="s">
        <v>14</v>
      </c>
      <c r="H1254" s="6">
        <v>0</v>
      </c>
      <c r="I1254" s="6">
        <v>0</v>
      </c>
      <c r="J1254" s="6">
        <v>15</v>
      </c>
      <c r="K1254" s="6">
        <v>18.635802000000002</v>
      </c>
      <c r="L1254" s="6">
        <v>18.195121</v>
      </c>
      <c r="M1254" s="6">
        <v>17.625368000000002</v>
      </c>
      <c r="N1254" s="6">
        <v>19.181818</v>
      </c>
      <c r="O1254" s="6">
        <v>19.119288999999998</v>
      </c>
      <c r="P1254" s="6">
        <v>18.784502</v>
      </c>
      <c r="Q1254" s="6">
        <v>19.181818</v>
      </c>
      <c r="R1254" s="6">
        <v>19.101835999999999</v>
      </c>
      <c r="S1254" s="6">
        <v>18.763134000000001</v>
      </c>
      <c r="T1254" s="6">
        <v>19.181818</v>
      </c>
      <c r="U1254" s="6">
        <v>19.101835999999999</v>
      </c>
      <c r="V1254" s="6">
        <v>18.763134000000001</v>
      </c>
    </row>
    <row r="1255" spans="2:22">
      <c r="B1255" s="6">
        <v>32537</v>
      </c>
      <c r="C1255" s="6" t="s">
        <v>1098</v>
      </c>
      <c r="D1255" s="6">
        <v>20906</v>
      </c>
      <c r="E1255" s="6" t="s">
        <v>48</v>
      </c>
      <c r="F1255" s="6" t="s">
        <v>49</v>
      </c>
      <c r="G1255" s="6" t="s">
        <v>1296</v>
      </c>
      <c r="H1255" s="6">
        <v>0</v>
      </c>
      <c r="I1255" s="6">
        <v>0</v>
      </c>
      <c r="J1255" s="6">
        <v>16</v>
      </c>
      <c r="K1255" s="6">
        <v>16.992394999999998</v>
      </c>
      <c r="L1255" s="6">
        <v>16.951830000000001</v>
      </c>
      <c r="M1255" s="6">
        <v>17.405908</v>
      </c>
      <c r="N1255" s="6">
        <v>17.016705999999999</v>
      </c>
      <c r="O1255" s="6">
        <v>16.954350000000002</v>
      </c>
      <c r="P1255" s="6">
        <v>17.537869000000001</v>
      </c>
      <c r="Q1255" s="6">
        <v>17.016335999999999</v>
      </c>
      <c r="R1255" s="6">
        <v>16.958155999999999</v>
      </c>
      <c r="S1255" s="6">
        <v>17.538882000000001</v>
      </c>
      <c r="T1255" s="6">
        <v>17.016335999999999</v>
      </c>
      <c r="U1255" s="6">
        <v>16.958155999999999</v>
      </c>
      <c r="V1255" s="6">
        <v>17.538882000000001</v>
      </c>
    </row>
    <row r="1256" spans="2:22">
      <c r="B1256" s="6">
        <v>32539</v>
      </c>
      <c r="C1256" s="6" t="s">
        <v>204</v>
      </c>
      <c r="D1256" s="6">
        <v>20500</v>
      </c>
      <c r="E1256" s="6" t="s">
        <v>31</v>
      </c>
      <c r="F1256" s="6" t="s">
        <v>17</v>
      </c>
      <c r="G1256" s="6" t="s">
        <v>1294</v>
      </c>
      <c r="H1256" s="6">
        <v>0</v>
      </c>
      <c r="I1256" s="6">
        <v>0</v>
      </c>
      <c r="J1256" s="6">
        <v>25</v>
      </c>
      <c r="K1256" s="6">
        <v>26.179282000000001</v>
      </c>
      <c r="L1256" s="6">
        <v>26.186138</v>
      </c>
      <c r="M1256" s="6">
        <v>25.935728999999998</v>
      </c>
      <c r="N1256" s="6">
        <v>26.108958000000001</v>
      </c>
      <c r="O1256" s="6">
        <v>26.328648000000001</v>
      </c>
      <c r="P1256" s="6">
        <v>26.003786000000002</v>
      </c>
      <c r="Q1256" s="6">
        <v>26.101534000000001</v>
      </c>
      <c r="R1256" s="6">
        <v>26.316153</v>
      </c>
      <c r="S1256" s="6">
        <v>25.991613999999998</v>
      </c>
      <c r="T1256" s="6">
        <v>25.645997000000001</v>
      </c>
      <c r="U1256" s="6">
        <v>25.223958</v>
      </c>
      <c r="V1256" s="6">
        <v>24.770192999999999</v>
      </c>
    </row>
    <row r="1257" spans="2:22">
      <c r="B1257" s="6">
        <v>32539</v>
      </c>
      <c r="C1257" s="6" t="s">
        <v>204</v>
      </c>
      <c r="D1257" s="6">
        <v>20705</v>
      </c>
      <c r="E1257" s="6" t="s">
        <v>59</v>
      </c>
      <c r="F1257" s="6" t="s">
        <v>17</v>
      </c>
      <c r="G1257" s="6" t="s">
        <v>1294</v>
      </c>
      <c r="H1257" s="6">
        <v>0</v>
      </c>
      <c r="I1257" s="6">
        <v>0</v>
      </c>
      <c r="J1257" s="6">
        <v>30</v>
      </c>
      <c r="K1257" s="6">
        <v>30</v>
      </c>
      <c r="L1257" s="6">
        <v>30</v>
      </c>
      <c r="M1257" s="6">
        <v>30</v>
      </c>
      <c r="N1257" s="6">
        <v>30</v>
      </c>
      <c r="O1257" s="6">
        <v>30</v>
      </c>
      <c r="P1257" s="6">
        <v>30</v>
      </c>
      <c r="Q1257" s="6">
        <v>30</v>
      </c>
      <c r="R1257" s="6">
        <v>30</v>
      </c>
      <c r="S1257" s="6">
        <v>29.784172000000002</v>
      </c>
      <c r="T1257" s="6">
        <v>30</v>
      </c>
      <c r="U1257" s="6">
        <v>30</v>
      </c>
      <c r="V1257" s="6">
        <v>29.784172000000002</v>
      </c>
    </row>
    <row r="1258" spans="2:22">
      <c r="B1258" s="6">
        <v>32539</v>
      </c>
      <c r="C1258" s="6" t="s">
        <v>204</v>
      </c>
      <c r="D1258" s="6">
        <v>20902</v>
      </c>
      <c r="E1258" s="6" t="s">
        <v>53</v>
      </c>
      <c r="F1258" s="6" t="s">
        <v>13</v>
      </c>
      <c r="G1258" s="6" t="s">
        <v>14</v>
      </c>
      <c r="H1258" s="6">
        <v>0</v>
      </c>
      <c r="I1258" s="6">
        <v>0</v>
      </c>
      <c r="J1258" s="6">
        <v>15</v>
      </c>
      <c r="K1258" s="6">
        <v>18.635802000000002</v>
      </c>
      <c r="L1258" s="6">
        <v>18.195121</v>
      </c>
      <c r="M1258" s="6">
        <v>17.625368000000002</v>
      </c>
      <c r="N1258" s="6">
        <v>19.181818</v>
      </c>
      <c r="O1258" s="6">
        <v>19.119288999999998</v>
      </c>
      <c r="P1258" s="6">
        <v>18.784502</v>
      </c>
      <c r="Q1258" s="6">
        <v>19.181818</v>
      </c>
      <c r="R1258" s="6">
        <v>19.101835999999999</v>
      </c>
      <c r="S1258" s="6">
        <v>18.763134000000001</v>
      </c>
      <c r="T1258" s="6">
        <v>19.181818</v>
      </c>
      <c r="U1258" s="6">
        <v>19.101835999999999</v>
      </c>
      <c r="V1258" s="6">
        <v>18.763134000000001</v>
      </c>
    </row>
    <row r="1259" spans="2:22">
      <c r="B1259" s="6">
        <v>32539</v>
      </c>
      <c r="C1259" s="6" t="s">
        <v>204</v>
      </c>
      <c r="D1259" s="6">
        <v>20906</v>
      </c>
      <c r="E1259" s="6" t="s">
        <v>48</v>
      </c>
      <c r="F1259" s="6" t="s">
        <v>49</v>
      </c>
      <c r="G1259" s="6" t="s">
        <v>1296</v>
      </c>
      <c r="H1259" s="6">
        <v>0</v>
      </c>
      <c r="I1259" s="6">
        <v>0</v>
      </c>
      <c r="J1259" s="6">
        <v>17</v>
      </c>
      <c r="K1259" s="6">
        <v>16.992394999999998</v>
      </c>
      <c r="L1259" s="6">
        <v>16.951830000000001</v>
      </c>
      <c r="M1259" s="6">
        <v>17.405908</v>
      </c>
      <c r="N1259" s="6">
        <v>17.016705999999999</v>
      </c>
      <c r="O1259" s="6">
        <v>16.954350000000002</v>
      </c>
      <c r="P1259" s="6">
        <v>17.537869000000001</v>
      </c>
      <c r="Q1259" s="6">
        <v>17.016335999999999</v>
      </c>
      <c r="R1259" s="6">
        <v>16.958155999999999</v>
      </c>
      <c r="S1259" s="6">
        <v>17.538882000000001</v>
      </c>
      <c r="T1259" s="6">
        <v>17.016335999999999</v>
      </c>
      <c r="U1259" s="6">
        <v>16.958155999999999</v>
      </c>
      <c r="V1259" s="6">
        <v>17.538882000000001</v>
      </c>
    </row>
    <row r="1260" spans="2:22">
      <c r="B1260" s="6">
        <v>32540</v>
      </c>
      <c r="C1260" s="6" t="s">
        <v>205</v>
      </c>
      <c r="D1260" s="6">
        <v>20500</v>
      </c>
      <c r="E1260" s="6" t="s">
        <v>31</v>
      </c>
      <c r="F1260" s="6" t="s">
        <v>17</v>
      </c>
      <c r="G1260" s="6" t="s">
        <v>1294</v>
      </c>
      <c r="H1260" s="6">
        <v>0</v>
      </c>
      <c r="I1260" s="6">
        <v>25</v>
      </c>
      <c r="J1260" s="6">
        <v>25</v>
      </c>
      <c r="K1260" s="6">
        <v>26.179282000000001</v>
      </c>
      <c r="L1260" s="6">
        <v>26.186138</v>
      </c>
      <c r="M1260" s="6">
        <v>25.935728999999998</v>
      </c>
      <c r="N1260" s="6">
        <v>26.108958000000001</v>
      </c>
      <c r="O1260" s="6">
        <v>26.328648000000001</v>
      </c>
      <c r="P1260" s="6">
        <v>26.003786000000002</v>
      </c>
      <c r="Q1260" s="6">
        <v>26.101534000000001</v>
      </c>
      <c r="R1260" s="6">
        <v>26.316153</v>
      </c>
      <c r="S1260" s="6">
        <v>25.991613999999998</v>
      </c>
      <c r="T1260" s="6">
        <v>25.645997000000001</v>
      </c>
      <c r="U1260" s="6">
        <v>25.223958</v>
      </c>
      <c r="V1260" s="6">
        <v>24.770192999999999</v>
      </c>
    </row>
    <row r="1261" spans="2:22">
      <c r="B1261" s="6">
        <v>32540</v>
      </c>
      <c r="C1261" s="6" t="s">
        <v>205</v>
      </c>
      <c r="D1261" s="6">
        <v>20706</v>
      </c>
      <c r="E1261" s="6" t="s">
        <v>52</v>
      </c>
      <c r="F1261" s="6" t="s">
        <v>17</v>
      </c>
      <c r="G1261" s="6" t="s">
        <v>1294</v>
      </c>
      <c r="H1261" s="6">
        <v>0</v>
      </c>
      <c r="I1261" s="6">
        <v>40</v>
      </c>
      <c r="J1261" s="6">
        <v>40</v>
      </c>
      <c r="K1261" s="6">
        <v>40</v>
      </c>
      <c r="L1261" s="6">
        <v>40</v>
      </c>
      <c r="M1261" s="6">
        <v>39.931505999999999</v>
      </c>
      <c r="N1261" s="6">
        <v>39.962778999999998</v>
      </c>
      <c r="O1261" s="6">
        <v>39.971750999999998</v>
      </c>
      <c r="P1261" s="6">
        <v>39.969020999999998</v>
      </c>
      <c r="Q1261" s="6">
        <v>39.963768000000002</v>
      </c>
      <c r="R1261" s="6">
        <v>39.972496999999997</v>
      </c>
      <c r="S1261" s="6">
        <v>39.969659999999998</v>
      </c>
      <c r="T1261" s="6">
        <v>39.867787999999997</v>
      </c>
      <c r="U1261" s="6">
        <v>39.928649</v>
      </c>
      <c r="V1261" s="6">
        <v>39.945453999999998</v>
      </c>
    </row>
    <row r="1262" spans="2:22">
      <c r="B1262" s="6">
        <v>32540</v>
      </c>
      <c r="C1262" s="6" t="s">
        <v>205</v>
      </c>
      <c r="D1262" s="6">
        <v>20902</v>
      </c>
      <c r="E1262" s="6" t="s">
        <v>53</v>
      </c>
      <c r="F1262" s="6" t="s">
        <v>13</v>
      </c>
      <c r="G1262" s="6" t="s">
        <v>14</v>
      </c>
      <c r="H1262" s="6">
        <v>0</v>
      </c>
      <c r="I1262" s="6">
        <v>0</v>
      </c>
      <c r="J1262" s="6">
        <v>15</v>
      </c>
      <c r="K1262" s="6">
        <v>18.635802000000002</v>
      </c>
      <c r="L1262" s="6">
        <v>18.195121</v>
      </c>
      <c r="M1262" s="6">
        <v>17.625368000000002</v>
      </c>
      <c r="N1262" s="6">
        <v>19.181818</v>
      </c>
      <c r="O1262" s="6">
        <v>19.119288999999998</v>
      </c>
      <c r="P1262" s="6">
        <v>18.784502</v>
      </c>
      <c r="Q1262" s="6">
        <v>19.181818</v>
      </c>
      <c r="R1262" s="6">
        <v>19.101835999999999</v>
      </c>
      <c r="S1262" s="6">
        <v>18.763134000000001</v>
      </c>
      <c r="T1262" s="6">
        <v>19.181818</v>
      </c>
      <c r="U1262" s="6">
        <v>19.101835999999999</v>
      </c>
      <c r="V1262" s="6">
        <v>18.763134000000001</v>
      </c>
    </row>
    <row r="1263" spans="2:22">
      <c r="B1263" s="6">
        <v>32540</v>
      </c>
      <c r="C1263" s="6" t="s">
        <v>205</v>
      </c>
      <c r="D1263" s="6">
        <v>20906</v>
      </c>
      <c r="E1263" s="6" t="s">
        <v>48</v>
      </c>
      <c r="F1263" s="6" t="s">
        <v>49</v>
      </c>
      <c r="G1263" s="6" t="s">
        <v>1296</v>
      </c>
      <c r="H1263" s="6">
        <v>0</v>
      </c>
      <c r="I1263" s="6">
        <v>17</v>
      </c>
      <c r="J1263" s="6">
        <v>17</v>
      </c>
      <c r="K1263" s="6">
        <v>16.992394999999998</v>
      </c>
      <c r="L1263" s="6">
        <v>16.951830000000001</v>
      </c>
      <c r="M1263" s="6">
        <v>17.405908</v>
      </c>
      <c r="N1263" s="6">
        <v>17.016705999999999</v>
      </c>
      <c r="O1263" s="6">
        <v>16.954350000000002</v>
      </c>
      <c r="P1263" s="6">
        <v>17.537869000000001</v>
      </c>
      <c r="Q1263" s="6">
        <v>17.016335999999999</v>
      </c>
      <c r="R1263" s="6">
        <v>16.958155999999999</v>
      </c>
      <c r="S1263" s="6">
        <v>17.538882000000001</v>
      </c>
      <c r="T1263" s="6">
        <v>17.016335999999999</v>
      </c>
      <c r="U1263" s="6">
        <v>16.958155999999999</v>
      </c>
      <c r="V1263" s="6">
        <v>17.538882000000001</v>
      </c>
    </row>
    <row r="1264" spans="2:22">
      <c r="B1264" s="6">
        <v>32541</v>
      </c>
      <c r="C1264" s="6" t="s">
        <v>206</v>
      </c>
      <c r="D1264" s="6">
        <v>20500</v>
      </c>
      <c r="E1264" s="6" t="s">
        <v>31</v>
      </c>
      <c r="F1264" s="6" t="s">
        <v>17</v>
      </c>
      <c r="G1264" s="6" t="s">
        <v>1294</v>
      </c>
      <c r="H1264" s="6">
        <v>0</v>
      </c>
      <c r="I1264" s="6">
        <v>0</v>
      </c>
      <c r="J1264" s="6">
        <v>25</v>
      </c>
      <c r="K1264" s="6">
        <v>26.179282000000001</v>
      </c>
      <c r="L1264" s="6">
        <v>26.186138</v>
      </c>
      <c r="M1264" s="6">
        <v>25.935728999999998</v>
      </c>
      <c r="N1264" s="6">
        <v>26.108958000000001</v>
      </c>
      <c r="O1264" s="6">
        <v>26.328648000000001</v>
      </c>
      <c r="P1264" s="6">
        <v>26.003786000000002</v>
      </c>
      <c r="Q1264" s="6">
        <v>26.101534000000001</v>
      </c>
      <c r="R1264" s="6">
        <v>26.316153</v>
      </c>
      <c r="S1264" s="6">
        <v>25.991613999999998</v>
      </c>
      <c r="T1264" s="6">
        <v>25.645997000000001</v>
      </c>
      <c r="U1264" s="6">
        <v>25.223958</v>
      </c>
      <c r="V1264" s="6">
        <v>24.770192999999999</v>
      </c>
    </row>
    <row r="1265" spans="2:22">
      <c r="B1265" s="6">
        <v>32541</v>
      </c>
      <c r="C1265" s="6" t="s">
        <v>206</v>
      </c>
      <c r="D1265" s="6">
        <v>20705</v>
      </c>
      <c r="E1265" s="6" t="s">
        <v>59</v>
      </c>
      <c r="F1265" s="6" t="s">
        <v>17</v>
      </c>
      <c r="G1265" s="6" t="s">
        <v>1294</v>
      </c>
      <c r="H1265" s="6">
        <v>0</v>
      </c>
      <c r="I1265" s="6">
        <v>0</v>
      </c>
      <c r="J1265" s="6">
        <v>30</v>
      </c>
      <c r="K1265" s="6">
        <v>30</v>
      </c>
      <c r="L1265" s="6">
        <v>30</v>
      </c>
      <c r="M1265" s="6">
        <v>30</v>
      </c>
      <c r="N1265" s="6">
        <v>30</v>
      </c>
      <c r="O1265" s="6">
        <v>30</v>
      </c>
      <c r="P1265" s="6">
        <v>30</v>
      </c>
      <c r="Q1265" s="6">
        <v>30</v>
      </c>
      <c r="R1265" s="6">
        <v>30</v>
      </c>
      <c r="S1265" s="6">
        <v>29.784172000000002</v>
      </c>
      <c r="T1265" s="6">
        <v>30</v>
      </c>
      <c r="U1265" s="6">
        <v>30</v>
      </c>
      <c r="V1265" s="6">
        <v>29.784172000000002</v>
      </c>
    </row>
    <row r="1266" spans="2:22">
      <c r="B1266" s="6">
        <v>32541</v>
      </c>
      <c r="C1266" s="6" t="s">
        <v>206</v>
      </c>
      <c r="D1266" s="6">
        <v>20902</v>
      </c>
      <c r="E1266" s="6" t="s">
        <v>53</v>
      </c>
      <c r="F1266" s="6" t="s">
        <v>13</v>
      </c>
      <c r="G1266" s="6" t="s">
        <v>14</v>
      </c>
      <c r="H1266" s="6">
        <v>0</v>
      </c>
      <c r="I1266" s="6">
        <v>0</v>
      </c>
      <c r="J1266" s="6">
        <v>15</v>
      </c>
      <c r="K1266" s="6">
        <v>18.635802000000002</v>
      </c>
      <c r="L1266" s="6">
        <v>18.195121</v>
      </c>
      <c r="M1266" s="6">
        <v>17.625368000000002</v>
      </c>
      <c r="N1266" s="6">
        <v>19.181818</v>
      </c>
      <c r="O1266" s="6">
        <v>19.119288999999998</v>
      </c>
      <c r="P1266" s="6">
        <v>18.784502</v>
      </c>
      <c r="Q1266" s="6">
        <v>19.181818</v>
      </c>
      <c r="R1266" s="6">
        <v>19.101835999999999</v>
      </c>
      <c r="S1266" s="6">
        <v>18.763134000000001</v>
      </c>
      <c r="T1266" s="6">
        <v>19.181818</v>
      </c>
      <c r="U1266" s="6">
        <v>19.101835999999999</v>
      </c>
      <c r="V1266" s="6">
        <v>18.763134000000001</v>
      </c>
    </row>
    <row r="1267" spans="2:22">
      <c r="B1267" s="6">
        <v>32541</v>
      </c>
      <c r="C1267" s="6" t="s">
        <v>206</v>
      </c>
      <c r="D1267" s="6">
        <v>20906</v>
      </c>
      <c r="E1267" s="6" t="s">
        <v>48</v>
      </c>
      <c r="F1267" s="6" t="s">
        <v>49</v>
      </c>
      <c r="G1267" s="6" t="s">
        <v>1296</v>
      </c>
      <c r="H1267" s="6">
        <v>0</v>
      </c>
      <c r="I1267" s="6">
        <v>0</v>
      </c>
      <c r="J1267" s="6">
        <v>17</v>
      </c>
      <c r="K1267" s="6">
        <v>16.992394999999998</v>
      </c>
      <c r="L1267" s="6">
        <v>16.951830000000001</v>
      </c>
      <c r="M1267" s="6">
        <v>17.405908</v>
      </c>
      <c r="N1267" s="6">
        <v>17.016705999999999</v>
      </c>
      <c r="O1267" s="6">
        <v>16.954350000000002</v>
      </c>
      <c r="P1267" s="6">
        <v>17.537869000000001</v>
      </c>
      <c r="Q1267" s="6">
        <v>17.016335999999999</v>
      </c>
      <c r="R1267" s="6">
        <v>16.958155999999999</v>
      </c>
      <c r="S1267" s="6">
        <v>17.538882000000001</v>
      </c>
      <c r="T1267" s="6">
        <v>17.016335999999999</v>
      </c>
      <c r="U1267" s="6">
        <v>16.958155999999999</v>
      </c>
      <c r="V1267" s="6">
        <v>17.538882000000001</v>
      </c>
    </row>
    <row r="1268" spans="2:22">
      <c r="B1268" s="6">
        <v>32556</v>
      </c>
      <c r="C1268" s="6" t="s">
        <v>219</v>
      </c>
      <c r="D1268" s="6">
        <v>20710</v>
      </c>
      <c r="E1268" s="6" t="s">
        <v>214</v>
      </c>
      <c r="F1268" s="6" t="s">
        <v>16</v>
      </c>
      <c r="G1268" s="6" t="s">
        <v>1295</v>
      </c>
      <c r="H1268" s="6">
        <v>12</v>
      </c>
      <c r="I1268" s="6">
        <v>12.053571</v>
      </c>
      <c r="J1268" s="6">
        <v>12.051724</v>
      </c>
      <c r="K1268" s="6">
        <v>12.103448</v>
      </c>
      <c r="L1268" s="6">
        <v>12.1</v>
      </c>
      <c r="M1268" s="6">
        <v>12.04186</v>
      </c>
      <c r="N1268" s="6">
        <v>12.103448</v>
      </c>
      <c r="O1268" s="6">
        <v>12.1</v>
      </c>
      <c r="P1268" s="6">
        <v>12.04186</v>
      </c>
      <c r="Q1268" s="6">
        <v>12.103448</v>
      </c>
      <c r="R1268" s="6">
        <v>12.1</v>
      </c>
      <c r="S1268" s="6">
        <v>12.04186</v>
      </c>
      <c r="T1268" s="6">
        <v>12.103448</v>
      </c>
      <c r="U1268" s="6">
        <v>12.1</v>
      </c>
      <c r="V1268" s="6">
        <v>12.04186</v>
      </c>
    </row>
    <row r="1269" spans="2:22">
      <c r="B1269" s="6">
        <v>32556</v>
      </c>
      <c r="C1269" s="6" t="s">
        <v>219</v>
      </c>
      <c r="D1269" s="6">
        <v>23100</v>
      </c>
      <c r="E1269" s="6" t="s">
        <v>54</v>
      </c>
      <c r="F1269" s="6" t="s">
        <v>16</v>
      </c>
      <c r="G1269" s="6" t="s">
        <v>1295</v>
      </c>
      <c r="H1269" s="6">
        <v>15</v>
      </c>
      <c r="I1269" s="6">
        <v>15.267856999999999</v>
      </c>
      <c r="J1269" s="6">
        <v>15.258620000000001</v>
      </c>
      <c r="K1269" s="6">
        <v>15.086206000000001</v>
      </c>
      <c r="L1269" s="6">
        <v>15.133333</v>
      </c>
      <c r="M1269" s="6">
        <v>15.093896000000001</v>
      </c>
      <c r="N1269" s="6">
        <v>15.086206000000001</v>
      </c>
      <c r="O1269" s="6">
        <v>15.133333</v>
      </c>
      <c r="P1269" s="6">
        <v>15.093896000000001</v>
      </c>
      <c r="Q1269" s="6">
        <v>17.533783</v>
      </c>
      <c r="R1269" s="6">
        <v>16.700679999999998</v>
      </c>
      <c r="S1269" s="6">
        <v>17.127882</v>
      </c>
      <c r="T1269" s="6">
        <v>17.533783</v>
      </c>
      <c r="U1269" s="6">
        <v>16.700679999999998</v>
      </c>
      <c r="V1269" s="6">
        <v>17.127882</v>
      </c>
    </row>
    <row r="1270" spans="2:22">
      <c r="B1270" s="6">
        <v>32557</v>
      </c>
      <c r="C1270" s="6" t="s">
        <v>1028</v>
      </c>
      <c r="D1270" s="6">
        <v>12400</v>
      </c>
      <c r="E1270" s="6" t="s">
        <v>217</v>
      </c>
      <c r="F1270" s="6" t="s">
        <v>16</v>
      </c>
      <c r="G1270" s="6" t="s">
        <v>1295</v>
      </c>
      <c r="H1270" s="6">
        <v>0</v>
      </c>
      <c r="I1270" s="6">
        <v>0</v>
      </c>
      <c r="J1270" s="6">
        <v>8</v>
      </c>
      <c r="K1270" s="6">
        <v>13.375</v>
      </c>
      <c r="L1270" s="6">
        <v>10.9375</v>
      </c>
      <c r="M1270" s="6">
        <v>9.2653060000000007</v>
      </c>
      <c r="N1270" s="6">
        <v>9.2387090000000001</v>
      </c>
      <c r="O1270" s="6">
        <v>8.7126429999999999</v>
      </c>
      <c r="P1270" s="6">
        <v>8.6856360000000006</v>
      </c>
      <c r="Q1270" s="6">
        <v>9.2387090000000001</v>
      </c>
      <c r="R1270" s="6">
        <v>8.7126429999999999</v>
      </c>
      <c r="S1270" s="6">
        <v>8.6856360000000006</v>
      </c>
      <c r="T1270" s="6">
        <v>8.8875729999999997</v>
      </c>
      <c r="U1270" s="6">
        <v>8.6089380000000002</v>
      </c>
      <c r="V1270" s="6">
        <v>8.6174140000000001</v>
      </c>
    </row>
    <row r="1271" spans="2:22">
      <c r="B1271" s="6">
        <v>32557</v>
      </c>
      <c r="C1271" s="6" t="s">
        <v>1028</v>
      </c>
      <c r="D1271" s="6">
        <v>20500</v>
      </c>
      <c r="E1271" s="6" t="s">
        <v>31</v>
      </c>
      <c r="F1271" s="6" t="s">
        <v>16</v>
      </c>
      <c r="G1271" s="6" t="s">
        <v>1295</v>
      </c>
      <c r="H1271" s="6">
        <v>0</v>
      </c>
      <c r="I1271" s="6">
        <v>0</v>
      </c>
      <c r="J1271" s="6">
        <v>10</v>
      </c>
      <c r="K1271" s="6">
        <v>10</v>
      </c>
      <c r="L1271" s="6">
        <v>10</v>
      </c>
      <c r="M1271" s="6">
        <v>9.9722220000000004</v>
      </c>
      <c r="N1271" s="6">
        <v>10</v>
      </c>
      <c r="O1271" s="6">
        <v>10</v>
      </c>
      <c r="P1271" s="6">
        <v>9.9904759999999992</v>
      </c>
      <c r="Q1271" s="6">
        <v>10</v>
      </c>
      <c r="R1271" s="6">
        <v>10</v>
      </c>
      <c r="S1271" s="6">
        <v>9.9904759999999992</v>
      </c>
      <c r="T1271" s="6">
        <v>16.909089999999999</v>
      </c>
      <c r="U1271" s="6">
        <v>13.130081000000001</v>
      </c>
      <c r="V1271" s="6">
        <v>12.707865</v>
      </c>
    </row>
    <row r="1272" spans="2:22">
      <c r="B1272" s="6">
        <v>32557</v>
      </c>
      <c r="C1272" s="6" t="s">
        <v>1028</v>
      </c>
      <c r="D1272" s="6">
        <v>20904</v>
      </c>
      <c r="E1272" s="6" t="s">
        <v>156</v>
      </c>
      <c r="F1272" s="6" t="s">
        <v>16</v>
      </c>
      <c r="G1272" s="6" t="s">
        <v>1295</v>
      </c>
      <c r="H1272" s="6">
        <v>0</v>
      </c>
      <c r="I1272" s="6">
        <v>0</v>
      </c>
      <c r="J1272" s="6">
        <v>10</v>
      </c>
      <c r="K1272" s="6">
        <v>10</v>
      </c>
      <c r="L1272" s="6">
        <v>10</v>
      </c>
      <c r="M1272" s="6">
        <v>11.173913000000001</v>
      </c>
      <c r="N1272" s="6">
        <v>14.736841999999999</v>
      </c>
      <c r="O1272" s="6">
        <v>14.21875</v>
      </c>
      <c r="P1272" s="6">
        <v>13.268817</v>
      </c>
      <c r="Q1272" s="6">
        <v>14.736841999999999</v>
      </c>
      <c r="R1272" s="6">
        <v>14.21875</v>
      </c>
      <c r="S1272" s="6">
        <v>13.268817</v>
      </c>
      <c r="T1272" s="6">
        <v>14.736841999999999</v>
      </c>
      <c r="U1272" s="6">
        <v>14.21875</v>
      </c>
      <c r="V1272" s="6">
        <v>13.268817</v>
      </c>
    </row>
    <row r="1273" spans="2:22">
      <c r="B1273" s="6">
        <v>32558</v>
      </c>
      <c r="C1273" s="6" t="s">
        <v>1026</v>
      </c>
      <c r="D1273" s="6">
        <v>12400</v>
      </c>
      <c r="E1273" s="6" t="s">
        <v>217</v>
      </c>
      <c r="F1273" s="6" t="s">
        <v>16</v>
      </c>
      <c r="G1273" s="6" t="s">
        <v>1295</v>
      </c>
      <c r="H1273" s="6">
        <v>0</v>
      </c>
      <c r="I1273" s="6">
        <v>0</v>
      </c>
      <c r="J1273" s="6">
        <v>8</v>
      </c>
      <c r="K1273" s="6">
        <v>13.375</v>
      </c>
      <c r="L1273" s="6">
        <v>10.9375</v>
      </c>
      <c r="M1273" s="6">
        <v>9.2653060000000007</v>
      </c>
      <c r="N1273" s="6">
        <v>9.2387090000000001</v>
      </c>
      <c r="O1273" s="6">
        <v>8.7126429999999999</v>
      </c>
      <c r="P1273" s="6">
        <v>8.6856360000000006</v>
      </c>
      <c r="Q1273" s="6">
        <v>9.2387090000000001</v>
      </c>
      <c r="R1273" s="6">
        <v>8.7126429999999999</v>
      </c>
      <c r="S1273" s="6">
        <v>8.6856360000000006</v>
      </c>
      <c r="T1273" s="6">
        <v>8.8875729999999997</v>
      </c>
      <c r="U1273" s="6">
        <v>8.6089380000000002</v>
      </c>
      <c r="V1273" s="6">
        <v>8.6174140000000001</v>
      </c>
    </row>
    <row r="1274" spans="2:22">
      <c r="B1274" s="6">
        <v>32558</v>
      </c>
      <c r="C1274" s="6" t="s">
        <v>1026</v>
      </c>
      <c r="D1274" s="6">
        <v>20500</v>
      </c>
      <c r="E1274" s="6" t="s">
        <v>31</v>
      </c>
      <c r="F1274" s="6" t="s">
        <v>16</v>
      </c>
      <c r="G1274" s="6" t="s">
        <v>1295</v>
      </c>
      <c r="H1274" s="6">
        <v>0</v>
      </c>
      <c r="I1274" s="6">
        <v>0</v>
      </c>
      <c r="J1274" s="6">
        <v>10</v>
      </c>
      <c r="K1274" s="6">
        <v>10</v>
      </c>
      <c r="L1274" s="6">
        <v>10</v>
      </c>
      <c r="M1274" s="6">
        <v>9.9722220000000004</v>
      </c>
      <c r="N1274" s="6">
        <v>10</v>
      </c>
      <c r="O1274" s="6">
        <v>10</v>
      </c>
      <c r="P1274" s="6">
        <v>9.9904759999999992</v>
      </c>
      <c r="Q1274" s="6">
        <v>10</v>
      </c>
      <c r="R1274" s="6">
        <v>10</v>
      </c>
      <c r="S1274" s="6">
        <v>9.9904759999999992</v>
      </c>
      <c r="T1274" s="6">
        <v>16.909089999999999</v>
      </c>
      <c r="U1274" s="6">
        <v>13.130081000000001</v>
      </c>
      <c r="V1274" s="6">
        <v>12.707865</v>
      </c>
    </row>
    <row r="1275" spans="2:22">
      <c r="B1275" s="6">
        <v>32558</v>
      </c>
      <c r="C1275" s="6" t="s">
        <v>1026</v>
      </c>
      <c r="D1275" s="6">
        <v>20904</v>
      </c>
      <c r="E1275" s="6" t="s">
        <v>156</v>
      </c>
      <c r="F1275" s="6" t="s">
        <v>16</v>
      </c>
      <c r="G1275" s="6" t="s">
        <v>1295</v>
      </c>
      <c r="H1275" s="6">
        <v>0</v>
      </c>
      <c r="I1275" s="6">
        <v>0</v>
      </c>
      <c r="J1275" s="6">
        <v>10</v>
      </c>
      <c r="K1275" s="6">
        <v>10</v>
      </c>
      <c r="L1275" s="6">
        <v>10</v>
      </c>
      <c r="M1275" s="6">
        <v>11.173913000000001</v>
      </c>
      <c r="N1275" s="6">
        <v>14.736841999999999</v>
      </c>
      <c r="O1275" s="6">
        <v>14.21875</v>
      </c>
      <c r="P1275" s="6">
        <v>13.268817</v>
      </c>
      <c r="Q1275" s="6">
        <v>14.736841999999999</v>
      </c>
      <c r="R1275" s="6">
        <v>14.21875</v>
      </c>
      <c r="S1275" s="6">
        <v>13.268817</v>
      </c>
      <c r="T1275" s="6">
        <v>14.736841999999999</v>
      </c>
      <c r="U1275" s="6">
        <v>14.21875</v>
      </c>
      <c r="V1275" s="6">
        <v>13.268817</v>
      </c>
    </row>
    <row r="1276" spans="2:22">
      <c r="B1276" s="6">
        <v>32565</v>
      </c>
      <c r="C1276" s="6" t="s">
        <v>1173</v>
      </c>
      <c r="D1276" s="6">
        <v>25000</v>
      </c>
      <c r="E1276" s="6" t="s">
        <v>1226</v>
      </c>
      <c r="F1276" s="6" t="s">
        <v>16</v>
      </c>
      <c r="G1276" s="6" t="s">
        <v>1295</v>
      </c>
      <c r="H1276" s="6">
        <v>0</v>
      </c>
      <c r="I1276" s="6">
        <v>20</v>
      </c>
      <c r="J1276" s="6">
        <v>20</v>
      </c>
      <c r="K1276" s="6">
        <v>13.076923000000001</v>
      </c>
      <c r="L1276" s="6">
        <v>14.533333000000001</v>
      </c>
      <c r="M1276" s="6">
        <v>15.393442</v>
      </c>
      <c r="N1276" s="6">
        <v>13.076923000000001</v>
      </c>
      <c r="O1276" s="6">
        <v>14.533333000000001</v>
      </c>
      <c r="P1276" s="6">
        <v>15.139533999999999</v>
      </c>
      <c r="Q1276" s="6">
        <v>13.076923000000001</v>
      </c>
      <c r="R1276" s="6">
        <v>14.533333000000001</v>
      </c>
      <c r="S1276" s="6">
        <v>15.139533999999999</v>
      </c>
      <c r="T1276" s="6">
        <v>13.076923000000001</v>
      </c>
      <c r="U1276" s="6">
        <v>14.533333000000001</v>
      </c>
      <c r="V1276" s="6">
        <v>15.139533999999999</v>
      </c>
    </row>
    <row r="1277" spans="2:22">
      <c r="B1277" s="6">
        <v>32565</v>
      </c>
      <c r="C1277" s="6" t="s">
        <v>1173</v>
      </c>
      <c r="D1277" s="6">
        <v>25001</v>
      </c>
      <c r="E1277" s="6" t="s">
        <v>1232</v>
      </c>
      <c r="F1277" s="6" t="s">
        <v>16</v>
      </c>
      <c r="G1277" s="6" t="s">
        <v>1295</v>
      </c>
      <c r="H1277" s="6">
        <v>0</v>
      </c>
      <c r="I1277" s="6">
        <v>0</v>
      </c>
      <c r="J1277" s="6">
        <v>10</v>
      </c>
      <c r="K1277" s="6">
        <v>0</v>
      </c>
      <c r="L1277" s="6">
        <v>0</v>
      </c>
      <c r="M1277" s="6">
        <v>10</v>
      </c>
      <c r="N1277" s="6">
        <v>0</v>
      </c>
      <c r="O1277" s="6">
        <v>0</v>
      </c>
      <c r="P1277" s="6">
        <v>10</v>
      </c>
      <c r="Q1277" s="6">
        <v>0</v>
      </c>
      <c r="R1277" s="6">
        <v>0</v>
      </c>
      <c r="S1277" s="6">
        <v>10</v>
      </c>
      <c r="T1277" s="6">
        <v>0</v>
      </c>
      <c r="U1277" s="6">
        <v>0</v>
      </c>
      <c r="V1277" s="6">
        <v>10</v>
      </c>
    </row>
    <row r="1278" spans="2:22">
      <c r="B1278" s="6">
        <v>32565</v>
      </c>
      <c r="C1278" s="6" t="s">
        <v>1173</v>
      </c>
      <c r="D1278" s="6">
        <v>25001</v>
      </c>
      <c r="E1278" s="6" t="s">
        <v>1232</v>
      </c>
      <c r="F1278" s="6" t="s">
        <v>73</v>
      </c>
      <c r="G1278" s="6" t="s">
        <v>1299</v>
      </c>
      <c r="H1278" s="6">
        <v>0</v>
      </c>
      <c r="I1278" s="6">
        <v>5</v>
      </c>
      <c r="J1278" s="6">
        <v>4.3333329999999997</v>
      </c>
      <c r="K1278" s="6">
        <v>0</v>
      </c>
      <c r="L1278" s="6">
        <v>5</v>
      </c>
      <c r="M1278" s="6">
        <v>4.3333329999999997</v>
      </c>
      <c r="N1278" s="6">
        <v>0</v>
      </c>
      <c r="O1278" s="6">
        <v>5</v>
      </c>
      <c r="P1278" s="6">
        <v>4.3333329999999997</v>
      </c>
      <c r="Q1278" s="6">
        <v>0</v>
      </c>
      <c r="R1278" s="6">
        <v>5</v>
      </c>
      <c r="S1278" s="6">
        <v>4.3333329999999997</v>
      </c>
      <c r="T1278" s="6">
        <v>0</v>
      </c>
      <c r="U1278" s="6">
        <v>5</v>
      </c>
      <c r="V1278" s="6">
        <v>4.3333329999999997</v>
      </c>
    </row>
    <row r="1279" spans="2:22">
      <c r="B1279" s="6">
        <v>32565</v>
      </c>
      <c r="C1279" s="6" t="s">
        <v>1173</v>
      </c>
      <c r="D1279" s="6">
        <v>25006</v>
      </c>
      <c r="E1279" s="6" t="s">
        <v>1235</v>
      </c>
      <c r="F1279" s="6" t="s">
        <v>1305</v>
      </c>
      <c r="G1279" s="6" t="s">
        <v>1306</v>
      </c>
      <c r="H1279" s="6">
        <v>0</v>
      </c>
      <c r="I1279" s="6">
        <v>0</v>
      </c>
      <c r="J1279" s="6">
        <v>10</v>
      </c>
      <c r="K1279" s="6">
        <v>0</v>
      </c>
      <c r="L1279" s="6">
        <v>0</v>
      </c>
      <c r="M1279" s="6">
        <v>10</v>
      </c>
      <c r="N1279" s="6">
        <v>0</v>
      </c>
      <c r="O1279" s="6">
        <v>0</v>
      </c>
      <c r="P1279" s="6">
        <v>10</v>
      </c>
      <c r="Q1279" s="6">
        <v>0</v>
      </c>
      <c r="R1279" s="6">
        <v>0</v>
      </c>
      <c r="S1279" s="6">
        <v>10</v>
      </c>
      <c r="T1279" s="6">
        <v>0</v>
      </c>
      <c r="U1279" s="6">
        <v>0</v>
      </c>
      <c r="V1279" s="6">
        <v>10</v>
      </c>
    </row>
    <row r="1280" spans="2:22">
      <c r="B1280" s="6">
        <v>32565</v>
      </c>
      <c r="C1280" s="6" t="s">
        <v>1173</v>
      </c>
      <c r="D1280" s="6">
        <v>25006</v>
      </c>
      <c r="E1280" s="6" t="s">
        <v>1235</v>
      </c>
      <c r="F1280" s="6" t="s">
        <v>38</v>
      </c>
      <c r="G1280" s="6" t="s">
        <v>1302</v>
      </c>
      <c r="H1280" s="6">
        <v>0</v>
      </c>
      <c r="I1280" s="6">
        <v>25</v>
      </c>
      <c r="J1280" s="6">
        <v>16</v>
      </c>
      <c r="K1280" s="6">
        <v>23</v>
      </c>
      <c r="L1280" s="6">
        <v>21</v>
      </c>
      <c r="M1280" s="6">
        <v>17.291665999999999</v>
      </c>
      <c r="N1280" s="6">
        <v>23</v>
      </c>
      <c r="O1280" s="6">
        <v>21</v>
      </c>
      <c r="P1280" s="6">
        <v>17.291665999999999</v>
      </c>
      <c r="Q1280" s="6">
        <v>23</v>
      </c>
      <c r="R1280" s="6">
        <v>21</v>
      </c>
      <c r="S1280" s="6">
        <v>17.291665999999999</v>
      </c>
      <c r="T1280" s="6">
        <v>23</v>
      </c>
      <c r="U1280" s="6">
        <v>21</v>
      </c>
      <c r="V1280" s="6">
        <v>17.291665999999999</v>
      </c>
    </row>
    <row r="1281" spans="2:22">
      <c r="B1281" s="6">
        <v>32565</v>
      </c>
      <c r="C1281" s="6" t="s">
        <v>1173</v>
      </c>
      <c r="D1281" s="6">
        <v>80016</v>
      </c>
      <c r="E1281" s="6" t="s">
        <v>1239</v>
      </c>
      <c r="F1281" s="6" t="s">
        <v>38</v>
      </c>
      <c r="G1281" s="6" t="s">
        <v>1302</v>
      </c>
      <c r="H1281" s="6">
        <v>0</v>
      </c>
      <c r="I1281" s="6">
        <v>10</v>
      </c>
      <c r="J1281" s="6">
        <v>10</v>
      </c>
      <c r="K1281" s="6">
        <v>0</v>
      </c>
      <c r="L1281" s="6">
        <v>10</v>
      </c>
      <c r="M1281" s="6">
        <v>10</v>
      </c>
      <c r="N1281" s="6">
        <v>0</v>
      </c>
      <c r="O1281" s="6">
        <v>10</v>
      </c>
      <c r="P1281" s="6">
        <v>10</v>
      </c>
      <c r="Q1281" s="6">
        <v>0</v>
      </c>
      <c r="R1281" s="6">
        <v>10</v>
      </c>
      <c r="S1281" s="6">
        <v>10</v>
      </c>
      <c r="T1281" s="6">
        <v>0</v>
      </c>
      <c r="U1281" s="6">
        <v>10</v>
      </c>
      <c r="V1281" s="6">
        <v>10</v>
      </c>
    </row>
    <row r="1282" spans="2:22">
      <c r="B1282" s="6">
        <v>32568</v>
      </c>
      <c r="C1282" s="6" t="s">
        <v>1199</v>
      </c>
      <c r="D1282" s="6">
        <v>80012</v>
      </c>
      <c r="E1282" s="6" t="s">
        <v>1230</v>
      </c>
      <c r="F1282" s="6" t="s">
        <v>73</v>
      </c>
      <c r="G1282" s="6" t="s">
        <v>1299</v>
      </c>
      <c r="H1282" s="6">
        <v>0</v>
      </c>
      <c r="I1282" s="6">
        <v>15</v>
      </c>
      <c r="J1282" s="6">
        <v>15</v>
      </c>
      <c r="K1282" s="6">
        <v>15</v>
      </c>
      <c r="L1282" s="6">
        <v>15</v>
      </c>
      <c r="M1282" s="6">
        <v>15</v>
      </c>
      <c r="N1282" s="6">
        <v>15</v>
      </c>
      <c r="O1282" s="6">
        <v>15</v>
      </c>
      <c r="P1282" s="6">
        <v>15</v>
      </c>
      <c r="Q1282" s="6">
        <v>15</v>
      </c>
      <c r="R1282" s="6">
        <v>15</v>
      </c>
      <c r="S1282" s="6">
        <v>15</v>
      </c>
      <c r="T1282" s="6">
        <v>15</v>
      </c>
      <c r="U1282" s="6">
        <v>15</v>
      </c>
      <c r="V1282" s="6">
        <v>15</v>
      </c>
    </row>
    <row r="1283" spans="2:22">
      <c r="B1283" s="6">
        <v>32570</v>
      </c>
      <c r="C1283" s="6" t="s">
        <v>999</v>
      </c>
      <c r="D1283" s="6">
        <v>12400</v>
      </c>
      <c r="E1283" s="6" t="s">
        <v>217</v>
      </c>
      <c r="F1283" s="6" t="s">
        <v>16</v>
      </c>
      <c r="G1283" s="6" t="s">
        <v>1295</v>
      </c>
      <c r="H1283" s="6">
        <v>10</v>
      </c>
      <c r="I1283" s="6">
        <v>10</v>
      </c>
      <c r="J1283" s="6">
        <v>10</v>
      </c>
      <c r="K1283" s="6">
        <v>10</v>
      </c>
      <c r="L1283" s="6">
        <v>10</v>
      </c>
      <c r="M1283" s="6">
        <v>9.9817350000000005</v>
      </c>
      <c r="N1283" s="6">
        <v>9.2387090000000001</v>
      </c>
      <c r="O1283" s="6">
        <v>8.7126429999999999</v>
      </c>
      <c r="P1283" s="6">
        <v>8.6856360000000006</v>
      </c>
      <c r="Q1283" s="6">
        <v>9.2387090000000001</v>
      </c>
      <c r="R1283" s="6">
        <v>8.7126429999999999</v>
      </c>
      <c r="S1283" s="6">
        <v>8.6856360000000006</v>
      </c>
      <c r="T1283" s="6">
        <v>8.8875729999999997</v>
      </c>
      <c r="U1283" s="6">
        <v>8.6089380000000002</v>
      </c>
      <c r="V1283" s="6">
        <v>8.6174140000000001</v>
      </c>
    </row>
    <row r="1284" spans="2:22">
      <c r="B1284" s="6">
        <v>32570</v>
      </c>
      <c r="C1284" s="6" t="s">
        <v>999</v>
      </c>
      <c r="D1284" s="6">
        <v>20500</v>
      </c>
      <c r="E1284" s="6" t="s">
        <v>31</v>
      </c>
      <c r="F1284" s="6" t="s">
        <v>16</v>
      </c>
      <c r="G1284" s="6" t="s">
        <v>1295</v>
      </c>
      <c r="H1284" s="6">
        <v>10</v>
      </c>
      <c r="I1284" s="6">
        <v>10</v>
      </c>
      <c r="J1284" s="6">
        <v>10</v>
      </c>
      <c r="K1284" s="6">
        <v>10</v>
      </c>
      <c r="L1284" s="6">
        <v>10</v>
      </c>
      <c r="M1284" s="6">
        <v>10</v>
      </c>
      <c r="N1284" s="6">
        <v>10</v>
      </c>
      <c r="O1284" s="6">
        <v>10</v>
      </c>
      <c r="P1284" s="6">
        <v>9.9904759999999992</v>
      </c>
      <c r="Q1284" s="6">
        <v>10</v>
      </c>
      <c r="R1284" s="6">
        <v>10</v>
      </c>
      <c r="S1284" s="6">
        <v>9.9904759999999992</v>
      </c>
      <c r="T1284" s="6">
        <v>16.909089999999999</v>
      </c>
      <c r="U1284" s="6">
        <v>13.130081000000001</v>
      </c>
      <c r="V1284" s="6">
        <v>12.707865</v>
      </c>
    </row>
    <row r="1285" spans="2:22">
      <c r="B1285" s="6">
        <v>32570</v>
      </c>
      <c r="C1285" s="6" t="s">
        <v>999</v>
      </c>
      <c r="D1285" s="6">
        <v>23118</v>
      </c>
      <c r="E1285" s="6" t="s">
        <v>252</v>
      </c>
      <c r="F1285" s="6" t="s">
        <v>16</v>
      </c>
      <c r="G1285" s="6" t="s">
        <v>1295</v>
      </c>
      <c r="H1285" s="6">
        <v>10</v>
      </c>
      <c r="I1285" s="6">
        <v>10</v>
      </c>
      <c r="J1285" s="6">
        <v>10</v>
      </c>
      <c r="K1285" s="6">
        <v>10</v>
      </c>
      <c r="L1285" s="6">
        <v>10</v>
      </c>
      <c r="M1285" s="6">
        <v>10</v>
      </c>
      <c r="N1285" s="6">
        <v>10</v>
      </c>
      <c r="O1285" s="6">
        <v>10</v>
      </c>
      <c r="P1285" s="6">
        <v>10</v>
      </c>
      <c r="Q1285" s="6">
        <v>10</v>
      </c>
      <c r="R1285" s="6">
        <v>10</v>
      </c>
      <c r="S1285" s="6">
        <v>10</v>
      </c>
      <c r="T1285" s="6">
        <v>10</v>
      </c>
      <c r="U1285" s="6">
        <v>10</v>
      </c>
      <c r="V1285" s="6">
        <v>10</v>
      </c>
    </row>
    <row r="1286" spans="2:22">
      <c r="B1286" s="6">
        <v>32570</v>
      </c>
      <c r="C1286" s="6" t="s">
        <v>999</v>
      </c>
      <c r="D1286" s="6">
        <v>23316</v>
      </c>
      <c r="E1286" s="6" t="s">
        <v>260</v>
      </c>
      <c r="F1286" s="6" t="s">
        <v>16</v>
      </c>
      <c r="G1286" s="6" t="s">
        <v>1295</v>
      </c>
      <c r="H1286" s="6">
        <v>0</v>
      </c>
      <c r="I1286" s="6">
        <v>0</v>
      </c>
      <c r="J1286" s="6">
        <v>10</v>
      </c>
      <c r="K1286" s="6">
        <v>0</v>
      </c>
      <c r="L1286" s="6">
        <v>10</v>
      </c>
      <c r="M1286" s="6">
        <v>10</v>
      </c>
      <c r="N1286" s="6">
        <v>0</v>
      </c>
      <c r="O1286" s="6">
        <v>10</v>
      </c>
      <c r="P1286" s="6">
        <v>10</v>
      </c>
      <c r="Q1286" s="6">
        <v>0</v>
      </c>
      <c r="R1286" s="6">
        <v>10</v>
      </c>
      <c r="S1286" s="6">
        <v>10</v>
      </c>
      <c r="T1286" s="6">
        <v>0</v>
      </c>
      <c r="U1286" s="6">
        <v>10</v>
      </c>
      <c r="V1286" s="6">
        <v>10</v>
      </c>
    </row>
    <row r="1287" spans="2:22">
      <c r="B1287" s="6">
        <v>32571</v>
      </c>
      <c r="C1287" s="6" t="s">
        <v>263</v>
      </c>
      <c r="D1287" s="6">
        <v>12400</v>
      </c>
      <c r="E1287" s="6" t="s">
        <v>217</v>
      </c>
      <c r="F1287" s="6" t="s">
        <v>16</v>
      </c>
      <c r="G1287" s="6" t="s">
        <v>1295</v>
      </c>
      <c r="H1287" s="6">
        <v>10</v>
      </c>
      <c r="I1287" s="6">
        <v>10</v>
      </c>
      <c r="J1287" s="6">
        <v>10</v>
      </c>
      <c r="K1287" s="6">
        <v>10</v>
      </c>
      <c r="L1287" s="6">
        <v>10</v>
      </c>
      <c r="M1287" s="6">
        <v>9.9817350000000005</v>
      </c>
      <c r="N1287" s="6">
        <v>9.2387090000000001</v>
      </c>
      <c r="O1287" s="6">
        <v>8.7126429999999999</v>
      </c>
      <c r="P1287" s="6">
        <v>8.6856360000000006</v>
      </c>
      <c r="Q1287" s="6">
        <v>9.2387090000000001</v>
      </c>
      <c r="R1287" s="6">
        <v>8.7126429999999999</v>
      </c>
      <c r="S1287" s="6">
        <v>8.6856360000000006</v>
      </c>
      <c r="T1287" s="6">
        <v>8.8875729999999997</v>
      </c>
      <c r="U1287" s="6">
        <v>8.6089380000000002</v>
      </c>
      <c r="V1287" s="6">
        <v>8.6174140000000001</v>
      </c>
    </row>
    <row r="1288" spans="2:22">
      <c r="B1288" s="6">
        <v>32571</v>
      </c>
      <c r="C1288" s="6" t="s">
        <v>263</v>
      </c>
      <c r="D1288" s="6">
        <v>20500</v>
      </c>
      <c r="E1288" s="6" t="s">
        <v>31</v>
      </c>
      <c r="F1288" s="6" t="s">
        <v>16</v>
      </c>
      <c r="G1288" s="6" t="s">
        <v>1295</v>
      </c>
      <c r="H1288" s="6">
        <v>0</v>
      </c>
      <c r="I1288" s="6">
        <v>10</v>
      </c>
      <c r="J1288" s="6">
        <v>10</v>
      </c>
      <c r="K1288" s="6">
        <v>10</v>
      </c>
      <c r="L1288" s="6">
        <v>10</v>
      </c>
      <c r="M1288" s="6">
        <v>10</v>
      </c>
      <c r="N1288" s="6">
        <v>10</v>
      </c>
      <c r="O1288" s="6">
        <v>10</v>
      </c>
      <c r="P1288" s="6">
        <v>9.9904759999999992</v>
      </c>
      <c r="Q1288" s="6">
        <v>10</v>
      </c>
      <c r="R1288" s="6">
        <v>10</v>
      </c>
      <c r="S1288" s="6">
        <v>9.9904759999999992</v>
      </c>
      <c r="T1288" s="6">
        <v>16.909089999999999</v>
      </c>
      <c r="U1288" s="6">
        <v>13.130081000000001</v>
      </c>
      <c r="V1288" s="6">
        <v>12.707865</v>
      </c>
    </row>
    <row r="1289" spans="2:22">
      <c r="B1289" s="6">
        <v>32571</v>
      </c>
      <c r="C1289" s="6" t="s">
        <v>263</v>
      </c>
      <c r="D1289" s="6">
        <v>23312</v>
      </c>
      <c r="E1289" s="6" t="s">
        <v>215</v>
      </c>
      <c r="F1289" s="6" t="s">
        <v>16</v>
      </c>
      <c r="G1289" s="6" t="s">
        <v>1295</v>
      </c>
      <c r="H1289" s="6">
        <v>0</v>
      </c>
      <c r="I1289" s="6">
        <v>10</v>
      </c>
      <c r="J1289" s="6">
        <v>10</v>
      </c>
      <c r="K1289" s="6">
        <v>0</v>
      </c>
      <c r="L1289" s="6">
        <v>10</v>
      </c>
      <c r="M1289" s="6">
        <v>10</v>
      </c>
      <c r="N1289" s="6">
        <v>0</v>
      </c>
      <c r="O1289" s="6">
        <v>10</v>
      </c>
      <c r="P1289" s="6">
        <v>10</v>
      </c>
      <c r="Q1289" s="6">
        <v>0</v>
      </c>
      <c r="R1289" s="6">
        <v>10</v>
      </c>
      <c r="S1289" s="6">
        <v>10</v>
      </c>
      <c r="T1289" s="6">
        <v>10</v>
      </c>
      <c r="U1289" s="6">
        <v>10</v>
      </c>
      <c r="V1289" s="6">
        <v>10.5</v>
      </c>
    </row>
    <row r="1290" spans="2:22">
      <c r="B1290" s="6">
        <v>32571</v>
      </c>
      <c r="C1290" s="6" t="s">
        <v>263</v>
      </c>
      <c r="D1290" s="6">
        <v>23316</v>
      </c>
      <c r="E1290" s="6" t="s">
        <v>260</v>
      </c>
      <c r="F1290" s="6" t="s">
        <v>16</v>
      </c>
      <c r="G1290" s="6" t="s">
        <v>1295</v>
      </c>
      <c r="H1290" s="6">
        <v>0</v>
      </c>
      <c r="I1290" s="6">
        <v>10</v>
      </c>
      <c r="J1290" s="6">
        <v>10</v>
      </c>
      <c r="K1290" s="6">
        <v>0</v>
      </c>
      <c r="L1290" s="6">
        <v>10</v>
      </c>
      <c r="M1290" s="6">
        <v>10</v>
      </c>
      <c r="N1290" s="6">
        <v>0</v>
      </c>
      <c r="O1290" s="6">
        <v>10</v>
      </c>
      <c r="P1290" s="6">
        <v>10</v>
      </c>
      <c r="Q1290" s="6">
        <v>0</v>
      </c>
      <c r="R1290" s="6">
        <v>10</v>
      </c>
      <c r="S1290" s="6">
        <v>10</v>
      </c>
      <c r="T1290" s="6">
        <v>0</v>
      </c>
      <c r="U1290" s="6">
        <v>10</v>
      </c>
      <c r="V1290" s="6">
        <v>10</v>
      </c>
    </row>
    <row r="1291" spans="2:22">
      <c r="B1291" s="6">
        <v>32572</v>
      </c>
      <c r="C1291" s="6" t="s">
        <v>1193</v>
      </c>
      <c r="D1291" s="6">
        <v>20500</v>
      </c>
      <c r="E1291" s="6" t="s">
        <v>31</v>
      </c>
      <c r="F1291" s="6" t="s">
        <v>73</v>
      </c>
      <c r="G1291" s="6" t="s">
        <v>1299</v>
      </c>
      <c r="H1291" s="6">
        <v>0</v>
      </c>
      <c r="I1291" s="6">
        <v>5</v>
      </c>
      <c r="J1291" s="6">
        <v>6.7142850000000003</v>
      </c>
      <c r="K1291" s="6">
        <v>0</v>
      </c>
      <c r="L1291" s="6">
        <v>5</v>
      </c>
      <c r="M1291" s="6">
        <v>6.7142850000000003</v>
      </c>
      <c r="N1291" s="6">
        <v>0</v>
      </c>
      <c r="O1291" s="6">
        <v>5</v>
      </c>
      <c r="P1291" s="6">
        <v>6.7142850000000003</v>
      </c>
      <c r="Q1291" s="6">
        <v>5</v>
      </c>
      <c r="R1291" s="6">
        <v>6.571428</v>
      </c>
      <c r="S1291" s="6">
        <v>6.5333329999999998</v>
      </c>
      <c r="T1291" s="6">
        <v>5</v>
      </c>
      <c r="U1291" s="6">
        <v>6.375</v>
      </c>
      <c r="V1291" s="6">
        <v>6.4375</v>
      </c>
    </row>
    <row r="1292" spans="2:22">
      <c r="B1292" s="6">
        <v>32572</v>
      </c>
      <c r="C1292" s="6" t="s">
        <v>1193</v>
      </c>
      <c r="D1292" s="6">
        <v>21300</v>
      </c>
      <c r="E1292" s="6" t="s">
        <v>1218</v>
      </c>
      <c r="F1292" s="6" t="s">
        <v>73</v>
      </c>
      <c r="G1292" s="6" t="s">
        <v>1299</v>
      </c>
      <c r="H1292" s="6">
        <v>0</v>
      </c>
      <c r="I1292" s="6">
        <v>10</v>
      </c>
      <c r="J1292" s="6">
        <v>10</v>
      </c>
      <c r="K1292" s="6">
        <v>0</v>
      </c>
      <c r="L1292" s="6">
        <v>10</v>
      </c>
      <c r="M1292" s="6">
        <v>10</v>
      </c>
      <c r="N1292" s="6">
        <v>0</v>
      </c>
      <c r="O1292" s="6">
        <v>10</v>
      </c>
      <c r="P1292" s="6">
        <v>10</v>
      </c>
      <c r="Q1292" s="6">
        <v>0</v>
      </c>
      <c r="R1292" s="6">
        <v>10</v>
      </c>
      <c r="S1292" s="6">
        <v>10</v>
      </c>
      <c r="T1292" s="6">
        <v>10</v>
      </c>
      <c r="U1292" s="6">
        <v>10</v>
      </c>
      <c r="V1292" s="6">
        <v>10</v>
      </c>
    </row>
    <row r="1293" spans="2:22">
      <c r="B1293" s="6">
        <v>32572</v>
      </c>
      <c r="C1293" s="6" t="s">
        <v>1193</v>
      </c>
      <c r="D1293" s="6">
        <v>21400</v>
      </c>
      <c r="E1293" s="6" t="s">
        <v>1220</v>
      </c>
      <c r="F1293" s="6" t="s">
        <v>73</v>
      </c>
      <c r="G1293" s="6" t="s">
        <v>1299</v>
      </c>
      <c r="H1293" s="6">
        <v>0</v>
      </c>
      <c r="I1293" s="6">
        <v>10</v>
      </c>
      <c r="J1293" s="6">
        <v>10</v>
      </c>
      <c r="K1293" s="6">
        <v>0</v>
      </c>
      <c r="L1293" s="6">
        <v>10</v>
      </c>
      <c r="M1293" s="6">
        <v>10</v>
      </c>
      <c r="N1293" s="6">
        <v>0</v>
      </c>
      <c r="O1293" s="6">
        <v>10</v>
      </c>
      <c r="P1293" s="6">
        <v>10</v>
      </c>
      <c r="Q1293" s="6">
        <v>15</v>
      </c>
      <c r="R1293" s="6">
        <v>12.5</v>
      </c>
      <c r="S1293" s="6">
        <v>11.111110999999999</v>
      </c>
      <c r="T1293" s="6">
        <v>11.25</v>
      </c>
      <c r="U1293" s="6">
        <v>11.428571</v>
      </c>
      <c r="V1293" s="6">
        <v>10.833333</v>
      </c>
    </row>
    <row r="1294" spans="2:22">
      <c r="B1294" s="6">
        <v>32574</v>
      </c>
      <c r="C1294" s="6" t="s">
        <v>1155</v>
      </c>
      <c r="D1294" s="6">
        <v>23500</v>
      </c>
      <c r="E1294" s="6" t="s">
        <v>37</v>
      </c>
      <c r="F1294" s="6" t="s">
        <v>1305</v>
      </c>
      <c r="G1294" s="6" t="s">
        <v>1306</v>
      </c>
      <c r="H1294" s="6">
        <v>0</v>
      </c>
      <c r="I1294" s="6">
        <v>5</v>
      </c>
      <c r="J1294" s="6">
        <v>5</v>
      </c>
      <c r="K1294" s="6">
        <v>6</v>
      </c>
      <c r="L1294" s="6">
        <v>5.1818179999999998</v>
      </c>
      <c r="M1294" s="6">
        <v>4.875</v>
      </c>
      <c r="N1294" s="6">
        <v>6</v>
      </c>
      <c r="O1294" s="6">
        <v>5.1818179999999998</v>
      </c>
      <c r="P1294" s="6">
        <v>4.875</v>
      </c>
      <c r="Q1294" s="6">
        <v>6</v>
      </c>
      <c r="R1294" s="6">
        <v>5.1818179999999998</v>
      </c>
      <c r="S1294" s="6">
        <v>4.875</v>
      </c>
      <c r="T1294" s="6">
        <v>9.1111109999999993</v>
      </c>
      <c r="U1294" s="6">
        <v>7.5909089999999999</v>
      </c>
      <c r="V1294" s="6">
        <v>7.2666659999999998</v>
      </c>
    </row>
    <row r="1295" spans="2:22">
      <c r="B1295" s="6">
        <v>32574</v>
      </c>
      <c r="C1295" s="6" t="s">
        <v>1155</v>
      </c>
      <c r="D1295" s="6">
        <v>23500</v>
      </c>
      <c r="E1295" s="6" t="s">
        <v>37</v>
      </c>
      <c r="F1295" s="6" t="s">
        <v>1307</v>
      </c>
      <c r="G1295" s="6" t="s">
        <v>1308</v>
      </c>
      <c r="H1295" s="6">
        <v>0</v>
      </c>
      <c r="I1295" s="6">
        <v>0</v>
      </c>
      <c r="J1295" s="6">
        <v>5</v>
      </c>
      <c r="K1295" s="6">
        <v>0</v>
      </c>
      <c r="L1295" s="6">
        <v>0</v>
      </c>
      <c r="M1295" s="6">
        <v>5</v>
      </c>
      <c r="N1295" s="6">
        <v>0</v>
      </c>
      <c r="O1295" s="6">
        <v>0</v>
      </c>
      <c r="P1295" s="6">
        <v>5</v>
      </c>
      <c r="Q1295" s="6">
        <v>0</v>
      </c>
      <c r="R1295" s="6">
        <v>0</v>
      </c>
      <c r="S1295" s="6">
        <v>5</v>
      </c>
      <c r="T1295" s="6">
        <v>0</v>
      </c>
      <c r="U1295" s="6">
        <v>0</v>
      </c>
      <c r="V1295" s="6">
        <v>5</v>
      </c>
    </row>
    <row r="1296" spans="2:22">
      <c r="B1296" s="6">
        <v>32575</v>
      </c>
      <c r="C1296" s="6" t="s">
        <v>1154</v>
      </c>
      <c r="D1296" s="6">
        <v>23500</v>
      </c>
      <c r="E1296" s="6" t="s">
        <v>37</v>
      </c>
      <c r="F1296" s="6" t="s">
        <v>1305</v>
      </c>
      <c r="G1296" s="6" t="s">
        <v>1306</v>
      </c>
      <c r="H1296" s="6">
        <v>0</v>
      </c>
      <c r="I1296" s="6">
        <v>0</v>
      </c>
      <c r="J1296" s="6">
        <v>4</v>
      </c>
      <c r="K1296" s="6">
        <v>6</v>
      </c>
      <c r="L1296" s="6">
        <v>5.1818179999999998</v>
      </c>
      <c r="M1296" s="6">
        <v>4.875</v>
      </c>
      <c r="N1296" s="6">
        <v>6</v>
      </c>
      <c r="O1296" s="6">
        <v>5.1818179999999998</v>
      </c>
      <c r="P1296" s="6">
        <v>4.875</v>
      </c>
      <c r="Q1296" s="6">
        <v>6</v>
      </c>
      <c r="R1296" s="6">
        <v>5.1818179999999998</v>
      </c>
      <c r="S1296" s="6">
        <v>4.875</v>
      </c>
      <c r="T1296" s="6">
        <v>9.1111109999999993</v>
      </c>
      <c r="U1296" s="6">
        <v>7.5909089999999999</v>
      </c>
      <c r="V1296" s="6">
        <v>7.2666659999999998</v>
      </c>
    </row>
    <row r="1297" spans="2:22">
      <c r="B1297" s="6">
        <v>32576</v>
      </c>
      <c r="C1297" s="6" t="s">
        <v>1152</v>
      </c>
      <c r="D1297" s="6">
        <v>23500</v>
      </c>
      <c r="E1297" s="6" t="s">
        <v>37</v>
      </c>
      <c r="F1297" s="6" t="s">
        <v>1305</v>
      </c>
      <c r="G1297" s="6" t="s">
        <v>1306</v>
      </c>
      <c r="H1297" s="6">
        <v>0</v>
      </c>
      <c r="I1297" s="6">
        <v>5</v>
      </c>
      <c r="J1297" s="6">
        <v>5</v>
      </c>
      <c r="K1297" s="6">
        <v>6</v>
      </c>
      <c r="L1297" s="6">
        <v>5.1818179999999998</v>
      </c>
      <c r="M1297" s="6">
        <v>4.875</v>
      </c>
      <c r="N1297" s="6">
        <v>6</v>
      </c>
      <c r="O1297" s="6">
        <v>5.1818179999999998</v>
      </c>
      <c r="P1297" s="6">
        <v>4.875</v>
      </c>
      <c r="Q1297" s="6">
        <v>6</v>
      </c>
      <c r="R1297" s="6">
        <v>5.1818179999999998</v>
      </c>
      <c r="S1297" s="6">
        <v>4.875</v>
      </c>
      <c r="T1297" s="6">
        <v>9.1111109999999993</v>
      </c>
      <c r="U1297" s="6">
        <v>7.5909089999999999</v>
      </c>
      <c r="V1297" s="6">
        <v>7.2666659999999998</v>
      </c>
    </row>
    <row r="1298" spans="2:22">
      <c r="B1298" s="6">
        <v>32576</v>
      </c>
      <c r="C1298" s="6" t="s">
        <v>1152</v>
      </c>
      <c r="D1298" s="6">
        <v>23500</v>
      </c>
      <c r="E1298" s="6" t="s">
        <v>37</v>
      </c>
      <c r="F1298" s="6" t="s">
        <v>1307</v>
      </c>
      <c r="G1298" s="6" t="s">
        <v>1308</v>
      </c>
      <c r="H1298" s="6">
        <v>0</v>
      </c>
      <c r="I1298" s="6">
        <v>0</v>
      </c>
      <c r="J1298" s="6">
        <v>5</v>
      </c>
      <c r="K1298" s="6">
        <v>0</v>
      </c>
      <c r="L1298" s="6">
        <v>0</v>
      </c>
      <c r="M1298" s="6">
        <v>5</v>
      </c>
      <c r="N1298" s="6">
        <v>0</v>
      </c>
      <c r="O1298" s="6">
        <v>0</v>
      </c>
      <c r="P1298" s="6">
        <v>5</v>
      </c>
      <c r="Q1298" s="6">
        <v>0</v>
      </c>
      <c r="R1298" s="6">
        <v>0</v>
      </c>
      <c r="S1298" s="6">
        <v>5</v>
      </c>
      <c r="T1298" s="6">
        <v>0</v>
      </c>
      <c r="U1298" s="6">
        <v>0</v>
      </c>
      <c r="V1298" s="6">
        <v>5</v>
      </c>
    </row>
    <row r="1299" spans="2:22">
      <c r="B1299" s="6">
        <v>32579</v>
      </c>
      <c r="C1299" s="6" t="s">
        <v>1204</v>
      </c>
      <c r="D1299" s="6">
        <v>20500</v>
      </c>
      <c r="E1299" s="6" t="s">
        <v>31</v>
      </c>
      <c r="F1299" s="6" t="s">
        <v>73</v>
      </c>
      <c r="G1299" s="6" t="s">
        <v>1299</v>
      </c>
      <c r="H1299" s="6">
        <v>5</v>
      </c>
      <c r="I1299" s="6">
        <v>5</v>
      </c>
      <c r="J1299" s="6">
        <v>5</v>
      </c>
      <c r="K1299" s="6">
        <v>5</v>
      </c>
      <c r="L1299" s="6">
        <v>5</v>
      </c>
      <c r="M1299" s="6">
        <v>5</v>
      </c>
      <c r="N1299" s="6">
        <v>5</v>
      </c>
      <c r="O1299" s="6">
        <v>5</v>
      </c>
      <c r="P1299" s="6">
        <v>5</v>
      </c>
      <c r="Q1299" s="6">
        <v>5</v>
      </c>
      <c r="R1299" s="6">
        <v>5</v>
      </c>
      <c r="S1299" s="6">
        <v>5</v>
      </c>
      <c r="T1299" s="6">
        <v>5</v>
      </c>
      <c r="U1299" s="6">
        <v>6.375</v>
      </c>
      <c r="V1299" s="6">
        <v>6.4375</v>
      </c>
    </row>
    <row r="1300" spans="2:22">
      <c r="B1300" s="6">
        <v>32579</v>
      </c>
      <c r="C1300" s="6" t="s">
        <v>1204</v>
      </c>
      <c r="D1300" s="6">
        <v>21300</v>
      </c>
      <c r="E1300" s="6" t="s">
        <v>1218</v>
      </c>
      <c r="F1300" s="6" t="s">
        <v>73</v>
      </c>
      <c r="G1300" s="6" t="s">
        <v>1299</v>
      </c>
      <c r="H1300" s="6">
        <v>10</v>
      </c>
      <c r="I1300" s="6">
        <v>10</v>
      </c>
      <c r="J1300" s="6">
        <v>10</v>
      </c>
      <c r="K1300" s="6">
        <v>10</v>
      </c>
      <c r="L1300" s="6">
        <v>10</v>
      </c>
      <c r="M1300" s="6">
        <v>10</v>
      </c>
      <c r="N1300" s="6">
        <v>10</v>
      </c>
      <c r="O1300" s="6">
        <v>10</v>
      </c>
      <c r="P1300" s="6">
        <v>10</v>
      </c>
      <c r="Q1300" s="6">
        <v>10</v>
      </c>
      <c r="R1300" s="6">
        <v>10</v>
      </c>
      <c r="S1300" s="6">
        <v>10</v>
      </c>
      <c r="T1300" s="6">
        <v>10</v>
      </c>
      <c r="U1300" s="6">
        <v>10</v>
      </c>
      <c r="V1300" s="6">
        <v>10</v>
      </c>
    </row>
    <row r="1301" spans="2:22">
      <c r="B1301" s="6">
        <v>32579</v>
      </c>
      <c r="C1301" s="6" t="s">
        <v>1204</v>
      </c>
      <c r="D1301" s="6">
        <v>21400</v>
      </c>
      <c r="E1301" s="6" t="s">
        <v>1220</v>
      </c>
      <c r="F1301" s="6" t="s">
        <v>73</v>
      </c>
      <c r="G1301" s="6" t="s">
        <v>1299</v>
      </c>
      <c r="H1301" s="6">
        <v>10</v>
      </c>
      <c r="I1301" s="6">
        <v>10</v>
      </c>
      <c r="J1301" s="6">
        <v>10</v>
      </c>
      <c r="K1301" s="6">
        <v>10</v>
      </c>
      <c r="L1301" s="6">
        <v>10</v>
      </c>
      <c r="M1301" s="6">
        <v>10</v>
      </c>
      <c r="N1301" s="6">
        <v>10</v>
      </c>
      <c r="O1301" s="6">
        <v>10</v>
      </c>
      <c r="P1301" s="6">
        <v>10</v>
      </c>
      <c r="Q1301" s="6">
        <v>10</v>
      </c>
      <c r="R1301" s="6">
        <v>10</v>
      </c>
      <c r="S1301" s="6">
        <v>10</v>
      </c>
      <c r="T1301" s="6">
        <v>11.25</v>
      </c>
      <c r="U1301" s="6">
        <v>11.428571</v>
      </c>
      <c r="V1301" s="6">
        <v>10.833333</v>
      </c>
    </row>
    <row r="1302" spans="2:22">
      <c r="B1302" s="6">
        <v>32579</v>
      </c>
      <c r="C1302" s="6" t="s">
        <v>1204</v>
      </c>
      <c r="D1302" s="6">
        <v>23314</v>
      </c>
      <c r="E1302" s="6" t="s">
        <v>1233</v>
      </c>
      <c r="F1302" s="6" t="s">
        <v>73</v>
      </c>
      <c r="G1302" s="6" t="s">
        <v>1299</v>
      </c>
      <c r="H1302" s="6">
        <v>1</v>
      </c>
      <c r="I1302" s="6">
        <v>1</v>
      </c>
      <c r="J1302" s="6">
        <v>1</v>
      </c>
      <c r="K1302" s="6">
        <v>1</v>
      </c>
      <c r="L1302" s="6">
        <v>1</v>
      </c>
      <c r="M1302" s="6">
        <v>1</v>
      </c>
      <c r="N1302" s="6">
        <v>1</v>
      </c>
      <c r="O1302" s="6">
        <v>1</v>
      </c>
      <c r="P1302" s="6">
        <v>1</v>
      </c>
      <c r="Q1302" s="6">
        <v>1</v>
      </c>
      <c r="R1302" s="6">
        <v>1</v>
      </c>
      <c r="S1302" s="6">
        <v>1</v>
      </c>
      <c r="T1302" s="6">
        <v>1</v>
      </c>
      <c r="U1302" s="6">
        <v>1</v>
      </c>
      <c r="V1302" s="6">
        <v>1</v>
      </c>
    </row>
    <row r="1303" spans="2:22">
      <c r="B1303" s="6">
        <v>32579</v>
      </c>
      <c r="C1303" s="6" t="s">
        <v>1204</v>
      </c>
      <c r="D1303" s="6">
        <v>23500</v>
      </c>
      <c r="E1303" s="6" t="s">
        <v>37</v>
      </c>
      <c r="F1303" s="6" t="s">
        <v>73</v>
      </c>
      <c r="G1303" s="6" t="s">
        <v>1299</v>
      </c>
      <c r="H1303" s="6">
        <v>1</v>
      </c>
      <c r="I1303" s="6">
        <v>1</v>
      </c>
      <c r="J1303" s="6">
        <v>1</v>
      </c>
      <c r="K1303" s="6">
        <v>1</v>
      </c>
      <c r="L1303" s="6">
        <v>1</v>
      </c>
      <c r="M1303" s="6">
        <v>1</v>
      </c>
      <c r="N1303" s="6">
        <v>1</v>
      </c>
      <c r="O1303" s="6">
        <v>1</v>
      </c>
      <c r="P1303" s="6">
        <v>1</v>
      </c>
      <c r="Q1303" s="6">
        <v>1</v>
      </c>
      <c r="R1303" s="6">
        <v>1</v>
      </c>
      <c r="S1303" s="6">
        <v>1</v>
      </c>
      <c r="T1303" s="6">
        <v>1</v>
      </c>
      <c r="U1303" s="6">
        <v>1</v>
      </c>
      <c r="V1303" s="6">
        <v>1</v>
      </c>
    </row>
    <row r="1304" spans="2:22">
      <c r="B1304" s="6">
        <v>32581</v>
      </c>
      <c r="C1304" s="6" t="s">
        <v>1210</v>
      </c>
      <c r="D1304" s="6">
        <v>20500</v>
      </c>
      <c r="E1304" s="6" t="s">
        <v>31</v>
      </c>
      <c r="F1304" s="6" t="s">
        <v>73</v>
      </c>
      <c r="G1304" s="6" t="s">
        <v>1299</v>
      </c>
      <c r="H1304" s="6">
        <v>0</v>
      </c>
      <c r="I1304" s="6">
        <v>0</v>
      </c>
      <c r="J1304" s="6">
        <v>5</v>
      </c>
      <c r="K1304" s="6">
        <v>0</v>
      </c>
      <c r="L1304" s="6">
        <v>8.5</v>
      </c>
      <c r="M1304" s="6">
        <v>6.75</v>
      </c>
      <c r="N1304" s="6">
        <v>0</v>
      </c>
      <c r="O1304" s="6">
        <v>8.5</v>
      </c>
      <c r="P1304" s="6">
        <v>6.75</v>
      </c>
      <c r="Q1304" s="6">
        <v>5</v>
      </c>
      <c r="R1304" s="6">
        <v>6.571428</v>
      </c>
      <c r="S1304" s="6">
        <v>6.5333329999999998</v>
      </c>
      <c r="T1304" s="6">
        <v>5</v>
      </c>
      <c r="U1304" s="6">
        <v>6.375</v>
      </c>
      <c r="V1304" s="6">
        <v>6.4375</v>
      </c>
    </row>
    <row r="1305" spans="2:22">
      <c r="B1305" s="6">
        <v>32581</v>
      </c>
      <c r="C1305" s="6" t="s">
        <v>1210</v>
      </c>
      <c r="D1305" s="6">
        <v>20500</v>
      </c>
      <c r="E1305" s="6" t="s">
        <v>31</v>
      </c>
      <c r="F1305" s="6" t="s">
        <v>73</v>
      </c>
      <c r="G1305" s="6" t="s">
        <v>1299</v>
      </c>
      <c r="H1305" s="6">
        <v>0</v>
      </c>
      <c r="I1305" s="6">
        <v>0</v>
      </c>
      <c r="J1305" s="6">
        <v>5</v>
      </c>
      <c r="K1305" s="6">
        <v>0</v>
      </c>
      <c r="L1305" s="6">
        <v>8.5</v>
      </c>
      <c r="M1305" s="6">
        <v>6.75</v>
      </c>
      <c r="N1305" s="6">
        <v>0</v>
      </c>
      <c r="O1305" s="6">
        <v>8.5</v>
      </c>
      <c r="P1305" s="6">
        <v>6.75</v>
      </c>
      <c r="Q1305" s="6">
        <v>5</v>
      </c>
      <c r="R1305" s="6">
        <v>6.571428</v>
      </c>
      <c r="S1305" s="6">
        <v>6.5333329999999998</v>
      </c>
      <c r="T1305" s="6">
        <v>5</v>
      </c>
      <c r="U1305" s="6">
        <v>6.375</v>
      </c>
      <c r="V1305" s="6">
        <v>6.4375</v>
      </c>
    </row>
    <row r="1306" spans="2:22">
      <c r="B1306" s="6">
        <v>32581</v>
      </c>
      <c r="C1306" s="6" t="s">
        <v>1210</v>
      </c>
      <c r="D1306" s="6">
        <v>21300</v>
      </c>
      <c r="E1306" s="6" t="s">
        <v>1218</v>
      </c>
      <c r="F1306" s="6" t="s">
        <v>73</v>
      </c>
      <c r="G1306" s="6" t="s">
        <v>1299</v>
      </c>
      <c r="H1306" s="6">
        <v>0</v>
      </c>
      <c r="I1306" s="6">
        <v>0</v>
      </c>
      <c r="J1306" s="6">
        <v>10</v>
      </c>
      <c r="K1306" s="6">
        <v>0</v>
      </c>
      <c r="L1306" s="6">
        <v>0</v>
      </c>
      <c r="M1306" s="6">
        <v>10</v>
      </c>
      <c r="N1306" s="6">
        <v>0</v>
      </c>
      <c r="O1306" s="6">
        <v>0</v>
      </c>
      <c r="P1306" s="6">
        <v>10</v>
      </c>
      <c r="Q1306" s="6">
        <v>0</v>
      </c>
      <c r="R1306" s="6">
        <v>10</v>
      </c>
      <c r="S1306" s="6">
        <v>10</v>
      </c>
      <c r="T1306" s="6">
        <v>10</v>
      </c>
      <c r="U1306" s="6">
        <v>10</v>
      </c>
      <c r="V1306" s="6">
        <v>10</v>
      </c>
    </row>
    <row r="1307" spans="2:22">
      <c r="B1307" s="6">
        <v>32582</v>
      </c>
      <c r="C1307" s="6" t="s">
        <v>1000</v>
      </c>
      <c r="D1307" s="6">
        <v>12400</v>
      </c>
      <c r="E1307" s="6" t="s">
        <v>217</v>
      </c>
      <c r="F1307" s="6" t="s">
        <v>16</v>
      </c>
      <c r="G1307" s="6" t="s">
        <v>1295</v>
      </c>
      <c r="H1307" s="6">
        <v>0</v>
      </c>
      <c r="I1307" s="6">
        <v>0</v>
      </c>
      <c r="J1307" s="6">
        <v>8</v>
      </c>
      <c r="K1307" s="6">
        <v>13.375</v>
      </c>
      <c r="L1307" s="6">
        <v>10.9375</v>
      </c>
      <c r="M1307" s="6">
        <v>9.2653060000000007</v>
      </c>
      <c r="N1307" s="6">
        <v>9.2387090000000001</v>
      </c>
      <c r="O1307" s="6">
        <v>8.7126429999999999</v>
      </c>
      <c r="P1307" s="6">
        <v>8.6856360000000006</v>
      </c>
      <c r="Q1307" s="6">
        <v>9.2387090000000001</v>
      </c>
      <c r="R1307" s="6">
        <v>8.7126429999999999</v>
      </c>
      <c r="S1307" s="6">
        <v>8.6856360000000006</v>
      </c>
      <c r="T1307" s="6">
        <v>8.8875729999999997</v>
      </c>
      <c r="U1307" s="6">
        <v>8.6089380000000002</v>
      </c>
      <c r="V1307" s="6">
        <v>8.6174140000000001</v>
      </c>
    </row>
    <row r="1308" spans="2:22">
      <c r="B1308" s="6">
        <v>32582</v>
      </c>
      <c r="C1308" s="6" t="s">
        <v>1000</v>
      </c>
      <c r="D1308" s="6">
        <v>20500</v>
      </c>
      <c r="E1308" s="6" t="s">
        <v>31</v>
      </c>
      <c r="F1308" s="6" t="s">
        <v>16</v>
      </c>
      <c r="G1308" s="6" t="s">
        <v>1295</v>
      </c>
      <c r="H1308" s="6">
        <v>0</v>
      </c>
      <c r="I1308" s="6">
        <v>0</v>
      </c>
      <c r="J1308" s="6">
        <v>10</v>
      </c>
      <c r="K1308" s="6">
        <v>10</v>
      </c>
      <c r="L1308" s="6">
        <v>10</v>
      </c>
      <c r="M1308" s="6">
        <v>9.9722220000000004</v>
      </c>
      <c r="N1308" s="6">
        <v>10</v>
      </c>
      <c r="O1308" s="6">
        <v>10</v>
      </c>
      <c r="P1308" s="6">
        <v>9.9904759999999992</v>
      </c>
      <c r="Q1308" s="6">
        <v>10</v>
      </c>
      <c r="R1308" s="6">
        <v>10</v>
      </c>
      <c r="S1308" s="6">
        <v>9.9904759999999992</v>
      </c>
      <c r="T1308" s="6">
        <v>16.909089999999999</v>
      </c>
      <c r="U1308" s="6">
        <v>13.130081000000001</v>
      </c>
      <c r="V1308" s="6">
        <v>12.707865</v>
      </c>
    </row>
    <row r="1309" spans="2:22">
      <c r="B1309" s="6">
        <v>32582</v>
      </c>
      <c r="C1309" s="6" t="s">
        <v>1000</v>
      </c>
      <c r="D1309" s="6">
        <v>20904</v>
      </c>
      <c r="E1309" s="6" t="s">
        <v>156</v>
      </c>
      <c r="F1309" s="6" t="s">
        <v>16</v>
      </c>
      <c r="G1309" s="6" t="s">
        <v>1295</v>
      </c>
      <c r="H1309" s="6">
        <v>0</v>
      </c>
      <c r="I1309" s="6">
        <v>0</v>
      </c>
      <c r="J1309" s="6">
        <v>10</v>
      </c>
      <c r="K1309" s="6">
        <v>10</v>
      </c>
      <c r="L1309" s="6">
        <v>10</v>
      </c>
      <c r="M1309" s="6">
        <v>11.173913000000001</v>
      </c>
      <c r="N1309" s="6">
        <v>14.736841999999999</v>
      </c>
      <c r="O1309" s="6">
        <v>14.21875</v>
      </c>
      <c r="P1309" s="6">
        <v>13.268817</v>
      </c>
      <c r="Q1309" s="6">
        <v>14.736841999999999</v>
      </c>
      <c r="R1309" s="6">
        <v>14.21875</v>
      </c>
      <c r="S1309" s="6">
        <v>13.268817</v>
      </c>
      <c r="T1309" s="6">
        <v>14.736841999999999</v>
      </c>
      <c r="U1309" s="6">
        <v>14.21875</v>
      </c>
      <c r="V1309" s="6">
        <v>13.268817</v>
      </c>
    </row>
    <row r="1310" spans="2:22">
      <c r="B1310" s="6">
        <v>32584</v>
      </c>
      <c r="C1310" s="6" t="s">
        <v>1014</v>
      </c>
      <c r="D1310" s="6">
        <v>12400</v>
      </c>
      <c r="E1310" s="6" t="s">
        <v>217</v>
      </c>
      <c r="F1310" s="6" t="s">
        <v>16</v>
      </c>
      <c r="G1310" s="6" t="s">
        <v>1295</v>
      </c>
      <c r="H1310" s="6">
        <v>0</v>
      </c>
      <c r="I1310" s="6">
        <v>0</v>
      </c>
      <c r="J1310" s="6">
        <v>10</v>
      </c>
      <c r="K1310" s="6">
        <v>10</v>
      </c>
      <c r="L1310" s="6">
        <v>10</v>
      </c>
      <c r="M1310" s="6">
        <v>9.9817350000000005</v>
      </c>
      <c r="N1310" s="6">
        <v>9.2387090000000001</v>
      </c>
      <c r="O1310" s="6">
        <v>8.7126429999999999</v>
      </c>
      <c r="P1310" s="6">
        <v>8.6856360000000006</v>
      </c>
      <c r="Q1310" s="6">
        <v>9.2387090000000001</v>
      </c>
      <c r="R1310" s="6">
        <v>8.7126429999999999</v>
      </c>
      <c r="S1310" s="6">
        <v>8.6856360000000006</v>
      </c>
      <c r="T1310" s="6">
        <v>8.8875729999999997</v>
      </c>
      <c r="U1310" s="6">
        <v>8.6089380000000002</v>
      </c>
      <c r="V1310" s="6">
        <v>8.6174140000000001</v>
      </c>
    </row>
    <row r="1311" spans="2:22">
      <c r="B1311" s="6">
        <v>32584</v>
      </c>
      <c r="C1311" s="6" t="s">
        <v>1014</v>
      </c>
      <c r="D1311" s="6">
        <v>20500</v>
      </c>
      <c r="E1311" s="6" t="s">
        <v>31</v>
      </c>
      <c r="F1311" s="6" t="s">
        <v>16</v>
      </c>
      <c r="G1311" s="6" t="s">
        <v>1295</v>
      </c>
      <c r="H1311" s="6">
        <v>0</v>
      </c>
      <c r="I1311" s="6">
        <v>0</v>
      </c>
      <c r="J1311" s="6">
        <v>10</v>
      </c>
      <c r="K1311" s="6">
        <v>10</v>
      </c>
      <c r="L1311" s="6">
        <v>10</v>
      </c>
      <c r="M1311" s="6">
        <v>10</v>
      </c>
      <c r="N1311" s="6">
        <v>10</v>
      </c>
      <c r="O1311" s="6">
        <v>10</v>
      </c>
      <c r="P1311" s="6">
        <v>9.9904759999999992</v>
      </c>
      <c r="Q1311" s="6">
        <v>10</v>
      </c>
      <c r="R1311" s="6">
        <v>10</v>
      </c>
      <c r="S1311" s="6">
        <v>9.9904759999999992</v>
      </c>
      <c r="T1311" s="6">
        <v>16.909089999999999</v>
      </c>
      <c r="U1311" s="6">
        <v>13.130081000000001</v>
      </c>
      <c r="V1311" s="6">
        <v>12.707865</v>
      </c>
    </row>
    <row r="1312" spans="2:22">
      <c r="B1312" s="6">
        <v>32584</v>
      </c>
      <c r="C1312" s="6" t="s">
        <v>1014</v>
      </c>
      <c r="D1312" s="6">
        <v>23312</v>
      </c>
      <c r="E1312" s="6" t="s">
        <v>215</v>
      </c>
      <c r="F1312" s="6" t="s">
        <v>16</v>
      </c>
      <c r="G1312" s="6" t="s">
        <v>1295</v>
      </c>
      <c r="H1312" s="6">
        <v>0</v>
      </c>
      <c r="I1312" s="6">
        <v>0</v>
      </c>
      <c r="J1312" s="6">
        <v>10</v>
      </c>
      <c r="K1312" s="6">
        <v>0</v>
      </c>
      <c r="L1312" s="6">
        <v>10</v>
      </c>
      <c r="M1312" s="6">
        <v>10</v>
      </c>
      <c r="N1312" s="6">
        <v>0</v>
      </c>
      <c r="O1312" s="6">
        <v>10</v>
      </c>
      <c r="P1312" s="6">
        <v>10</v>
      </c>
      <c r="Q1312" s="6">
        <v>0</v>
      </c>
      <c r="R1312" s="6">
        <v>10</v>
      </c>
      <c r="S1312" s="6">
        <v>10</v>
      </c>
      <c r="T1312" s="6">
        <v>10</v>
      </c>
      <c r="U1312" s="6">
        <v>10</v>
      </c>
      <c r="V1312" s="6">
        <v>10.5</v>
      </c>
    </row>
    <row r="1313" spans="2:22">
      <c r="B1313" s="6">
        <v>32584</v>
      </c>
      <c r="C1313" s="6" t="s">
        <v>1014</v>
      </c>
      <c r="D1313" s="6">
        <v>23316</v>
      </c>
      <c r="E1313" s="6" t="s">
        <v>260</v>
      </c>
      <c r="F1313" s="6" t="s">
        <v>16</v>
      </c>
      <c r="G1313" s="6" t="s">
        <v>1295</v>
      </c>
      <c r="H1313" s="6">
        <v>0</v>
      </c>
      <c r="I1313" s="6">
        <v>0</v>
      </c>
      <c r="J1313" s="6">
        <v>10</v>
      </c>
      <c r="K1313" s="6">
        <v>0</v>
      </c>
      <c r="L1313" s="6">
        <v>10</v>
      </c>
      <c r="M1313" s="6">
        <v>10</v>
      </c>
      <c r="N1313" s="6">
        <v>0</v>
      </c>
      <c r="O1313" s="6">
        <v>10</v>
      </c>
      <c r="P1313" s="6">
        <v>10</v>
      </c>
      <c r="Q1313" s="6">
        <v>0</v>
      </c>
      <c r="R1313" s="6">
        <v>10</v>
      </c>
      <c r="S1313" s="6">
        <v>10</v>
      </c>
      <c r="T1313" s="6">
        <v>0</v>
      </c>
      <c r="U1313" s="6">
        <v>10</v>
      </c>
      <c r="V1313" s="6">
        <v>10</v>
      </c>
    </row>
    <row r="1314" spans="2:22">
      <c r="B1314" s="6">
        <v>32585</v>
      </c>
      <c r="C1314" s="6" t="s">
        <v>1001</v>
      </c>
      <c r="D1314" s="6">
        <v>12400</v>
      </c>
      <c r="E1314" s="6" t="s">
        <v>217</v>
      </c>
      <c r="F1314" s="6" t="s">
        <v>16</v>
      </c>
      <c r="G1314" s="6" t="s">
        <v>1295</v>
      </c>
      <c r="H1314" s="6">
        <v>0</v>
      </c>
      <c r="I1314" s="6">
        <v>0</v>
      </c>
      <c r="J1314" s="6">
        <v>8</v>
      </c>
      <c r="K1314" s="6">
        <v>13.375</v>
      </c>
      <c r="L1314" s="6">
        <v>10.9375</v>
      </c>
      <c r="M1314" s="6">
        <v>9.2653060000000007</v>
      </c>
      <c r="N1314" s="6">
        <v>9.2387090000000001</v>
      </c>
      <c r="O1314" s="6">
        <v>8.7126429999999999</v>
      </c>
      <c r="P1314" s="6">
        <v>8.6856360000000006</v>
      </c>
      <c r="Q1314" s="6">
        <v>9.2387090000000001</v>
      </c>
      <c r="R1314" s="6">
        <v>8.7126429999999999</v>
      </c>
      <c r="S1314" s="6">
        <v>8.6856360000000006</v>
      </c>
      <c r="T1314" s="6">
        <v>8.8875729999999997</v>
      </c>
      <c r="U1314" s="6">
        <v>8.6089380000000002</v>
      </c>
      <c r="V1314" s="6">
        <v>8.6174140000000001</v>
      </c>
    </row>
    <row r="1315" spans="2:22">
      <c r="B1315" s="6">
        <v>32585</v>
      </c>
      <c r="C1315" s="6" t="s">
        <v>1001</v>
      </c>
      <c r="D1315" s="6">
        <v>20500</v>
      </c>
      <c r="E1315" s="6" t="s">
        <v>31</v>
      </c>
      <c r="F1315" s="6" t="s">
        <v>16</v>
      </c>
      <c r="G1315" s="6" t="s">
        <v>1295</v>
      </c>
      <c r="H1315" s="6">
        <v>0</v>
      </c>
      <c r="I1315" s="6">
        <v>0</v>
      </c>
      <c r="J1315" s="6">
        <v>10</v>
      </c>
      <c r="K1315" s="6">
        <v>10</v>
      </c>
      <c r="L1315" s="6">
        <v>10</v>
      </c>
      <c r="M1315" s="6">
        <v>9.9722220000000004</v>
      </c>
      <c r="N1315" s="6">
        <v>10</v>
      </c>
      <c r="O1315" s="6">
        <v>10</v>
      </c>
      <c r="P1315" s="6">
        <v>9.9904759999999992</v>
      </c>
      <c r="Q1315" s="6">
        <v>10</v>
      </c>
      <c r="R1315" s="6">
        <v>10</v>
      </c>
      <c r="S1315" s="6">
        <v>9.9904759999999992</v>
      </c>
      <c r="T1315" s="6">
        <v>16.909089999999999</v>
      </c>
      <c r="U1315" s="6">
        <v>13.130081000000001</v>
      </c>
      <c r="V1315" s="6">
        <v>12.707865</v>
      </c>
    </row>
    <row r="1316" spans="2:22">
      <c r="B1316" s="6">
        <v>32585</v>
      </c>
      <c r="C1316" s="6" t="s">
        <v>1001</v>
      </c>
      <c r="D1316" s="6">
        <v>20904</v>
      </c>
      <c r="E1316" s="6" t="s">
        <v>156</v>
      </c>
      <c r="F1316" s="6" t="s">
        <v>16</v>
      </c>
      <c r="G1316" s="6" t="s">
        <v>1295</v>
      </c>
      <c r="H1316" s="6">
        <v>0</v>
      </c>
      <c r="I1316" s="6">
        <v>0</v>
      </c>
      <c r="J1316" s="6">
        <v>10</v>
      </c>
      <c r="K1316" s="6">
        <v>10</v>
      </c>
      <c r="L1316" s="6">
        <v>10</v>
      </c>
      <c r="M1316" s="6">
        <v>11.173913000000001</v>
      </c>
      <c r="N1316" s="6">
        <v>14.736841999999999</v>
      </c>
      <c r="O1316" s="6">
        <v>14.21875</v>
      </c>
      <c r="P1316" s="6">
        <v>13.268817</v>
      </c>
      <c r="Q1316" s="6">
        <v>14.736841999999999</v>
      </c>
      <c r="R1316" s="6">
        <v>14.21875</v>
      </c>
      <c r="S1316" s="6">
        <v>13.268817</v>
      </c>
      <c r="T1316" s="6">
        <v>14.736841999999999</v>
      </c>
      <c r="U1316" s="6">
        <v>14.21875</v>
      </c>
      <c r="V1316" s="6">
        <v>13.268817</v>
      </c>
    </row>
    <row r="1317" spans="2:22">
      <c r="B1317" s="6">
        <v>32585</v>
      </c>
      <c r="C1317" s="6" t="s">
        <v>1001</v>
      </c>
      <c r="D1317" s="6">
        <v>20904</v>
      </c>
      <c r="E1317" s="6" t="s">
        <v>156</v>
      </c>
      <c r="F1317" s="6" t="s">
        <v>16</v>
      </c>
      <c r="G1317" s="6" t="s">
        <v>1295</v>
      </c>
      <c r="H1317" s="6">
        <v>0</v>
      </c>
      <c r="I1317" s="6">
        <v>0</v>
      </c>
      <c r="J1317" s="6">
        <v>10</v>
      </c>
      <c r="K1317" s="6">
        <v>10</v>
      </c>
      <c r="L1317" s="6">
        <v>10</v>
      </c>
      <c r="M1317" s="6">
        <v>11.173913000000001</v>
      </c>
      <c r="N1317" s="6">
        <v>14.736841999999999</v>
      </c>
      <c r="O1317" s="6">
        <v>14.21875</v>
      </c>
      <c r="P1317" s="6">
        <v>13.268817</v>
      </c>
      <c r="Q1317" s="6">
        <v>14.736841999999999</v>
      </c>
      <c r="R1317" s="6">
        <v>14.21875</v>
      </c>
      <c r="S1317" s="6">
        <v>13.268817</v>
      </c>
      <c r="T1317" s="6">
        <v>14.736841999999999</v>
      </c>
      <c r="U1317" s="6">
        <v>14.21875</v>
      </c>
      <c r="V1317" s="6">
        <v>13.268817</v>
      </c>
    </row>
    <row r="1318" spans="2:22">
      <c r="B1318" s="6">
        <v>32586</v>
      </c>
      <c r="C1318" s="6" t="s">
        <v>1052</v>
      </c>
      <c r="D1318" s="6">
        <v>20500</v>
      </c>
      <c r="E1318" s="6" t="s">
        <v>31</v>
      </c>
      <c r="F1318" s="6" t="s">
        <v>17</v>
      </c>
      <c r="G1318" s="6" t="s">
        <v>1294</v>
      </c>
      <c r="H1318" s="6">
        <v>0</v>
      </c>
      <c r="I1318" s="6">
        <v>0</v>
      </c>
      <c r="J1318" s="6">
        <v>27</v>
      </c>
      <c r="K1318" s="6">
        <v>26.046875</v>
      </c>
      <c r="L1318" s="6">
        <v>26.199541</v>
      </c>
      <c r="M1318" s="6">
        <v>26.109717</v>
      </c>
      <c r="N1318" s="6">
        <v>26.108958000000001</v>
      </c>
      <c r="O1318" s="6">
        <v>26.328648000000001</v>
      </c>
      <c r="P1318" s="6">
        <v>26.003786000000002</v>
      </c>
      <c r="Q1318" s="6">
        <v>26.101534000000001</v>
      </c>
      <c r="R1318" s="6">
        <v>26.316153</v>
      </c>
      <c r="S1318" s="6">
        <v>25.991613999999998</v>
      </c>
      <c r="T1318" s="6">
        <v>25.645997000000001</v>
      </c>
      <c r="U1318" s="6">
        <v>25.223958</v>
      </c>
      <c r="V1318" s="6">
        <v>24.770192999999999</v>
      </c>
    </row>
    <row r="1319" spans="2:22">
      <c r="B1319" s="6">
        <v>32586</v>
      </c>
      <c r="C1319" s="6" t="s">
        <v>1052</v>
      </c>
      <c r="D1319" s="6">
        <v>20702</v>
      </c>
      <c r="E1319" s="6" t="s">
        <v>44</v>
      </c>
      <c r="F1319" s="6" t="s">
        <v>17</v>
      </c>
      <c r="G1319" s="6" t="s">
        <v>1294</v>
      </c>
      <c r="H1319" s="6">
        <v>0</v>
      </c>
      <c r="I1319" s="6">
        <v>0</v>
      </c>
      <c r="J1319" s="6">
        <v>32</v>
      </c>
      <c r="K1319" s="6">
        <v>34.851851000000003</v>
      </c>
      <c r="L1319" s="6">
        <v>34.933332999999998</v>
      </c>
      <c r="M1319" s="6">
        <v>34.897097000000002</v>
      </c>
      <c r="N1319" s="6">
        <v>34.893103000000004</v>
      </c>
      <c r="O1319" s="6">
        <v>34.949179999999998</v>
      </c>
      <c r="P1319" s="6">
        <v>34.926701000000001</v>
      </c>
      <c r="Q1319" s="6">
        <v>34.894556999999999</v>
      </c>
      <c r="R1319" s="6">
        <v>34.950949000000001</v>
      </c>
      <c r="S1319" s="6">
        <v>34.883485</v>
      </c>
      <c r="T1319" s="6">
        <v>34.894556999999999</v>
      </c>
      <c r="U1319" s="6">
        <v>34.950949000000001</v>
      </c>
      <c r="V1319" s="6">
        <v>34.883485</v>
      </c>
    </row>
    <row r="1320" spans="2:22">
      <c r="B1320" s="6">
        <v>32586</v>
      </c>
      <c r="C1320" s="6" t="s">
        <v>1052</v>
      </c>
      <c r="D1320" s="6">
        <v>20902</v>
      </c>
      <c r="E1320" s="6" t="s">
        <v>53</v>
      </c>
      <c r="F1320" s="6" t="s">
        <v>13</v>
      </c>
      <c r="G1320" s="6" t="s">
        <v>14</v>
      </c>
      <c r="H1320" s="6">
        <v>0</v>
      </c>
      <c r="I1320" s="6">
        <v>0</v>
      </c>
      <c r="J1320" s="6">
        <v>20</v>
      </c>
      <c r="K1320" s="6">
        <v>18.622046999999998</v>
      </c>
      <c r="L1320" s="6">
        <v>18.557046</v>
      </c>
      <c r="M1320" s="6">
        <v>18.643459</v>
      </c>
      <c r="N1320" s="6">
        <v>19.181818</v>
      </c>
      <c r="O1320" s="6">
        <v>19.119288999999998</v>
      </c>
      <c r="P1320" s="6">
        <v>18.784502</v>
      </c>
      <c r="Q1320" s="6">
        <v>19.181818</v>
      </c>
      <c r="R1320" s="6">
        <v>19.101835999999999</v>
      </c>
      <c r="S1320" s="6">
        <v>18.763134000000001</v>
      </c>
      <c r="T1320" s="6">
        <v>19.181818</v>
      </c>
      <c r="U1320" s="6">
        <v>19.101835999999999</v>
      </c>
      <c r="V1320" s="6">
        <v>18.763134000000001</v>
      </c>
    </row>
    <row r="1321" spans="2:22">
      <c r="B1321" s="6">
        <v>32586</v>
      </c>
      <c r="C1321" s="6" t="s">
        <v>1052</v>
      </c>
      <c r="D1321" s="6">
        <v>20906</v>
      </c>
      <c r="E1321" s="6" t="s">
        <v>48</v>
      </c>
      <c r="F1321" s="6" t="s">
        <v>49</v>
      </c>
      <c r="G1321" s="6" t="s">
        <v>1296</v>
      </c>
      <c r="H1321" s="6">
        <v>0</v>
      </c>
      <c r="I1321" s="6">
        <v>0</v>
      </c>
      <c r="J1321" s="6">
        <v>18</v>
      </c>
      <c r="K1321" s="6">
        <v>17.229590999999999</v>
      </c>
      <c r="L1321" s="6">
        <v>17.052391</v>
      </c>
      <c r="M1321" s="6">
        <v>17.431988</v>
      </c>
      <c r="N1321" s="6">
        <v>17.016705999999999</v>
      </c>
      <c r="O1321" s="6">
        <v>16.954350000000002</v>
      </c>
      <c r="P1321" s="6">
        <v>17.537869000000001</v>
      </c>
      <c r="Q1321" s="6">
        <v>17.016335999999999</v>
      </c>
      <c r="R1321" s="6">
        <v>16.958155999999999</v>
      </c>
      <c r="S1321" s="6">
        <v>17.538882000000001</v>
      </c>
      <c r="T1321" s="6">
        <v>17.016335999999999</v>
      </c>
      <c r="U1321" s="6">
        <v>16.958155999999999</v>
      </c>
      <c r="V1321" s="6">
        <v>17.538882000000001</v>
      </c>
    </row>
    <row r="1322" spans="2:22">
      <c r="B1322" s="6">
        <v>32587</v>
      </c>
      <c r="C1322" s="6" t="s">
        <v>1105</v>
      </c>
      <c r="D1322" s="6">
        <v>20500</v>
      </c>
      <c r="E1322" s="6" t="s">
        <v>31</v>
      </c>
      <c r="F1322" s="6" t="s">
        <v>17</v>
      </c>
      <c r="G1322" s="6" t="s">
        <v>1294</v>
      </c>
      <c r="H1322" s="6">
        <v>0</v>
      </c>
      <c r="I1322" s="6">
        <v>0</v>
      </c>
      <c r="J1322" s="6">
        <v>27</v>
      </c>
      <c r="K1322" s="6">
        <v>26.046875</v>
      </c>
      <c r="L1322" s="6">
        <v>26.199541</v>
      </c>
      <c r="M1322" s="6">
        <v>26.109717</v>
      </c>
      <c r="N1322" s="6">
        <v>26.108958000000001</v>
      </c>
      <c r="O1322" s="6">
        <v>26.328648000000001</v>
      </c>
      <c r="P1322" s="6">
        <v>26.003786000000002</v>
      </c>
      <c r="Q1322" s="6">
        <v>26.101534000000001</v>
      </c>
      <c r="R1322" s="6">
        <v>26.316153</v>
      </c>
      <c r="S1322" s="6">
        <v>25.991613999999998</v>
      </c>
      <c r="T1322" s="6">
        <v>25.645997000000001</v>
      </c>
      <c r="U1322" s="6">
        <v>25.223958</v>
      </c>
      <c r="V1322" s="6">
        <v>24.770192999999999</v>
      </c>
    </row>
    <row r="1323" spans="2:22">
      <c r="B1323" s="6">
        <v>32587</v>
      </c>
      <c r="C1323" s="6" t="s">
        <v>1105</v>
      </c>
      <c r="D1323" s="6">
        <v>20702</v>
      </c>
      <c r="E1323" s="6" t="s">
        <v>44</v>
      </c>
      <c r="F1323" s="6" t="s">
        <v>17</v>
      </c>
      <c r="G1323" s="6" t="s">
        <v>1294</v>
      </c>
      <c r="H1323" s="6">
        <v>0</v>
      </c>
      <c r="I1323" s="6">
        <v>0</v>
      </c>
      <c r="J1323" s="6">
        <v>32</v>
      </c>
      <c r="K1323" s="6">
        <v>34.851851000000003</v>
      </c>
      <c r="L1323" s="6">
        <v>34.933332999999998</v>
      </c>
      <c r="M1323" s="6">
        <v>34.897097000000002</v>
      </c>
      <c r="N1323" s="6">
        <v>34.893103000000004</v>
      </c>
      <c r="O1323" s="6">
        <v>34.949179999999998</v>
      </c>
      <c r="P1323" s="6">
        <v>34.926701000000001</v>
      </c>
      <c r="Q1323" s="6">
        <v>34.894556999999999</v>
      </c>
      <c r="R1323" s="6">
        <v>34.950949000000001</v>
      </c>
      <c r="S1323" s="6">
        <v>34.883485</v>
      </c>
      <c r="T1323" s="6">
        <v>34.894556999999999</v>
      </c>
      <c r="U1323" s="6">
        <v>34.950949000000001</v>
      </c>
      <c r="V1323" s="6">
        <v>34.883485</v>
      </c>
    </row>
    <row r="1324" spans="2:22">
      <c r="B1324" s="6">
        <v>32587</v>
      </c>
      <c r="C1324" s="6" t="s">
        <v>1105</v>
      </c>
      <c r="D1324" s="6">
        <v>20902</v>
      </c>
      <c r="E1324" s="6" t="s">
        <v>53</v>
      </c>
      <c r="F1324" s="6" t="s">
        <v>13</v>
      </c>
      <c r="G1324" s="6" t="s">
        <v>14</v>
      </c>
      <c r="H1324" s="6">
        <v>0</v>
      </c>
      <c r="I1324" s="6">
        <v>0</v>
      </c>
      <c r="J1324" s="6">
        <v>20</v>
      </c>
      <c r="K1324" s="6">
        <v>18.622046999999998</v>
      </c>
      <c r="L1324" s="6">
        <v>18.557046</v>
      </c>
      <c r="M1324" s="6">
        <v>18.643459</v>
      </c>
      <c r="N1324" s="6">
        <v>19.181818</v>
      </c>
      <c r="O1324" s="6">
        <v>19.119288999999998</v>
      </c>
      <c r="P1324" s="6">
        <v>18.784502</v>
      </c>
      <c r="Q1324" s="6">
        <v>19.181818</v>
      </c>
      <c r="R1324" s="6">
        <v>19.101835999999999</v>
      </c>
      <c r="S1324" s="6">
        <v>18.763134000000001</v>
      </c>
      <c r="T1324" s="6">
        <v>19.181818</v>
      </c>
      <c r="U1324" s="6">
        <v>19.101835999999999</v>
      </c>
      <c r="V1324" s="6">
        <v>18.763134000000001</v>
      </c>
    </row>
    <row r="1325" spans="2:22">
      <c r="B1325" s="6">
        <v>32587</v>
      </c>
      <c r="C1325" s="6" t="s">
        <v>1105</v>
      </c>
      <c r="D1325" s="6">
        <v>20906</v>
      </c>
      <c r="E1325" s="6" t="s">
        <v>48</v>
      </c>
      <c r="F1325" s="6" t="s">
        <v>49</v>
      </c>
      <c r="G1325" s="6" t="s">
        <v>1296</v>
      </c>
      <c r="H1325" s="6">
        <v>0</v>
      </c>
      <c r="I1325" s="6">
        <v>0</v>
      </c>
      <c r="J1325" s="6">
        <v>20</v>
      </c>
      <c r="K1325" s="6">
        <v>17.229590999999999</v>
      </c>
      <c r="L1325" s="6">
        <v>17.052391</v>
      </c>
      <c r="M1325" s="6">
        <v>17.431988</v>
      </c>
      <c r="N1325" s="6">
        <v>17.016705999999999</v>
      </c>
      <c r="O1325" s="6">
        <v>16.954350000000002</v>
      </c>
      <c r="P1325" s="6">
        <v>17.537869000000001</v>
      </c>
      <c r="Q1325" s="6">
        <v>17.016335999999999</v>
      </c>
      <c r="R1325" s="6">
        <v>16.958155999999999</v>
      </c>
      <c r="S1325" s="6">
        <v>17.538882000000001</v>
      </c>
      <c r="T1325" s="6">
        <v>17.016335999999999</v>
      </c>
      <c r="U1325" s="6">
        <v>16.958155999999999</v>
      </c>
      <c r="V1325" s="6">
        <v>17.538882000000001</v>
      </c>
    </row>
    <row r="1326" spans="2:22">
      <c r="B1326" s="6">
        <v>32588</v>
      </c>
      <c r="C1326" s="6" t="s">
        <v>1066</v>
      </c>
      <c r="D1326" s="6">
        <v>20500</v>
      </c>
      <c r="E1326" s="6" t="s">
        <v>31</v>
      </c>
      <c r="F1326" s="6" t="s">
        <v>17</v>
      </c>
      <c r="G1326" s="6" t="s">
        <v>1294</v>
      </c>
      <c r="H1326" s="6">
        <v>0</v>
      </c>
      <c r="I1326" s="6">
        <v>0</v>
      </c>
      <c r="J1326" s="6">
        <v>27</v>
      </c>
      <c r="K1326" s="6">
        <v>26.046875</v>
      </c>
      <c r="L1326" s="6">
        <v>26.199541</v>
      </c>
      <c r="M1326" s="6">
        <v>26.109717</v>
      </c>
      <c r="N1326" s="6">
        <v>26.108958000000001</v>
      </c>
      <c r="O1326" s="6">
        <v>26.328648000000001</v>
      </c>
      <c r="P1326" s="6">
        <v>26.003786000000002</v>
      </c>
      <c r="Q1326" s="6">
        <v>26.101534000000001</v>
      </c>
      <c r="R1326" s="6">
        <v>26.316153</v>
      </c>
      <c r="S1326" s="6">
        <v>25.991613999999998</v>
      </c>
      <c r="T1326" s="6">
        <v>25.645997000000001</v>
      </c>
      <c r="U1326" s="6">
        <v>25.223958</v>
      </c>
      <c r="V1326" s="6">
        <v>24.770192999999999</v>
      </c>
    </row>
    <row r="1327" spans="2:22">
      <c r="B1327" s="6">
        <v>32588</v>
      </c>
      <c r="C1327" s="6" t="s">
        <v>1066</v>
      </c>
      <c r="D1327" s="6">
        <v>20702</v>
      </c>
      <c r="E1327" s="6" t="s">
        <v>44</v>
      </c>
      <c r="F1327" s="6" t="s">
        <v>17</v>
      </c>
      <c r="G1327" s="6" t="s">
        <v>1294</v>
      </c>
      <c r="H1327" s="6">
        <v>0</v>
      </c>
      <c r="I1327" s="6">
        <v>0</v>
      </c>
      <c r="J1327" s="6">
        <v>35</v>
      </c>
      <c r="K1327" s="6">
        <v>34.851851000000003</v>
      </c>
      <c r="L1327" s="6">
        <v>34.933332999999998</v>
      </c>
      <c r="M1327" s="6">
        <v>34.897097000000002</v>
      </c>
      <c r="N1327" s="6">
        <v>34.893103000000004</v>
      </c>
      <c r="O1327" s="6">
        <v>34.949179999999998</v>
      </c>
      <c r="P1327" s="6">
        <v>34.926701000000001</v>
      </c>
      <c r="Q1327" s="6">
        <v>34.894556999999999</v>
      </c>
      <c r="R1327" s="6">
        <v>34.950949000000001</v>
      </c>
      <c r="S1327" s="6">
        <v>34.883485</v>
      </c>
      <c r="T1327" s="6">
        <v>34.894556999999999</v>
      </c>
      <c r="U1327" s="6">
        <v>34.950949000000001</v>
      </c>
      <c r="V1327" s="6">
        <v>34.883485</v>
      </c>
    </row>
    <row r="1328" spans="2:22">
      <c r="B1328" s="6">
        <v>32588</v>
      </c>
      <c r="C1328" s="6" t="s">
        <v>1066</v>
      </c>
      <c r="D1328" s="6">
        <v>20902</v>
      </c>
      <c r="E1328" s="6" t="s">
        <v>53</v>
      </c>
      <c r="F1328" s="6" t="s">
        <v>13</v>
      </c>
      <c r="G1328" s="6" t="s">
        <v>14</v>
      </c>
      <c r="H1328" s="6">
        <v>0</v>
      </c>
      <c r="I1328" s="6">
        <v>0</v>
      </c>
      <c r="J1328" s="6">
        <v>20</v>
      </c>
      <c r="K1328" s="6">
        <v>18.622046999999998</v>
      </c>
      <c r="L1328" s="6">
        <v>18.557046</v>
      </c>
      <c r="M1328" s="6">
        <v>18.643459</v>
      </c>
      <c r="N1328" s="6">
        <v>19.181818</v>
      </c>
      <c r="O1328" s="6">
        <v>19.119288999999998</v>
      </c>
      <c r="P1328" s="6">
        <v>18.784502</v>
      </c>
      <c r="Q1328" s="6">
        <v>19.181818</v>
      </c>
      <c r="R1328" s="6">
        <v>19.101835999999999</v>
      </c>
      <c r="S1328" s="6">
        <v>18.763134000000001</v>
      </c>
      <c r="T1328" s="6">
        <v>19.181818</v>
      </c>
      <c r="U1328" s="6">
        <v>19.101835999999999</v>
      </c>
      <c r="V1328" s="6">
        <v>18.763134000000001</v>
      </c>
    </row>
    <row r="1329" spans="2:22">
      <c r="B1329" s="6">
        <v>32588</v>
      </c>
      <c r="C1329" s="6" t="s">
        <v>1066</v>
      </c>
      <c r="D1329" s="6">
        <v>20906</v>
      </c>
      <c r="E1329" s="6" t="s">
        <v>48</v>
      </c>
      <c r="F1329" s="6" t="s">
        <v>49</v>
      </c>
      <c r="G1329" s="6" t="s">
        <v>1296</v>
      </c>
      <c r="H1329" s="6">
        <v>0</v>
      </c>
      <c r="I1329" s="6">
        <v>0</v>
      </c>
      <c r="J1329" s="6">
        <v>20</v>
      </c>
      <c r="K1329" s="6">
        <v>17.229590999999999</v>
      </c>
      <c r="L1329" s="6">
        <v>17.052391</v>
      </c>
      <c r="M1329" s="6">
        <v>17.431988</v>
      </c>
      <c r="N1329" s="6">
        <v>17.016705999999999</v>
      </c>
      <c r="O1329" s="6">
        <v>16.954350000000002</v>
      </c>
      <c r="P1329" s="6">
        <v>17.537869000000001</v>
      </c>
      <c r="Q1329" s="6">
        <v>17.016335999999999</v>
      </c>
      <c r="R1329" s="6">
        <v>16.958155999999999</v>
      </c>
      <c r="S1329" s="6">
        <v>17.538882000000001</v>
      </c>
      <c r="T1329" s="6">
        <v>17.016335999999999</v>
      </c>
      <c r="U1329" s="6">
        <v>16.958155999999999</v>
      </c>
      <c r="V1329" s="6">
        <v>17.538882000000001</v>
      </c>
    </row>
    <row r="1330" spans="2:22">
      <c r="B1330" s="6">
        <v>32589</v>
      </c>
      <c r="C1330" s="6" t="s">
        <v>1133</v>
      </c>
      <c r="D1330" s="6">
        <v>20500</v>
      </c>
      <c r="E1330" s="6" t="s">
        <v>31</v>
      </c>
      <c r="F1330" s="6" t="s">
        <v>17</v>
      </c>
      <c r="G1330" s="6" t="s">
        <v>1294</v>
      </c>
      <c r="H1330" s="6">
        <v>0</v>
      </c>
      <c r="I1330" s="6">
        <v>0</v>
      </c>
      <c r="J1330" s="6">
        <v>27</v>
      </c>
      <c r="K1330" s="6">
        <v>26.179282000000001</v>
      </c>
      <c r="L1330" s="6">
        <v>26.186138</v>
      </c>
      <c r="M1330" s="6">
        <v>25.935728999999998</v>
      </c>
      <c r="N1330" s="6">
        <v>26.108958000000001</v>
      </c>
      <c r="O1330" s="6">
        <v>26.328648000000001</v>
      </c>
      <c r="P1330" s="6">
        <v>26.003786000000002</v>
      </c>
      <c r="Q1330" s="6">
        <v>26.101534000000001</v>
      </c>
      <c r="R1330" s="6">
        <v>26.316153</v>
      </c>
      <c r="S1330" s="6">
        <v>25.991613999999998</v>
      </c>
      <c r="T1330" s="6">
        <v>25.645997000000001</v>
      </c>
      <c r="U1330" s="6">
        <v>25.223958</v>
      </c>
      <c r="V1330" s="6">
        <v>24.770192999999999</v>
      </c>
    </row>
    <row r="1331" spans="2:22">
      <c r="B1331" s="6">
        <v>32589</v>
      </c>
      <c r="C1331" s="6" t="s">
        <v>1133</v>
      </c>
      <c r="D1331" s="6">
        <v>20702</v>
      </c>
      <c r="E1331" s="6" t="s">
        <v>44</v>
      </c>
      <c r="F1331" s="6" t="s">
        <v>17</v>
      </c>
      <c r="G1331" s="6" t="s">
        <v>1294</v>
      </c>
      <c r="H1331" s="6">
        <v>0</v>
      </c>
      <c r="I1331" s="6">
        <v>0</v>
      </c>
      <c r="J1331" s="6">
        <v>35</v>
      </c>
      <c r="K1331" s="6">
        <v>34.902597</v>
      </c>
      <c r="L1331" s="6">
        <v>34.946427999999997</v>
      </c>
      <c r="M1331" s="6">
        <v>34.934041999999998</v>
      </c>
      <c r="N1331" s="6">
        <v>34.893103000000004</v>
      </c>
      <c r="O1331" s="6">
        <v>34.949179999999998</v>
      </c>
      <c r="P1331" s="6">
        <v>34.926701000000001</v>
      </c>
      <c r="Q1331" s="6">
        <v>34.894556999999999</v>
      </c>
      <c r="R1331" s="6">
        <v>34.950949000000001</v>
      </c>
      <c r="S1331" s="6">
        <v>34.883485</v>
      </c>
      <c r="T1331" s="6">
        <v>34.894556999999999</v>
      </c>
      <c r="U1331" s="6">
        <v>34.950949000000001</v>
      </c>
      <c r="V1331" s="6">
        <v>34.883485</v>
      </c>
    </row>
    <row r="1332" spans="2:22">
      <c r="B1332" s="6">
        <v>32589</v>
      </c>
      <c r="C1332" s="6" t="s">
        <v>1133</v>
      </c>
      <c r="D1332" s="6">
        <v>20902</v>
      </c>
      <c r="E1332" s="6" t="s">
        <v>53</v>
      </c>
      <c r="F1332" s="6" t="s">
        <v>13</v>
      </c>
      <c r="G1332" s="6" t="s">
        <v>14</v>
      </c>
      <c r="H1332" s="6">
        <v>0</v>
      </c>
      <c r="I1332" s="6">
        <v>0</v>
      </c>
      <c r="J1332" s="6">
        <v>13</v>
      </c>
      <c r="K1332" s="6">
        <v>18.635802000000002</v>
      </c>
      <c r="L1332" s="6">
        <v>18.195121</v>
      </c>
      <c r="M1332" s="6">
        <v>17.625368000000002</v>
      </c>
      <c r="N1332" s="6">
        <v>19.181818</v>
      </c>
      <c r="O1332" s="6">
        <v>19.119288999999998</v>
      </c>
      <c r="P1332" s="6">
        <v>18.784502</v>
      </c>
      <c r="Q1332" s="6">
        <v>19.181818</v>
      </c>
      <c r="R1332" s="6">
        <v>19.101835999999999</v>
      </c>
      <c r="S1332" s="6">
        <v>18.763134000000001</v>
      </c>
      <c r="T1332" s="6">
        <v>19.181818</v>
      </c>
      <c r="U1332" s="6">
        <v>19.101835999999999</v>
      </c>
      <c r="V1332" s="6">
        <v>18.763134000000001</v>
      </c>
    </row>
    <row r="1333" spans="2:22">
      <c r="B1333" s="6">
        <v>32589</v>
      </c>
      <c r="C1333" s="6" t="s">
        <v>1133</v>
      </c>
      <c r="D1333" s="6">
        <v>20906</v>
      </c>
      <c r="E1333" s="6" t="s">
        <v>48</v>
      </c>
      <c r="F1333" s="6" t="s">
        <v>49</v>
      </c>
      <c r="G1333" s="6" t="s">
        <v>1296</v>
      </c>
      <c r="H1333" s="6">
        <v>0</v>
      </c>
      <c r="I1333" s="6">
        <v>0</v>
      </c>
      <c r="J1333" s="6">
        <v>20</v>
      </c>
      <c r="K1333" s="6">
        <v>16.992394999999998</v>
      </c>
      <c r="L1333" s="6">
        <v>16.951830000000001</v>
      </c>
      <c r="M1333" s="6">
        <v>17.405908</v>
      </c>
      <c r="N1333" s="6">
        <v>17.016705999999999</v>
      </c>
      <c r="O1333" s="6">
        <v>16.954350000000002</v>
      </c>
      <c r="P1333" s="6">
        <v>17.537869000000001</v>
      </c>
      <c r="Q1333" s="6">
        <v>17.016335999999999</v>
      </c>
      <c r="R1333" s="6">
        <v>16.958155999999999</v>
      </c>
      <c r="S1333" s="6">
        <v>17.538882000000001</v>
      </c>
      <c r="T1333" s="6">
        <v>17.016335999999999</v>
      </c>
      <c r="U1333" s="6">
        <v>16.958155999999999</v>
      </c>
      <c r="V1333" s="6">
        <v>17.538882000000001</v>
      </c>
    </row>
    <row r="1334" spans="2:22">
      <c r="B1334" s="6">
        <v>32590</v>
      </c>
      <c r="C1334" s="6" t="s">
        <v>1134</v>
      </c>
      <c r="D1334" s="6">
        <v>20500</v>
      </c>
      <c r="E1334" s="6" t="s">
        <v>31</v>
      </c>
      <c r="F1334" s="6" t="s">
        <v>17</v>
      </c>
      <c r="G1334" s="6" t="s">
        <v>1294</v>
      </c>
      <c r="H1334" s="6">
        <v>27</v>
      </c>
      <c r="I1334" s="6">
        <v>27</v>
      </c>
      <c r="J1334" s="6">
        <v>27</v>
      </c>
      <c r="K1334" s="6">
        <v>26.179282000000001</v>
      </c>
      <c r="L1334" s="6">
        <v>26.186138</v>
      </c>
      <c r="M1334" s="6">
        <v>25.935728999999998</v>
      </c>
      <c r="N1334" s="6">
        <v>26.108958000000001</v>
      </c>
      <c r="O1334" s="6">
        <v>26.328648000000001</v>
      </c>
      <c r="P1334" s="6">
        <v>26.003786000000002</v>
      </c>
      <c r="Q1334" s="6">
        <v>26.101534000000001</v>
      </c>
      <c r="R1334" s="6">
        <v>26.316153</v>
      </c>
      <c r="S1334" s="6">
        <v>25.991613999999998</v>
      </c>
      <c r="T1334" s="6">
        <v>25.645997000000001</v>
      </c>
      <c r="U1334" s="6">
        <v>25.223958</v>
      </c>
      <c r="V1334" s="6">
        <v>24.770192999999999</v>
      </c>
    </row>
    <row r="1335" spans="2:22">
      <c r="B1335" s="6">
        <v>32590</v>
      </c>
      <c r="C1335" s="6" t="s">
        <v>1134</v>
      </c>
      <c r="D1335" s="6">
        <v>20702</v>
      </c>
      <c r="E1335" s="6" t="s">
        <v>44</v>
      </c>
      <c r="F1335" s="6" t="s">
        <v>17</v>
      </c>
      <c r="G1335" s="6" t="s">
        <v>1294</v>
      </c>
      <c r="H1335" s="6">
        <v>35</v>
      </c>
      <c r="I1335" s="6">
        <v>35</v>
      </c>
      <c r="J1335" s="6">
        <v>35</v>
      </c>
      <c r="K1335" s="6">
        <v>34.902597</v>
      </c>
      <c r="L1335" s="6">
        <v>34.946427999999997</v>
      </c>
      <c r="M1335" s="6">
        <v>34.934041999999998</v>
      </c>
      <c r="N1335" s="6">
        <v>34.893103000000004</v>
      </c>
      <c r="O1335" s="6">
        <v>34.949179999999998</v>
      </c>
      <c r="P1335" s="6">
        <v>34.926701000000001</v>
      </c>
      <c r="Q1335" s="6">
        <v>34.894556999999999</v>
      </c>
      <c r="R1335" s="6">
        <v>34.950949000000001</v>
      </c>
      <c r="S1335" s="6">
        <v>34.883485</v>
      </c>
      <c r="T1335" s="6">
        <v>34.894556999999999</v>
      </c>
      <c r="U1335" s="6">
        <v>34.950949000000001</v>
      </c>
      <c r="V1335" s="6">
        <v>34.883485</v>
      </c>
    </row>
    <row r="1336" spans="2:22">
      <c r="B1336" s="6">
        <v>32590</v>
      </c>
      <c r="C1336" s="6" t="s">
        <v>1134</v>
      </c>
      <c r="D1336" s="6">
        <v>20902</v>
      </c>
      <c r="E1336" s="6" t="s">
        <v>53</v>
      </c>
      <c r="F1336" s="6" t="s">
        <v>13</v>
      </c>
      <c r="G1336" s="6" t="s">
        <v>14</v>
      </c>
      <c r="H1336" s="6">
        <v>20</v>
      </c>
      <c r="I1336" s="6">
        <v>20</v>
      </c>
      <c r="J1336" s="6">
        <v>20</v>
      </c>
      <c r="K1336" s="6">
        <v>18.635802000000002</v>
      </c>
      <c r="L1336" s="6">
        <v>18.195121</v>
      </c>
      <c r="M1336" s="6">
        <v>17.625368000000002</v>
      </c>
      <c r="N1336" s="6">
        <v>19.181818</v>
      </c>
      <c r="O1336" s="6">
        <v>19.119288999999998</v>
      </c>
      <c r="P1336" s="6">
        <v>18.784502</v>
      </c>
      <c r="Q1336" s="6">
        <v>19.181818</v>
      </c>
      <c r="R1336" s="6">
        <v>19.101835999999999</v>
      </c>
      <c r="S1336" s="6">
        <v>18.763134000000001</v>
      </c>
      <c r="T1336" s="6">
        <v>19.181818</v>
      </c>
      <c r="U1336" s="6">
        <v>19.101835999999999</v>
      </c>
      <c r="V1336" s="6">
        <v>18.763134000000001</v>
      </c>
    </row>
    <row r="1337" spans="2:22">
      <c r="B1337" s="6">
        <v>32590</v>
      </c>
      <c r="C1337" s="6" t="s">
        <v>1134</v>
      </c>
      <c r="D1337" s="6">
        <v>20906</v>
      </c>
      <c r="E1337" s="6" t="s">
        <v>48</v>
      </c>
      <c r="F1337" s="6" t="s">
        <v>49</v>
      </c>
      <c r="G1337" s="6" t="s">
        <v>1296</v>
      </c>
      <c r="H1337" s="6">
        <v>17</v>
      </c>
      <c r="I1337" s="6">
        <v>17</v>
      </c>
      <c r="J1337" s="6">
        <v>18</v>
      </c>
      <c r="K1337" s="6">
        <v>16.992394999999998</v>
      </c>
      <c r="L1337" s="6">
        <v>16.951830000000001</v>
      </c>
      <c r="M1337" s="6">
        <v>17.405908</v>
      </c>
      <c r="N1337" s="6">
        <v>17.016705999999999</v>
      </c>
      <c r="O1337" s="6">
        <v>16.954350000000002</v>
      </c>
      <c r="P1337" s="6">
        <v>17.537869000000001</v>
      </c>
      <c r="Q1337" s="6">
        <v>17.016335999999999</v>
      </c>
      <c r="R1337" s="6">
        <v>16.958155999999999</v>
      </c>
      <c r="S1337" s="6">
        <v>17.538882000000001</v>
      </c>
      <c r="T1337" s="6">
        <v>17.016335999999999</v>
      </c>
      <c r="U1337" s="6">
        <v>16.958155999999999</v>
      </c>
      <c r="V1337" s="6">
        <v>17.538882000000001</v>
      </c>
    </row>
    <row r="1338" spans="2:22">
      <c r="B1338" s="6">
        <v>32591</v>
      </c>
      <c r="C1338" s="6" t="s">
        <v>1067</v>
      </c>
      <c r="D1338" s="6">
        <v>20500</v>
      </c>
      <c r="E1338" s="6" t="s">
        <v>31</v>
      </c>
      <c r="F1338" s="6" t="s">
        <v>17</v>
      </c>
      <c r="G1338" s="6" t="s">
        <v>1294</v>
      </c>
      <c r="H1338" s="6">
        <v>0</v>
      </c>
      <c r="I1338" s="6">
        <v>0</v>
      </c>
      <c r="J1338" s="6">
        <v>27</v>
      </c>
      <c r="K1338" s="6">
        <v>26.179282000000001</v>
      </c>
      <c r="L1338" s="6">
        <v>26.186138</v>
      </c>
      <c r="M1338" s="6">
        <v>25.935728999999998</v>
      </c>
      <c r="N1338" s="6">
        <v>26.108958000000001</v>
      </c>
      <c r="O1338" s="6">
        <v>26.328648000000001</v>
      </c>
      <c r="P1338" s="6">
        <v>26.003786000000002</v>
      </c>
      <c r="Q1338" s="6">
        <v>26.101534000000001</v>
      </c>
      <c r="R1338" s="6">
        <v>26.316153</v>
      </c>
      <c r="S1338" s="6">
        <v>25.991613999999998</v>
      </c>
      <c r="T1338" s="6">
        <v>25.645997000000001</v>
      </c>
      <c r="U1338" s="6">
        <v>25.223958</v>
      </c>
      <c r="V1338" s="6">
        <v>24.770192999999999</v>
      </c>
    </row>
    <row r="1339" spans="2:22">
      <c r="B1339" s="6">
        <v>32591</v>
      </c>
      <c r="C1339" s="6" t="s">
        <v>1067</v>
      </c>
      <c r="D1339" s="6">
        <v>20702</v>
      </c>
      <c r="E1339" s="6" t="s">
        <v>44</v>
      </c>
      <c r="F1339" s="6" t="s">
        <v>17</v>
      </c>
      <c r="G1339" s="6" t="s">
        <v>1294</v>
      </c>
      <c r="H1339" s="6">
        <v>0</v>
      </c>
      <c r="I1339" s="6">
        <v>0</v>
      </c>
      <c r="J1339" s="6">
        <v>32</v>
      </c>
      <c r="K1339" s="6">
        <v>34.902597</v>
      </c>
      <c r="L1339" s="6">
        <v>34.946427999999997</v>
      </c>
      <c r="M1339" s="6">
        <v>34.934041999999998</v>
      </c>
      <c r="N1339" s="6">
        <v>34.893103000000004</v>
      </c>
      <c r="O1339" s="6">
        <v>34.949179999999998</v>
      </c>
      <c r="P1339" s="6">
        <v>34.926701000000001</v>
      </c>
      <c r="Q1339" s="6">
        <v>34.894556999999999</v>
      </c>
      <c r="R1339" s="6">
        <v>34.950949000000001</v>
      </c>
      <c r="S1339" s="6">
        <v>34.883485</v>
      </c>
      <c r="T1339" s="6">
        <v>34.894556999999999</v>
      </c>
      <c r="U1339" s="6">
        <v>34.950949000000001</v>
      </c>
      <c r="V1339" s="6">
        <v>34.883485</v>
      </c>
    </row>
    <row r="1340" spans="2:22">
      <c r="B1340" s="6">
        <v>32591</v>
      </c>
      <c r="C1340" s="6" t="s">
        <v>1067</v>
      </c>
      <c r="D1340" s="6">
        <v>20902</v>
      </c>
      <c r="E1340" s="6" t="s">
        <v>53</v>
      </c>
      <c r="F1340" s="6" t="s">
        <v>13</v>
      </c>
      <c r="G1340" s="6" t="s">
        <v>14</v>
      </c>
      <c r="H1340" s="6">
        <v>0</v>
      </c>
      <c r="I1340" s="6">
        <v>0</v>
      </c>
      <c r="J1340" s="6">
        <v>20</v>
      </c>
      <c r="K1340" s="6">
        <v>18.635802000000002</v>
      </c>
      <c r="L1340" s="6">
        <v>18.195121</v>
      </c>
      <c r="M1340" s="6">
        <v>17.625368000000002</v>
      </c>
      <c r="N1340" s="6">
        <v>19.181818</v>
      </c>
      <c r="O1340" s="6">
        <v>19.119288999999998</v>
      </c>
      <c r="P1340" s="6">
        <v>18.784502</v>
      </c>
      <c r="Q1340" s="6">
        <v>19.181818</v>
      </c>
      <c r="R1340" s="6">
        <v>19.101835999999999</v>
      </c>
      <c r="S1340" s="6">
        <v>18.763134000000001</v>
      </c>
      <c r="T1340" s="6">
        <v>19.181818</v>
      </c>
      <c r="U1340" s="6">
        <v>19.101835999999999</v>
      </c>
      <c r="V1340" s="6">
        <v>18.763134000000001</v>
      </c>
    </row>
    <row r="1341" spans="2:22">
      <c r="B1341" s="6">
        <v>32591</v>
      </c>
      <c r="C1341" s="6" t="s">
        <v>1067</v>
      </c>
      <c r="D1341" s="6">
        <v>20906</v>
      </c>
      <c r="E1341" s="6" t="s">
        <v>48</v>
      </c>
      <c r="F1341" s="6" t="s">
        <v>49</v>
      </c>
      <c r="G1341" s="6" t="s">
        <v>1296</v>
      </c>
      <c r="H1341" s="6">
        <v>0</v>
      </c>
      <c r="I1341" s="6">
        <v>0</v>
      </c>
      <c r="J1341" s="6">
        <v>20</v>
      </c>
      <c r="K1341" s="6">
        <v>16.992394999999998</v>
      </c>
      <c r="L1341" s="6">
        <v>16.951830000000001</v>
      </c>
      <c r="M1341" s="6">
        <v>17.405908</v>
      </c>
      <c r="N1341" s="6">
        <v>17.016705999999999</v>
      </c>
      <c r="O1341" s="6">
        <v>16.954350000000002</v>
      </c>
      <c r="P1341" s="6">
        <v>17.537869000000001</v>
      </c>
      <c r="Q1341" s="6">
        <v>17.016335999999999</v>
      </c>
      <c r="R1341" s="6">
        <v>16.958155999999999</v>
      </c>
      <c r="S1341" s="6">
        <v>17.538882000000001</v>
      </c>
      <c r="T1341" s="6">
        <v>17.016335999999999</v>
      </c>
      <c r="U1341" s="6">
        <v>16.958155999999999</v>
      </c>
      <c r="V1341" s="6">
        <v>17.538882000000001</v>
      </c>
    </row>
    <row r="1342" spans="2:22">
      <c r="B1342" s="6">
        <v>32592</v>
      </c>
      <c r="C1342" s="6" t="s">
        <v>1068</v>
      </c>
      <c r="D1342" s="6">
        <v>20500</v>
      </c>
      <c r="E1342" s="6" t="s">
        <v>31</v>
      </c>
      <c r="F1342" s="6" t="s">
        <v>17</v>
      </c>
      <c r="G1342" s="6" t="s">
        <v>1294</v>
      </c>
      <c r="H1342" s="6">
        <v>0</v>
      </c>
      <c r="I1342" s="6">
        <v>0</v>
      </c>
      <c r="J1342" s="6">
        <v>27</v>
      </c>
      <c r="K1342" s="6">
        <v>26.179282000000001</v>
      </c>
      <c r="L1342" s="6">
        <v>26.186138</v>
      </c>
      <c r="M1342" s="6">
        <v>25.935728999999998</v>
      </c>
      <c r="N1342" s="6">
        <v>26.108958000000001</v>
      </c>
      <c r="O1342" s="6">
        <v>26.328648000000001</v>
      </c>
      <c r="P1342" s="6">
        <v>26.003786000000002</v>
      </c>
      <c r="Q1342" s="6">
        <v>26.101534000000001</v>
      </c>
      <c r="R1342" s="6">
        <v>26.316153</v>
      </c>
      <c r="S1342" s="6">
        <v>25.991613999999998</v>
      </c>
      <c r="T1342" s="6">
        <v>25.645997000000001</v>
      </c>
      <c r="U1342" s="6">
        <v>25.223958</v>
      </c>
      <c r="V1342" s="6">
        <v>24.770192999999999</v>
      </c>
    </row>
    <row r="1343" spans="2:22">
      <c r="B1343" s="6">
        <v>32592</v>
      </c>
      <c r="C1343" s="6" t="s">
        <v>1068</v>
      </c>
      <c r="D1343" s="6">
        <v>20702</v>
      </c>
      <c r="E1343" s="6" t="s">
        <v>44</v>
      </c>
      <c r="F1343" s="6" t="s">
        <v>17</v>
      </c>
      <c r="G1343" s="6" t="s">
        <v>1294</v>
      </c>
      <c r="H1343" s="6">
        <v>0</v>
      </c>
      <c r="I1343" s="6">
        <v>0</v>
      </c>
      <c r="J1343" s="6">
        <v>32</v>
      </c>
      <c r="K1343" s="6">
        <v>34.902597</v>
      </c>
      <c r="L1343" s="6">
        <v>34.946427999999997</v>
      </c>
      <c r="M1343" s="6">
        <v>34.934041999999998</v>
      </c>
      <c r="N1343" s="6">
        <v>34.893103000000004</v>
      </c>
      <c r="O1343" s="6">
        <v>34.949179999999998</v>
      </c>
      <c r="P1343" s="6">
        <v>34.926701000000001</v>
      </c>
      <c r="Q1343" s="6">
        <v>34.894556999999999</v>
      </c>
      <c r="R1343" s="6">
        <v>34.950949000000001</v>
      </c>
      <c r="S1343" s="6">
        <v>34.883485</v>
      </c>
      <c r="T1343" s="6">
        <v>34.894556999999999</v>
      </c>
      <c r="U1343" s="6">
        <v>34.950949000000001</v>
      </c>
      <c r="V1343" s="6">
        <v>34.883485</v>
      </c>
    </row>
    <row r="1344" spans="2:22">
      <c r="B1344" s="6">
        <v>32592</v>
      </c>
      <c r="C1344" s="6" t="s">
        <v>1068</v>
      </c>
      <c r="D1344" s="6">
        <v>20902</v>
      </c>
      <c r="E1344" s="6" t="s">
        <v>53</v>
      </c>
      <c r="F1344" s="6" t="s">
        <v>13</v>
      </c>
      <c r="G1344" s="6" t="s">
        <v>14</v>
      </c>
      <c r="H1344" s="6">
        <v>0</v>
      </c>
      <c r="I1344" s="6">
        <v>0</v>
      </c>
      <c r="J1344" s="6">
        <v>20</v>
      </c>
      <c r="K1344" s="6">
        <v>18.635802000000002</v>
      </c>
      <c r="L1344" s="6">
        <v>18.195121</v>
      </c>
      <c r="M1344" s="6">
        <v>17.625368000000002</v>
      </c>
      <c r="N1344" s="6">
        <v>19.181818</v>
      </c>
      <c r="O1344" s="6">
        <v>19.119288999999998</v>
      </c>
      <c r="P1344" s="6">
        <v>18.784502</v>
      </c>
      <c r="Q1344" s="6">
        <v>19.181818</v>
      </c>
      <c r="R1344" s="6">
        <v>19.101835999999999</v>
      </c>
      <c r="S1344" s="6">
        <v>18.763134000000001</v>
      </c>
      <c r="T1344" s="6">
        <v>19.181818</v>
      </c>
      <c r="U1344" s="6">
        <v>19.101835999999999</v>
      </c>
      <c r="V1344" s="6">
        <v>18.763134000000001</v>
      </c>
    </row>
    <row r="1345" spans="2:22">
      <c r="B1345" s="6">
        <v>32592</v>
      </c>
      <c r="C1345" s="6" t="s">
        <v>1068</v>
      </c>
      <c r="D1345" s="6">
        <v>20906</v>
      </c>
      <c r="E1345" s="6" t="s">
        <v>48</v>
      </c>
      <c r="F1345" s="6" t="s">
        <v>49</v>
      </c>
      <c r="G1345" s="6" t="s">
        <v>1296</v>
      </c>
      <c r="H1345" s="6">
        <v>0</v>
      </c>
      <c r="I1345" s="6">
        <v>0</v>
      </c>
      <c r="J1345" s="6">
        <v>18</v>
      </c>
      <c r="K1345" s="6">
        <v>16.992394999999998</v>
      </c>
      <c r="L1345" s="6">
        <v>16.951830000000001</v>
      </c>
      <c r="M1345" s="6">
        <v>17.405908</v>
      </c>
      <c r="N1345" s="6">
        <v>17.016705999999999</v>
      </c>
      <c r="O1345" s="6">
        <v>16.954350000000002</v>
      </c>
      <c r="P1345" s="6">
        <v>17.537869000000001</v>
      </c>
      <c r="Q1345" s="6">
        <v>17.016335999999999</v>
      </c>
      <c r="R1345" s="6">
        <v>16.958155999999999</v>
      </c>
      <c r="S1345" s="6">
        <v>17.538882000000001</v>
      </c>
      <c r="T1345" s="6">
        <v>17.016335999999999</v>
      </c>
      <c r="U1345" s="6">
        <v>16.958155999999999</v>
      </c>
      <c r="V1345" s="6">
        <v>17.538882000000001</v>
      </c>
    </row>
    <row r="1346" spans="2:22">
      <c r="B1346" s="6">
        <v>32593</v>
      </c>
      <c r="C1346" s="6" t="s">
        <v>1086</v>
      </c>
      <c r="D1346" s="6">
        <v>20500</v>
      </c>
      <c r="E1346" s="6" t="s">
        <v>31</v>
      </c>
      <c r="F1346" s="6" t="s">
        <v>17</v>
      </c>
      <c r="G1346" s="6" t="s">
        <v>1294</v>
      </c>
      <c r="H1346" s="6">
        <v>0</v>
      </c>
      <c r="I1346" s="6">
        <v>0</v>
      </c>
      <c r="J1346" s="6">
        <v>27</v>
      </c>
      <c r="K1346" s="6">
        <v>26.179282000000001</v>
      </c>
      <c r="L1346" s="6">
        <v>26.186138</v>
      </c>
      <c r="M1346" s="6">
        <v>25.935728999999998</v>
      </c>
      <c r="N1346" s="6">
        <v>26.108958000000001</v>
      </c>
      <c r="O1346" s="6">
        <v>26.328648000000001</v>
      </c>
      <c r="P1346" s="6">
        <v>26.003786000000002</v>
      </c>
      <c r="Q1346" s="6">
        <v>26.101534000000001</v>
      </c>
      <c r="R1346" s="6">
        <v>26.316153</v>
      </c>
      <c r="S1346" s="6">
        <v>25.991613999999998</v>
      </c>
      <c r="T1346" s="6">
        <v>25.645997000000001</v>
      </c>
      <c r="U1346" s="6">
        <v>25.223958</v>
      </c>
      <c r="V1346" s="6">
        <v>24.770192999999999</v>
      </c>
    </row>
    <row r="1347" spans="2:22">
      <c r="B1347" s="6">
        <v>32593</v>
      </c>
      <c r="C1347" s="6" t="s">
        <v>1086</v>
      </c>
      <c r="D1347" s="6">
        <v>20702</v>
      </c>
      <c r="E1347" s="6" t="s">
        <v>44</v>
      </c>
      <c r="F1347" s="6" t="s">
        <v>17</v>
      </c>
      <c r="G1347" s="6" t="s">
        <v>1294</v>
      </c>
      <c r="H1347" s="6">
        <v>0</v>
      </c>
      <c r="I1347" s="6">
        <v>0</v>
      </c>
      <c r="J1347" s="6">
        <v>32</v>
      </c>
      <c r="K1347" s="6">
        <v>34.902597</v>
      </c>
      <c r="L1347" s="6">
        <v>34.946427999999997</v>
      </c>
      <c r="M1347" s="6">
        <v>34.934041999999998</v>
      </c>
      <c r="N1347" s="6">
        <v>34.893103000000004</v>
      </c>
      <c r="O1347" s="6">
        <v>34.949179999999998</v>
      </c>
      <c r="P1347" s="6">
        <v>34.926701000000001</v>
      </c>
      <c r="Q1347" s="6">
        <v>34.894556999999999</v>
      </c>
      <c r="R1347" s="6">
        <v>34.950949000000001</v>
      </c>
      <c r="S1347" s="6">
        <v>34.883485</v>
      </c>
      <c r="T1347" s="6">
        <v>34.894556999999999</v>
      </c>
      <c r="U1347" s="6">
        <v>34.950949000000001</v>
      </c>
      <c r="V1347" s="6">
        <v>34.883485</v>
      </c>
    </row>
    <row r="1348" spans="2:22">
      <c r="B1348" s="6">
        <v>32593</v>
      </c>
      <c r="C1348" s="6" t="s">
        <v>1086</v>
      </c>
      <c r="D1348" s="6">
        <v>20902</v>
      </c>
      <c r="E1348" s="6" t="s">
        <v>53</v>
      </c>
      <c r="F1348" s="6" t="s">
        <v>13</v>
      </c>
      <c r="G1348" s="6" t="s">
        <v>14</v>
      </c>
      <c r="H1348" s="6">
        <v>0</v>
      </c>
      <c r="I1348" s="6">
        <v>0</v>
      </c>
      <c r="J1348" s="6">
        <v>20</v>
      </c>
      <c r="K1348" s="6">
        <v>18.635802000000002</v>
      </c>
      <c r="L1348" s="6">
        <v>18.195121</v>
      </c>
      <c r="M1348" s="6">
        <v>17.625368000000002</v>
      </c>
      <c r="N1348" s="6">
        <v>19.181818</v>
      </c>
      <c r="O1348" s="6">
        <v>19.119288999999998</v>
      </c>
      <c r="P1348" s="6">
        <v>18.784502</v>
      </c>
      <c r="Q1348" s="6">
        <v>19.181818</v>
      </c>
      <c r="R1348" s="6">
        <v>19.101835999999999</v>
      </c>
      <c r="S1348" s="6">
        <v>18.763134000000001</v>
      </c>
      <c r="T1348" s="6">
        <v>19.181818</v>
      </c>
      <c r="U1348" s="6">
        <v>19.101835999999999</v>
      </c>
      <c r="V1348" s="6">
        <v>18.763134000000001</v>
      </c>
    </row>
    <row r="1349" spans="2:22">
      <c r="B1349" s="6">
        <v>32593</v>
      </c>
      <c r="C1349" s="6" t="s">
        <v>1086</v>
      </c>
      <c r="D1349" s="6">
        <v>20906</v>
      </c>
      <c r="E1349" s="6" t="s">
        <v>48</v>
      </c>
      <c r="F1349" s="6" t="s">
        <v>49</v>
      </c>
      <c r="G1349" s="6" t="s">
        <v>1296</v>
      </c>
      <c r="H1349" s="6">
        <v>0</v>
      </c>
      <c r="I1349" s="6">
        <v>0</v>
      </c>
      <c r="J1349" s="6">
        <v>20</v>
      </c>
      <c r="K1349" s="6">
        <v>16.992394999999998</v>
      </c>
      <c r="L1349" s="6">
        <v>16.951830000000001</v>
      </c>
      <c r="M1349" s="6">
        <v>17.405908</v>
      </c>
      <c r="N1349" s="6">
        <v>17.016705999999999</v>
      </c>
      <c r="O1349" s="6">
        <v>16.954350000000002</v>
      </c>
      <c r="P1349" s="6">
        <v>17.537869000000001</v>
      </c>
      <c r="Q1349" s="6">
        <v>17.016335999999999</v>
      </c>
      <c r="R1349" s="6">
        <v>16.958155999999999</v>
      </c>
      <c r="S1349" s="6">
        <v>17.538882000000001</v>
      </c>
      <c r="T1349" s="6">
        <v>17.016335999999999</v>
      </c>
      <c r="U1349" s="6">
        <v>16.958155999999999</v>
      </c>
      <c r="V1349" s="6">
        <v>17.538882000000001</v>
      </c>
    </row>
    <row r="1350" spans="2:22">
      <c r="B1350" s="6">
        <v>32594</v>
      </c>
      <c r="C1350" s="6" t="s">
        <v>1106</v>
      </c>
      <c r="D1350" s="6">
        <v>20500</v>
      </c>
      <c r="E1350" s="6" t="s">
        <v>31</v>
      </c>
      <c r="F1350" s="6" t="s">
        <v>17</v>
      </c>
      <c r="G1350" s="6" t="s">
        <v>1294</v>
      </c>
      <c r="H1350" s="6">
        <v>0</v>
      </c>
      <c r="I1350" s="6">
        <v>0</v>
      </c>
      <c r="J1350" s="6">
        <v>27</v>
      </c>
      <c r="K1350" s="6">
        <v>26.179282000000001</v>
      </c>
      <c r="L1350" s="6">
        <v>26.186138</v>
      </c>
      <c r="M1350" s="6">
        <v>25.935728999999998</v>
      </c>
      <c r="N1350" s="6">
        <v>26.108958000000001</v>
      </c>
      <c r="O1350" s="6">
        <v>26.328648000000001</v>
      </c>
      <c r="P1350" s="6">
        <v>26.003786000000002</v>
      </c>
      <c r="Q1350" s="6">
        <v>26.101534000000001</v>
      </c>
      <c r="R1350" s="6">
        <v>26.316153</v>
      </c>
      <c r="S1350" s="6">
        <v>25.991613999999998</v>
      </c>
      <c r="T1350" s="6">
        <v>25.645997000000001</v>
      </c>
      <c r="U1350" s="6">
        <v>25.223958</v>
      </c>
      <c r="V1350" s="6">
        <v>24.770192999999999</v>
      </c>
    </row>
    <row r="1351" spans="2:22">
      <c r="B1351" s="6">
        <v>32594</v>
      </c>
      <c r="C1351" s="6" t="s">
        <v>1106</v>
      </c>
      <c r="D1351" s="6">
        <v>20702</v>
      </c>
      <c r="E1351" s="6" t="s">
        <v>44</v>
      </c>
      <c r="F1351" s="6" t="s">
        <v>17</v>
      </c>
      <c r="G1351" s="6" t="s">
        <v>1294</v>
      </c>
      <c r="H1351" s="6">
        <v>0</v>
      </c>
      <c r="I1351" s="6">
        <v>0</v>
      </c>
      <c r="J1351" s="6">
        <v>32</v>
      </c>
      <c r="K1351" s="6">
        <v>34.902597</v>
      </c>
      <c r="L1351" s="6">
        <v>34.946427999999997</v>
      </c>
      <c r="M1351" s="6">
        <v>34.934041999999998</v>
      </c>
      <c r="N1351" s="6">
        <v>34.893103000000004</v>
      </c>
      <c r="O1351" s="6">
        <v>34.949179999999998</v>
      </c>
      <c r="P1351" s="6">
        <v>34.926701000000001</v>
      </c>
      <c r="Q1351" s="6">
        <v>34.894556999999999</v>
      </c>
      <c r="R1351" s="6">
        <v>34.950949000000001</v>
      </c>
      <c r="S1351" s="6">
        <v>34.883485</v>
      </c>
      <c r="T1351" s="6">
        <v>34.894556999999999</v>
      </c>
      <c r="U1351" s="6">
        <v>34.950949000000001</v>
      </c>
      <c r="V1351" s="6">
        <v>34.883485</v>
      </c>
    </row>
    <row r="1352" spans="2:22">
      <c r="B1352" s="6">
        <v>32594</v>
      </c>
      <c r="C1352" s="6" t="s">
        <v>1106</v>
      </c>
      <c r="D1352" s="6">
        <v>20902</v>
      </c>
      <c r="E1352" s="6" t="s">
        <v>53</v>
      </c>
      <c r="F1352" s="6" t="s">
        <v>13</v>
      </c>
      <c r="G1352" s="6" t="s">
        <v>14</v>
      </c>
      <c r="H1352" s="6">
        <v>0</v>
      </c>
      <c r="I1352" s="6">
        <v>0</v>
      </c>
      <c r="J1352" s="6">
        <v>20</v>
      </c>
      <c r="K1352" s="6">
        <v>18.635802000000002</v>
      </c>
      <c r="L1352" s="6">
        <v>18.195121</v>
      </c>
      <c r="M1352" s="6">
        <v>17.625368000000002</v>
      </c>
      <c r="N1352" s="6">
        <v>19.181818</v>
      </c>
      <c r="O1352" s="6">
        <v>19.119288999999998</v>
      </c>
      <c r="P1352" s="6">
        <v>18.784502</v>
      </c>
      <c r="Q1352" s="6">
        <v>19.181818</v>
      </c>
      <c r="R1352" s="6">
        <v>19.101835999999999</v>
      </c>
      <c r="S1352" s="6">
        <v>18.763134000000001</v>
      </c>
      <c r="T1352" s="6">
        <v>19.181818</v>
      </c>
      <c r="U1352" s="6">
        <v>19.101835999999999</v>
      </c>
      <c r="V1352" s="6">
        <v>18.763134000000001</v>
      </c>
    </row>
    <row r="1353" spans="2:22">
      <c r="B1353" s="6">
        <v>32594</v>
      </c>
      <c r="C1353" s="6" t="s">
        <v>1106</v>
      </c>
      <c r="D1353" s="6">
        <v>20906</v>
      </c>
      <c r="E1353" s="6" t="s">
        <v>48</v>
      </c>
      <c r="F1353" s="6" t="s">
        <v>49</v>
      </c>
      <c r="G1353" s="6" t="s">
        <v>1296</v>
      </c>
      <c r="H1353" s="6">
        <v>0</v>
      </c>
      <c r="I1353" s="6">
        <v>0</v>
      </c>
      <c r="J1353" s="6">
        <v>20</v>
      </c>
      <c r="K1353" s="6">
        <v>16.992394999999998</v>
      </c>
      <c r="L1353" s="6">
        <v>16.951830000000001</v>
      </c>
      <c r="M1353" s="6">
        <v>17.405908</v>
      </c>
      <c r="N1353" s="6">
        <v>17.016705999999999</v>
      </c>
      <c r="O1353" s="6">
        <v>16.954350000000002</v>
      </c>
      <c r="P1353" s="6">
        <v>17.537869000000001</v>
      </c>
      <c r="Q1353" s="6">
        <v>17.016335999999999</v>
      </c>
      <c r="R1353" s="6">
        <v>16.958155999999999</v>
      </c>
      <c r="S1353" s="6">
        <v>17.538882000000001</v>
      </c>
      <c r="T1353" s="6">
        <v>17.016335999999999</v>
      </c>
      <c r="U1353" s="6">
        <v>16.958155999999999</v>
      </c>
      <c r="V1353" s="6">
        <v>17.538882000000001</v>
      </c>
    </row>
    <row r="1354" spans="2:22">
      <c r="B1354" s="6">
        <v>32602</v>
      </c>
      <c r="C1354" s="6" t="s">
        <v>1071</v>
      </c>
      <c r="D1354" s="6">
        <v>20500</v>
      </c>
      <c r="E1354" s="6" t="s">
        <v>31</v>
      </c>
      <c r="F1354" s="6" t="s">
        <v>17</v>
      </c>
      <c r="G1354" s="6" t="s">
        <v>1294</v>
      </c>
      <c r="H1354" s="6">
        <v>0</v>
      </c>
      <c r="I1354" s="6">
        <v>0</v>
      </c>
      <c r="J1354" s="6">
        <v>25.2</v>
      </c>
      <c r="K1354" s="6">
        <v>26.179282000000001</v>
      </c>
      <c r="L1354" s="6">
        <v>26.186138</v>
      </c>
      <c r="M1354" s="6">
        <v>25.935728999999998</v>
      </c>
      <c r="N1354" s="6">
        <v>26.108958000000001</v>
      </c>
      <c r="O1354" s="6">
        <v>26.328648000000001</v>
      </c>
      <c r="P1354" s="6">
        <v>26.003786000000002</v>
      </c>
      <c r="Q1354" s="6">
        <v>26.101534000000001</v>
      </c>
      <c r="R1354" s="6">
        <v>26.316153</v>
      </c>
      <c r="S1354" s="6">
        <v>25.991613999999998</v>
      </c>
      <c r="T1354" s="6">
        <v>25.645997000000001</v>
      </c>
      <c r="U1354" s="6">
        <v>25.223958</v>
      </c>
      <c r="V1354" s="6">
        <v>24.770192999999999</v>
      </c>
    </row>
    <row r="1355" spans="2:22">
      <c r="B1355" s="6">
        <v>32602</v>
      </c>
      <c r="C1355" s="6" t="s">
        <v>1071</v>
      </c>
      <c r="D1355" s="6">
        <v>20706</v>
      </c>
      <c r="E1355" s="6" t="s">
        <v>52</v>
      </c>
      <c r="F1355" s="6" t="s">
        <v>17</v>
      </c>
      <c r="G1355" s="6" t="s">
        <v>1294</v>
      </c>
      <c r="H1355" s="6">
        <v>0</v>
      </c>
      <c r="I1355" s="6">
        <v>0</v>
      </c>
      <c r="J1355" s="6">
        <v>38.333333000000003</v>
      </c>
      <c r="K1355" s="6">
        <v>40</v>
      </c>
      <c r="L1355" s="6">
        <v>40</v>
      </c>
      <c r="M1355" s="6">
        <v>39.931505999999999</v>
      </c>
      <c r="N1355" s="6">
        <v>39.962778999999998</v>
      </c>
      <c r="O1355" s="6">
        <v>39.971750999999998</v>
      </c>
      <c r="P1355" s="6">
        <v>39.969020999999998</v>
      </c>
      <c r="Q1355" s="6">
        <v>39.963768000000002</v>
      </c>
      <c r="R1355" s="6">
        <v>39.972496999999997</v>
      </c>
      <c r="S1355" s="6">
        <v>39.969659999999998</v>
      </c>
      <c r="T1355" s="6">
        <v>39.867787999999997</v>
      </c>
      <c r="U1355" s="6">
        <v>39.928649</v>
      </c>
      <c r="V1355" s="6">
        <v>39.945453999999998</v>
      </c>
    </row>
    <row r="1356" spans="2:22">
      <c r="B1356" s="6">
        <v>32602</v>
      </c>
      <c r="C1356" s="6" t="s">
        <v>1071</v>
      </c>
      <c r="D1356" s="6">
        <v>20902</v>
      </c>
      <c r="E1356" s="6" t="s">
        <v>53</v>
      </c>
      <c r="F1356" s="6" t="s">
        <v>13</v>
      </c>
      <c r="G1356" s="6" t="s">
        <v>14</v>
      </c>
      <c r="H1356" s="6">
        <v>0</v>
      </c>
      <c r="I1356" s="6">
        <v>0</v>
      </c>
      <c r="J1356" s="6">
        <v>15</v>
      </c>
      <c r="K1356" s="6">
        <v>18.635802000000002</v>
      </c>
      <c r="L1356" s="6">
        <v>18.195121</v>
      </c>
      <c r="M1356" s="6">
        <v>17.625368000000002</v>
      </c>
      <c r="N1356" s="6">
        <v>19.181818</v>
      </c>
      <c r="O1356" s="6">
        <v>19.119288999999998</v>
      </c>
      <c r="P1356" s="6">
        <v>18.784502</v>
      </c>
      <c r="Q1356" s="6">
        <v>19.181818</v>
      </c>
      <c r="R1356" s="6">
        <v>19.101835999999999</v>
      </c>
      <c r="S1356" s="6">
        <v>18.763134000000001</v>
      </c>
      <c r="T1356" s="6">
        <v>19.181818</v>
      </c>
      <c r="U1356" s="6">
        <v>19.101835999999999</v>
      </c>
      <c r="V1356" s="6">
        <v>18.763134000000001</v>
      </c>
    </row>
    <row r="1357" spans="2:22">
      <c r="B1357" s="6">
        <v>32602</v>
      </c>
      <c r="C1357" s="6" t="s">
        <v>1071</v>
      </c>
      <c r="D1357" s="6">
        <v>20906</v>
      </c>
      <c r="E1357" s="6" t="s">
        <v>48</v>
      </c>
      <c r="F1357" s="6" t="s">
        <v>49</v>
      </c>
      <c r="G1357" s="6" t="s">
        <v>1296</v>
      </c>
      <c r="H1357" s="6">
        <v>0</v>
      </c>
      <c r="I1357" s="6">
        <v>0</v>
      </c>
      <c r="J1357" s="6">
        <v>20</v>
      </c>
      <c r="K1357" s="6">
        <v>16.992394999999998</v>
      </c>
      <c r="L1357" s="6">
        <v>16.951830000000001</v>
      </c>
      <c r="M1357" s="6">
        <v>17.405908</v>
      </c>
      <c r="N1357" s="6">
        <v>17.016705999999999</v>
      </c>
      <c r="O1357" s="6">
        <v>16.954350000000002</v>
      </c>
      <c r="P1357" s="6">
        <v>17.537869000000001</v>
      </c>
      <c r="Q1357" s="6">
        <v>17.016335999999999</v>
      </c>
      <c r="R1357" s="6">
        <v>16.958155999999999</v>
      </c>
      <c r="S1357" s="6">
        <v>17.538882000000001</v>
      </c>
      <c r="T1357" s="6">
        <v>17.016335999999999</v>
      </c>
      <c r="U1357" s="6">
        <v>16.958155999999999</v>
      </c>
      <c r="V1357" s="6">
        <v>17.538882000000001</v>
      </c>
    </row>
    <row r="1358" spans="2:22">
      <c r="B1358" s="6">
        <v>32603</v>
      </c>
      <c r="C1358" s="6" t="s">
        <v>1109</v>
      </c>
      <c r="D1358" s="6">
        <v>20500</v>
      </c>
      <c r="E1358" s="6" t="s">
        <v>31</v>
      </c>
      <c r="F1358" s="6" t="s">
        <v>17</v>
      </c>
      <c r="G1358" s="6" t="s">
        <v>1294</v>
      </c>
      <c r="H1358" s="6">
        <v>0</v>
      </c>
      <c r="I1358" s="6">
        <v>0</v>
      </c>
      <c r="J1358" s="6">
        <v>25</v>
      </c>
      <c r="K1358" s="6">
        <v>26.179282000000001</v>
      </c>
      <c r="L1358" s="6">
        <v>26.186138</v>
      </c>
      <c r="M1358" s="6">
        <v>25.935728999999998</v>
      </c>
      <c r="N1358" s="6">
        <v>26.108958000000001</v>
      </c>
      <c r="O1358" s="6">
        <v>26.328648000000001</v>
      </c>
      <c r="P1358" s="6">
        <v>26.003786000000002</v>
      </c>
      <c r="Q1358" s="6">
        <v>26.101534000000001</v>
      </c>
      <c r="R1358" s="6">
        <v>26.316153</v>
      </c>
      <c r="S1358" s="6">
        <v>25.991613999999998</v>
      </c>
      <c r="T1358" s="6">
        <v>25.645997000000001</v>
      </c>
      <c r="U1358" s="6">
        <v>25.223958</v>
      </c>
      <c r="V1358" s="6">
        <v>24.770192999999999</v>
      </c>
    </row>
    <row r="1359" spans="2:22">
      <c r="B1359" s="6">
        <v>32603</v>
      </c>
      <c r="C1359" s="6" t="s">
        <v>1109</v>
      </c>
      <c r="D1359" s="6">
        <v>20706</v>
      </c>
      <c r="E1359" s="6" t="s">
        <v>52</v>
      </c>
      <c r="F1359" s="6" t="s">
        <v>17</v>
      </c>
      <c r="G1359" s="6" t="s">
        <v>1294</v>
      </c>
      <c r="H1359" s="6">
        <v>0</v>
      </c>
      <c r="I1359" s="6">
        <v>0</v>
      </c>
      <c r="J1359" s="6">
        <v>40</v>
      </c>
      <c r="K1359" s="6">
        <v>40</v>
      </c>
      <c r="L1359" s="6">
        <v>40</v>
      </c>
      <c r="M1359" s="6">
        <v>39.931505999999999</v>
      </c>
      <c r="N1359" s="6">
        <v>39.962778999999998</v>
      </c>
      <c r="O1359" s="6">
        <v>39.971750999999998</v>
      </c>
      <c r="P1359" s="6">
        <v>39.969020999999998</v>
      </c>
      <c r="Q1359" s="6">
        <v>39.963768000000002</v>
      </c>
      <c r="R1359" s="6">
        <v>39.972496999999997</v>
      </c>
      <c r="S1359" s="6">
        <v>39.969659999999998</v>
      </c>
      <c r="T1359" s="6">
        <v>39.867787999999997</v>
      </c>
      <c r="U1359" s="6">
        <v>39.928649</v>
      </c>
      <c r="V1359" s="6">
        <v>39.945453999999998</v>
      </c>
    </row>
    <row r="1360" spans="2:22">
      <c r="B1360" s="6">
        <v>32603</v>
      </c>
      <c r="C1360" s="6" t="s">
        <v>1109</v>
      </c>
      <c r="D1360" s="6">
        <v>20902</v>
      </c>
      <c r="E1360" s="6" t="s">
        <v>53</v>
      </c>
      <c r="F1360" s="6" t="s">
        <v>13</v>
      </c>
      <c r="G1360" s="6" t="s">
        <v>14</v>
      </c>
      <c r="H1360" s="6">
        <v>0</v>
      </c>
      <c r="I1360" s="6">
        <v>0</v>
      </c>
      <c r="J1360" s="6">
        <v>15</v>
      </c>
      <c r="K1360" s="6">
        <v>18.635802000000002</v>
      </c>
      <c r="L1360" s="6">
        <v>18.195121</v>
      </c>
      <c r="M1360" s="6">
        <v>17.625368000000002</v>
      </c>
      <c r="N1360" s="6">
        <v>19.181818</v>
      </c>
      <c r="O1360" s="6">
        <v>19.119288999999998</v>
      </c>
      <c r="P1360" s="6">
        <v>18.784502</v>
      </c>
      <c r="Q1360" s="6">
        <v>19.181818</v>
      </c>
      <c r="R1360" s="6">
        <v>19.101835999999999</v>
      </c>
      <c r="S1360" s="6">
        <v>18.763134000000001</v>
      </c>
      <c r="T1360" s="6">
        <v>19.181818</v>
      </c>
      <c r="U1360" s="6">
        <v>19.101835999999999</v>
      </c>
      <c r="V1360" s="6">
        <v>18.763134000000001</v>
      </c>
    </row>
    <row r="1361" spans="2:22">
      <c r="B1361" s="6">
        <v>32603</v>
      </c>
      <c r="C1361" s="6" t="s">
        <v>1109</v>
      </c>
      <c r="D1361" s="6">
        <v>20906</v>
      </c>
      <c r="E1361" s="6" t="s">
        <v>48</v>
      </c>
      <c r="F1361" s="6" t="s">
        <v>49</v>
      </c>
      <c r="G1361" s="6" t="s">
        <v>1296</v>
      </c>
      <c r="H1361" s="6">
        <v>0</v>
      </c>
      <c r="I1361" s="6">
        <v>0</v>
      </c>
      <c r="J1361" s="6">
        <v>17.714285</v>
      </c>
      <c r="K1361" s="6">
        <v>16.992394999999998</v>
      </c>
      <c r="L1361" s="6">
        <v>16.951830000000001</v>
      </c>
      <c r="M1361" s="6">
        <v>17.405908</v>
      </c>
      <c r="N1361" s="6">
        <v>17.016705999999999</v>
      </c>
      <c r="O1361" s="6">
        <v>16.954350000000002</v>
      </c>
      <c r="P1361" s="6">
        <v>17.537869000000001</v>
      </c>
      <c r="Q1361" s="6">
        <v>17.016335999999999</v>
      </c>
      <c r="R1361" s="6">
        <v>16.958155999999999</v>
      </c>
      <c r="S1361" s="6">
        <v>17.538882000000001</v>
      </c>
      <c r="T1361" s="6">
        <v>17.016335999999999</v>
      </c>
      <c r="U1361" s="6">
        <v>16.958155999999999</v>
      </c>
      <c r="V1361" s="6">
        <v>17.538882000000001</v>
      </c>
    </row>
    <row r="1362" spans="2:22">
      <c r="B1362" s="6">
        <v>32604</v>
      </c>
      <c r="C1362" s="6" t="s">
        <v>1110</v>
      </c>
      <c r="D1362" s="6">
        <v>20500</v>
      </c>
      <c r="E1362" s="6" t="s">
        <v>31</v>
      </c>
      <c r="F1362" s="6" t="s">
        <v>17</v>
      </c>
      <c r="G1362" s="6" t="s">
        <v>1294</v>
      </c>
      <c r="H1362" s="6">
        <v>0</v>
      </c>
      <c r="I1362" s="6">
        <v>0</v>
      </c>
      <c r="J1362" s="6">
        <v>25</v>
      </c>
      <c r="K1362" s="6">
        <v>26.179282000000001</v>
      </c>
      <c r="L1362" s="6">
        <v>26.186138</v>
      </c>
      <c r="M1362" s="6">
        <v>25.935728999999998</v>
      </c>
      <c r="N1362" s="6">
        <v>26.108958000000001</v>
      </c>
      <c r="O1362" s="6">
        <v>26.328648000000001</v>
      </c>
      <c r="P1362" s="6">
        <v>26.003786000000002</v>
      </c>
      <c r="Q1362" s="6">
        <v>26.101534000000001</v>
      </c>
      <c r="R1362" s="6">
        <v>26.316153</v>
      </c>
      <c r="S1362" s="6">
        <v>25.991613999999998</v>
      </c>
      <c r="T1362" s="6">
        <v>25.645997000000001</v>
      </c>
      <c r="U1362" s="6">
        <v>25.223958</v>
      </c>
      <c r="V1362" s="6">
        <v>24.770192999999999</v>
      </c>
    </row>
    <row r="1363" spans="2:22">
      <c r="B1363" s="6">
        <v>32604</v>
      </c>
      <c r="C1363" s="6" t="s">
        <v>1110</v>
      </c>
      <c r="D1363" s="6">
        <v>20902</v>
      </c>
      <c r="E1363" s="6" t="s">
        <v>53</v>
      </c>
      <c r="F1363" s="6" t="s">
        <v>13</v>
      </c>
      <c r="G1363" s="6" t="s">
        <v>14</v>
      </c>
      <c r="H1363" s="6">
        <v>0</v>
      </c>
      <c r="I1363" s="6">
        <v>0</v>
      </c>
      <c r="J1363" s="6">
        <v>15</v>
      </c>
      <c r="K1363" s="6">
        <v>18.635802000000002</v>
      </c>
      <c r="L1363" s="6">
        <v>18.195121</v>
      </c>
      <c r="M1363" s="6">
        <v>17.625368000000002</v>
      </c>
      <c r="N1363" s="6">
        <v>19.181818</v>
      </c>
      <c r="O1363" s="6">
        <v>19.119288999999998</v>
      </c>
      <c r="P1363" s="6">
        <v>18.784502</v>
      </c>
      <c r="Q1363" s="6">
        <v>19.181818</v>
      </c>
      <c r="R1363" s="6">
        <v>19.101835999999999</v>
      </c>
      <c r="S1363" s="6">
        <v>18.763134000000001</v>
      </c>
      <c r="T1363" s="6">
        <v>19.181818</v>
      </c>
      <c r="U1363" s="6">
        <v>19.101835999999999</v>
      </c>
      <c r="V1363" s="6">
        <v>18.763134000000001</v>
      </c>
    </row>
    <row r="1364" spans="2:22">
      <c r="B1364" s="6">
        <v>32604</v>
      </c>
      <c r="C1364" s="6" t="s">
        <v>1110</v>
      </c>
      <c r="D1364" s="6">
        <v>20906</v>
      </c>
      <c r="E1364" s="6" t="s">
        <v>48</v>
      </c>
      <c r="F1364" s="6" t="s">
        <v>49</v>
      </c>
      <c r="G1364" s="6" t="s">
        <v>1296</v>
      </c>
      <c r="H1364" s="6">
        <v>0</v>
      </c>
      <c r="I1364" s="6">
        <v>0</v>
      </c>
      <c r="J1364" s="6">
        <v>15</v>
      </c>
      <c r="K1364" s="6">
        <v>16.992394999999998</v>
      </c>
      <c r="L1364" s="6">
        <v>16.951830000000001</v>
      </c>
      <c r="M1364" s="6">
        <v>17.405908</v>
      </c>
      <c r="N1364" s="6">
        <v>17.016705999999999</v>
      </c>
      <c r="O1364" s="6">
        <v>16.954350000000002</v>
      </c>
      <c r="P1364" s="6">
        <v>17.537869000000001</v>
      </c>
      <c r="Q1364" s="6">
        <v>17.016335999999999</v>
      </c>
      <c r="R1364" s="6">
        <v>16.958155999999999</v>
      </c>
      <c r="S1364" s="6">
        <v>17.538882000000001</v>
      </c>
      <c r="T1364" s="6">
        <v>17.016335999999999</v>
      </c>
      <c r="U1364" s="6">
        <v>16.958155999999999</v>
      </c>
      <c r="V1364" s="6">
        <v>17.538882000000001</v>
      </c>
    </row>
    <row r="1365" spans="2:22">
      <c r="B1365" s="6">
        <v>32605</v>
      </c>
      <c r="C1365" s="6" t="s">
        <v>1065</v>
      </c>
      <c r="D1365" s="6">
        <v>20500</v>
      </c>
      <c r="E1365" s="6" t="s">
        <v>31</v>
      </c>
      <c r="F1365" s="6" t="s">
        <v>17</v>
      </c>
      <c r="G1365" s="6" t="s">
        <v>1294</v>
      </c>
      <c r="H1365" s="6">
        <v>0</v>
      </c>
      <c r="I1365" s="6">
        <v>0</v>
      </c>
      <c r="J1365" s="6">
        <v>25</v>
      </c>
      <c r="K1365" s="6">
        <v>26.179282000000001</v>
      </c>
      <c r="L1365" s="6">
        <v>26.186138</v>
      </c>
      <c r="M1365" s="6">
        <v>25.935728999999998</v>
      </c>
      <c r="N1365" s="6">
        <v>26.108958000000001</v>
      </c>
      <c r="O1365" s="6">
        <v>26.328648000000001</v>
      </c>
      <c r="P1365" s="6">
        <v>26.003786000000002</v>
      </c>
      <c r="Q1365" s="6">
        <v>26.101534000000001</v>
      </c>
      <c r="R1365" s="6">
        <v>26.316153</v>
      </c>
      <c r="S1365" s="6">
        <v>25.991613999999998</v>
      </c>
      <c r="T1365" s="6">
        <v>25.645997000000001</v>
      </c>
      <c r="U1365" s="6">
        <v>25.223958</v>
      </c>
      <c r="V1365" s="6">
        <v>24.770192999999999</v>
      </c>
    </row>
    <row r="1366" spans="2:22">
      <c r="B1366" s="6">
        <v>32605</v>
      </c>
      <c r="C1366" s="6" t="s">
        <v>1065</v>
      </c>
      <c r="D1366" s="6">
        <v>20706</v>
      </c>
      <c r="E1366" s="6" t="s">
        <v>52</v>
      </c>
      <c r="F1366" s="6" t="s">
        <v>17</v>
      </c>
      <c r="G1366" s="6" t="s">
        <v>1294</v>
      </c>
      <c r="H1366" s="6">
        <v>0</v>
      </c>
      <c r="I1366" s="6">
        <v>0</v>
      </c>
      <c r="J1366" s="6">
        <v>40</v>
      </c>
      <c r="K1366" s="6">
        <v>40</v>
      </c>
      <c r="L1366" s="6">
        <v>40</v>
      </c>
      <c r="M1366" s="6">
        <v>39.931505999999999</v>
      </c>
      <c r="N1366" s="6">
        <v>39.962778999999998</v>
      </c>
      <c r="O1366" s="6">
        <v>39.971750999999998</v>
      </c>
      <c r="P1366" s="6">
        <v>39.969020999999998</v>
      </c>
      <c r="Q1366" s="6">
        <v>39.963768000000002</v>
      </c>
      <c r="R1366" s="6">
        <v>39.972496999999997</v>
      </c>
      <c r="S1366" s="6">
        <v>39.969659999999998</v>
      </c>
      <c r="T1366" s="6">
        <v>39.867787999999997</v>
      </c>
      <c r="U1366" s="6">
        <v>39.928649</v>
      </c>
      <c r="V1366" s="6">
        <v>39.945453999999998</v>
      </c>
    </row>
    <row r="1367" spans="2:22">
      <c r="B1367" s="6">
        <v>32605</v>
      </c>
      <c r="C1367" s="6" t="s">
        <v>1065</v>
      </c>
      <c r="D1367" s="6">
        <v>20902</v>
      </c>
      <c r="E1367" s="6" t="s">
        <v>53</v>
      </c>
      <c r="F1367" s="6" t="s">
        <v>13</v>
      </c>
      <c r="G1367" s="6" t="s">
        <v>14</v>
      </c>
      <c r="H1367" s="6">
        <v>0</v>
      </c>
      <c r="I1367" s="6">
        <v>0</v>
      </c>
      <c r="J1367" s="6">
        <v>15</v>
      </c>
      <c r="K1367" s="6">
        <v>18.635802000000002</v>
      </c>
      <c r="L1367" s="6">
        <v>18.195121</v>
      </c>
      <c r="M1367" s="6">
        <v>17.625368000000002</v>
      </c>
      <c r="N1367" s="6">
        <v>19.181818</v>
      </c>
      <c r="O1367" s="6">
        <v>19.119288999999998</v>
      </c>
      <c r="P1367" s="6">
        <v>18.784502</v>
      </c>
      <c r="Q1367" s="6">
        <v>19.181818</v>
      </c>
      <c r="R1367" s="6">
        <v>19.101835999999999</v>
      </c>
      <c r="S1367" s="6">
        <v>18.763134000000001</v>
      </c>
      <c r="T1367" s="6">
        <v>19.181818</v>
      </c>
      <c r="U1367" s="6">
        <v>19.101835999999999</v>
      </c>
      <c r="V1367" s="6">
        <v>18.763134000000001</v>
      </c>
    </row>
    <row r="1368" spans="2:22">
      <c r="B1368" s="6">
        <v>32605</v>
      </c>
      <c r="C1368" s="6" t="s">
        <v>1065</v>
      </c>
      <c r="D1368" s="6">
        <v>20906</v>
      </c>
      <c r="E1368" s="6" t="s">
        <v>48</v>
      </c>
      <c r="F1368" s="6" t="s">
        <v>49</v>
      </c>
      <c r="G1368" s="6" t="s">
        <v>1296</v>
      </c>
      <c r="H1368" s="6">
        <v>0</v>
      </c>
      <c r="I1368" s="6">
        <v>0</v>
      </c>
      <c r="J1368" s="6">
        <v>18.5</v>
      </c>
      <c r="K1368" s="6">
        <v>16.992394999999998</v>
      </c>
      <c r="L1368" s="6">
        <v>16.951830000000001</v>
      </c>
      <c r="M1368" s="6">
        <v>17.405908</v>
      </c>
      <c r="N1368" s="6">
        <v>17.016705999999999</v>
      </c>
      <c r="O1368" s="6">
        <v>16.954350000000002</v>
      </c>
      <c r="P1368" s="6">
        <v>17.537869000000001</v>
      </c>
      <c r="Q1368" s="6">
        <v>17.016335999999999</v>
      </c>
      <c r="R1368" s="6">
        <v>16.958155999999999</v>
      </c>
      <c r="S1368" s="6">
        <v>17.538882000000001</v>
      </c>
      <c r="T1368" s="6">
        <v>17.016335999999999</v>
      </c>
      <c r="U1368" s="6">
        <v>16.958155999999999</v>
      </c>
      <c r="V1368" s="6">
        <v>17.538882000000001</v>
      </c>
    </row>
    <row r="1369" spans="2:22">
      <c r="B1369" s="6">
        <v>32606</v>
      </c>
      <c r="C1369" s="6" t="s">
        <v>1054</v>
      </c>
      <c r="D1369" s="6">
        <v>20500</v>
      </c>
      <c r="E1369" s="6" t="s">
        <v>31</v>
      </c>
      <c r="F1369" s="6" t="s">
        <v>17</v>
      </c>
      <c r="G1369" s="6" t="s">
        <v>1294</v>
      </c>
      <c r="H1369" s="6">
        <v>0</v>
      </c>
      <c r="I1369" s="6">
        <v>0</v>
      </c>
      <c r="J1369" s="6">
        <v>25</v>
      </c>
      <c r="K1369" s="6">
        <v>26.179282000000001</v>
      </c>
      <c r="L1369" s="6">
        <v>26.186138</v>
      </c>
      <c r="M1369" s="6">
        <v>25.935728999999998</v>
      </c>
      <c r="N1369" s="6">
        <v>26.108958000000001</v>
      </c>
      <c r="O1369" s="6">
        <v>26.328648000000001</v>
      </c>
      <c r="P1369" s="6">
        <v>26.003786000000002</v>
      </c>
      <c r="Q1369" s="6">
        <v>26.101534000000001</v>
      </c>
      <c r="R1369" s="6">
        <v>26.316153</v>
      </c>
      <c r="S1369" s="6">
        <v>25.991613999999998</v>
      </c>
      <c r="T1369" s="6">
        <v>25.645997000000001</v>
      </c>
      <c r="U1369" s="6">
        <v>25.223958</v>
      </c>
      <c r="V1369" s="6">
        <v>24.770192999999999</v>
      </c>
    </row>
    <row r="1370" spans="2:22">
      <c r="B1370" s="6">
        <v>32606</v>
      </c>
      <c r="C1370" s="6" t="s">
        <v>1054</v>
      </c>
      <c r="D1370" s="6">
        <v>20706</v>
      </c>
      <c r="E1370" s="6" t="s">
        <v>52</v>
      </c>
      <c r="F1370" s="6" t="s">
        <v>17</v>
      </c>
      <c r="G1370" s="6" t="s">
        <v>1294</v>
      </c>
      <c r="H1370" s="6">
        <v>0</v>
      </c>
      <c r="I1370" s="6">
        <v>0</v>
      </c>
      <c r="J1370" s="6">
        <v>40</v>
      </c>
      <c r="K1370" s="6">
        <v>40</v>
      </c>
      <c r="L1370" s="6">
        <v>40</v>
      </c>
      <c r="M1370" s="6">
        <v>39.931505999999999</v>
      </c>
      <c r="N1370" s="6">
        <v>39.962778999999998</v>
      </c>
      <c r="O1370" s="6">
        <v>39.971750999999998</v>
      </c>
      <c r="P1370" s="6">
        <v>39.969020999999998</v>
      </c>
      <c r="Q1370" s="6">
        <v>39.963768000000002</v>
      </c>
      <c r="R1370" s="6">
        <v>39.972496999999997</v>
      </c>
      <c r="S1370" s="6">
        <v>39.969659999999998</v>
      </c>
      <c r="T1370" s="6">
        <v>39.867787999999997</v>
      </c>
      <c r="U1370" s="6">
        <v>39.928649</v>
      </c>
      <c r="V1370" s="6">
        <v>39.945453999999998</v>
      </c>
    </row>
    <row r="1371" spans="2:22">
      <c r="B1371" s="6">
        <v>32606</v>
      </c>
      <c r="C1371" s="6" t="s">
        <v>1054</v>
      </c>
      <c r="D1371" s="6">
        <v>20902</v>
      </c>
      <c r="E1371" s="6" t="s">
        <v>53</v>
      </c>
      <c r="F1371" s="6" t="s">
        <v>13</v>
      </c>
      <c r="G1371" s="6" t="s">
        <v>14</v>
      </c>
      <c r="H1371" s="6">
        <v>0</v>
      </c>
      <c r="I1371" s="6">
        <v>0</v>
      </c>
      <c r="J1371" s="6">
        <v>20</v>
      </c>
      <c r="K1371" s="6">
        <v>18.635802000000002</v>
      </c>
      <c r="L1371" s="6">
        <v>18.195121</v>
      </c>
      <c r="M1371" s="6">
        <v>17.625368000000002</v>
      </c>
      <c r="N1371" s="6">
        <v>19.181818</v>
      </c>
      <c r="O1371" s="6">
        <v>19.119288999999998</v>
      </c>
      <c r="P1371" s="6">
        <v>18.784502</v>
      </c>
      <c r="Q1371" s="6">
        <v>19.181818</v>
      </c>
      <c r="R1371" s="6">
        <v>19.101835999999999</v>
      </c>
      <c r="S1371" s="6">
        <v>18.763134000000001</v>
      </c>
      <c r="T1371" s="6">
        <v>19.181818</v>
      </c>
      <c r="U1371" s="6">
        <v>19.101835999999999</v>
      </c>
      <c r="V1371" s="6">
        <v>18.763134000000001</v>
      </c>
    </row>
    <row r="1372" spans="2:22">
      <c r="B1372" s="6">
        <v>32606</v>
      </c>
      <c r="C1372" s="6" t="s">
        <v>1054</v>
      </c>
      <c r="D1372" s="6">
        <v>20906</v>
      </c>
      <c r="E1372" s="6" t="s">
        <v>48</v>
      </c>
      <c r="F1372" s="6" t="s">
        <v>49</v>
      </c>
      <c r="G1372" s="6" t="s">
        <v>1296</v>
      </c>
      <c r="H1372" s="6">
        <v>0</v>
      </c>
      <c r="I1372" s="6">
        <v>0</v>
      </c>
      <c r="J1372" s="6">
        <v>16</v>
      </c>
      <c r="K1372" s="6">
        <v>16.992394999999998</v>
      </c>
      <c r="L1372" s="6">
        <v>16.951830000000001</v>
      </c>
      <c r="M1372" s="6">
        <v>17.405908</v>
      </c>
      <c r="N1372" s="6">
        <v>17.016705999999999</v>
      </c>
      <c r="O1372" s="6">
        <v>16.954350000000002</v>
      </c>
      <c r="P1372" s="6">
        <v>17.537869000000001</v>
      </c>
      <c r="Q1372" s="6">
        <v>17.016335999999999</v>
      </c>
      <c r="R1372" s="6">
        <v>16.958155999999999</v>
      </c>
      <c r="S1372" s="6">
        <v>17.538882000000001</v>
      </c>
      <c r="T1372" s="6">
        <v>17.016335999999999</v>
      </c>
      <c r="U1372" s="6">
        <v>16.958155999999999</v>
      </c>
      <c r="V1372" s="6">
        <v>17.538882000000001</v>
      </c>
    </row>
    <row r="1373" spans="2:22">
      <c r="B1373" s="6">
        <v>32607</v>
      </c>
      <c r="C1373" s="6" t="s">
        <v>1192</v>
      </c>
      <c r="D1373" s="6">
        <v>21000</v>
      </c>
      <c r="E1373" s="6" t="s">
        <v>276</v>
      </c>
      <c r="F1373" s="6" t="s">
        <v>73</v>
      </c>
      <c r="G1373" s="6" t="s">
        <v>1299</v>
      </c>
      <c r="H1373" s="6">
        <v>0</v>
      </c>
      <c r="I1373" s="6">
        <v>0</v>
      </c>
      <c r="J1373" s="6">
        <v>15</v>
      </c>
      <c r="K1373" s="6">
        <v>0</v>
      </c>
      <c r="L1373" s="6">
        <v>0</v>
      </c>
      <c r="M1373" s="6">
        <v>15</v>
      </c>
      <c r="N1373" s="6">
        <v>0</v>
      </c>
      <c r="O1373" s="6">
        <v>0</v>
      </c>
      <c r="P1373" s="6">
        <v>15</v>
      </c>
      <c r="Q1373" s="6">
        <v>15</v>
      </c>
      <c r="R1373" s="6">
        <v>15</v>
      </c>
      <c r="S1373" s="6">
        <v>15</v>
      </c>
      <c r="T1373" s="6">
        <v>15</v>
      </c>
      <c r="U1373" s="6">
        <v>15</v>
      </c>
      <c r="V1373" s="6">
        <v>15</v>
      </c>
    </row>
    <row r="1374" spans="2:22">
      <c r="B1374" s="6">
        <v>32607</v>
      </c>
      <c r="C1374" s="6" t="s">
        <v>1192</v>
      </c>
      <c r="D1374" s="6">
        <v>23314</v>
      </c>
      <c r="E1374" s="6" t="s">
        <v>1233</v>
      </c>
      <c r="F1374" s="6" t="s">
        <v>73</v>
      </c>
      <c r="G1374" s="6" t="s">
        <v>1299</v>
      </c>
      <c r="H1374" s="6">
        <v>0</v>
      </c>
      <c r="I1374" s="6">
        <v>0</v>
      </c>
      <c r="J1374" s="6">
        <v>1</v>
      </c>
      <c r="K1374" s="6">
        <v>0</v>
      </c>
      <c r="L1374" s="6">
        <v>0</v>
      </c>
      <c r="M1374" s="6">
        <v>1</v>
      </c>
      <c r="N1374" s="6">
        <v>0</v>
      </c>
      <c r="O1374" s="6">
        <v>0</v>
      </c>
      <c r="P1374" s="6">
        <v>1</v>
      </c>
      <c r="Q1374" s="6">
        <v>1</v>
      </c>
      <c r="R1374" s="6">
        <v>1</v>
      </c>
      <c r="S1374" s="6">
        <v>1</v>
      </c>
      <c r="T1374" s="6">
        <v>1</v>
      </c>
      <c r="U1374" s="6">
        <v>1</v>
      </c>
      <c r="V1374" s="6">
        <v>1</v>
      </c>
    </row>
    <row r="1375" spans="2:22">
      <c r="B1375" s="6">
        <v>32607</v>
      </c>
      <c r="C1375" s="6" t="s">
        <v>1192</v>
      </c>
      <c r="D1375" s="6">
        <v>23500</v>
      </c>
      <c r="E1375" s="6" t="s">
        <v>37</v>
      </c>
      <c r="F1375" s="6" t="s">
        <v>73</v>
      </c>
      <c r="G1375" s="6" t="s">
        <v>1299</v>
      </c>
      <c r="H1375" s="6">
        <v>0</v>
      </c>
      <c r="I1375" s="6">
        <v>0</v>
      </c>
      <c r="J1375" s="6">
        <v>1</v>
      </c>
      <c r="K1375" s="6">
        <v>0</v>
      </c>
      <c r="L1375" s="6">
        <v>0</v>
      </c>
      <c r="M1375" s="6">
        <v>1</v>
      </c>
      <c r="N1375" s="6">
        <v>0</v>
      </c>
      <c r="O1375" s="6">
        <v>0</v>
      </c>
      <c r="P1375" s="6">
        <v>1</v>
      </c>
      <c r="Q1375" s="6">
        <v>1</v>
      </c>
      <c r="R1375" s="6">
        <v>1</v>
      </c>
      <c r="S1375" s="6">
        <v>1</v>
      </c>
      <c r="T1375" s="6">
        <v>1</v>
      </c>
      <c r="U1375" s="6">
        <v>1</v>
      </c>
      <c r="V1375" s="6">
        <v>1</v>
      </c>
    </row>
    <row r="1376" spans="2:22">
      <c r="B1376" s="6">
        <v>32608</v>
      </c>
      <c r="C1376" s="6" t="s">
        <v>1017</v>
      </c>
      <c r="D1376" s="6">
        <v>12400</v>
      </c>
      <c r="E1376" s="6" t="s">
        <v>217</v>
      </c>
      <c r="F1376" s="6" t="s">
        <v>16</v>
      </c>
      <c r="G1376" s="6" t="s">
        <v>1295</v>
      </c>
      <c r="H1376" s="6">
        <v>0</v>
      </c>
      <c r="I1376" s="6">
        <v>0</v>
      </c>
      <c r="J1376" s="6">
        <v>8</v>
      </c>
      <c r="K1376" s="6">
        <v>13.375</v>
      </c>
      <c r="L1376" s="6">
        <v>10.9375</v>
      </c>
      <c r="M1376" s="6">
        <v>9.2653060000000007</v>
      </c>
      <c r="N1376" s="6">
        <v>9.2387090000000001</v>
      </c>
      <c r="O1376" s="6">
        <v>8.7126429999999999</v>
      </c>
      <c r="P1376" s="6">
        <v>8.6856360000000006</v>
      </c>
      <c r="Q1376" s="6">
        <v>9.2387090000000001</v>
      </c>
      <c r="R1376" s="6">
        <v>8.7126429999999999</v>
      </c>
      <c r="S1376" s="6">
        <v>8.6856360000000006</v>
      </c>
      <c r="T1376" s="6">
        <v>8.8875729999999997</v>
      </c>
      <c r="U1376" s="6">
        <v>8.6089380000000002</v>
      </c>
      <c r="V1376" s="6">
        <v>8.6174140000000001</v>
      </c>
    </row>
    <row r="1377" spans="2:22">
      <c r="B1377" s="6">
        <v>32608</v>
      </c>
      <c r="C1377" s="6" t="s">
        <v>1017</v>
      </c>
      <c r="D1377" s="6">
        <v>20500</v>
      </c>
      <c r="E1377" s="6" t="s">
        <v>31</v>
      </c>
      <c r="F1377" s="6" t="s">
        <v>16</v>
      </c>
      <c r="G1377" s="6" t="s">
        <v>1295</v>
      </c>
      <c r="H1377" s="6">
        <v>0</v>
      </c>
      <c r="I1377" s="6">
        <v>0</v>
      </c>
      <c r="J1377" s="6">
        <v>10</v>
      </c>
      <c r="K1377" s="6">
        <v>10</v>
      </c>
      <c r="L1377" s="6">
        <v>10</v>
      </c>
      <c r="M1377" s="6">
        <v>9.9722220000000004</v>
      </c>
      <c r="N1377" s="6">
        <v>10</v>
      </c>
      <c r="O1377" s="6">
        <v>10</v>
      </c>
      <c r="P1377" s="6">
        <v>9.9904759999999992</v>
      </c>
      <c r="Q1377" s="6">
        <v>10</v>
      </c>
      <c r="R1377" s="6">
        <v>10</v>
      </c>
      <c r="S1377" s="6">
        <v>9.9904759999999992</v>
      </c>
      <c r="T1377" s="6">
        <v>16.909089999999999</v>
      </c>
      <c r="U1377" s="6">
        <v>13.130081000000001</v>
      </c>
      <c r="V1377" s="6">
        <v>12.707865</v>
      </c>
    </row>
    <row r="1378" spans="2:22">
      <c r="B1378" s="6">
        <v>32608</v>
      </c>
      <c r="C1378" s="6" t="s">
        <v>1017</v>
      </c>
      <c r="D1378" s="6">
        <v>20904</v>
      </c>
      <c r="E1378" s="6" t="s">
        <v>156</v>
      </c>
      <c r="F1378" s="6" t="s">
        <v>16</v>
      </c>
      <c r="G1378" s="6" t="s">
        <v>1295</v>
      </c>
      <c r="H1378" s="6">
        <v>0</v>
      </c>
      <c r="I1378" s="6">
        <v>0</v>
      </c>
      <c r="J1378" s="6">
        <v>10</v>
      </c>
      <c r="K1378" s="6">
        <v>10</v>
      </c>
      <c r="L1378" s="6">
        <v>10</v>
      </c>
      <c r="M1378" s="6">
        <v>11.173913000000001</v>
      </c>
      <c r="N1378" s="6">
        <v>14.736841999999999</v>
      </c>
      <c r="O1378" s="6">
        <v>14.21875</v>
      </c>
      <c r="P1378" s="6">
        <v>13.268817</v>
      </c>
      <c r="Q1378" s="6">
        <v>14.736841999999999</v>
      </c>
      <c r="R1378" s="6">
        <v>14.21875</v>
      </c>
      <c r="S1378" s="6">
        <v>13.268817</v>
      </c>
      <c r="T1378" s="6">
        <v>14.736841999999999</v>
      </c>
      <c r="U1378" s="6">
        <v>14.21875</v>
      </c>
      <c r="V1378" s="6">
        <v>13.268817</v>
      </c>
    </row>
    <row r="1379" spans="2:22">
      <c r="B1379" s="6">
        <v>32608</v>
      </c>
      <c r="C1379" s="6" t="s">
        <v>1017</v>
      </c>
      <c r="D1379" s="6">
        <v>23315</v>
      </c>
      <c r="E1379" s="6" t="s">
        <v>246</v>
      </c>
      <c r="F1379" s="6" t="s">
        <v>16</v>
      </c>
      <c r="G1379" s="6" t="s">
        <v>1295</v>
      </c>
      <c r="H1379" s="6">
        <v>0</v>
      </c>
      <c r="I1379" s="6">
        <v>0</v>
      </c>
      <c r="J1379" s="6">
        <v>8.5</v>
      </c>
      <c r="K1379" s="6">
        <v>10</v>
      </c>
      <c r="L1379" s="6">
        <v>10</v>
      </c>
      <c r="M1379" s="6">
        <v>9.625</v>
      </c>
      <c r="N1379" s="6">
        <v>10</v>
      </c>
      <c r="O1379" s="6">
        <v>10</v>
      </c>
      <c r="P1379" s="6">
        <v>9.6571420000000003</v>
      </c>
      <c r="Q1379" s="6">
        <v>10</v>
      </c>
      <c r="R1379" s="6">
        <v>10</v>
      </c>
      <c r="S1379" s="6">
        <v>9.6571420000000003</v>
      </c>
      <c r="T1379" s="6">
        <v>10</v>
      </c>
      <c r="U1379" s="6">
        <v>10</v>
      </c>
      <c r="V1379" s="6">
        <v>9.6571420000000003</v>
      </c>
    </row>
    <row r="1380" spans="2:22">
      <c r="B1380" s="6">
        <v>32609</v>
      </c>
      <c r="C1380" s="6" t="s">
        <v>264</v>
      </c>
      <c r="D1380" s="6">
        <v>12400</v>
      </c>
      <c r="E1380" s="6" t="s">
        <v>217</v>
      </c>
      <c r="F1380" s="6" t="s">
        <v>16</v>
      </c>
      <c r="G1380" s="6" t="s">
        <v>1295</v>
      </c>
      <c r="H1380" s="6">
        <v>0</v>
      </c>
      <c r="I1380" s="6">
        <v>8</v>
      </c>
      <c r="J1380" s="6">
        <v>8</v>
      </c>
      <c r="K1380" s="6">
        <v>0</v>
      </c>
      <c r="L1380" s="6">
        <v>8</v>
      </c>
      <c r="M1380" s="6">
        <v>8.5882349999999992</v>
      </c>
      <c r="N1380" s="6">
        <v>9.2387090000000001</v>
      </c>
      <c r="O1380" s="6">
        <v>8.7126429999999999</v>
      </c>
      <c r="P1380" s="6">
        <v>8.6856360000000006</v>
      </c>
      <c r="Q1380" s="6">
        <v>9.2387090000000001</v>
      </c>
      <c r="R1380" s="6">
        <v>8.7126429999999999</v>
      </c>
      <c r="S1380" s="6">
        <v>8.6856360000000006</v>
      </c>
      <c r="T1380" s="6">
        <v>8.8875729999999997</v>
      </c>
      <c r="U1380" s="6">
        <v>8.6089380000000002</v>
      </c>
      <c r="V1380" s="6">
        <v>8.6174140000000001</v>
      </c>
    </row>
    <row r="1381" spans="2:22">
      <c r="B1381" s="6">
        <v>32609</v>
      </c>
      <c r="C1381" s="6" t="s">
        <v>264</v>
      </c>
      <c r="D1381" s="6">
        <v>20500</v>
      </c>
      <c r="E1381" s="6" t="s">
        <v>31</v>
      </c>
      <c r="F1381" s="6" t="s">
        <v>16</v>
      </c>
      <c r="G1381" s="6" t="s">
        <v>1295</v>
      </c>
      <c r="H1381" s="6">
        <v>0</v>
      </c>
      <c r="I1381" s="6">
        <v>10</v>
      </c>
      <c r="J1381" s="6">
        <v>10</v>
      </c>
      <c r="K1381" s="6">
        <v>0</v>
      </c>
      <c r="L1381" s="6">
        <v>10</v>
      </c>
      <c r="M1381" s="6">
        <v>10</v>
      </c>
      <c r="N1381" s="6">
        <v>10</v>
      </c>
      <c r="O1381" s="6">
        <v>10</v>
      </c>
      <c r="P1381" s="6">
        <v>9.9904759999999992</v>
      </c>
      <c r="Q1381" s="6">
        <v>10</v>
      </c>
      <c r="R1381" s="6">
        <v>10</v>
      </c>
      <c r="S1381" s="6">
        <v>9.9904759999999992</v>
      </c>
      <c r="T1381" s="6">
        <v>16.909089999999999</v>
      </c>
      <c r="U1381" s="6">
        <v>13.130081000000001</v>
      </c>
      <c r="V1381" s="6">
        <v>12.707865</v>
      </c>
    </row>
    <row r="1382" spans="2:22">
      <c r="B1382" s="6">
        <v>32609</v>
      </c>
      <c r="C1382" s="6" t="s">
        <v>264</v>
      </c>
      <c r="D1382" s="6">
        <v>20920</v>
      </c>
      <c r="E1382" s="6" t="s">
        <v>231</v>
      </c>
      <c r="F1382" s="6" t="s">
        <v>16</v>
      </c>
      <c r="G1382" s="6" t="s">
        <v>1295</v>
      </c>
      <c r="H1382" s="6">
        <v>0</v>
      </c>
      <c r="I1382" s="6">
        <v>10</v>
      </c>
      <c r="J1382" s="6">
        <v>10</v>
      </c>
      <c r="K1382" s="6">
        <v>0</v>
      </c>
      <c r="L1382" s="6">
        <v>10</v>
      </c>
      <c r="M1382" s="6">
        <v>9.294117</v>
      </c>
      <c r="N1382" s="6">
        <v>8.1999999999999993</v>
      </c>
      <c r="O1382" s="6">
        <v>8.0909089999999999</v>
      </c>
      <c r="P1382" s="6">
        <v>7.923076</v>
      </c>
      <c r="Q1382" s="6">
        <v>8.1999999999999993</v>
      </c>
      <c r="R1382" s="6">
        <v>8.0909089999999999</v>
      </c>
      <c r="S1382" s="6">
        <v>7.923076</v>
      </c>
      <c r="T1382" s="6">
        <v>8.1999999999999993</v>
      </c>
      <c r="U1382" s="6">
        <v>8.0909089999999999</v>
      </c>
      <c r="V1382" s="6">
        <v>7.923076</v>
      </c>
    </row>
    <row r="1383" spans="2:22">
      <c r="B1383" s="6">
        <v>32609</v>
      </c>
      <c r="C1383" s="6" t="s">
        <v>264</v>
      </c>
      <c r="D1383" s="6">
        <v>23320</v>
      </c>
      <c r="E1383" s="6" t="s">
        <v>265</v>
      </c>
      <c r="F1383" s="6" t="s">
        <v>16</v>
      </c>
      <c r="G1383" s="6" t="s">
        <v>1295</v>
      </c>
      <c r="H1383" s="6">
        <v>0</v>
      </c>
      <c r="I1383" s="6">
        <v>10</v>
      </c>
      <c r="J1383" s="6">
        <v>10</v>
      </c>
      <c r="K1383" s="6">
        <v>0</v>
      </c>
      <c r="L1383" s="6">
        <v>10</v>
      </c>
      <c r="M1383" s="6">
        <v>10</v>
      </c>
      <c r="N1383" s="6">
        <v>0</v>
      </c>
      <c r="O1383" s="6">
        <v>10</v>
      </c>
      <c r="P1383" s="6">
        <v>10</v>
      </c>
      <c r="Q1383" s="6">
        <v>0</v>
      </c>
      <c r="R1383" s="6">
        <v>10</v>
      </c>
      <c r="S1383" s="6">
        <v>10</v>
      </c>
      <c r="T1383" s="6">
        <v>0</v>
      </c>
      <c r="U1383" s="6">
        <v>10</v>
      </c>
      <c r="V1383" s="6">
        <v>10</v>
      </c>
    </row>
    <row r="1384" spans="2:22">
      <c r="B1384" s="6">
        <v>32609</v>
      </c>
      <c r="C1384" s="6" t="s">
        <v>264</v>
      </c>
      <c r="D1384" s="6">
        <v>25005</v>
      </c>
      <c r="E1384" s="6" t="s">
        <v>232</v>
      </c>
      <c r="F1384" s="6" t="s">
        <v>16</v>
      </c>
      <c r="G1384" s="6" t="s">
        <v>1295</v>
      </c>
      <c r="H1384" s="6">
        <v>0</v>
      </c>
      <c r="I1384" s="6">
        <v>10</v>
      </c>
      <c r="J1384" s="6">
        <v>10</v>
      </c>
      <c r="K1384" s="6">
        <v>0</v>
      </c>
      <c r="L1384" s="6">
        <v>10</v>
      </c>
      <c r="M1384" s="6">
        <v>10</v>
      </c>
      <c r="N1384" s="6">
        <v>10</v>
      </c>
      <c r="O1384" s="6">
        <v>10</v>
      </c>
      <c r="P1384" s="6">
        <v>10</v>
      </c>
      <c r="Q1384" s="6">
        <v>10</v>
      </c>
      <c r="R1384" s="6">
        <v>10</v>
      </c>
      <c r="S1384" s="6">
        <v>10</v>
      </c>
      <c r="T1384" s="6">
        <v>10</v>
      </c>
      <c r="U1384" s="6">
        <v>10</v>
      </c>
      <c r="V1384" s="6">
        <v>10</v>
      </c>
    </row>
    <row r="1385" spans="2:22">
      <c r="B1385" s="6">
        <v>32610</v>
      </c>
      <c r="C1385" s="6" t="s">
        <v>897</v>
      </c>
      <c r="D1385" s="6">
        <v>12400</v>
      </c>
      <c r="E1385" s="6" t="s">
        <v>217</v>
      </c>
      <c r="F1385" s="6" t="s">
        <v>16</v>
      </c>
      <c r="G1385" s="6" t="s">
        <v>1295</v>
      </c>
      <c r="H1385" s="6">
        <v>8</v>
      </c>
      <c r="I1385" s="6">
        <v>8</v>
      </c>
      <c r="J1385" s="6">
        <v>8.2222220000000004</v>
      </c>
      <c r="K1385" s="6">
        <v>8.2173909999999992</v>
      </c>
      <c r="L1385" s="6">
        <v>8.1046829999999996</v>
      </c>
      <c r="M1385" s="6">
        <v>8.2384710000000005</v>
      </c>
      <c r="N1385" s="6">
        <v>9.2387090000000001</v>
      </c>
      <c r="O1385" s="6">
        <v>8.7126429999999999</v>
      </c>
      <c r="P1385" s="6">
        <v>8.6856360000000006</v>
      </c>
      <c r="Q1385" s="6">
        <v>9.2387090000000001</v>
      </c>
      <c r="R1385" s="6">
        <v>8.7126429999999999</v>
      </c>
      <c r="S1385" s="6">
        <v>8.6856360000000006</v>
      </c>
      <c r="T1385" s="6">
        <v>8.8875729999999997</v>
      </c>
      <c r="U1385" s="6">
        <v>8.6089380000000002</v>
      </c>
      <c r="V1385" s="6">
        <v>8.6174140000000001</v>
      </c>
    </row>
    <row r="1386" spans="2:22">
      <c r="B1386" s="6">
        <v>32610</v>
      </c>
      <c r="C1386" s="6" t="s">
        <v>897</v>
      </c>
      <c r="D1386" s="6">
        <v>23311</v>
      </c>
      <c r="E1386" s="6" t="s">
        <v>221</v>
      </c>
      <c r="F1386" s="6" t="s">
        <v>16</v>
      </c>
      <c r="G1386" s="6" t="s">
        <v>1295</v>
      </c>
      <c r="H1386" s="6">
        <v>10</v>
      </c>
      <c r="I1386" s="6">
        <v>10</v>
      </c>
      <c r="J1386" s="6">
        <v>10</v>
      </c>
      <c r="K1386" s="6">
        <v>10.144926999999999</v>
      </c>
      <c r="L1386" s="6">
        <v>10.029239</v>
      </c>
      <c r="M1386" s="6">
        <v>10.013888</v>
      </c>
      <c r="N1386" s="6">
        <v>10.099009000000001</v>
      </c>
      <c r="O1386" s="6">
        <v>10.02364</v>
      </c>
      <c r="P1386" s="6">
        <v>10.011260999999999</v>
      </c>
      <c r="Q1386" s="6">
        <v>10.099009000000001</v>
      </c>
      <c r="R1386" s="6">
        <v>10.02364</v>
      </c>
      <c r="S1386" s="6">
        <v>10.011260999999999</v>
      </c>
      <c r="T1386" s="6">
        <v>10.099009000000001</v>
      </c>
      <c r="U1386" s="6">
        <v>10.02364</v>
      </c>
      <c r="V1386" s="6">
        <v>10.011260999999999</v>
      </c>
    </row>
    <row r="1387" spans="2:22">
      <c r="B1387" s="6">
        <v>32611</v>
      </c>
      <c r="C1387" s="6" t="s">
        <v>1025</v>
      </c>
      <c r="D1387" s="6">
        <v>12400</v>
      </c>
      <c r="E1387" s="6" t="s">
        <v>217</v>
      </c>
      <c r="F1387" s="6" t="s">
        <v>16</v>
      </c>
      <c r="G1387" s="6" t="s">
        <v>1295</v>
      </c>
      <c r="H1387" s="6">
        <v>0</v>
      </c>
      <c r="I1387" s="6">
        <v>0</v>
      </c>
      <c r="J1387" s="6">
        <v>8</v>
      </c>
      <c r="K1387" s="6">
        <v>13.375</v>
      </c>
      <c r="L1387" s="6">
        <v>10.9375</v>
      </c>
      <c r="M1387" s="6">
        <v>9.2653060000000007</v>
      </c>
      <c r="N1387" s="6">
        <v>9.2387090000000001</v>
      </c>
      <c r="O1387" s="6">
        <v>8.7126429999999999</v>
      </c>
      <c r="P1387" s="6">
        <v>8.6856360000000006</v>
      </c>
      <c r="Q1387" s="6">
        <v>9.2387090000000001</v>
      </c>
      <c r="R1387" s="6">
        <v>8.7126429999999999</v>
      </c>
      <c r="S1387" s="6">
        <v>8.6856360000000006</v>
      </c>
      <c r="T1387" s="6">
        <v>8.8875729999999997</v>
      </c>
      <c r="U1387" s="6">
        <v>8.6089380000000002</v>
      </c>
      <c r="V1387" s="6">
        <v>8.6174140000000001</v>
      </c>
    </row>
    <row r="1388" spans="2:22">
      <c r="B1388" s="6">
        <v>32611</v>
      </c>
      <c r="C1388" s="6" t="s">
        <v>1025</v>
      </c>
      <c r="D1388" s="6">
        <v>20500</v>
      </c>
      <c r="E1388" s="6" t="s">
        <v>31</v>
      </c>
      <c r="F1388" s="6" t="s">
        <v>16</v>
      </c>
      <c r="G1388" s="6" t="s">
        <v>1295</v>
      </c>
      <c r="H1388" s="6">
        <v>0</v>
      </c>
      <c r="I1388" s="6">
        <v>0</v>
      </c>
      <c r="J1388" s="6">
        <v>10</v>
      </c>
      <c r="K1388" s="6">
        <v>10</v>
      </c>
      <c r="L1388" s="6">
        <v>10</v>
      </c>
      <c r="M1388" s="6">
        <v>9.9722220000000004</v>
      </c>
      <c r="N1388" s="6">
        <v>10</v>
      </c>
      <c r="O1388" s="6">
        <v>10</v>
      </c>
      <c r="P1388" s="6">
        <v>9.9904759999999992</v>
      </c>
      <c r="Q1388" s="6">
        <v>10</v>
      </c>
      <c r="R1388" s="6">
        <v>10</v>
      </c>
      <c r="S1388" s="6">
        <v>9.9904759999999992</v>
      </c>
      <c r="T1388" s="6">
        <v>16.909089999999999</v>
      </c>
      <c r="U1388" s="6">
        <v>13.130081000000001</v>
      </c>
      <c r="V1388" s="6">
        <v>12.707865</v>
      </c>
    </row>
    <row r="1389" spans="2:22">
      <c r="B1389" s="6">
        <v>32611</v>
      </c>
      <c r="C1389" s="6" t="s">
        <v>1025</v>
      </c>
      <c r="D1389" s="6">
        <v>20904</v>
      </c>
      <c r="E1389" s="6" t="s">
        <v>156</v>
      </c>
      <c r="F1389" s="6" t="s">
        <v>16</v>
      </c>
      <c r="G1389" s="6" t="s">
        <v>1295</v>
      </c>
      <c r="H1389" s="6">
        <v>0</v>
      </c>
      <c r="I1389" s="6">
        <v>0</v>
      </c>
      <c r="J1389" s="6">
        <v>10</v>
      </c>
      <c r="K1389" s="6">
        <v>10</v>
      </c>
      <c r="L1389" s="6">
        <v>10</v>
      </c>
      <c r="M1389" s="6">
        <v>11.173913000000001</v>
      </c>
      <c r="N1389" s="6">
        <v>14.736841999999999</v>
      </c>
      <c r="O1389" s="6">
        <v>14.21875</v>
      </c>
      <c r="P1389" s="6">
        <v>13.268817</v>
      </c>
      <c r="Q1389" s="6">
        <v>14.736841999999999</v>
      </c>
      <c r="R1389" s="6">
        <v>14.21875</v>
      </c>
      <c r="S1389" s="6">
        <v>13.268817</v>
      </c>
      <c r="T1389" s="6">
        <v>14.736841999999999</v>
      </c>
      <c r="U1389" s="6">
        <v>14.21875</v>
      </c>
      <c r="V1389" s="6">
        <v>13.268817</v>
      </c>
    </row>
    <row r="1390" spans="2:22">
      <c r="B1390" s="6">
        <v>32611</v>
      </c>
      <c r="C1390" s="6" t="s">
        <v>1025</v>
      </c>
      <c r="D1390" s="6">
        <v>23315</v>
      </c>
      <c r="E1390" s="6" t="s">
        <v>246</v>
      </c>
      <c r="F1390" s="6" t="s">
        <v>16</v>
      </c>
      <c r="G1390" s="6" t="s">
        <v>1295</v>
      </c>
      <c r="H1390" s="6">
        <v>0</v>
      </c>
      <c r="I1390" s="6">
        <v>0</v>
      </c>
      <c r="J1390" s="6">
        <v>10</v>
      </c>
      <c r="K1390" s="6">
        <v>10</v>
      </c>
      <c r="L1390" s="6">
        <v>10</v>
      </c>
      <c r="M1390" s="6">
        <v>9.625</v>
      </c>
      <c r="N1390" s="6">
        <v>10</v>
      </c>
      <c r="O1390" s="6">
        <v>10</v>
      </c>
      <c r="P1390" s="6">
        <v>9.6571420000000003</v>
      </c>
      <c r="Q1390" s="6">
        <v>10</v>
      </c>
      <c r="R1390" s="6">
        <v>10</v>
      </c>
      <c r="S1390" s="6">
        <v>9.6571420000000003</v>
      </c>
      <c r="T1390" s="6">
        <v>10</v>
      </c>
      <c r="U1390" s="6">
        <v>10</v>
      </c>
      <c r="V1390" s="6">
        <v>9.6571420000000003</v>
      </c>
    </row>
    <row r="1391" spans="2:22">
      <c r="B1391" s="6">
        <v>32614</v>
      </c>
      <c r="C1391" s="6" t="s">
        <v>1161</v>
      </c>
      <c r="D1391" s="6">
        <v>20600</v>
      </c>
      <c r="E1391" s="6" t="s">
        <v>32</v>
      </c>
      <c r="F1391" s="6" t="s">
        <v>73</v>
      </c>
      <c r="G1391" s="6" t="s">
        <v>1299</v>
      </c>
      <c r="H1391" s="6">
        <v>0</v>
      </c>
      <c r="I1391" s="6">
        <v>0</v>
      </c>
      <c r="J1391" s="6">
        <v>5</v>
      </c>
      <c r="K1391" s="6">
        <v>0</v>
      </c>
      <c r="L1391" s="6">
        <v>0</v>
      </c>
      <c r="M1391" s="6">
        <v>5</v>
      </c>
      <c r="N1391" s="6">
        <v>0</v>
      </c>
      <c r="O1391" s="6">
        <v>0</v>
      </c>
      <c r="P1391" s="6">
        <v>5</v>
      </c>
      <c r="Q1391" s="6">
        <v>0</v>
      </c>
      <c r="R1391" s="6">
        <v>0</v>
      </c>
      <c r="S1391" s="6">
        <v>5</v>
      </c>
      <c r="T1391" s="6">
        <v>0</v>
      </c>
      <c r="U1391" s="6">
        <v>0</v>
      </c>
      <c r="V1391" s="6">
        <v>5</v>
      </c>
    </row>
    <row r="1392" spans="2:22">
      <c r="B1392" s="6">
        <v>32615</v>
      </c>
      <c r="C1392" s="6" t="s">
        <v>1164</v>
      </c>
      <c r="D1392" s="6">
        <v>20600</v>
      </c>
      <c r="E1392" s="6" t="s">
        <v>32</v>
      </c>
      <c r="F1392" s="6" t="s">
        <v>73</v>
      </c>
      <c r="G1392" s="6" t="s">
        <v>1299</v>
      </c>
      <c r="H1392" s="6">
        <v>0</v>
      </c>
      <c r="I1392" s="6">
        <v>0</v>
      </c>
      <c r="J1392" s="6">
        <v>5</v>
      </c>
      <c r="K1392" s="6">
        <v>0</v>
      </c>
      <c r="L1392" s="6">
        <v>0</v>
      </c>
      <c r="M1392" s="6">
        <v>5</v>
      </c>
      <c r="N1392" s="6">
        <v>0</v>
      </c>
      <c r="O1392" s="6">
        <v>0</v>
      </c>
      <c r="P1392" s="6">
        <v>5</v>
      </c>
      <c r="Q1392" s="6">
        <v>0</v>
      </c>
      <c r="R1392" s="6">
        <v>0</v>
      </c>
      <c r="S1392" s="6">
        <v>5</v>
      </c>
      <c r="T1392" s="6">
        <v>0</v>
      </c>
      <c r="U1392" s="6">
        <v>0</v>
      </c>
      <c r="V1392" s="6">
        <v>5</v>
      </c>
    </row>
    <row r="1393" spans="2:22">
      <c r="B1393" s="6">
        <v>32616</v>
      </c>
      <c r="C1393" s="6" t="s">
        <v>1013</v>
      </c>
      <c r="D1393" s="6">
        <v>12400</v>
      </c>
      <c r="E1393" s="6" t="s">
        <v>217</v>
      </c>
      <c r="F1393" s="6" t="s">
        <v>16</v>
      </c>
      <c r="G1393" s="6" t="s">
        <v>1295</v>
      </c>
      <c r="H1393" s="6">
        <v>10</v>
      </c>
      <c r="I1393" s="6">
        <v>10</v>
      </c>
      <c r="J1393" s="6">
        <v>10</v>
      </c>
      <c r="K1393" s="6">
        <v>10</v>
      </c>
      <c r="L1393" s="6">
        <v>10</v>
      </c>
      <c r="M1393" s="6">
        <v>9.9817350000000005</v>
      </c>
      <c r="N1393" s="6">
        <v>9.2387090000000001</v>
      </c>
      <c r="O1393" s="6">
        <v>8.7126429999999999</v>
      </c>
      <c r="P1393" s="6">
        <v>8.6856360000000006</v>
      </c>
      <c r="Q1393" s="6">
        <v>9.2387090000000001</v>
      </c>
      <c r="R1393" s="6">
        <v>8.7126429999999999</v>
      </c>
      <c r="S1393" s="6">
        <v>8.6856360000000006</v>
      </c>
      <c r="T1393" s="6">
        <v>8.8875729999999997</v>
      </c>
      <c r="U1393" s="6">
        <v>8.6089380000000002</v>
      </c>
      <c r="V1393" s="6">
        <v>8.6174140000000001</v>
      </c>
    </row>
    <row r="1394" spans="2:22">
      <c r="B1394" s="6">
        <v>32616</v>
      </c>
      <c r="C1394" s="6" t="s">
        <v>1013</v>
      </c>
      <c r="D1394" s="6">
        <v>20500</v>
      </c>
      <c r="E1394" s="6" t="s">
        <v>31</v>
      </c>
      <c r="F1394" s="6" t="s">
        <v>16</v>
      </c>
      <c r="G1394" s="6" t="s">
        <v>1295</v>
      </c>
      <c r="H1394" s="6">
        <v>10</v>
      </c>
      <c r="I1394" s="6">
        <v>10</v>
      </c>
      <c r="J1394" s="6">
        <v>10</v>
      </c>
      <c r="K1394" s="6">
        <v>10</v>
      </c>
      <c r="L1394" s="6">
        <v>10</v>
      </c>
      <c r="M1394" s="6">
        <v>10</v>
      </c>
      <c r="N1394" s="6">
        <v>10</v>
      </c>
      <c r="O1394" s="6">
        <v>10</v>
      </c>
      <c r="P1394" s="6">
        <v>9.9904759999999992</v>
      </c>
      <c r="Q1394" s="6">
        <v>10</v>
      </c>
      <c r="R1394" s="6">
        <v>10</v>
      </c>
      <c r="S1394" s="6">
        <v>9.9904759999999992</v>
      </c>
      <c r="T1394" s="6">
        <v>16.909089999999999</v>
      </c>
      <c r="U1394" s="6">
        <v>13.130081000000001</v>
      </c>
      <c r="V1394" s="6">
        <v>12.707865</v>
      </c>
    </row>
    <row r="1395" spans="2:22">
      <c r="B1395" s="6">
        <v>32616</v>
      </c>
      <c r="C1395" s="6" t="s">
        <v>1013</v>
      </c>
      <c r="D1395" s="6">
        <v>20904</v>
      </c>
      <c r="E1395" s="6" t="s">
        <v>156</v>
      </c>
      <c r="F1395" s="6" t="s">
        <v>16</v>
      </c>
      <c r="G1395" s="6" t="s">
        <v>1295</v>
      </c>
      <c r="H1395" s="6">
        <v>15</v>
      </c>
      <c r="I1395" s="6">
        <v>15</v>
      </c>
      <c r="J1395" s="6">
        <v>15</v>
      </c>
      <c r="K1395" s="6">
        <v>15</v>
      </c>
      <c r="L1395" s="6">
        <v>15</v>
      </c>
      <c r="M1395" s="6">
        <v>15</v>
      </c>
      <c r="N1395" s="6">
        <v>14.736841999999999</v>
      </c>
      <c r="O1395" s="6">
        <v>14.21875</v>
      </c>
      <c r="P1395" s="6">
        <v>13.268817</v>
      </c>
      <c r="Q1395" s="6">
        <v>14.736841999999999</v>
      </c>
      <c r="R1395" s="6">
        <v>14.21875</v>
      </c>
      <c r="S1395" s="6">
        <v>13.268817</v>
      </c>
      <c r="T1395" s="6">
        <v>14.736841999999999</v>
      </c>
      <c r="U1395" s="6">
        <v>14.21875</v>
      </c>
      <c r="V1395" s="6">
        <v>13.268817</v>
      </c>
    </row>
    <row r="1396" spans="2:22">
      <c r="B1396" s="6">
        <v>32617</v>
      </c>
      <c r="C1396" s="6" t="s">
        <v>1018</v>
      </c>
      <c r="D1396" s="6">
        <v>12400</v>
      </c>
      <c r="E1396" s="6" t="s">
        <v>217</v>
      </c>
      <c r="F1396" s="6" t="s">
        <v>16</v>
      </c>
      <c r="G1396" s="6" t="s">
        <v>1295</v>
      </c>
      <c r="H1396" s="6">
        <v>0</v>
      </c>
      <c r="I1396" s="6">
        <v>0</v>
      </c>
      <c r="J1396" s="6">
        <v>10</v>
      </c>
      <c r="K1396" s="6">
        <v>10</v>
      </c>
      <c r="L1396" s="6">
        <v>10</v>
      </c>
      <c r="M1396" s="6">
        <v>9.9817350000000005</v>
      </c>
      <c r="N1396" s="6">
        <v>9.2387090000000001</v>
      </c>
      <c r="O1396" s="6">
        <v>8.7126429999999999</v>
      </c>
      <c r="P1396" s="6">
        <v>8.6856360000000006</v>
      </c>
      <c r="Q1396" s="6">
        <v>9.2387090000000001</v>
      </c>
      <c r="R1396" s="6">
        <v>8.7126429999999999</v>
      </c>
      <c r="S1396" s="6">
        <v>8.6856360000000006</v>
      </c>
      <c r="T1396" s="6">
        <v>8.8875729999999997</v>
      </c>
      <c r="U1396" s="6">
        <v>8.6089380000000002</v>
      </c>
      <c r="V1396" s="6">
        <v>8.6174140000000001</v>
      </c>
    </row>
    <row r="1397" spans="2:22">
      <c r="B1397" s="6">
        <v>32617</v>
      </c>
      <c r="C1397" s="6" t="s">
        <v>1018</v>
      </c>
      <c r="D1397" s="6">
        <v>20920</v>
      </c>
      <c r="E1397" s="6" t="s">
        <v>231</v>
      </c>
      <c r="F1397" s="6" t="s">
        <v>16</v>
      </c>
      <c r="G1397" s="6" t="s">
        <v>1295</v>
      </c>
      <c r="H1397" s="6">
        <v>0</v>
      </c>
      <c r="I1397" s="6">
        <v>0</v>
      </c>
      <c r="J1397" s="6">
        <v>7</v>
      </c>
      <c r="K1397" s="6">
        <v>0</v>
      </c>
      <c r="L1397" s="6">
        <v>0</v>
      </c>
      <c r="M1397" s="6">
        <v>7</v>
      </c>
      <c r="N1397" s="6">
        <v>8.1999999999999993</v>
      </c>
      <c r="O1397" s="6">
        <v>8.0909089999999999</v>
      </c>
      <c r="P1397" s="6">
        <v>7.923076</v>
      </c>
      <c r="Q1397" s="6">
        <v>8.1999999999999993</v>
      </c>
      <c r="R1397" s="6">
        <v>8.0909089999999999</v>
      </c>
      <c r="S1397" s="6">
        <v>7.923076</v>
      </c>
      <c r="T1397" s="6">
        <v>8.1999999999999993</v>
      </c>
      <c r="U1397" s="6">
        <v>8.0909089999999999</v>
      </c>
      <c r="V1397" s="6">
        <v>7.923076</v>
      </c>
    </row>
    <row r="1398" spans="2:22">
      <c r="B1398" s="6">
        <v>32617</v>
      </c>
      <c r="C1398" s="6" t="s">
        <v>1018</v>
      </c>
      <c r="D1398" s="6">
        <v>23311</v>
      </c>
      <c r="E1398" s="6" t="s">
        <v>221</v>
      </c>
      <c r="F1398" s="6" t="s">
        <v>16</v>
      </c>
      <c r="G1398" s="6" t="s">
        <v>1295</v>
      </c>
      <c r="H1398" s="6">
        <v>0</v>
      </c>
      <c r="I1398" s="6">
        <v>0</v>
      </c>
      <c r="J1398" s="6">
        <v>10</v>
      </c>
      <c r="K1398" s="6">
        <v>10</v>
      </c>
      <c r="L1398" s="6">
        <v>10</v>
      </c>
      <c r="M1398" s="6">
        <v>10</v>
      </c>
      <c r="N1398" s="6">
        <v>10.099009000000001</v>
      </c>
      <c r="O1398" s="6">
        <v>10.02364</v>
      </c>
      <c r="P1398" s="6">
        <v>10.011260999999999</v>
      </c>
      <c r="Q1398" s="6">
        <v>10.099009000000001</v>
      </c>
      <c r="R1398" s="6">
        <v>10.02364</v>
      </c>
      <c r="S1398" s="6">
        <v>10.011260999999999</v>
      </c>
      <c r="T1398" s="6">
        <v>10.099009000000001</v>
      </c>
      <c r="U1398" s="6">
        <v>10.02364</v>
      </c>
      <c r="V1398" s="6">
        <v>10.011260999999999</v>
      </c>
    </row>
    <row r="1399" spans="2:22">
      <c r="B1399" s="6">
        <v>32617</v>
      </c>
      <c r="C1399" s="6" t="s">
        <v>1018</v>
      </c>
      <c r="D1399" s="6">
        <v>23315</v>
      </c>
      <c r="E1399" s="6" t="s">
        <v>246</v>
      </c>
      <c r="F1399" s="6" t="s">
        <v>16</v>
      </c>
      <c r="G1399" s="6" t="s">
        <v>1295</v>
      </c>
      <c r="H1399" s="6">
        <v>0</v>
      </c>
      <c r="I1399" s="6">
        <v>0</v>
      </c>
      <c r="J1399" s="6">
        <v>10</v>
      </c>
      <c r="K1399" s="6">
        <v>0</v>
      </c>
      <c r="L1399" s="6">
        <v>0</v>
      </c>
      <c r="M1399" s="6">
        <v>10</v>
      </c>
      <c r="N1399" s="6">
        <v>10</v>
      </c>
      <c r="O1399" s="6">
        <v>10</v>
      </c>
      <c r="P1399" s="6">
        <v>9.6571420000000003</v>
      </c>
      <c r="Q1399" s="6">
        <v>10</v>
      </c>
      <c r="R1399" s="6">
        <v>10</v>
      </c>
      <c r="S1399" s="6">
        <v>9.6571420000000003</v>
      </c>
      <c r="T1399" s="6">
        <v>10</v>
      </c>
      <c r="U1399" s="6">
        <v>10</v>
      </c>
      <c r="V1399" s="6">
        <v>9.6571420000000003</v>
      </c>
    </row>
    <row r="1400" spans="2:22">
      <c r="B1400" s="6">
        <v>32618</v>
      </c>
      <c r="C1400" s="6" t="s">
        <v>1060</v>
      </c>
      <c r="D1400" s="6">
        <v>20700</v>
      </c>
      <c r="E1400" s="6" t="s">
        <v>15</v>
      </c>
      <c r="F1400" s="6" t="s">
        <v>17</v>
      </c>
      <c r="G1400" s="6" t="s">
        <v>1294</v>
      </c>
      <c r="H1400" s="6">
        <v>0</v>
      </c>
      <c r="I1400" s="6">
        <v>0</v>
      </c>
      <c r="J1400" s="6">
        <v>35.384614999999997</v>
      </c>
      <c r="K1400" s="6">
        <v>0</v>
      </c>
      <c r="L1400" s="6">
        <v>0</v>
      </c>
      <c r="M1400" s="6">
        <v>36.190475999999997</v>
      </c>
      <c r="N1400" s="6">
        <v>0</v>
      </c>
      <c r="O1400" s="6">
        <v>0</v>
      </c>
      <c r="P1400" s="6">
        <v>36.190475999999997</v>
      </c>
      <c r="Q1400" s="6">
        <v>39.560809999999996</v>
      </c>
      <c r="R1400" s="6">
        <v>39.612546000000002</v>
      </c>
      <c r="S1400" s="6">
        <v>39.702897999999998</v>
      </c>
      <c r="T1400" s="6">
        <v>37.594695999999999</v>
      </c>
      <c r="U1400" s="6">
        <v>37.122718999999996</v>
      </c>
      <c r="V1400" s="6">
        <v>37.548872000000003</v>
      </c>
    </row>
    <row r="1401" spans="2:22">
      <c r="B1401" s="6">
        <v>32620</v>
      </c>
      <c r="C1401" s="6" t="s">
        <v>1169</v>
      </c>
      <c r="D1401" s="6">
        <v>25000</v>
      </c>
      <c r="E1401" s="6" t="s">
        <v>1226</v>
      </c>
      <c r="F1401" s="6" t="s">
        <v>16</v>
      </c>
      <c r="G1401" s="6" t="s">
        <v>1295</v>
      </c>
      <c r="H1401" s="6">
        <v>0</v>
      </c>
      <c r="I1401" s="6">
        <v>0</v>
      </c>
      <c r="J1401" s="6">
        <v>18.333333</v>
      </c>
      <c r="K1401" s="6">
        <v>13.076923000000001</v>
      </c>
      <c r="L1401" s="6">
        <v>14.533333000000001</v>
      </c>
      <c r="M1401" s="6">
        <v>15.393442</v>
      </c>
      <c r="N1401" s="6">
        <v>13.076923000000001</v>
      </c>
      <c r="O1401" s="6">
        <v>14.533333000000001</v>
      </c>
      <c r="P1401" s="6">
        <v>15.139533999999999</v>
      </c>
      <c r="Q1401" s="6">
        <v>13.076923000000001</v>
      </c>
      <c r="R1401" s="6">
        <v>14.533333000000001</v>
      </c>
      <c r="S1401" s="6">
        <v>15.139533999999999</v>
      </c>
      <c r="T1401" s="6">
        <v>13.076923000000001</v>
      </c>
      <c r="U1401" s="6">
        <v>14.533333000000001</v>
      </c>
      <c r="V1401" s="6">
        <v>15.139533999999999</v>
      </c>
    </row>
    <row r="1402" spans="2:22">
      <c r="B1402" s="6">
        <v>32620</v>
      </c>
      <c r="C1402" s="6" t="s">
        <v>1169</v>
      </c>
      <c r="D1402" s="6">
        <v>25000</v>
      </c>
      <c r="E1402" s="6" t="s">
        <v>1226</v>
      </c>
      <c r="F1402" s="6" t="s">
        <v>16</v>
      </c>
      <c r="G1402" s="6" t="s">
        <v>1295</v>
      </c>
      <c r="H1402" s="6">
        <v>0</v>
      </c>
      <c r="I1402" s="6">
        <v>0</v>
      </c>
      <c r="J1402" s="6">
        <v>18.333333</v>
      </c>
      <c r="K1402" s="6">
        <v>13.076923000000001</v>
      </c>
      <c r="L1402" s="6">
        <v>14.533333000000001</v>
      </c>
      <c r="M1402" s="6">
        <v>15.393442</v>
      </c>
      <c r="N1402" s="6">
        <v>13.076923000000001</v>
      </c>
      <c r="O1402" s="6">
        <v>14.533333000000001</v>
      </c>
      <c r="P1402" s="6">
        <v>15.139533999999999</v>
      </c>
      <c r="Q1402" s="6">
        <v>13.076923000000001</v>
      </c>
      <c r="R1402" s="6">
        <v>14.533333000000001</v>
      </c>
      <c r="S1402" s="6">
        <v>15.139533999999999</v>
      </c>
      <c r="T1402" s="6">
        <v>13.076923000000001</v>
      </c>
      <c r="U1402" s="6">
        <v>14.533333000000001</v>
      </c>
      <c r="V1402" s="6">
        <v>15.139533999999999</v>
      </c>
    </row>
    <row r="1403" spans="2:22">
      <c r="B1403" s="6">
        <v>32620</v>
      </c>
      <c r="C1403" s="6" t="s">
        <v>1169</v>
      </c>
      <c r="D1403" s="6">
        <v>25001</v>
      </c>
      <c r="E1403" s="6" t="s">
        <v>1232</v>
      </c>
      <c r="F1403" s="6" t="s">
        <v>16</v>
      </c>
      <c r="G1403" s="6" t="s">
        <v>1295</v>
      </c>
      <c r="H1403" s="6">
        <v>0</v>
      </c>
      <c r="I1403" s="6">
        <v>0</v>
      </c>
      <c r="J1403" s="6">
        <v>10</v>
      </c>
      <c r="K1403" s="6">
        <v>0</v>
      </c>
      <c r="L1403" s="6">
        <v>0</v>
      </c>
      <c r="M1403" s="6">
        <v>10</v>
      </c>
      <c r="N1403" s="6">
        <v>0</v>
      </c>
      <c r="O1403" s="6">
        <v>0</v>
      </c>
      <c r="P1403" s="6">
        <v>10</v>
      </c>
      <c r="Q1403" s="6">
        <v>0</v>
      </c>
      <c r="R1403" s="6">
        <v>0</v>
      </c>
      <c r="S1403" s="6">
        <v>10</v>
      </c>
      <c r="T1403" s="6">
        <v>0</v>
      </c>
      <c r="U1403" s="6">
        <v>0</v>
      </c>
      <c r="V1403" s="6">
        <v>10</v>
      </c>
    </row>
    <row r="1404" spans="2:22">
      <c r="B1404" s="6">
        <v>32621</v>
      </c>
      <c r="C1404" s="6" t="s">
        <v>42</v>
      </c>
      <c r="D1404" s="6">
        <v>20500</v>
      </c>
      <c r="E1404" s="6" t="s">
        <v>31</v>
      </c>
      <c r="F1404" s="6" t="s">
        <v>17</v>
      </c>
      <c r="G1404" s="6" t="s">
        <v>1294</v>
      </c>
      <c r="H1404" s="6">
        <v>16</v>
      </c>
      <c r="I1404" s="6">
        <v>16</v>
      </c>
      <c r="J1404" s="6">
        <v>16</v>
      </c>
      <c r="K1404" s="6">
        <v>16</v>
      </c>
      <c r="L1404" s="6">
        <v>16</v>
      </c>
      <c r="M1404" s="6">
        <v>16</v>
      </c>
      <c r="N1404" s="6">
        <v>16</v>
      </c>
      <c r="O1404" s="6">
        <v>16</v>
      </c>
      <c r="P1404" s="6">
        <v>16</v>
      </c>
      <c r="Q1404" s="6">
        <v>16</v>
      </c>
      <c r="R1404" s="6">
        <v>16.289473000000001</v>
      </c>
      <c r="S1404" s="6">
        <v>16.174417999999999</v>
      </c>
      <c r="T1404" s="6">
        <v>25.645997000000001</v>
      </c>
      <c r="U1404" s="6">
        <v>25.223958</v>
      </c>
      <c r="V1404" s="6">
        <v>24.770192999999999</v>
      </c>
    </row>
    <row r="1405" spans="2:22">
      <c r="B1405" s="6">
        <v>32622</v>
      </c>
      <c r="C1405" s="6" t="s">
        <v>1049</v>
      </c>
      <c r="D1405" s="6">
        <v>20500</v>
      </c>
      <c r="E1405" s="6" t="s">
        <v>31</v>
      </c>
      <c r="F1405" s="6" t="s">
        <v>17</v>
      </c>
      <c r="G1405" s="6" t="s">
        <v>1294</v>
      </c>
      <c r="H1405" s="6">
        <v>0</v>
      </c>
      <c r="I1405" s="6">
        <v>0</v>
      </c>
      <c r="J1405" s="6">
        <v>27</v>
      </c>
      <c r="K1405" s="6">
        <v>26.093993999999999</v>
      </c>
      <c r="L1405" s="6">
        <v>26.469746000000001</v>
      </c>
      <c r="M1405" s="6">
        <v>26.000619</v>
      </c>
      <c r="N1405" s="6">
        <v>26.108958000000001</v>
      </c>
      <c r="O1405" s="6">
        <v>26.328648000000001</v>
      </c>
      <c r="P1405" s="6">
        <v>26.003786000000002</v>
      </c>
      <c r="Q1405" s="6">
        <v>26.101534000000001</v>
      </c>
      <c r="R1405" s="6">
        <v>26.316153</v>
      </c>
      <c r="S1405" s="6">
        <v>25.991613999999998</v>
      </c>
      <c r="T1405" s="6">
        <v>25.645997000000001</v>
      </c>
      <c r="U1405" s="6">
        <v>25.223958</v>
      </c>
      <c r="V1405" s="6">
        <v>24.770192999999999</v>
      </c>
    </row>
    <row r="1406" spans="2:22">
      <c r="B1406" s="6">
        <v>32622</v>
      </c>
      <c r="C1406" s="6" t="s">
        <v>1049</v>
      </c>
      <c r="D1406" s="6">
        <v>20706</v>
      </c>
      <c r="E1406" s="6" t="s">
        <v>52</v>
      </c>
      <c r="F1406" s="6" t="s">
        <v>17</v>
      </c>
      <c r="G1406" s="6" t="s">
        <v>1294</v>
      </c>
      <c r="H1406" s="6">
        <v>0</v>
      </c>
      <c r="I1406" s="6">
        <v>0</v>
      </c>
      <c r="J1406" s="6">
        <v>40</v>
      </c>
      <c r="K1406" s="6">
        <v>40</v>
      </c>
      <c r="L1406" s="6">
        <v>39.985993999999998</v>
      </c>
      <c r="M1406" s="6">
        <v>39.981146000000003</v>
      </c>
      <c r="N1406" s="6">
        <v>39.962778999999998</v>
      </c>
      <c r="O1406" s="6">
        <v>39.971750999999998</v>
      </c>
      <c r="P1406" s="6">
        <v>39.969020999999998</v>
      </c>
      <c r="Q1406" s="6">
        <v>39.963768000000002</v>
      </c>
      <c r="R1406" s="6">
        <v>39.972496999999997</v>
      </c>
      <c r="S1406" s="6">
        <v>39.969659999999998</v>
      </c>
      <c r="T1406" s="6">
        <v>39.867787999999997</v>
      </c>
      <c r="U1406" s="6">
        <v>39.928649</v>
      </c>
      <c r="V1406" s="6">
        <v>39.945453999999998</v>
      </c>
    </row>
    <row r="1407" spans="2:22">
      <c r="B1407" s="6">
        <v>32622</v>
      </c>
      <c r="C1407" s="6" t="s">
        <v>1049</v>
      </c>
      <c r="D1407" s="6">
        <v>20902</v>
      </c>
      <c r="E1407" s="6" t="s">
        <v>53</v>
      </c>
      <c r="F1407" s="6" t="s">
        <v>13</v>
      </c>
      <c r="G1407" s="6" t="s">
        <v>14</v>
      </c>
      <c r="H1407" s="6">
        <v>0</v>
      </c>
      <c r="I1407" s="6">
        <v>0</v>
      </c>
      <c r="J1407" s="6">
        <v>20</v>
      </c>
      <c r="K1407" s="6">
        <v>19.956309999999998</v>
      </c>
      <c r="L1407" s="6">
        <v>19.965827000000001</v>
      </c>
      <c r="M1407" s="6">
        <v>19.613216000000001</v>
      </c>
      <c r="N1407" s="6">
        <v>19.181818</v>
      </c>
      <c r="O1407" s="6">
        <v>19.119288999999998</v>
      </c>
      <c r="P1407" s="6">
        <v>18.784502</v>
      </c>
      <c r="Q1407" s="6">
        <v>19.181818</v>
      </c>
      <c r="R1407" s="6">
        <v>19.101835999999999</v>
      </c>
      <c r="S1407" s="6">
        <v>18.763134000000001</v>
      </c>
      <c r="T1407" s="6">
        <v>19.181818</v>
      </c>
      <c r="U1407" s="6">
        <v>19.101835999999999</v>
      </c>
      <c r="V1407" s="6">
        <v>18.763134000000001</v>
      </c>
    </row>
    <row r="1408" spans="2:22">
      <c r="B1408" s="6">
        <v>32622</v>
      </c>
      <c r="C1408" s="6" t="s">
        <v>1049</v>
      </c>
      <c r="D1408" s="6">
        <v>20906</v>
      </c>
      <c r="E1408" s="6" t="s">
        <v>48</v>
      </c>
      <c r="F1408" s="6" t="s">
        <v>49</v>
      </c>
      <c r="G1408" s="6" t="s">
        <v>1296</v>
      </c>
      <c r="H1408" s="6">
        <v>0</v>
      </c>
      <c r="I1408" s="6">
        <v>0</v>
      </c>
      <c r="J1408" s="6">
        <v>19</v>
      </c>
      <c r="K1408" s="6">
        <v>16.923482</v>
      </c>
      <c r="L1408" s="6">
        <v>16.908185</v>
      </c>
      <c r="M1408" s="6">
        <v>17.652851999999999</v>
      </c>
      <c r="N1408" s="6">
        <v>17.016705999999999</v>
      </c>
      <c r="O1408" s="6">
        <v>16.954350000000002</v>
      </c>
      <c r="P1408" s="6">
        <v>17.537869000000001</v>
      </c>
      <c r="Q1408" s="6">
        <v>17.016335999999999</v>
      </c>
      <c r="R1408" s="6">
        <v>16.958155999999999</v>
      </c>
      <c r="S1408" s="6">
        <v>17.538882000000001</v>
      </c>
      <c r="T1408" s="6">
        <v>17.016335999999999</v>
      </c>
      <c r="U1408" s="6">
        <v>16.958155999999999</v>
      </c>
      <c r="V1408" s="6">
        <v>17.538882000000001</v>
      </c>
    </row>
    <row r="1409" spans="2:22">
      <c r="B1409" s="6">
        <v>32623</v>
      </c>
      <c r="C1409" s="6" t="s">
        <v>1131</v>
      </c>
      <c r="D1409" s="6">
        <v>20500</v>
      </c>
      <c r="E1409" s="6" t="s">
        <v>31</v>
      </c>
      <c r="F1409" s="6" t="s">
        <v>17</v>
      </c>
      <c r="G1409" s="6" t="s">
        <v>1294</v>
      </c>
      <c r="H1409" s="6">
        <v>0</v>
      </c>
      <c r="I1409" s="6">
        <v>0</v>
      </c>
      <c r="J1409" s="6">
        <v>27</v>
      </c>
      <c r="K1409" s="6">
        <v>26.093993999999999</v>
      </c>
      <c r="L1409" s="6">
        <v>26.469746000000001</v>
      </c>
      <c r="M1409" s="6">
        <v>26.000619</v>
      </c>
      <c r="N1409" s="6">
        <v>26.108958000000001</v>
      </c>
      <c r="O1409" s="6">
        <v>26.328648000000001</v>
      </c>
      <c r="P1409" s="6">
        <v>26.003786000000002</v>
      </c>
      <c r="Q1409" s="6">
        <v>26.101534000000001</v>
      </c>
      <c r="R1409" s="6">
        <v>26.316153</v>
      </c>
      <c r="S1409" s="6">
        <v>25.991613999999998</v>
      </c>
      <c r="T1409" s="6">
        <v>25.645997000000001</v>
      </c>
      <c r="U1409" s="6">
        <v>25.223958</v>
      </c>
      <c r="V1409" s="6">
        <v>24.770192999999999</v>
      </c>
    </row>
    <row r="1410" spans="2:22">
      <c r="B1410" s="6">
        <v>32623</v>
      </c>
      <c r="C1410" s="6" t="s">
        <v>1131</v>
      </c>
      <c r="D1410" s="6">
        <v>20706</v>
      </c>
      <c r="E1410" s="6" t="s">
        <v>52</v>
      </c>
      <c r="F1410" s="6" t="s">
        <v>17</v>
      </c>
      <c r="G1410" s="6" t="s">
        <v>1294</v>
      </c>
      <c r="H1410" s="6">
        <v>0</v>
      </c>
      <c r="I1410" s="6">
        <v>0</v>
      </c>
      <c r="J1410" s="6">
        <v>40</v>
      </c>
      <c r="K1410" s="6">
        <v>40</v>
      </c>
      <c r="L1410" s="6">
        <v>39.985993999999998</v>
      </c>
      <c r="M1410" s="6">
        <v>39.981146000000003</v>
      </c>
      <c r="N1410" s="6">
        <v>39.962778999999998</v>
      </c>
      <c r="O1410" s="6">
        <v>39.971750999999998</v>
      </c>
      <c r="P1410" s="6">
        <v>39.969020999999998</v>
      </c>
      <c r="Q1410" s="6">
        <v>39.963768000000002</v>
      </c>
      <c r="R1410" s="6">
        <v>39.972496999999997</v>
      </c>
      <c r="S1410" s="6">
        <v>39.969659999999998</v>
      </c>
      <c r="T1410" s="6">
        <v>39.867787999999997</v>
      </c>
      <c r="U1410" s="6">
        <v>39.928649</v>
      </c>
      <c r="V1410" s="6">
        <v>39.945453999999998</v>
      </c>
    </row>
    <row r="1411" spans="2:22">
      <c r="B1411" s="6">
        <v>32623</v>
      </c>
      <c r="C1411" s="6" t="s">
        <v>1131</v>
      </c>
      <c r="D1411" s="6">
        <v>20902</v>
      </c>
      <c r="E1411" s="6" t="s">
        <v>53</v>
      </c>
      <c r="F1411" s="6" t="s">
        <v>13</v>
      </c>
      <c r="G1411" s="6" t="s">
        <v>14</v>
      </c>
      <c r="H1411" s="6">
        <v>0</v>
      </c>
      <c r="I1411" s="6">
        <v>0</v>
      </c>
      <c r="J1411" s="6">
        <v>20</v>
      </c>
      <c r="K1411" s="6">
        <v>19.956309999999998</v>
      </c>
      <c r="L1411" s="6">
        <v>19.965827000000001</v>
      </c>
      <c r="M1411" s="6">
        <v>19.613216000000001</v>
      </c>
      <c r="N1411" s="6">
        <v>19.181818</v>
      </c>
      <c r="O1411" s="6">
        <v>19.119288999999998</v>
      </c>
      <c r="P1411" s="6">
        <v>18.784502</v>
      </c>
      <c r="Q1411" s="6">
        <v>19.181818</v>
      </c>
      <c r="R1411" s="6">
        <v>19.101835999999999</v>
      </c>
      <c r="S1411" s="6">
        <v>18.763134000000001</v>
      </c>
      <c r="T1411" s="6">
        <v>19.181818</v>
      </c>
      <c r="U1411" s="6">
        <v>19.101835999999999</v>
      </c>
      <c r="V1411" s="6">
        <v>18.763134000000001</v>
      </c>
    </row>
    <row r="1412" spans="2:22">
      <c r="B1412" s="6">
        <v>32623</v>
      </c>
      <c r="C1412" s="6" t="s">
        <v>1131</v>
      </c>
      <c r="D1412" s="6">
        <v>20906</v>
      </c>
      <c r="E1412" s="6" t="s">
        <v>48</v>
      </c>
      <c r="F1412" s="6" t="s">
        <v>49</v>
      </c>
      <c r="G1412" s="6" t="s">
        <v>1296</v>
      </c>
      <c r="H1412" s="6">
        <v>0</v>
      </c>
      <c r="I1412" s="6">
        <v>0</v>
      </c>
      <c r="J1412" s="6">
        <v>18</v>
      </c>
      <c r="K1412" s="6">
        <v>16.923482</v>
      </c>
      <c r="L1412" s="6">
        <v>16.908185</v>
      </c>
      <c r="M1412" s="6">
        <v>17.652851999999999</v>
      </c>
      <c r="N1412" s="6">
        <v>17.016705999999999</v>
      </c>
      <c r="O1412" s="6">
        <v>16.954350000000002</v>
      </c>
      <c r="P1412" s="6">
        <v>17.537869000000001</v>
      </c>
      <c r="Q1412" s="6">
        <v>17.016335999999999</v>
      </c>
      <c r="R1412" s="6">
        <v>16.958155999999999</v>
      </c>
      <c r="S1412" s="6">
        <v>17.538882000000001</v>
      </c>
      <c r="T1412" s="6">
        <v>17.016335999999999</v>
      </c>
      <c r="U1412" s="6">
        <v>16.958155999999999</v>
      </c>
      <c r="V1412" s="6">
        <v>17.538882000000001</v>
      </c>
    </row>
    <row r="1413" spans="2:22">
      <c r="B1413" s="6">
        <v>32624</v>
      </c>
      <c r="C1413" s="6" t="s">
        <v>1137</v>
      </c>
      <c r="D1413" s="6">
        <v>20500</v>
      </c>
      <c r="E1413" s="6" t="s">
        <v>31</v>
      </c>
      <c r="F1413" s="6" t="s">
        <v>17</v>
      </c>
      <c r="G1413" s="6" t="s">
        <v>1294</v>
      </c>
      <c r="H1413" s="6">
        <v>0</v>
      </c>
      <c r="I1413" s="6">
        <v>0</v>
      </c>
      <c r="J1413" s="6">
        <v>27</v>
      </c>
      <c r="K1413" s="6">
        <v>26.046875</v>
      </c>
      <c r="L1413" s="6">
        <v>26.199541</v>
      </c>
      <c r="M1413" s="6">
        <v>26.109717</v>
      </c>
      <c r="N1413" s="6">
        <v>26.108958000000001</v>
      </c>
      <c r="O1413" s="6">
        <v>26.328648000000001</v>
      </c>
      <c r="P1413" s="6">
        <v>26.003786000000002</v>
      </c>
      <c r="Q1413" s="6">
        <v>26.101534000000001</v>
      </c>
      <c r="R1413" s="6">
        <v>26.316153</v>
      </c>
      <c r="S1413" s="6">
        <v>25.991613999999998</v>
      </c>
      <c r="T1413" s="6">
        <v>25.645997000000001</v>
      </c>
      <c r="U1413" s="6">
        <v>25.223958</v>
      </c>
      <c r="V1413" s="6">
        <v>24.770192999999999</v>
      </c>
    </row>
    <row r="1414" spans="2:22">
      <c r="B1414" s="6">
        <v>32624</v>
      </c>
      <c r="C1414" s="6" t="s">
        <v>1137</v>
      </c>
      <c r="D1414" s="6">
        <v>20702</v>
      </c>
      <c r="E1414" s="6" t="s">
        <v>44</v>
      </c>
      <c r="F1414" s="6" t="s">
        <v>17</v>
      </c>
      <c r="G1414" s="6" t="s">
        <v>1294</v>
      </c>
      <c r="H1414" s="6">
        <v>0</v>
      </c>
      <c r="I1414" s="6">
        <v>0</v>
      </c>
      <c r="J1414" s="6">
        <v>35</v>
      </c>
      <c r="K1414" s="6">
        <v>34.851851000000003</v>
      </c>
      <c r="L1414" s="6">
        <v>34.933332999999998</v>
      </c>
      <c r="M1414" s="6">
        <v>34.897097000000002</v>
      </c>
      <c r="N1414" s="6">
        <v>34.893103000000004</v>
      </c>
      <c r="O1414" s="6">
        <v>34.949179999999998</v>
      </c>
      <c r="P1414" s="6">
        <v>34.926701000000001</v>
      </c>
      <c r="Q1414" s="6">
        <v>34.894556999999999</v>
      </c>
      <c r="R1414" s="6">
        <v>34.950949000000001</v>
      </c>
      <c r="S1414" s="6">
        <v>34.883485</v>
      </c>
      <c r="T1414" s="6">
        <v>34.894556999999999</v>
      </c>
      <c r="U1414" s="6">
        <v>34.950949000000001</v>
      </c>
      <c r="V1414" s="6">
        <v>34.883485</v>
      </c>
    </row>
    <row r="1415" spans="2:22">
      <c r="B1415" s="6">
        <v>32624</v>
      </c>
      <c r="C1415" s="6" t="s">
        <v>1137</v>
      </c>
      <c r="D1415" s="6">
        <v>20902</v>
      </c>
      <c r="E1415" s="6" t="s">
        <v>53</v>
      </c>
      <c r="F1415" s="6" t="s">
        <v>13</v>
      </c>
      <c r="G1415" s="6" t="s">
        <v>14</v>
      </c>
      <c r="H1415" s="6">
        <v>0</v>
      </c>
      <c r="I1415" s="6">
        <v>0</v>
      </c>
      <c r="J1415" s="6">
        <v>20</v>
      </c>
      <c r="K1415" s="6">
        <v>18.622046999999998</v>
      </c>
      <c r="L1415" s="6">
        <v>18.557046</v>
      </c>
      <c r="M1415" s="6">
        <v>18.643459</v>
      </c>
      <c r="N1415" s="6">
        <v>19.181818</v>
      </c>
      <c r="O1415" s="6">
        <v>19.119288999999998</v>
      </c>
      <c r="P1415" s="6">
        <v>18.784502</v>
      </c>
      <c r="Q1415" s="6">
        <v>19.181818</v>
      </c>
      <c r="R1415" s="6">
        <v>19.101835999999999</v>
      </c>
      <c r="S1415" s="6">
        <v>18.763134000000001</v>
      </c>
      <c r="T1415" s="6">
        <v>19.181818</v>
      </c>
      <c r="U1415" s="6">
        <v>19.101835999999999</v>
      </c>
      <c r="V1415" s="6">
        <v>18.763134000000001</v>
      </c>
    </row>
    <row r="1416" spans="2:22">
      <c r="B1416" s="6">
        <v>32624</v>
      </c>
      <c r="C1416" s="6" t="s">
        <v>1137</v>
      </c>
      <c r="D1416" s="6">
        <v>20906</v>
      </c>
      <c r="E1416" s="6" t="s">
        <v>48</v>
      </c>
      <c r="F1416" s="6" t="s">
        <v>49</v>
      </c>
      <c r="G1416" s="6" t="s">
        <v>1296</v>
      </c>
      <c r="H1416" s="6">
        <v>0</v>
      </c>
      <c r="I1416" s="6">
        <v>0</v>
      </c>
      <c r="J1416" s="6">
        <v>18</v>
      </c>
      <c r="K1416" s="6">
        <v>17.229590999999999</v>
      </c>
      <c r="L1416" s="6">
        <v>17.052391</v>
      </c>
      <c r="M1416" s="6">
        <v>17.431988</v>
      </c>
      <c r="N1416" s="6">
        <v>17.016705999999999</v>
      </c>
      <c r="O1416" s="6">
        <v>16.954350000000002</v>
      </c>
      <c r="P1416" s="6">
        <v>17.537869000000001</v>
      </c>
      <c r="Q1416" s="6">
        <v>17.016335999999999</v>
      </c>
      <c r="R1416" s="6">
        <v>16.958155999999999</v>
      </c>
      <c r="S1416" s="6">
        <v>17.538882000000001</v>
      </c>
      <c r="T1416" s="6">
        <v>17.016335999999999</v>
      </c>
      <c r="U1416" s="6">
        <v>16.958155999999999</v>
      </c>
      <c r="V1416" s="6">
        <v>17.538882000000001</v>
      </c>
    </row>
    <row r="1417" spans="2:22">
      <c r="B1417" s="6">
        <v>32625</v>
      </c>
      <c r="C1417" s="6" t="s">
        <v>1088</v>
      </c>
      <c r="D1417" s="6">
        <v>20500</v>
      </c>
      <c r="E1417" s="6" t="s">
        <v>31</v>
      </c>
      <c r="F1417" s="6" t="s">
        <v>17</v>
      </c>
      <c r="G1417" s="6" t="s">
        <v>1294</v>
      </c>
      <c r="H1417" s="6">
        <v>0</v>
      </c>
      <c r="I1417" s="6">
        <v>0</v>
      </c>
      <c r="J1417" s="6">
        <v>27</v>
      </c>
      <c r="K1417" s="6">
        <v>26.046875</v>
      </c>
      <c r="L1417" s="6">
        <v>26.199541</v>
      </c>
      <c r="M1417" s="6">
        <v>26.109717</v>
      </c>
      <c r="N1417" s="6">
        <v>26.108958000000001</v>
      </c>
      <c r="O1417" s="6">
        <v>26.328648000000001</v>
      </c>
      <c r="P1417" s="6">
        <v>26.003786000000002</v>
      </c>
      <c r="Q1417" s="6">
        <v>26.101534000000001</v>
      </c>
      <c r="R1417" s="6">
        <v>26.316153</v>
      </c>
      <c r="S1417" s="6">
        <v>25.991613999999998</v>
      </c>
      <c r="T1417" s="6">
        <v>25.645997000000001</v>
      </c>
      <c r="U1417" s="6">
        <v>25.223958</v>
      </c>
      <c r="V1417" s="6">
        <v>24.770192999999999</v>
      </c>
    </row>
    <row r="1418" spans="2:22">
      <c r="B1418" s="6">
        <v>32625</v>
      </c>
      <c r="C1418" s="6" t="s">
        <v>1088</v>
      </c>
      <c r="D1418" s="6">
        <v>20702</v>
      </c>
      <c r="E1418" s="6" t="s">
        <v>44</v>
      </c>
      <c r="F1418" s="6" t="s">
        <v>17</v>
      </c>
      <c r="G1418" s="6" t="s">
        <v>1294</v>
      </c>
      <c r="H1418" s="6">
        <v>0</v>
      </c>
      <c r="I1418" s="6">
        <v>0</v>
      </c>
      <c r="J1418" s="6">
        <v>35</v>
      </c>
      <c r="K1418" s="6">
        <v>34.851851000000003</v>
      </c>
      <c r="L1418" s="6">
        <v>34.933332999999998</v>
      </c>
      <c r="M1418" s="6">
        <v>34.897097000000002</v>
      </c>
      <c r="N1418" s="6">
        <v>34.893103000000004</v>
      </c>
      <c r="O1418" s="6">
        <v>34.949179999999998</v>
      </c>
      <c r="P1418" s="6">
        <v>34.926701000000001</v>
      </c>
      <c r="Q1418" s="6">
        <v>34.894556999999999</v>
      </c>
      <c r="R1418" s="6">
        <v>34.950949000000001</v>
      </c>
      <c r="S1418" s="6">
        <v>34.883485</v>
      </c>
      <c r="T1418" s="6">
        <v>34.894556999999999</v>
      </c>
      <c r="U1418" s="6">
        <v>34.950949000000001</v>
      </c>
      <c r="V1418" s="6">
        <v>34.883485</v>
      </c>
    </row>
    <row r="1419" spans="2:22">
      <c r="B1419" s="6">
        <v>32625</v>
      </c>
      <c r="C1419" s="6" t="s">
        <v>1088</v>
      </c>
      <c r="D1419" s="6">
        <v>20902</v>
      </c>
      <c r="E1419" s="6" t="s">
        <v>53</v>
      </c>
      <c r="F1419" s="6" t="s">
        <v>13</v>
      </c>
      <c r="G1419" s="6" t="s">
        <v>14</v>
      </c>
      <c r="H1419" s="6">
        <v>0</v>
      </c>
      <c r="I1419" s="6">
        <v>0</v>
      </c>
      <c r="J1419" s="6">
        <v>20</v>
      </c>
      <c r="K1419" s="6">
        <v>18.622046999999998</v>
      </c>
      <c r="L1419" s="6">
        <v>18.557046</v>
      </c>
      <c r="M1419" s="6">
        <v>18.643459</v>
      </c>
      <c r="N1419" s="6">
        <v>19.181818</v>
      </c>
      <c r="O1419" s="6">
        <v>19.119288999999998</v>
      </c>
      <c r="P1419" s="6">
        <v>18.784502</v>
      </c>
      <c r="Q1419" s="6">
        <v>19.181818</v>
      </c>
      <c r="R1419" s="6">
        <v>19.101835999999999</v>
      </c>
      <c r="S1419" s="6">
        <v>18.763134000000001</v>
      </c>
      <c r="T1419" s="6">
        <v>19.181818</v>
      </c>
      <c r="U1419" s="6">
        <v>19.101835999999999</v>
      </c>
      <c r="V1419" s="6">
        <v>18.763134000000001</v>
      </c>
    </row>
    <row r="1420" spans="2:22">
      <c r="B1420" s="6">
        <v>32625</v>
      </c>
      <c r="C1420" s="6" t="s">
        <v>1088</v>
      </c>
      <c r="D1420" s="6">
        <v>20906</v>
      </c>
      <c r="E1420" s="6" t="s">
        <v>48</v>
      </c>
      <c r="F1420" s="6" t="s">
        <v>49</v>
      </c>
      <c r="G1420" s="6" t="s">
        <v>1296</v>
      </c>
      <c r="H1420" s="6">
        <v>0</v>
      </c>
      <c r="I1420" s="6">
        <v>0</v>
      </c>
      <c r="J1420" s="6">
        <v>18</v>
      </c>
      <c r="K1420" s="6">
        <v>17.229590999999999</v>
      </c>
      <c r="L1420" s="6">
        <v>17.052391</v>
      </c>
      <c r="M1420" s="6">
        <v>17.431988</v>
      </c>
      <c r="N1420" s="6">
        <v>17.016705999999999</v>
      </c>
      <c r="O1420" s="6">
        <v>16.954350000000002</v>
      </c>
      <c r="P1420" s="6">
        <v>17.537869000000001</v>
      </c>
      <c r="Q1420" s="6">
        <v>17.016335999999999</v>
      </c>
      <c r="R1420" s="6">
        <v>16.958155999999999</v>
      </c>
      <c r="S1420" s="6">
        <v>17.538882000000001</v>
      </c>
      <c r="T1420" s="6">
        <v>17.016335999999999</v>
      </c>
      <c r="U1420" s="6">
        <v>16.958155999999999</v>
      </c>
      <c r="V1420" s="6">
        <v>17.538882000000001</v>
      </c>
    </row>
    <row r="1421" spans="2:22">
      <c r="B1421" s="6">
        <v>32626</v>
      </c>
      <c r="C1421" s="6" t="s">
        <v>1074</v>
      </c>
      <c r="D1421" s="6">
        <v>20500</v>
      </c>
      <c r="E1421" s="6" t="s">
        <v>31</v>
      </c>
      <c r="F1421" s="6" t="s">
        <v>17</v>
      </c>
      <c r="G1421" s="6" t="s">
        <v>1294</v>
      </c>
      <c r="H1421" s="6">
        <v>0</v>
      </c>
      <c r="I1421" s="6">
        <v>0</v>
      </c>
      <c r="J1421" s="6">
        <v>27</v>
      </c>
      <c r="K1421" s="6">
        <v>26.046875</v>
      </c>
      <c r="L1421" s="6">
        <v>26.199541</v>
      </c>
      <c r="M1421" s="6">
        <v>26.109717</v>
      </c>
      <c r="N1421" s="6">
        <v>26.108958000000001</v>
      </c>
      <c r="O1421" s="6">
        <v>26.328648000000001</v>
      </c>
      <c r="P1421" s="6">
        <v>26.003786000000002</v>
      </c>
      <c r="Q1421" s="6">
        <v>26.101534000000001</v>
      </c>
      <c r="R1421" s="6">
        <v>26.316153</v>
      </c>
      <c r="S1421" s="6">
        <v>25.991613999999998</v>
      </c>
      <c r="T1421" s="6">
        <v>25.645997000000001</v>
      </c>
      <c r="U1421" s="6">
        <v>25.223958</v>
      </c>
      <c r="V1421" s="6">
        <v>24.770192999999999</v>
      </c>
    </row>
    <row r="1422" spans="2:22">
      <c r="B1422" s="6">
        <v>32626</v>
      </c>
      <c r="C1422" s="6" t="s">
        <v>1074</v>
      </c>
      <c r="D1422" s="6">
        <v>20702</v>
      </c>
      <c r="E1422" s="6" t="s">
        <v>44</v>
      </c>
      <c r="F1422" s="6" t="s">
        <v>17</v>
      </c>
      <c r="G1422" s="6" t="s">
        <v>1294</v>
      </c>
      <c r="H1422" s="6">
        <v>0</v>
      </c>
      <c r="I1422" s="6">
        <v>0</v>
      </c>
      <c r="J1422" s="6">
        <v>35</v>
      </c>
      <c r="K1422" s="6">
        <v>34.851851000000003</v>
      </c>
      <c r="L1422" s="6">
        <v>34.933332999999998</v>
      </c>
      <c r="M1422" s="6">
        <v>34.897097000000002</v>
      </c>
      <c r="N1422" s="6">
        <v>34.893103000000004</v>
      </c>
      <c r="O1422" s="6">
        <v>34.949179999999998</v>
      </c>
      <c r="P1422" s="6">
        <v>34.926701000000001</v>
      </c>
      <c r="Q1422" s="6">
        <v>34.894556999999999</v>
      </c>
      <c r="R1422" s="6">
        <v>34.950949000000001</v>
      </c>
      <c r="S1422" s="6">
        <v>34.883485</v>
      </c>
      <c r="T1422" s="6">
        <v>34.894556999999999</v>
      </c>
      <c r="U1422" s="6">
        <v>34.950949000000001</v>
      </c>
      <c r="V1422" s="6">
        <v>34.883485</v>
      </c>
    </row>
    <row r="1423" spans="2:22">
      <c r="B1423" s="6">
        <v>32626</v>
      </c>
      <c r="C1423" s="6" t="s">
        <v>1074</v>
      </c>
      <c r="D1423" s="6">
        <v>20902</v>
      </c>
      <c r="E1423" s="6" t="s">
        <v>53</v>
      </c>
      <c r="F1423" s="6" t="s">
        <v>13</v>
      </c>
      <c r="G1423" s="6" t="s">
        <v>14</v>
      </c>
      <c r="H1423" s="6">
        <v>0</v>
      </c>
      <c r="I1423" s="6">
        <v>0</v>
      </c>
      <c r="J1423" s="6">
        <v>20</v>
      </c>
      <c r="K1423" s="6">
        <v>18.622046999999998</v>
      </c>
      <c r="L1423" s="6">
        <v>18.557046</v>
      </c>
      <c r="M1423" s="6">
        <v>18.643459</v>
      </c>
      <c r="N1423" s="6">
        <v>19.181818</v>
      </c>
      <c r="O1423" s="6">
        <v>19.119288999999998</v>
      </c>
      <c r="P1423" s="6">
        <v>18.784502</v>
      </c>
      <c r="Q1423" s="6">
        <v>19.181818</v>
      </c>
      <c r="R1423" s="6">
        <v>19.101835999999999</v>
      </c>
      <c r="S1423" s="6">
        <v>18.763134000000001</v>
      </c>
      <c r="T1423" s="6">
        <v>19.181818</v>
      </c>
      <c r="U1423" s="6">
        <v>19.101835999999999</v>
      </c>
      <c r="V1423" s="6">
        <v>18.763134000000001</v>
      </c>
    </row>
    <row r="1424" spans="2:22">
      <c r="B1424" s="6">
        <v>32626</v>
      </c>
      <c r="C1424" s="6" t="s">
        <v>1074</v>
      </c>
      <c r="D1424" s="6">
        <v>20906</v>
      </c>
      <c r="E1424" s="6" t="s">
        <v>48</v>
      </c>
      <c r="F1424" s="6" t="s">
        <v>49</v>
      </c>
      <c r="G1424" s="6" t="s">
        <v>1296</v>
      </c>
      <c r="H1424" s="6">
        <v>0</v>
      </c>
      <c r="I1424" s="6">
        <v>0</v>
      </c>
      <c r="J1424" s="6">
        <v>19.5</v>
      </c>
      <c r="K1424" s="6">
        <v>17.229590999999999</v>
      </c>
      <c r="L1424" s="6">
        <v>17.052391</v>
      </c>
      <c r="M1424" s="6">
        <v>17.431988</v>
      </c>
      <c r="N1424" s="6">
        <v>17.016705999999999</v>
      </c>
      <c r="O1424" s="6">
        <v>16.954350000000002</v>
      </c>
      <c r="P1424" s="6">
        <v>17.537869000000001</v>
      </c>
      <c r="Q1424" s="6">
        <v>17.016335999999999</v>
      </c>
      <c r="R1424" s="6">
        <v>16.958155999999999</v>
      </c>
      <c r="S1424" s="6">
        <v>17.538882000000001</v>
      </c>
      <c r="T1424" s="6">
        <v>17.016335999999999</v>
      </c>
      <c r="U1424" s="6">
        <v>16.958155999999999</v>
      </c>
      <c r="V1424" s="6">
        <v>17.538882000000001</v>
      </c>
    </row>
    <row r="1425" spans="2:22">
      <c r="B1425" s="6">
        <v>32627</v>
      </c>
      <c r="C1425" s="6" t="s">
        <v>997</v>
      </c>
      <c r="D1425" s="6">
        <v>12400</v>
      </c>
      <c r="E1425" s="6" t="s">
        <v>217</v>
      </c>
      <c r="F1425" s="6" t="s">
        <v>16</v>
      </c>
      <c r="G1425" s="6" t="s">
        <v>1295</v>
      </c>
      <c r="H1425" s="6">
        <v>0</v>
      </c>
      <c r="I1425" s="6">
        <v>0</v>
      </c>
      <c r="J1425" s="6">
        <v>10</v>
      </c>
      <c r="K1425" s="6">
        <v>0</v>
      </c>
      <c r="L1425" s="6">
        <v>8</v>
      </c>
      <c r="M1425" s="6">
        <v>8.5882349999999992</v>
      </c>
      <c r="N1425" s="6">
        <v>9.2387090000000001</v>
      </c>
      <c r="O1425" s="6">
        <v>8.7126429999999999</v>
      </c>
      <c r="P1425" s="6">
        <v>8.6856360000000006</v>
      </c>
      <c r="Q1425" s="6">
        <v>9.2387090000000001</v>
      </c>
      <c r="R1425" s="6">
        <v>8.7126429999999999</v>
      </c>
      <c r="S1425" s="6">
        <v>8.6856360000000006</v>
      </c>
      <c r="T1425" s="6">
        <v>8.8875729999999997</v>
      </c>
      <c r="U1425" s="6">
        <v>8.6089380000000002</v>
      </c>
      <c r="V1425" s="6">
        <v>8.6174140000000001</v>
      </c>
    </row>
    <row r="1426" spans="2:22">
      <c r="B1426" s="6">
        <v>32627</v>
      </c>
      <c r="C1426" s="6" t="s">
        <v>997</v>
      </c>
      <c r="D1426" s="6">
        <v>20920</v>
      </c>
      <c r="E1426" s="6" t="s">
        <v>231</v>
      </c>
      <c r="F1426" s="6" t="s">
        <v>16</v>
      </c>
      <c r="G1426" s="6" t="s">
        <v>1295</v>
      </c>
      <c r="H1426" s="6">
        <v>0</v>
      </c>
      <c r="I1426" s="6">
        <v>0</v>
      </c>
      <c r="J1426" s="6">
        <v>10</v>
      </c>
      <c r="K1426" s="6">
        <v>0</v>
      </c>
      <c r="L1426" s="6">
        <v>10</v>
      </c>
      <c r="M1426" s="6">
        <v>9.294117</v>
      </c>
      <c r="N1426" s="6">
        <v>8.1999999999999993</v>
      </c>
      <c r="O1426" s="6">
        <v>8.0909089999999999</v>
      </c>
      <c r="P1426" s="6">
        <v>7.923076</v>
      </c>
      <c r="Q1426" s="6">
        <v>8.1999999999999993</v>
      </c>
      <c r="R1426" s="6">
        <v>8.0909089999999999</v>
      </c>
      <c r="S1426" s="6">
        <v>7.923076</v>
      </c>
      <c r="T1426" s="6">
        <v>8.1999999999999993</v>
      </c>
      <c r="U1426" s="6">
        <v>8.0909089999999999</v>
      </c>
      <c r="V1426" s="6">
        <v>7.923076</v>
      </c>
    </row>
    <row r="1427" spans="2:22">
      <c r="B1427" s="6">
        <v>32627</v>
      </c>
      <c r="C1427" s="6" t="s">
        <v>997</v>
      </c>
      <c r="D1427" s="6">
        <v>23311</v>
      </c>
      <c r="E1427" s="6" t="s">
        <v>221</v>
      </c>
      <c r="F1427" s="6" t="s">
        <v>16</v>
      </c>
      <c r="G1427" s="6" t="s">
        <v>1295</v>
      </c>
      <c r="H1427" s="6">
        <v>0</v>
      </c>
      <c r="I1427" s="6">
        <v>0</v>
      </c>
      <c r="J1427" s="6">
        <v>10</v>
      </c>
      <c r="K1427" s="6">
        <v>0</v>
      </c>
      <c r="L1427" s="6">
        <v>0</v>
      </c>
      <c r="M1427" s="6">
        <v>10</v>
      </c>
      <c r="N1427" s="6">
        <v>10.099009000000001</v>
      </c>
      <c r="O1427" s="6">
        <v>10.02364</v>
      </c>
      <c r="P1427" s="6">
        <v>10.011260999999999</v>
      </c>
      <c r="Q1427" s="6">
        <v>10.099009000000001</v>
      </c>
      <c r="R1427" s="6">
        <v>10.02364</v>
      </c>
      <c r="S1427" s="6">
        <v>10.011260999999999</v>
      </c>
      <c r="T1427" s="6">
        <v>10.099009000000001</v>
      </c>
      <c r="U1427" s="6">
        <v>10.02364</v>
      </c>
      <c r="V1427" s="6">
        <v>10.011260999999999</v>
      </c>
    </row>
    <row r="1428" spans="2:22">
      <c r="B1428" s="6">
        <v>32627</v>
      </c>
      <c r="C1428" s="6" t="s">
        <v>997</v>
      </c>
      <c r="D1428" s="6">
        <v>23312</v>
      </c>
      <c r="E1428" s="6" t="s">
        <v>215</v>
      </c>
      <c r="F1428" s="6" t="s">
        <v>16</v>
      </c>
      <c r="G1428" s="6" t="s">
        <v>1295</v>
      </c>
      <c r="H1428" s="6">
        <v>0</v>
      </c>
      <c r="I1428" s="6">
        <v>0</v>
      </c>
      <c r="J1428" s="6">
        <v>10</v>
      </c>
      <c r="K1428" s="6">
        <v>0</v>
      </c>
      <c r="L1428" s="6">
        <v>0</v>
      </c>
      <c r="M1428" s="6">
        <v>10</v>
      </c>
      <c r="N1428" s="6">
        <v>0</v>
      </c>
      <c r="O1428" s="6">
        <v>10</v>
      </c>
      <c r="P1428" s="6">
        <v>10</v>
      </c>
      <c r="Q1428" s="6">
        <v>0</v>
      </c>
      <c r="R1428" s="6">
        <v>10</v>
      </c>
      <c r="S1428" s="6">
        <v>10</v>
      </c>
      <c r="T1428" s="6">
        <v>10</v>
      </c>
      <c r="U1428" s="6">
        <v>10</v>
      </c>
      <c r="V1428" s="6">
        <v>10.5</v>
      </c>
    </row>
    <row r="1429" spans="2:22">
      <c r="B1429" s="6">
        <v>32627</v>
      </c>
      <c r="C1429" s="6" t="s">
        <v>997</v>
      </c>
      <c r="D1429" s="6">
        <v>25005</v>
      </c>
      <c r="E1429" s="6" t="s">
        <v>232</v>
      </c>
      <c r="F1429" s="6" t="s">
        <v>16</v>
      </c>
      <c r="G1429" s="6" t="s">
        <v>1295</v>
      </c>
      <c r="H1429" s="6">
        <v>0</v>
      </c>
      <c r="I1429" s="6">
        <v>0</v>
      </c>
      <c r="J1429" s="6">
        <v>10</v>
      </c>
      <c r="K1429" s="6">
        <v>0</v>
      </c>
      <c r="L1429" s="6">
        <v>10</v>
      </c>
      <c r="M1429" s="6">
        <v>10</v>
      </c>
      <c r="N1429" s="6">
        <v>10</v>
      </c>
      <c r="O1429" s="6">
        <v>10</v>
      </c>
      <c r="P1429" s="6">
        <v>10</v>
      </c>
      <c r="Q1429" s="6">
        <v>10</v>
      </c>
      <c r="R1429" s="6">
        <v>10</v>
      </c>
      <c r="S1429" s="6">
        <v>10</v>
      </c>
      <c r="T1429" s="6">
        <v>10</v>
      </c>
      <c r="U1429" s="6">
        <v>10</v>
      </c>
      <c r="V1429" s="6">
        <v>10</v>
      </c>
    </row>
    <row r="1430" spans="2:22">
      <c r="B1430" s="6">
        <v>32627</v>
      </c>
      <c r="C1430" s="6" t="s">
        <v>997</v>
      </c>
      <c r="D1430" s="6">
        <v>80013</v>
      </c>
      <c r="E1430" s="6" t="s">
        <v>250</v>
      </c>
      <c r="F1430" s="6" t="s">
        <v>16</v>
      </c>
      <c r="G1430" s="6" t="s">
        <v>1295</v>
      </c>
      <c r="H1430" s="6">
        <v>0</v>
      </c>
      <c r="I1430" s="6">
        <v>0</v>
      </c>
      <c r="J1430" s="6">
        <v>10</v>
      </c>
      <c r="K1430" s="6">
        <v>0</v>
      </c>
      <c r="L1430" s="6">
        <v>0</v>
      </c>
      <c r="M1430" s="6">
        <v>10</v>
      </c>
      <c r="N1430" s="6">
        <v>0</v>
      </c>
      <c r="O1430" s="6">
        <v>0</v>
      </c>
      <c r="P1430" s="6">
        <v>10</v>
      </c>
      <c r="Q1430" s="6">
        <v>0</v>
      </c>
      <c r="R1430" s="6">
        <v>0</v>
      </c>
      <c r="S1430" s="6">
        <v>10</v>
      </c>
      <c r="T1430" s="6">
        <v>0</v>
      </c>
      <c r="U1430" s="6">
        <v>0</v>
      </c>
      <c r="V1430" s="6">
        <v>10</v>
      </c>
    </row>
    <row r="1431" spans="2:22">
      <c r="B1431" s="6">
        <v>32628</v>
      </c>
      <c r="C1431" s="6" t="s">
        <v>207</v>
      </c>
      <c r="D1431" s="6">
        <v>20500</v>
      </c>
      <c r="E1431" s="6" t="s">
        <v>31</v>
      </c>
      <c r="F1431" s="6" t="s">
        <v>13</v>
      </c>
      <c r="G1431" s="6" t="s">
        <v>14</v>
      </c>
      <c r="H1431" s="6">
        <v>0</v>
      </c>
      <c r="I1431" s="6">
        <v>0</v>
      </c>
      <c r="J1431" s="6">
        <v>20</v>
      </c>
      <c r="K1431" s="6">
        <v>25</v>
      </c>
      <c r="L1431" s="6">
        <v>21.25</v>
      </c>
      <c r="M1431" s="6">
        <v>20.070422000000001</v>
      </c>
      <c r="N1431" s="6">
        <v>25</v>
      </c>
      <c r="O1431" s="6">
        <v>22.5</v>
      </c>
      <c r="P1431" s="6">
        <v>20.123965999999999</v>
      </c>
      <c r="Q1431" s="6">
        <v>25</v>
      </c>
      <c r="R1431" s="6">
        <v>22.5</v>
      </c>
      <c r="S1431" s="6">
        <v>20.122949999999999</v>
      </c>
      <c r="T1431" s="6">
        <v>28.409089999999999</v>
      </c>
      <c r="U1431" s="6">
        <v>28.088235000000001</v>
      </c>
      <c r="V1431" s="6">
        <v>22.096774</v>
      </c>
    </row>
    <row r="1432" spans="2:22">
      <c r="B1432" s="6">
        <v>32628</v>
      </c>
      <c r="C1432" s="6" t="s">
        <v>207</v>
      </c>
      <c r="D1432" s="6">
        <v>20500</v>
      </c>
      <c r="E1432" s="6" t="s">
        <v>31</v>
      </c>
      <c r="F1432" s="6" t="s">
        <v>17</v>
      </c>
      <c r="G1432" s="6" t="s">
        <v>1294</v>
      </c>
      <c r="H1432" s="6">
        <v>27</v>
      </c>
      <c r="I1432" s="6">
        <v>27</v>
      </c>
      <c r="J1432" s="6">
        <v>27</v>
      </c>
      <c r="K1432" s="6">
        <v>26.093993999999999</v>
      </c>
      <c r="L1432" s="6">
        <v>26.469746000000001</v>
      </c>
      <c r="M1432" s="6">
        <v>26.000619</v>
      </c>
      <c r="N1432" s="6">
        <v>26.108958000000001</v>
      </c>
      <c r="O1432" s="6">
        <v>26.328648000000001</v>
      </c>
      <c r="P1432" s="6">
        <v>26.003786000000002</v>
      </c>
      <c r="Q1432" s="6">
        <v>26.101534000000001</v>
      </c>
      <c r="R1432" s="6">
        <v>26.316153</v>
      </c>
      <c r="S1432" s="6">
        <v>25.991613999999998</v>
      </c>
      <c r="T1432" s="6">
        <v>25.645997000000001</v>
      </c>
      <c r="U1432" s="6">
        <v>25.223958</v>
      </c>
      <c r="V1432" s="6">
        <v>24.770192999999999</v>
      </c>
    </row>
    <row r="1433" spans="2:22">
      <c r="B1433" s="6">
        <v>32628</v>
      </c>
      <c r="C1433" s="6" t="s">
        <v>207</v>
      </c>
      <c r="D1433" s="6">
        <v>20706</v>
      </c>
      <c r="E1433" s="6" t="s">
        <v>52</v>
      </c>
      <c r="F1433" s="6" t="s">
        <v>17</v>
      </c>
      <c r="G1433" s="6" t="s">
        <v>1294</v>
      </c>
      <c r="H1433" s="6">
        <v>40</v>
      </c>
      <c r="I1433" s="6">
        <v>40</v>
      </c>
      <c r="J1433" s="6">
        <v>40</v>
      </c>
      <c r="K1433" s="6">
        <v>40</v>
      </c>
      <c r="L1433" s="6">
        <v>39.985993999999998</v>
      </c>
      <c r="M1433" s="6">
        <v>39.981146000000003</v>
      </c>
      <c r="N1433" s="6">
        <v>39.962778999999998</v>
      </c>
      <c r="O1433" s="6">
        <v>39.971750999999998</v>
      </c>
      <c r="P1433" s="6">
        <v>39.969020999999998</v>
      </c>
      <c r="Q1433" s="6">
        <v>39.963768000000002</v>
      </c>
      <c r="R1433" s="6">
        <v>39.972496999999997</v>
      </c>
      <c r="S1433" s="6">
        <v>39.969659999999998</v>
      </c>
      <c r="T1433" s="6">
        <v>39.867787999999997</v>
      </c>
      <c r="U1433" s="6">
        <v>39.928649</v>
      </c>
      <c r="V1433" s="6">
        <v>39.945453999999998</v>
      </c>
    </row>
    <row r="1434" spans="2:22">
      <c r="B1434" s="6">
        <v>32628</v>
      </c>
      <c r="C1434" s="6" t="s">
        <v>207</v>
      </c>
      <c r="D1434" s="6">
        <v>20902</v>
      </c>
      <c r="E1434" s="6" t="s">
        <v>53</v>
      </c>
      <c r="F1434" s="6" t="s">
        <v>16</v>
      </c>
      <c r="G1434" s="6" t="s">
        <v>1295</v>
      </c>
      <c r="H1434" s="6">
        <v>30</v>
      </c>
      <c r="I1434" s="6">
        <v>30</v>
      </c>
      <c r="J1434" s="6">
        <v>30</v>
      </c>
      <c r="K1434" s="6">
        <v>27.235294</v>
      </c>
      <c r="L1434" s="6">
        <v>26.730157999999999</v>
      </c>
      <c r="M1434" s="6">
        <v>28.302752000000002</v>
      </c>
      <c r="N1434" s="6">
        <v>27.102803000000002</v>
      </c>
      <c r="O1434" s="6">
        <v>26.100322999999999</v>
      </c>
      <c r="P1434" s="6">
        <v>27.578899</v>
      </c>
      <c r="Q1434" s="6">
        <v>27.102803000000002</v>
      </c>
      <c r="R1434" s="6">
        <v>26.100322999999999</v>
      </c>
      <c r="S1434" s="6">
        <v>27.558453</v>
      </c>
      <c r="T1434" s="6">
        <v>26.737159999999999</v>
      </c>
      <c r="U1434" s="6">
        <v>25.752351000000001</v>
      </c>
      <c r="V1434" s="6">
        <v>27.323633000000001</v>
      </c>
    </row>
    <row r="1435" spans="2:22">
      <c r="B1435" s="6">
        <v>32628</v>
      </c>
      <c r="C1435" s="6" t="s">
        <v>207</v>
      </c>
      <c r="D1435" s="6">
        <v>20902</v>
      </c>
      <c r="E1435" s="6" t="s">
        <v>53</v>
      </c>
      <c r="F1435" s="6" t="s">
        <v>13</v>
      </c>
      <c r="G1435" s="6" t="s">
        <v>14</v>
      </c>
      <c r="H1435" s="6">
        <v>0</v>
      </c>
      <c r="I1435" s="6">
        <v>20</v>
      </c>
      <c r="J1435" s="6">
        <v>20</v>
      </c>
      <c r="K1435" s="6">
        <v>19.956309999999998</v>
      </c>
      <c r="L1435" s="6">
        <v>19.965827000000001</v>
      </c>
      <c r="M1435" s="6">
        <v>19.613216000000001</v>
      </c>
      <c r="N1435" s="6">
        <v>19.181818</v>
      </c>
      <c r="O1435" s="6">
        <v>19.119288999999998</v>
      </c>
      <c r="P1435" s="6">
        <v>18.784502</v>
      </c>
      <c r="Q1435" s="6">
        <v>19.181818</v>
      </c>
      <c r="R1435" s="6">
        <v>19.101835999999999</v>
      </c>
      <c r="S1435" s="6">
        <v>18.763134000000001</v>
      </c>
      <c r="T1435" s="6">
        <v>19.181818</v>
      </c>
      <c r="U1435" s="6">
        <v>19.101835999999999</v>
      </c>
      <c r="V1435" s="6">
        <v>18.763134000000001</v>
      </c>
    </row>
    <row r="1436" spans="2:22">
      <c r="B1436" s="6">
        <v>32628</v>
      </c>
      <c r="C1436" s="6" t="s">
        <v>207</v>
      </c>
      <c r="D1436" s="6">
        <v>20906</v>
      </c>
      <c r="E1436" s="6" t="s">
        <v>48</v>
      </c>
      <c r="F1436" s="6" t="s">
        <v>49</v>
      </c>
      <c r="G1436" s="6" t="s">
        <v>1296</v>
      </c>
      <c r="H1436" s="6">
        <v>17.266666000000001</v>
      </c>
      <c r="I1436" s="6">
        <v>17.125</v>
      </c>
      <c r="J1436" s="6">
        <v>18.295774000000002</v>
      </c>
      <c r="K1436" s="6">
        <v>16.923482</v>
      </c>
      <c r="L1436" s="6">
        <v>16.908185</v>
      </c>
      <c r="M1436" s="6">
        <v>17.652851999999999</v>
      </c>
      <c r="N1436" s="6">
        <v>17.016705999999999</v>
      </c>
      <c r="O1436" s="6">
        <v>16.954350000000002</v>
      </c>
      <c r="P1436" s="6">
        <v>17.537869000000001</v>
      </c>
      <c r="Q1436" s="6">
        <v>17.016335999999999</v>
      </c>
      <c r="R1436" s="6">
        <v>16.958155999999999</v>
      </c>
      <c r="S1436" s="6">
        <v>17.538882000000001</v>
      </c>
      <c r="T1436" s="6">
        <v>17.016335999999999</v>
      </c>
      <c r="U1436" s="6">
        <v>16.958155999999999</v>
      </c>
      <c r="V1436" s="6">
        <v>17.538882000000001</v>
      </c>
    </row>
    <row r="1437" spans="2:22">
      <c r="B1437" s="6">
        <v>32631</v>
      </c>
      <c r="C1437" s="6" t="s">
        <v>1075</v>
      </c>
      <c r="D1437" s="6">
        <v>20500</v>
      </c>
      <c r="E1437" s="6" t="s">
        <v>31</v>
      </c>
      <c r="F1437" s="6" t="s">
        <v>17</v>
      </c>
      <c r="G1437" s="6" t="s">
        <v>1294</v>
      </c>
      <c r="H1437" s="6">
        <v>0</v>
      </c>
      <c r="I1437" s="6">
        <v>0</v>
      </c>
      <c r="J1437" s="6">
        <v>27</v>
      </c>
      <c r="K1437" s="6">
        <v>26.093993999999999</v>
      </c>
      <c r="L1437" s="6">
        <v>26.469746000000001</v>
      </c>
      <c r="M1437" s="6">
        <v>26.000619</v>
      </c>
      <c r="N1437" s="6">
        <v>26.108958000000001</v>
      </c>
      <c r="O1437" s="6">
        <v>26.328648000000001</v>
      </c>
      <c r="P1437" s="6">
        <v>26.003786000000002</v>
      </c>
      <c r="Q1437" s="6">
        <v>26.101534000000001</v>
      </c>
      <c r="R1437" s="6">
        <v>26.316153</v>
      </c>
      <c r="S1437" s="6">
        <v>25.991613999999998</v>
      </c>
      <c r="T1437" s="6">
        <v>25.645997000000001</v>
      </c>
      <c r="U1437" s="6">
        <v>25.223958</v>
      </c>
      <c r="V1437" s="6">
        <v>24.770192999999999</v>
      </c>
    </row>
    <row r="1438" spans="2:22">
      <c r="B1438" s="6">
        <v>32631</v>
      </c>
      <c r="C1438" s="6" t="s">
        <v>1075</v>
      </c>
      <c r="D1438" s="6">
        <v>20706</v>
      </c>
      <c r="E1438" s="6" t="s">
        <v>52</v>
      </c>
      <c r="F1438" s="6" t="s">
        <v>17</v>
      </c>
      <c r="G1438" s="6" t="s">
        <v>1294</v>
      </c>
      <c r="H1438" s="6">
        <v>0</v>
      </c>
      <c r="I1438" s="6">
        <v>0</v>
      </c>
      <c r="J1438" s="6">
        <v>40</v>
      </c>
      <c r="K1438" s="6">
        <v>40</v>
      </c>
      <c r="L1438" s="6">
        <v>39.985993999999998</v>
      </c>
      <c r="M1438" s="6">
        <v>39.981146000000003</v>
      </c>
      <c r="N1438" s="6">
        <v>39.962778999999998</v>
      </c>
      <c r="O1438" s="6">
        <v>39.971750999999998</v>
      </c>
      <c r="P1438" s="6">
        <v>39.969020999999998</v>
      </c>
      <c r="Q1438" s="6">
        <v>39.963768000000002</v>
      </c>
      <c r="R1438" s="6">
        <v>39.972496999999997</v>
      </c>
      <c r="S1438" s="6">
        <v>39.969659999999998</v>
      </c>
      <c r="T1438" s="6">
        <v>39.867787999999997</v>
      </c>
      <c r="U1438" s="6">
        <v>39.928649</v>
      </c>
      <c r="V1438" s="6">
        <v>39.945453999999998</v>
      </c>
    </row>
    <row r="1439" spans="2:22">
      <c r="B1439" s="6">
        <v>32631</v>
      </c>
      <c r="C1439" s="6" t="s">
        <v>1075</v>
      </c>
      <c r="D1439" s="6">
        <v>20902</v>
      </c>
      <c r="E1439" s="6" t="s">
        <v>53</v>
      </c>
      <c r="F1439" s="6" t="s">
        <v>13</v>
      </c>
      <c r="G1439" s="6" t="s">
        <v>14</v>
      </c>
      <c r="H1439" s="6">
        <v>0</v>
      </c>
      <c r="I1439" s="6">
        <v>0</v>
      </c>
      <c r="J1439" s="6">
        <v>20</v>
      </c>
      <c r="K1439" s="6">
        <v>19.956309999999998</v>
      </c>
      <c r="L1439" s="6">
        <v>19.965827000000001</v>
      </c>
      <c r="M1439" s="6">
        <v>19.613216000000001</v>
      </c>
      <c r="N1439" s="6">
        <v>19.181818</v>
      </c>
      <c r="O1439" s="6">
        <v>19.119288999999998</v>
      </c>
      <c r="P1439" s="6">
        <v>18.784502</v>
      </c>
      <c r="Q1439" s="6">
        <v>19.181818</v>
      </c>
      <c r="R1439" s="6">
        <v>19.101835999999999</v>
      </c>
      <c r="S1439" s="6">
        <v>18.763134000000001</v>
      </c>
      <c r="T1439" s="6">
        <v>19.181818</v>
      </c>
      <c r="U1439" s="6">
        <v>19.101835999999999</v>
      </c>
      <c r="V1439" s="6">
        <v>18.763134000000001</v>
      </c>
    </row>
    <row r="1440" spans="2:22">
      <c r="B1440" s="6">
        <v>32631</v>
      </c>
      <c r="C1440" s="6" t="s">
        <v>1075</v>
      </c>
      <c r="D1440" s="6">
        <v>20906</v>
      </c>
      <c r="E1440" s="6" t="s">
        <v>48</v>
      </c>
      <c r="F1440" s="6" t="s">
        <v>49</v>
      </c>
      <c r="G1440" s="6" t="s">
        <v>1296</v>
      </c>
      <c r="H1440" s="6">
        <v>0</v>
      </c>
      <c r="I1440" s="6">
        <v>0</v>
      </c>
      <c r="J1440" s="6">
        <v>18</v>
      </c>
      <c r="K1440" s="6">
        <v>16.923482</v>
      </c>
      <c r="L1440" s="6">
        <v>16.908185</v>
      </c>
      <c r="M1440" s="6">
        <v>17.652851999999999</v>
      </c>
      <c r="N1440" s="6">
        <v>17.016705999999999</v>
      </c>
      <c r="O1440" s="6">
        <v>16.954350000000002</v>
      </c>
      <c r="P1440" s="6">
        <v>17.537869000000001</v>
      </c>
      <c r="Q1440" s="6">
        <v>17.016335999999999</v>
      </c>
      <c r="R1440" s="6">
        <v>16.958155999999999</v>
      </c>
      <c r="S1440" s="6">
        <v>17.538882000000001</v>
      </c>
      <c r="T1440" s="6">
        <v>17.016335999999999</v>
      </c>
      <c r="U1440" s="6">
        <v>16.958155999999999</v>
      </c>
      <c r="V1440" s="6">
        <v>17.538882000000001</v>
      </c>
    </row>
    <row r="1441" spans="2:22">
      <c r="B1441" s="6">
        <v>32632</v>
      </c>
      <c r="C1441" s="6" t="s">
        <v>1179</v>
      </c>
      <c r="D1441" s="6">
        <v>23317</v>
      </c>
      <c r="E1441" s="6" t="s">
        <v>1234</v>
      </c>
      <c r="F1441" s="6" t="s">
        <v>16</v>
      </c>
      <c r="G1441" s="6" t="s">
        <v>1295</v>
      </c>
      <c r="H1441" s="6">
        <v>0</v>
      </c>
      <c r="I1441" s="6">
        <v>0</v>
      </c>
      <c r="J1441" s="6">
        <v>15</v>
      </c>
      <c r="K1441" s="6">
        <v>0</v>
      </c>
      <c r="L1441" s="6">
        <v>0</v>
      </c>
      <c r="M1441" s="6">
        <v>15</v>
      </c>
      <c r="N1441" s="6">
        <v>0</v>
      </c>
      <c r="O1441" s="6">
        <v>0</v>
      </c>
      <c r="P1441" s="6">
        <v>15</v>
      </c>
      <c r="Q1441" s="6">
        <v>0</v>
      </c>
      <c r="R1441" s="6">
        <v>0</v>
      </c>
      <c r="S1441" s="6">
        <v>15</v>
      </c>
      <c r="T1441" s="6">
        <v>0</v>
      </c>
      <c r="U1441" s="6">
        <v>0</v>
      </c>
      <c r="V1441" s="6">
        <v>15</v>
      </c>
    </row>
    <row r="1442" spans="2:22">
      <c r="B1442" s="6">
        <v>32632</v>
      </c>
      <c r="C1442" s="6" t="s">
        <v>1179</v>
      </c>
      <c r="D1442" s="6">
        <v>23318</v>
      </c>
      <c r="E1442" s="6" t="s">
        <v>1237</v>
      </c>
      <c r="F1442" s="6" t="s">
        <v>16</v>
      </c>
      <c r="G1442" s="6" t="s">
        <v>1295</v>
      </c>
      <c r="H1442" s="6">
        <v>0</v>
      </c>
      <c r="I1442" s="6">
        <v>0</v>
      </c>
      <c r="J1442" s="6">
        <v>10</v>
      </c>
      <c r="K1442" s="6">
        <v>0</v>
      </c>
      <c r="L1442" s="6">
        <v>0</v>
      </c>
      <c r="M1442" s="6">
        <v>10</v>
      </c>
      <c r="N1442" s="6">
        <v>0</v>
      </c>
      <c r="O1442" s="6">
        <v>0</v>
      </c>
      <c r="P1442" s="6">
        <v>10</v>
      </c>
      <c r="Q1442" s="6">
        <v>0</v>
      </c>
      <c r="R1442" s="6">
        <v>0</v>
      </c>
      <c r="S1442" s="6">
        <v>10</v>
      </c>
      <c r="T1442" s="6">
        <v>0</v>
      </c>
      <c r="U1442" s="6">
        <v>0</v>
      </c>
      <c r="V1442" s="6">
        <v>10</v>
      </c>
    </row>
    <row r="1443" spans="2:22">
      <c r="B1443" s="6">
        <v>32632</v>
      </c>
      <c r="C1443" s="6" t="s">
        <v>1179</v>
      </c>
      <c r="D1443" s="6">
        <v>23318</v>
      </c>
      <c r="E1443" s="6" t="s">
        <v>1237</v>
      </c>
      <c r="F1443" s="6" t="s">
        <v>1305</v>
      </c>
      <c r="G1443" s="6" t="s">
        <v>1306</v>
      </c>
      <c r="H1443" s="6">
        <v>5</v>
      </c>
      <c r="I1443" s="6">
        <v>5</v>
      </c>
      <c r="J1443" s="6">
        <v>5</v>
      </c>
      <c r="K1443" s="6">
        <v>5</v>
      </c>
      <c r="L1443" s="6">
        <v>5</v>
      </c>
      <c r="M1443" s="6">
        <v>5</v>
      </c>
      <c r="N1443" s="6">
        <v>5</v>
      </c>
      <c r="O1443" s="6">
        <v>5</v>
      </c>
      <c r="P1443" s="6">
        <v>5</v>
      </c>
      <c r="Q1443" s="6">
        <v>5</v>
      </c>
      <c r="R1443" s="6">
        <v>5</v>
      </c>
      <c r="S1443" s="6">
        <v>5</v>
      </c>
      <c r="T1443" s="6">
        <v>5</v>
      </c>
      <c r="U1443" s="6">
        <v>5</v>
      </c>
      <c r="V1443" s="6">
        <v>5</v>
      </c>
    </row>
    <row r="1444" spans="2:22">
      <c r="B1444" s="6">
        <v>32632</v>
      </c>
      <c r="C1444" s="6" t="s">
        <v>1179</v>
      </c>
      <c r="D1444" s="6">
        <v>23319</v>
      </c>
      <c r="E1444" s="6" t="s">
        <v>1238</v>
      </c>
      <c r="F1444" s="6" t="s">
        <v>16</v>
      </c>
      <c r="G1444" s="6" t="s">
        <v>1295</v>
      </c>
      <c r="H1444" s="6">
        <v>0</v>
      </c>
      <c r="I1444" s="6">
        <v>0</v>
      </c>
      <c r="J1444" s="6">
        <v>10</v>
      </c>
      <c r="K1444" s="6">
        <v>0</v>
      </c>
      <c r="L1444" s="6">
        <v>0</v>
      </c>
      <c r="M1444" s="6">
        <v>10</v>
      </c>
      <c r="N1444" s="6">
        <v>0</v>
      </c>
      <c r="O1444" s="6">
        <v>0</v>
      </c>
      <c r="P1444" s="6">
        <v>10</v>
      </c>
      <c r="Q1444" s="6">
        <v>0</v>
      </c>
      <c r="R1444" s="6">
        <v>0</v>
      </c>
      <c r="S1444" s="6">
        <v>10</v>
      </c>
      <c r="T1444" s="6">
        <v>0</v>
      </c>
      <c r="U1444" s="6">
        <v>0</v>
      </c>
      <c r="V1444" s="6">
        <v>10</v>
      </c>
    </row>
    <row r="1445" spans="2:22">
      <c r="B1445" s="6">
        <v>32632</v>
      </c>
      <c r="C1445" s="6" t="s">
        <v>1179</v>
      </c>
      <c r="D1445" s="6">
        <v>23319</v>
      </c>
      <c r="E1445" s="6" t="s">
        <v>1238</v>
      </c>
      <c r="F1445" s="6" t="s">
        <v>1305</v>
      </c>
      <c r="G1445" s="6" t="s">
        <v>1306</v>
      </c>
      <c r="H1445" s="6">
        <v>0</v>
      </c>
      <c r="I1445" s="6">
        <v>0</v>
      </c>
      <c r="J1445" s="6">
        <v>10</v>
      </c>
      <c r="K1445" s="6">
        <v>0</v>
      </c>
      <c r="L1445" s="6">
        <v>0</v>
      </c>
      <c r="M1445" s="6">
        <v>10</v>
      </c>
      <c r="N1445" s="6">
        <v>0</v>
      </c>
      <c r="O1445" s="6">
        <v>0</v>
      </c>
      <c r="P1445" s="6">
        <v>10</v>
      </c>
      <c r="Q1445" s="6">
        <v>0</v>
      </c>
      <c r="R1445" s="6">
        <v>0</v>
      </c>
      <c r="S1445" s="6">
        <v>10</v>
      </c>
      <c r="T1445" s="6">
        <v>0</v>
      </c>
      <c r="U1445" s="6">
        <v>0</v>
      </c>
      <c r="V1445" s="6">
        <v>10</v>
      </c>
    </row>
    <row r="1446" spans="2:22">
      <c r="B1446" s="6">
        <v>32632</v>
      </c>
      <c r="C1446" s="6" t="s">
        <v>1179</v>
      </c>
      <c r="D1446" s="6">
        <v>24000</v>
      </c>
      <c r="E1446" s="6" t="s">
        <v>72</v>
      </c>
      <c r="F1446" s="6" t="s">
        <v>73</v>
      </c>
      <c r="G1446" s="6" t="s">
        <v>1299</v>
      </c>
      <c r="H1446" s="6">
        <v>0</v>
      </c>
      <c r="I1446" s="6">
        <v>0</v>
      </c>
      <c r="J1446" s="6">
        <v>15</v>
      </c>
      <c r="K1446" s="6">
        <v>0</v>
      </c>
      <c r="L1446" s="6">
        <v>0</v>
      </c>
      <c r="M1446" s="6">
        <v>15</v>
      </c>
      <c r="N1446" s="6">
        <v>0</v>
      </c>
      <c r="O1446" s="6">
        <v>0</v>
      </c>
      <c r="P1446" s="6">
        <v>15</v>
      </c>
      <c r="Q1446" s="6">
        <v>0</v>
      </c>
      <c r="R1446" s="6">
        <v>0</v>
      </c>
      <c r="S1446" s="6">
        <v>15</v>
      </c>
      <c r="T1446" s="6">
        <v>0</v>
      </c>
      <c r="U1446" s="6">
        <v>0</v>
      </c>
      <c r="V1446" s="6">
        <v>15</v>
      </c>
    </row>
    <row r="1447" spans="2:22">
      <c r="B1447" s="6">
        <v>32632</v>
      </c>
      <c r="C1447" s="6" t="s">
        <v>1179</v>
      </c>
      <c r="D1447" s="6">
        <v>24000</v>
      </c>
      <c r="E1447" s="6" t="s">
        <v>72</v>
      </c>
      <c r="F1447" s="6" t="s">
        <v>38</v>
      </c>
      <c r="G1447" s="6" t="s">
        <v>1302</v>
      </c>
      <c r="H1447" s="6">
        <v>0</v>
      </c>
      <c r="I1447" s="6">
        <v>15</v>
      </c>
      <c r="J1447" s="6">
        <v>15</v>
      </c>
      <c r="K1447" s="6">
        <v>0</v>
      </c>
      <c r="L1447" s="6">
        <v>15</v>
      </c>
      <c r="M1447" s="6">
        <v>15</v>
      </c>
      <c r="N1447" s="6">
        <v>0</v>
      </c>
      <c r="O1447" s="6">
        <v>15</v>
      </c>
      <c r="P1447" s="6">
        <v>15</v>
      </c>
      <c r="Q1447" s="6">
        <v>0</v>
      </c>
      <c r="R1447" s="6">
        <v>15</v>
      </c>
      <c r="S1447" s="6">
        <v>15</v>
      </c>
      <c r="T1447" s="6">
        <v>0</v>
      </c>
      <c r="U1447" s="6">
        <v>15</v>
      </c>
      <c r="V1447" s="6">
        <v>15</v>
      </c>
    </row>
    <row r="1448" spans="2:22">
      <c r="B1448" s="6">
        <v>32632</v>
      </c>
      <c r="C1448" s="6" t="s">
        <v>1179</v>
      </c>
      <c r="D1448" s="6">
        <v>25000</v>
      </c>
      <c r="E1448" s="6" t="s">
        <v>1226</v>
      </c>
      <c r="F1448" s="6" t="s">
        <v>1309</v>
      </c>
      <c r="G1448" s="6" t="s">
        <v>1310</v>
      </c>
      <c r="H1448" s="6">
        <v>10</v>
      </c>
      <c r="I1448" s="6">
        <v>10</v>
      </c>
      <c r="J1448" s="6">
        <v>10</v>
      </c>
      <c r="K1448" s="6">
        <v>10</v>
      </c>
      <c r="L1448" s="6">
        <v>10</v>
      </c>
      <c r="M1448" s="6">
        <v>10</v>
      </c>
      <c r="N1448" s="6">
        <v>10</v>
      </c>
      <c r="O1448" s="6">
        <v>10</v>
      </c>
      <c r="P1448" s="6">
        <v>10</v>
      </c>
      <c r="Q1448" s="6">
        <v>10</v>
      </c>
      <c r="R1448" s="6">
        <v>10</v>
      </c>
      <c r="S1448" s="6">
        <v>10</v>
      </c>
      <c r="T1448" s="6">
        <v>10</v>
      </c>
      <c r="U1448" s="6">
        <v>10</v>
      </c>
      <c r="V1448" s="6">
        <v>10</v>
      </c>
    </row>
    <row r="1449" spans="2:22">
      <c r="B1449" s="6">
        <v>32632</v>
      </c>
      <c r="C1449" s="6" t="s">
        <v>1179</v>
      </c>
      <c r="D1449" s="6">
        <v>25000</v>
      </c>
      <c r="E1449" s="6" t="s">
        <v>1226</v>
      </c>
      <c r="F1449" s="6" t="s">
        <v>1309</v>
      </c>
      <c r="G1449" s="6" t="s">
        <v>1310</v>
      </c>
      <c r="H1449" s="6">
        <v>10</v>
      </c>
      <c r="I1449" s="6">
        <v>10</v>
      </c>
      <c r="J1449" s="6">
        <v>10</v>
      </c>
      <c r="K1449" s="6">
        <v>10</v>
      </c>
      <c r="L1449" s="6">
        <v>10</v>
      </c>
      <c r="M1449" s="6">
        <v>10</v>
      </c>
      <c r="N1449" s="6">
        <v>10</v>
      </c>
      <c r="O1449" s="6">
        <v>10</v>
      </c>
      <c r="P1449" s="6">
        <v>10</v>
      </c>
      <c r="Q1449" s="6">
        <v>10</v>
      </c>
      <c r="R1449" s="6">
        <v>10</v>
      </c>
      <c r="S1449" s="6">
        <v>10</v>
      </c>
      <c r="T1449" s="6">
        <v>10</v>
      </c>
      <c r="U1449" s="6">
        <v>10</v>
      </c>
      <c r="V1449" s="6">
        <v>10</v>
      </c>
    </row>
    <row r="1450" spans="2:22">
      <c r="B1450" s="6">
        <v>32632</v>
      </c>
      <c r="C1450" s="6" t="s">
        <v>1179</v>
      </c>
      <c r="D1450" s="6">
        <v>25000</v>
      </c>
      <c r="E1450" s="6" t="s">
        <v>1226</v>
      </c>
      <c r="F1450" s="6" t="s">
        <v>16</v>
      </c>
      <c r="G1450" s="6" t="s">
        <v>1295</v>
      </c>
      <c r="H1450" s="6">
        <v>10</v>
      </c>
      <c r="I1450" s="6">
        <v>10.285714</v>
      </c>
      <c r="J1450" s="6">
        <v>9.6363629999999993</v>
      </c>
      <c r="K1450" s="6">
        <v>13.076923000000001</v>
      </c>
      <c r="L1450" s="6">
        <v>14.533333000000001</v>
      </c>
      <c r="M1450" s="6">
        <v>15.393442</v>
      </c>
      <c r="N1450" s="6">
        <v>13.076923000000001</v>
      </c>
      <c r="O1450" s="6">
        <v>14.533333000000001</v>
      </c>
      <c r="P1450" s="6">
        <v>15.139533999999999</v>
      </c>
      <c r="Q1450" s="6">
        <v>13.076923000000001</v>
      </c>
      <c r="R1450" s="6">
        <v>14.533333000000001</v>
      </c>
      <c r="S1450" s="6">
        <v>15.139533999999999</v>
      </c>
      <c r="T1450" s="6">
        <v>13.076923000000001</v>
      </c>
      <c r="U1450" s="6">
        <v>14.533333000000001</v>
      </c>
      <c r="V1450" s="6">
        <v>15.139533999999999</v>
      </c>
    </row>
    <row r="1451" spans="2:22">
      <c r="B1451" s="6">
        <v>32632</v>
      </c>
      <c r="C1451" s="6" t="s">
        <v>1179</v>
      </c>
      <c r="D1451" s="6">
        <v>25000</v>
      </c>
      <c r="E1451" s="6" t="s">
        <v>1226</v>
      </c>
      <c r="F1451" s="6" t="s">
        <v>16</v>
      </c>
      <c r="G1451" s="6" t="s">
        <v>1295</v>
      </c>
      <c r="H1451" s="6">
        <v>10</v>
      </c>
      <c r="I1451" s="6">
        <v>10.285714</v>
      </c>
      <c r="J1451" s="6">
        <v>9.6363629999999993</v>
      </c>
      <c r="K1451" s="6">
        <v>13.076923000000001</v>
      </c>
      <c r="L1451" s="6">
        <v>14.533333000000001</v>
      </c>
      <c r="M1451" s="6">
        <v>15.393442</v>
      </c>
      <c r="N1451" s="6">
        <v>13.076923000000001</v>
      </c>
      <c r="O1451" s="6">
        <v>14.533333000000001</v>
      </c>
      <c r="P1451" s="6">
        <v>15.139533999999999</v>
      </c>
      <c r="Q1451" s="6">
        <v>13.076923000000001</v>
      </c>
      <c r="R1451" s="6">
        <v>14.533333000000001</v>
      </c>
      <c r="S1451" s="6">
        <v>15.139533999999999</v>
      </c>
      <c r="T1451" s="6">
        <v>13.076923000000001</v>
      </c>
      <c r="U1451" s="6">
        <v>14.533333000000001</v>
      </c>
      <c r="V1451" s="6">
        <v>15.139533999999999</v>
      </c>
    </row>
    <row r="1452" spans="2:22">
      <c r="B1452" s="6">
        <v>32633</v>
      </c>
      <c r="C1452" s="6" t="s">
        <v>1174</v>
      </c>
      <c r="D1452" s="6">
        <v>23317</v>
      </c>
      <c r="E1452" s="6" t="s">
        <v>1234</v>
      </c>
      <c r="F1452" s="6" t="s">
        <v>16</v>
      </c>
      <c r="G1452" s="6" t="s">
        <v>1295</v>
      </c>
      <c r="H1452" s="6">
        <v>0</v>
      </c>
      <c r="I1452" s="6">
        <v>0</v>
      </c>
      <c r="J1452" s="6">
        <v>15</v>
      </c>
      <c r="K1452" s="6">
        <v>0</v>
      </c>
      <c r="L1452" s="6">
        <v>0</v>
      </c>
      <c r="M1452" s="6">
        <v>15</v>
      </c>
      <c r="N1452" s="6">
        <v>0</v>
      </c>
      <c r="O1452" s="6">
        <v>0</v>
      </c>
      <c r="P1452" s="6">
        <v>15</v>
      </c>
      <c r="Q1452" s="6">
        <v>0</v>
      </c>
      <c r="R1452" s="6">
        <v>0</v>
      </c>
      <c r="S1452" s="6">
        <v>15</v>
      </c>
      <c r="T1452" s="6">
        <v>0</v>
      </c>
      <c r="U1452" s="6">
        <v>0</v>
      </c>
      <c r="V1452" s="6">
        <v>15</v>
      </c>
    </row>
    <row r="1453" spans="2:22">
      <c r="B1453" s="6">
        <v>32633</v>
      </c>
      <c r="C1453" s="6" t="s">
        <v>1174</v>
      </c>
      <c r="D1453" s="6">
        <v>23318</v>
      </c>
      <c r="E1453" s="6" t="s">
        <v>1237</v>
      </c>
      <c r="F1453" s="6" t="s">
        <v>16</v>
      </c>
      <c r="G1453" s="6" t="s">
        <v>1295</v>
      </c>
      <c r="H1453" s="6">
        <v>0</v>
      </c>
      <c r="I1453" s="6">
        <v>0</v>
      </c>
      <c r="J1453" s="6">
        <v>10</v>
      </c>
      <c r="K1453" s="6">
        <v>0</v>
      </c>
      <c r="L1453" s="6">
        <v>0</v>
      </c>
      <c r="M1453" s="6">
        <v>10</v>
      </c>
      <c r="N1453" s="6">
        <v>0</v>
      </c>
      <c r="O1453" s="6">
        <v>0</v>
      </c>
      <c r="P1453" s="6">
        <v>10</v>
      </c>
      <c r="Q1453" s="6">
        <v>0</v>
      </c>
      <c r="R1453" s="6">
        <v>0</v>
      </c>
      <c r="S1453" s="6">
        <v>10</v>
      </c>
      <c r="T1453" s="6">
        <v>0</v>
      </c>
      <c r="U1453" s="6">
        <v>0</v>
      </c>
      <c r="V1453" s="6">
        <v>10</v>
      </c>
    </row>
    <row r="1454" spans="2:22">
      <c r="B1454" s="6">
        <v>32633</v>
      </c>
      <c r="C1454" s="6" t="s">
        <v>1174</v>
      </c>
      <c r="D1454" s="6">
        <v>23319</v>
      </c>
      <c r="E1454" s="6" t="s">
        <v>1238</v>
      </c>
      <c r="F1454" s="6" t="s">
        <v>16</v>
      </c>
      <c r="G1454" s="6" t="s">
        <v>1295</v>
      </c>
      <c r="H1454" s="6">
        <v>0</v>
      </c>
      <c r="I1454" s="6">
        <v>0</v>
      </c>
      <c r="J1454" s="6">
        <v>10</v>
      </c>
      <c r="K1454" s="6">
        <v>0</v>
      </c>
      <c r="L1454" s="6">
        <v>0</v>
      </c>
      <c r="M1454" s="6">
        <v>10</v>
      </c>
      <c r="N1454" s="6">
        <v>0</v>
      </c>
      <c r="O1454" s="6">
        <v>0</v>
      </c>
      <c r="P1454" s="6">
        <v>10</v>
      </c>
      <c r="Q1454" s="6">
        <v>0</v>
      </c>
      <c r="R1454" s="6">
        <v>0</v>
      </c>
      <c r="S1454" s="6">
        <v>10</v>
      </c>
      <c r="T1454" s="6">
        <v>0</v>
      </c>
      <c r="U1454" s="6">
        <v>0</v>
      </c>
      <c r="V1454" s="6">
        <v>10</v>
      </c>
    </row>
    <row r="1455" spans="2:22">
      <c r="B1455" s="6">
        <v>32633</v>
      </c>
      <c r="C1455" s="6" t="s">
        <v>1174</v>
      </c>
      <c r="D1455" s="6">
        <v>23319</v>
      </c>
      <c r="E1455" s="6" t="s">
        <v>1238</v>
      </c>
      <c r="F1455" s="6" t="s">
        <v>1305</v>
      </c>
      <c r="G1455" s="6" t="s">
        <v>1306</v>
      </c>
      <c r="H1455" s="6">
        <v>0</v>
      </c>
      <c r="I1455" s="6">
        <v>0</v>
      </c>
      <c r="J1455" s="6">
        <v>10</v>
      </c>
      <c r="K1455" s="6">
        <v>0</v>
      </c>
      <c r="L1455" s="6">
        <v>0</v>
      </c>
      <c r="M1455" s="6">
        <v>10</v>
      </c>
      <c r="N1455" s="6">
        <v>0</v>
      </c>
      <c r="O1455" s="6">
        <v>0</v>
      </c>
      <c r="P1455" s="6">
        <v>10</v>
      </c>
      <c r="Q1455" s="6">
        <v>0</v>
      </c>
      <c r="R1455" s="6">
        <v>0</v>
      </c>
      <c r="S1455" s="6">
        <v>10</v>
      </c>
      <c r="T1455" s="6">
        <v>0</v>
      </c>
      <c r="U1455" s="6">
        <v>0</v>
      </c>
      <c r="V1455" s="6">
        <v>10</v>
      </c>
    </row>
    <row r="1456" spans="2:22">
      <c r="B1456" s="6">
        <v>32633</v>
      </c>
      <c r="C1456" s="6" t="s">
        <v>1174</v>
      </c>
      <c r="D1456" s="6">
        <v>24000</v>
      </c>
      <c r="E1456" s="6" t="s">
        <v>72</v>
      </c>
      <c r="F1456" s="6" t="s">
        <v>38</v>
      </c>
      <c r="G1456" s="6" t="s">
        <v>1302</v>
      </c>
      <c r="H1456" s="6">
        <v>0</v>
      </c>
      <c r="I1456" s="6">
        <v>0</v>
      </c>
      <c r="J1456" s="6">
        <v>15</v>
      </c>
      <c r="K1456" s="6">
        <v>0</v>
      </c>
      <c r="L1456" s="6">
        <v>15</v>
      </c>
      <c r="M1456" s="6">
        <v>15</v>
      </c>
      <c r="N1456" s="6">
        <v>0</v>
      </c>
      <c r="O1456" s="6">
        <v>15</v>
      </c>
      <c r="P1456" s="6">
        <v>15</v>
      </c>
      <c r="Q1456" s="6">
        <v>0</v>
      </c>
      <c r="R1456" s="6">
        <v>15</v>
      </c>
      <c r="S1456" s="6">
        <v>15</v>
      </c>
      <c r="T1456" s="6">
        <v>0</v>
      </c>
      <c r="U1456" s="6">
        <v>15</v>
      </c>
      <c r="V1456" s="6">
        <v>15</v>
      </c>
    </row>
    <row r="1457" spans="2:22">
      <c r="B1457" s="6">
        <v>32633</v>
      </c>
      <c r="C1457" s="6" t="s">
        <v>1174</v>
      </c>
      <c r="D1457" s="6">
        <v>25000</v>
      </c>
      <c r="E1457" s="6" t="s">
        <v>1226</v>
      </c>
      <c r="F1457" s="6" t="s">
        <v>16</v>
      </c>
      <c r="G1457" s="6" t="s">
        <v>1295</v>
      </c>
      <c r="H1457" s="6">
        <v>0</v>
      </c>
      <c r="I1457" s="6">
        <v>0</v>
      </c>
      <c r="J1457" s="6">
        <v>10.8</v>
      </c>
      <c r="K1457" s="6">
        <v>13.076923000000001</v>
      </c>
      <c r="L1457" s="6">
        <v>14.533333000000001</v>
      </c>
      <c r="M1457" s="6">
        <v>15.393442</v>
      </c>
      <c r="N1457" s="6">
        <v>13.076923000000001</v>
      </c>
      <c r="O1457" s="6">
        <v>14.533333000000001</v>
      </c>
      <c r="P1457" s="6">
        <v>15.139533999999999</v>
      </c>
      <c r="Q1457" s="6">
        <v>13.076923000000001</v>
      </c>
      <c r="R1457" s="6">
        <v>14.533333000000001</v>
      </c>
      <c r="S1457" s="6">
        <v>15.139533999999999</v>
      </c>
      <c r="T1457" s="6">
        <v>13.076923000000001</v>
      </c>
      <c r="U1457" s="6">
        <v>14.533333000000001</v>
      </c>
      <c r="V1457" s="6">
        <v>15.139533999999999</v>
      </c>
    </row>
    <row r="1458" spans="2:22">
      <c r="B1458" s="6">
        <v>32633</v>
      </c>
      <c r="C1458" s="6" t="s">
        <v>1174</v>
      </c>
      <c r="D1458" s="6">
        <v>25000</v>
      </c>
      <c r="E1458" s="6" t="s">
        <v>1226</v>
      </c>
      <c r="F1458" s="6" t="s">
        <v>16</v>
      </c>
      <c r="G1458" s="6" t="s">
        <v>1295</v>
      </c>
      <c r="H1458" s="6">
        <v>0</v>
      </c>
      <c r="I1458" s="6">
        <v>0</v>
      </c>
      <c r="J1458" s="6">
        <v>10.8</v>
      </c>
      <c r="K1458" s="6">
        <v>13.076923000000001</v>
      </c>
      <c r="L1458" s="6">
        <v>14.533333000000001</v>
      </c>
      <c r="M1458" s="6">
        <v>15.393442</v>
      </c>
      <c r="N1458" s="6">
        <v>13.076923000000001</v>
      </c>
      <c r="O1458" s="6">
        <v>14.533333000000001</v>
      </c>
      <c r="P1458" s="6">
        <v>15.139533999999999</v>
      </c>
      <c r="Q1458" s="6">
        <v>13.076923000000001</v>
      </c>
      <c r="R1458" s="6">
        <v>14.533333000000001</v>
      </c>
      <c r="S1458" s="6">
        <v>15.139533999999999</v>
      </c>
      <c r="T1458" s="6">
        <v>13.076923000000001</v>
      </c>
      <c r="U1458" s="6">
        <v>14.533333000000001</v>
      </c>
      <c r="V1458" s="6">
        <v>15.139533999999999</v>
      </c>
    </row>
    <row r="1459" spans="2:22">
      <c r="B1459" s="6">
        <v>32634</v>
      </c>
      <c r="C1459" s="6" t="s">
        <v>1180</v>
      </c>
      <c r="D1459" s="6">
        <v>25000</v>
      </c>
      <c r="E1459" s="6" t="s">
        <v>1226</v>
      </c>
      <c r="F1459" s="6" t="s">
        <v>16</v>
      </c>
      <c r="G1459" s="6" t="s">
        <v>1295</v>
      </c>
      <c r="H1459" s="6">
        <v>20</v>
      </c>
      <c r="I1459" s="6">
        <v>20</v>
      </c>
      <c r="J1459" s="6">
        <v>20</v>
      </c>
      <c r="K1459" s="6">
        <v>13.076923000000001</v>
      </c>
      <c r="L1459" s="6">
        <v>14.533333000000001</v>
      </c>
      <c r="M1459" s="6">
        <v>15.393442</v>
      </c>
      <c r="N1459" s="6">
        <v>13.076923000000001</v>
      </c>
      <c r="O1459" s="6">
        <v>14.533333000000001</v>
      </c>
      <c r="P1459" s="6">
        <v>15.139533999999999</v>
      </c>
      <c r="Q1459" s="6">
        <v>13.076923000000001</v>
      </c>
      <c r="R1459" s="6">
        <v>14.533333000000001</v>
      </c>
      <c r="S1459" s="6">
        <v>15.139533999999999</v>
      </c>
      <c r="T1459" s="6">
        <v>13.076923000000001</v>
      </c>
      <c r="U1459" s="6">
        <v>14.533333000000001</v>
      </c>
      <c r="V1459" s="6">
        <v>15.139533999999999</v>
      </c>
    </row>
    <row r="1460" spans="2:22">
      <c r="B1460" s="6">
        <v>32634</v>
      </c>
      <c r="C1460" s="6" t="s">
        <v>1180</v>
      </c>
      <c r="D1460" s="6">
        <v>25000</v>
      </c>
      <c r="E1460" s="6" t="s">
        <v>1226</v>
      </c>
      <c r="F1460" s="6" t="s">
        <v>16</v>
      </c>
      <c r="G1460" s="6" t="s">
        <v>1295</v>
      </c>
      <c r="H1460" s="6">
        <v>20</v>
      </c>
      <c r="I1460" s="6">
        <v>20</v>
      </c>
      <c r="J1460" s="6">
        <v>20</v>
      </c>
      <c r="K1460" s="6">
        <v>13.076923000000001</v>
      </c>
      <c r="L1460" s="6">
        <v>14.533333000000001</v>
      </c>
      <c r="M1460" s="6">
        <v>15.393442</v>
      </c>
      <c r="N1460" s="6">
        <v>13.076923000000001</v>
      </c>
      <c r="O1460" s="6">
        <v>14.533333000000001</v>
      </c>
      <c r="P1460" s="6">
        <v>15.139533999999999</v>
      </c>
      <c r="Q1460" s="6">
        <v>13.076923000000001</v>
      </c>
      <c r="R1460" s="6">
        <v>14.533333000000001</v>
      </c>
      <c r="S1460" s="6">
        <v>15.139533999999999</v>
      </c>
      <c r="T1460" s="6">
        <v>13.076923000000001</v>
      </c>
      <c r="U1460" s="6">
        <v>14.533333000000001</v>
      </c>
      <c r="V1460" s="6">
        <v>15.139533999999999</v>
      </c>
    </row>
    <row r="1461" spans="2:22">
      <c r="B1461" s="6">
        <v>32634</v>
      </c>
      <c r="C1461" s="6" t="s">
        <v>1180</v>
      </c>
      <c r="D1461" s="6">
        <v>25006</v>
      </c>
      <c r="E1461" s="6" t="s">
        <v>1235</v>
      </c>
      <c r="F1461" s="6" t="s">
        <v>73</v>
      </c>
      <c r="G1461" s="6" t="s">
        <v>1299</v>
      </c>
      <c r="H1461" s="6">
        <v>0</v>
      </c>
      <c r="I1461" s="6">
        <v>0</v>
      </c>
      <c r="J1461" s="6">
        <v>15</v>
      </c>
      <c r="K1461" s="6">
        <v>0</v>
      </c>
      <c r="L1461" s="6">
        <v>0</v>
      </c>
      <c r="M1461" s="6">
        <v>15</v>
      </c>
      <c r="N1461" s="6">
        <v>0</v>
      </c>
      <c r="O1461" s="6">
        <v>0</v>
      </c>
      <c r="P1461" s="6">
        <v>15</v>
      </c>
      <c r="Q1461" s="6">
        <v>0</v>
      </c>
      <c r="R1461" s="6">
        <v>0</v>
      </c>
      <c r="S1461" s="6">
        <v>15</v>
      </c>
      <c r="T1461" s="6">
        <v>0</v>
      </c>
      <c r="U1461" s="6">
        <v>0</v>
      </c>
      <c r="V1461" s="6">
        <v>15</v>
      </c>
    </row>
    <row r="1462" spans="2:22">
      <c r="B1462" s="6">
        <v>32634</v>
      </c>
      <c r="C1462" s="6" t="s">
        <v>1180</v>
      </c>
      <c r="D1462" s="6">
        <v>25006</v>
      </c>
      <c r="E1462" s="6" t="s">
        <v>1235</v>
      </c>
      <c r="F1462" s="6" t="s">
        <v>38</v>
      </c>
      <c r="G1462" s="6" t="s">
        <v>1302</v>
      </c>
      <c r="H1462" s="6">
        <v>25</v>
      </c>
      <c r="I1462" s="6">
        <v>21.666665999999999</v>
      </c>
      <c r="J1462" s="6">
        <v>17.857142</v>
      </c>
      <c r="K1462" s="6">
        <v>23</v>
      </c>
      <c r="L1462" s="6">
        <v>21</v>
      </c>
      <c r="M1462" s="6">
        <v>17.291665999999999</v>
      </c>
      <c r="N1462" s="6">
        <v>23</v>
      </c>
      <c r="O1462" s="6">
        <v>21</v>
      </c>
      <c r="P1462" s="6">
        <v>17.291665999999999</v>
      </c>
      <c r="Q1462" s="6">
        <v>23</v>
      </c>
      <c r="R1462" s="6">
        <v>21</v>
      </c>
      <c r="S1462" s="6">
        <v>17.291665999999999</v>
      </c>
      <c r="T1462" s="6">
        <v>23</v>
      </c>
      <c r="U1462" s="6">
        <v>21</v>
      </c>
      <c r="V1462" s="6">
        <v>17.291665999999999</v>
      </c>
    </row>
    <row r="1463" spans="2:22">
      <c r="B1463" s="6">
        <v>32634</v>
      </c>
      <c r="C1463" s="6" t="s">
        <v>1180</v>
      </c>
      <c r="D1463" s="6">
        <v>25007</v>
      </c>
      <c r="E1463" s="6" t="s">
        <v>1236</v>
      </c>
      <c r="F1463" s="6" t="s">
        <v>16</v>
      </c>
      <c r="G1463" s="6" t="s">
        <v>1295</v>
      </c>
      <c r="H1463" s="6">
        <v>15</v>
      </c>
      <c r="I1463" s="6">
        <v>15</v>
      </c>
      <c r="J1463" s="6">
        <v>15</v>
      </c>
      <c r="K1463" s="6">
        <v>15</v>
      </c>
      <c r="L1463" s="6">
        <v>15</v>
      </c>
      <c r="M1463" s="6">
        <v>15</v>
      </c>
      <c r="N1463" s="6">
        <v>15</v>
      </c>
      <c r="O1463" s="6">
        <v>15</v>
      </c>
      <c r="P1463" s="6">
        <v>15</v>
      </c>
      <c r="Q1463" s="6">
        <v>15</v>
      </c>
      <c r="R1463" s="6">
        <v>15</v>
      </c>
      <c r="S1463" s="6">
        <v>15</v>
      </c>
      <c r="T1463" s="6">
        <v>15</v>
      </c>
      <c r="U1463" s="6">
        <v>15</v>
      </c>
      <c r="V1463" s="6">
        <v>15</v>
      </c>
    </row>
    <row r="1464" spans="2:22">
      <c r="B1464" s="6">
        <v>32634</v>
      </c>
      <c r="C1464" s="6" t="s">
        <v>1180</v>
      </c>
      <c r="D1464" s="6">
        <v>26000</v>
      </c>
      <c r="E1464" s="6" t="s">
        <v>1228</v>
      </c>
      <c r="F1464" s="6" t="s">
        <v>38</v>
      </c>
      <c r="G1464" s="6" t="s">
        <v>1302</v>
      </c>
      <c r="H1464" s="6">
        <v>10</v>
      </c>
      <c r="I1464" s="6">
        <v>10</v>
      </c>
      <c r="J1464" s="6">
        <v>10</v>
      </c>
      <c r="K1464" s="6">
        <v>10</v>
      </c>
      <c r="L1464" s="6">
        <v>10</v>
      </c>
      <c r="M1464" s="6">
        <v>10</v>
      </c>
      <c r="N1464" s="6">
        <v>10</v>
      </c>
      <c r="O1464" s="6">
        <v>10</v>
      </c>
      <c r="P1464" s="6">
        <v>10</v>
      </c>
      <c r="Q1464" s="6">
        <v>10</v>
      </c>
      <c r="R1464" s="6">
        <v>10</v>
      </c>
      <c r="S1464" s="6">
        <v>10</v>
      </c>
      <c r="T1464" s="6">
        <v>10</v>
      </c>
      <c r="U1464" s="6">
        <v>10</v>
      </c>
      <c r="V1464" s="6">
        <v>10</v>
      </c>
    </row>
    <row r="1465" spans="2:22">
      <c r="B1465" s="6">
        <v>32636</v>
      </c>
      <c r="C1465" s="6" t="s">
        <v>1112</v>
      </c>
      <c r="D1465" s="6">
        <v>20500</v>
      </c>
      <c r="E1465" s="6" t="s">
        <v>31</v>
      </c>
      <c r="F1465" s="6" t="s">
        <v>17</v>
      </c>
      <c r="G1465" s="6" t="s">
        <v>1294</v>
      </c>
      <c r="H1465" s="6">
        <v>0</v>
      </c>
      <c r="I1465" s="6">
        <v>0</v>
      </c>
      <c r="J1465" s="6">
        <v>20</v>
      </c>
      <c r="K1465" s="6">
        <v>26.093993999999999</v>
      </c>
      <c r="L1465" s="6">
        <v>26.469746000000001</v>
      </c>
      <c r="M1465" s="6">
        <v>26.000619</v>
      </c>
      <c r="N1465" s="6">
        <v>26.108958000000001</v>
      </c>
      <c r="O1465" s="6">
        <v>26.328648000000001</v>
      </c>
      <c r="P1465" s="6">
        <v>26.003786000000002</v>
      </c>
      <c r="Q1465" s="6">
        <v>26.101534000000001</v>
      </c>
      <c r="R1465" s="6">
        <v>26.316153</v>
      </c>
      <c r="S1465" s="6">
        <v>25.991613999999998</v>
      </c>
      <c r="T1465" s="6">
        <v>25.645997000000001</v>
      </c>
      <c r="U1465" s="6">
        <v>25.223958</v>
      </c>
      <c r="V1465" s="6">
        <v>24.770192999999999</v>
      </c>
    </row>
    <row r="1466" spans="2:22">
      <c r="B1466" s="6">
        <v>32636</v>
      </c>
      <c r="C1466" s="6" t="s">
        <v>1112</v>
      </c>
      <c r="D1466" s="6">
        <v>20706</v>
      </c>
      <c r="E1466" s="6" t="s">
        <v>52</v>
      </c>
      <c r="F1466" s="6" t="s">
        <v>73</v>
      </c>
      <c r="G1466" s="6" t="s">
        <v>1299</v>
      </c>
      <c r="H1466" s="6">
        <v>0</v>
      </c>
      <c r="I1466" s="6">
        <v>0</v>
      </c>
      <c r="J1466" s="6">
        <v>35</v>
      </c>
      <c r="K1466" s="6">
        <v>0</v>
      </c>
      <c r="L1466" s="6">
        <v>30</v>
      </c>
      <c r="M1466" s="6">
        <v>33.059700999999997</v>
      </c>
      <c r="N1466" s="6">
        <v>0</v>
      </c>
      <c r="O1466" s="6">
        <v>30</v>
      </c>
      <c r="P1466" s="6">
        <v>33.014704999999999</v>
      </c>
      <c r="Q1466" s="6">
        <v>0</v>
      </c>
      <c r="R1466" s="6">
        <v>30</v>
      </c>
      <c r="S1466" s="6">
        <v>33.014704999999999</v>
      </c>
      <c r="T1466" s="6">
        <v>0</v>
      </c>
      <c r="U1466" s="6">
        <v>30</v>
      </c>
      <c r="V1466" s="6">
        <v>33.014704999999999</v>
      </c>
    </row>
    <row r="1467" spans="2:22">
      <c r="B1467" s="6">
        <v>32636</v>
      </c>
      <c r="C1467" s="6" t="s">
        <v>1112</v>
      </c>
      <c r="D1467" s="6">
        <v>20902</v>
      </c>
      <c r="E1467" s="6" t="s">
        <v>53</v>
      </c>
      <c r="F1467" s="6" t="s">
        <v>13</v>
      </c>
      <c r="G1467" s="6" t="s">
        <v>14</v>
      </c>
      <c r="H1467" s="6">
        <v>0</v>
      </c>
      <c r="I1467" s="6">
        <v>0</v>
      </c>
      <c r="J1467" s="6">
        <v>15</v>
      </c>
      <c r="K1467" s="6">
        <v>19.956309999999998</v>
      </c>
      <c r="L1467" s="6">
        <v>19.965827000000001</v>
      </c>
      <c r="M1467" s="6">
        <v>19.613216000000001</v>
      </c>
      <c r="N1467" s="6">
        <v>19.181818</v>
      </c>
      <c r="O1467" s="6">
        <v>19.119288999999998</v>
      </c>
      <c r="P1467" s="6">
        <v>18.784502</v>
      </c>
      <c r="Q1467" s="6">
        <v>19.181818</v>
      </c>
      <c r="R1467" s="6">
        <v>19.101835999999999</v>
      </c>
      <c r="S1467" s="6">
        <v>18.763134000000001</v>
      </c>
      <c r="T1467" s="6">
        <v>19.181818</v>
      </c>
      <c r="U1467" s="6">
        <v>19.101835999999999</v>
      </c>
      <c r="V1467" s="6">
        <v>18.763134000000001</v>
      </c>
    </row>
    <row r="1468" spans="2:22">
      <c r="B1468" s="6">
        <v>32636</v>
      </c>
      <c r="C1468" s="6" t="s">
        <v>1112</v>
      </c>
      <c r="D1468" s="6">
        <v>20906</v>
      </c>
      <c r="E1468" s="6" t="s">
        <v>48</v>
      </c>
      <c r="F1468" s="6" t="s">
        <v>49</v>
      </c>
      <c r="G1468" s="6" t="s">
        <v>1296</v>
      </c>
      <c r="H1468" s="6">
        <v>0</v>
      </c>
      <c r="I1468" s="6">
        <v>0</v>
      </c>
      <c r="J1468" s="6">
        <v>20</v>
      </c>
      <c r="K1468" s="6">
        <v>16.923482</v>
      </c>
      <c r="L1468" s="6">
        <v>16.908185</v>
      </c>
      <c r="M1468" s="6">
        <v>17.652851999999999</v>
      </c>
      <c r="N1468" s="6">
        <v>17.016705999999999</v>
      </c>
      <c r="O1468" s="6">
        <v>16.954350000000002</v>
      </c>
      <c r="P1468" s="6">
        <v>17.537869000000001</v>
      </c>
      <c r="Q1468" s="6">
        <v>17.016335999999999</v>
      </c>
      <c r="R1468" s="6">
        <v>16.958155999999999</v>
      </c>
      <c r="S1468" s="6">
        <v>17.538882000000001</v>
      </c>
      <c r="T1468" s="6">
        <v>17.016335999999999</v>
      </c>
      <c r="U1468" s="6">
        <v>16.958155999999999</v>
      </c>
      <c r="V1468" s="6">
        <v>17.538882000000001</v>
      </c>
    </row>
    <row r="1469" spans="2:22">
      <c r="B1469" s="6">
        <v>32637</v>
      </c>
      <c r="C1469" s="6" t="s">
        <v>208</v>
      </c>
      <c r="D1469" s="6">
        <v>20500</v>
      </c>
      <c r="E1469" s="6" t="s">
        <v>31</v>
      </c>
      <c r="F1469" s="6" t="s">
        <v>17</v>
      </c>
      <c r="G1469" s="6" t="s">
        <v>1294</v>
      </c>
      <c r="H1469" s="6">
        <v>0</v>
      </c>
      <c r="I1469" s="6">
        <v>0</v>
      </c>
      <c r="J1469" s="6">
        <v>20</v>
      </c>
      <c r="K1469" s="6">
        <v>26.093993999999999</v>
      </c>
      <c r="L1469" s="6">
        <v>26.469746000000001</v>
      </c>
      <c r="M1469" s="6">
        <v>26.000619</v>
      </c>
      <c r="N1469" s="6">
        <v>26.108958000000001</v>
      </c>
      <c r="O1469" s="6">
        <v>26.328648000000001</v>
      </c>
      <c r="P1469" s="6">
        <v>26.003786000000002</v>
      </c>
      <c r="Q1469" s="6">
        <v>26.101534000000001</v>
      </c>
      <c r="R1469" s="6">
        <v>26.316153</v>
      </c>
      <c r="S1469" s="6">
        <v>25.991613999999998</v>
      </c>
      <c r="T1469" s="6">
        <v>25.645997000000001</v>
      </c>
      <c r="U1469" s="6">
        <v>25.223958</v>
      </c>
      <c r="V1469" s="6">
        <v>24.770192999999999</v>
      </c>
    </row>
    <row r="1470" spans="2:22">
      <c r="B1470" s="6">
        <v>32637</v>
      </c>
      <c r="C1470" s="6" t="s">
        <v>208</v>
      </c>
      <c r="D1470" s="6">
        <v>20706</v>
      </c>
      <c r="E1470" s="6" t="s">
        <v>52</v>
      </c>
      <c r="F1470" s="6" t="s">
        <v>17</v>
      </c>
      <c r="G1470" s="6" t="s">
        <v>1294</v>
      </c>
      <c r="H1470" s="6">
        <v>40</v>
      </c>
      <c r="I1470" s="6">
        <v>40</v>
      </c>
      <c r="J1470" s="6">
        <v>40</v>
      </c>
      <c r="K1470" s="6">
        <v>40</v>
      </c>
      <c r="L1470" s="6">
        <v>39.985993999999998</v>
      </c>
      <c r="M1470" s="6">
        <v>39.981146000000003</v>
      </c>
      <c r="N1470" s="6">
        <v>39.962778999999998</v>
      </c>
      <c r="O1470" s="6">
        <v>39.971750999999998</v>
      </c>
      <c r="P1470" s="6">
        <v>39.969020999999998</v>
      </c>
      <c r="Q1470" s="6">
        <v>39.963768000000002</v>
      </c>
      <c r="R1470" s="6">
        <v>39.972496999999997</v>
      </c>
      <c r="S1470" s="6">
        <v>39.969659999999998</v>
      </c>
      <c r="T1470" s="6">
        <v>39.867787999999997</v>
      </c>
      <c r="U1470" s="6">
        <v>39.928649</v>
      </c>
      <c r="V1470" s="6">
        <v>39.945453999999998</v>
      </c>
    </row>
    <row r="1471" spans="2:22">
      <c r="B1471" s="6">
        <v>32637</v>
      </c>
      <c r="C1471" s="6" t="s">
        <v>208</v>
      </c>
      <c r="D1471" s="6">
        <v>20706</v>
      </c>
      <c r="E1471" s="6" t="s">
        <v>52</v>
      </c>
      <c r="F1471" s="6" t="s">
        <v>73</v>
      </c>
      <c r="G1471" s="6" t="s">
        <v>1299</v>
      </c>
      <c r="H1471" s="6">
        <v>0</v>
      </c>
      <c r="I1471" s="6">
        <v>0</v>
      </c>
      <c r="J1471" s="6">
        <v>35</v>
      </c>
      <c r="K1471" s="6">
        <v>0</v>
      </c>
      <c r="L1471" s="6">
        <v>30</v>
      </c>
      <c r="M1471" s="6">
        <v>33.059700999999997</v>
      </c>
      <c r="N1471" s="6">
        <v>0</v>
      </c>
      <c r="O1471" s="6">
        <v>30</v>
      </c>
      <c r="P1471" s="6">
        <v>33.014704999999999</v>
      </c>
      <c r="Q1471" s="6">
        <v>0</v>
      </c>
      <c r="R1471" s="6">
        <v>30</v>
      </c>
      <c r="S1471" s="6">
        <v>33.014704999999999</v>
      </c>
      <c r="T1471" s="6">
        <v>0</v>
      </c>
      <c r="U1471" s="6">
        <v>30</v>
      </c>
      <c r="V1471" s="6">
        <v>33.014704999999999</v>
      </c>
    </row>
    <row r="1472" spans="2:22">
      <c r="B1472" s="6">
        <v>32637</v>
      </c>
      <c r="C1472" s="6" t="s">
        <v>208</v>
      </c>
      <c r="D1472" s="6">
        <v>20902</v>
      </c>
      <c r="E1472" s="6" t="s">
        <v>53</v>
      </c>
      <c r="F1472" s="6" t="s">
        <v>16</v>
      </c>
      <c r="G1472" s="6" t="s">
        <v>1295</v>
      </c>
      <c r="H1472" s="6">
        <v>0</v>
      </c>
      <c r="I1472" s="6">
        <v>0</v>
      </c>
      <c r="J1472" s="6">
        <v>30</v>
      </c>
      <c r="K1472" s="6">
        <v>27.235294</v>
      </c>
      <c r="L1472" s="6">
        <v>26.730157999999999</v>
      </c>
      <c r="M1472" s="6">
        <v>28.302752000000002</v>
      </c>
      <c r="N1472" s="6">
        <v>27.102803000000002</v>
      </c>
      <c r="O1472" s="6">
        <v>26.100322999999999</v>
      </c>
      <c r="P1472" s="6">
        <v>27.578899</v>
      </c>
      <c r="Q1472" s="6">
        <v>27.102803000000002</v>
      </c>
      <c r="R1472" s="6">
        <v>26.100322999999999</v>
      </c>
      <c r="S1472" s="6">
        <v>27.558453</v>
      </c>
      <c r="T1472" s="6">
        <v>26.737159999999999</v>
      </c>
      <c r="U1472" s="6">
        <v>25.752351000000001</v>
      </c>
      <c r="V1472" s="6">
        <v>27.323633000000001</v>
      </c>
    </row>
    <row r="1473" spans="2:22">
      <c r="B1473" s="6">
        <v>32637</v>
      </c>
      <c r="C1473" s="6" t="s">
        <v>208</v>
      </c>
      <c r="D1473" s="6">
        <v>20902</v>
      </c>
      <c r="E1473" s="6" t="s">
        <v>53</v>
      </c>
      <c r="F1473" s="6" t="s">
        <v>13</v>
      </c>
      <c r="G1473" s="6" t="s">
        <v>14</v>
      </c>
      <c r="H1473" s="6">
        <v>20</v>
      </c>
      <c r="I1473" s="6">
        <v>20</v>
      </c>
      <c r="J1473" s="6">
        <v>20</v>
      </c>
      <c r="K1473" s="6">
        <v>19.956309999999998</v>
      </c>
      <c r="L1473" s="6">
        <v>19.965827000000001</v>
      </c>
      <c r="M1473" s="6">
        <v>19.613216000000001</v>
      </c>
      <c r="N1473" s="6">
        <v>19.181818</v>
      </c>
      <c r="O1473" s="6">
        <v>19.119288999999998</v>
      </c>
      <c r="P1473" s="6">
        <v>18.784502</v>
      </c>
      <c r="Q1473" s="6">
        <v>19.181818</v>
      </c>
      <c r="R1473" s="6">
        <v>19.101835999999999</v>
      </c>
      <c r="S1473" s="6">
        <v>18.763134000000001</v>
      </c>
      <c r="T1473" s="6">
        <v>19.181818</v>
      </c>
      <c r="U1473" s="6">
        <v>19.101835999999999</v>
      </c>
      <c r="V1473" s="6">
        <v>18.763134000000001</v>
      </c>
    </row>
    <row r="1474" spans="2:22">
      <c r="B1474" s="6">
        <v>32637</v>
      </c>
      <c r="C1474" s="6" t="s">
        <v>208</v>
      </c>
      <c r="D1474" s="6">
        <v>20906</v>
      </c>
      <c r="E1474" s="6" t="s">
        <v>48</v>
      </c>
      <c r="F1474" s="6" t="s">
        <v>49</v>
      </c>
      <c r="G1474" s="6" t="s">
        <v>1296</v>
      </c>
      <c r="H1474" s="6">
        <v>0</v>
      </c>
      <c r="I1474" s="6">
        <v>0</v>
      </c>
      <c r="J1474" s="6">
        <v>20</v>
      </c>
      <c r="K1474" s="6">
        <v>16.923482</v>
      </c>
      <c r="L1474" s="6">
        <v>16.908185</v>
      </c>
      <c r="M1474" s="6">
        <v>17.652851999999999</v>
      </c>
      <c r="N1474" s="6">
        <v>17.016705999999999</v>
      </c>
      <c r="O1474" s="6">
        <v>16.954350000000002</v>
      </c>
      <c r="P1474" s="6">
        <v>17.537869000000001</v>
      </c>
      <c r="Q1474" s="6">
        <v>17.016335999999999</v>
      </c>
      <c r="R1474" s="6">
        <v>16.958155999999999</v>
      </c>
      <c r="S1474" s="6">
        <v>17.538882000000001</v>
      </c>
      <c r="T1474" s="6">
        <v>17.016335999999999</v>
      </c>
      <c r="U1474" s="6">
        <v>16.958155999999999</v>
      </c>
      <c r="V1474" s="6">
        <v>17.538882000000001</v>
      </c>
    </row>
    <row r="1475" spans="2:22">
      <c r="B1475" s="6">
        <v>32638</v>
      </c>
      <c r="C1475" s="6" t="s">
        <v>209</v>
      </c>
      <c r="D1475" s="6">
        <v>20500</v>
      </c>
      <c r="E1475" s="6" t="s">
        <v>31</v>
      </c>
      <c r="F1475" s="6" t="s">
        <v>17</v>
      </c>
      <c r="G1475" s="6" t="s">
        <v>1294</v>
      </c>
      <c r="H1475" s="6">
        <v>0</v>
      </c>
      <c r="I1475" s="6">
        <v>0</v>
      </c>
      <c r="J1475" s="6">
        <v>24.666665999999999</v>
      </c>
      <c r="K1475" s="6">
        <v>26.093993999999999</v>
      </c>
      <c r="L1475" s="6">
        <v>26.469746000000001</v>
      </c>
      <c r="M1475" s="6">
        <v>26.000619</v>
      </c>
      <c r="N1475" s="6">
        <v>26.108958000000001</v>
      </c>
      <c r="O1475" s="6">
        <v>26.328648000000001</v>
      </c>
      <c r="P1475" s="6">
        <v>26.003786000000002</v>
      </c>
      <c r="Q1475" s="6">
        <v>26.101534000000001</v>
      </c>
      <c r="R1475" s="6">
        <v>26.316153</v>
      </c>
      <c r="S1475" s="6">
        <v>25.991613999999998</v>
      </c>
      <c r="T1475" s="6">
        <v>25.645997000000001</v>
      </c>
      <c r="U1475" s="6">
        <v>25.223958</v>
      </c>
      <c r="V1475" s="6">
        <v>24.770192999999999</v>
      </c>
    </row>
    <row r="1476" spans="2:22">
      <c r="B1476" s="6">
        <v>32638</v>
      </c>
      <c r="C1476" s="6" t="s">
        <v>209</v>
      </c>
      <c r="D1476" s="6">
        <v>20706</v>
      </c>
      <c r="E1476" s="6" t="s">
        <v>52</v>
      </c>
      <c r="F1476" s="6" t="s">
        <v>17</v>
      </c>
      <c r="G1476" s="6" t="s">
        <v>1294</v>
      </c>
      <c r="H1476" s="6">
        <v>0</v>
      </c>
      <c r="I1476" s="6">
        <v>0</v>
      </c>
      <c r="J1476" s="6">
        <v>40</v>
      </c>
      <c r="K1476" s="6">
        <v>40</v>
      </c>
      <c r="L1476" s="6">
        <v>39.985993999999998</v>
      </c>
      <c r="M1476" s="6">
        <v>39.981146000000003</v>
      </c>
      <c r="N1476" s="6">
        <v>39.962778999999998</v>
      </c>
      <c r="O1476" s="6">
        <v>39.971750999999998</v>
      </c>
      <c r="P1476" s="6">
        <v>39.969020999999998</v>
      </c>
      <c r="Q1476" s="6">
        <v>39.963768000000002</v>
      </c>
      <c r="R1476" s="6">
        <v>39.972496999999997</v>
      </c>
      <c r="S1476" s="6">
        <v>39.969659999999998</v>
      </c>
      <c r="T1476" s="6">
        <v>39.867787999999997</v>
      </c>
      <c r="U1476" s="6">
        <v>39.928649</v>
      </c>
      <c r="V1476" s="6">
        <v>39.945453999999998</v>
      </c>
    </row>
    <row r="1477" spans="2:22">
      <c r="B1477" s="6">
        <v>32638</v>
      </c>
      <c r="C1477" s="6" t="s">
        <v>209</v>
      </c>
      <c r="D1477" s="6">
        <v>20706</v>
      </c>
      <c r="E1477" s="6" t="s">
        <v>52</v>
      </c>
      <c r="F1477" s="6" t="s">
        <v>73</v>
      </c>
      <c r="G1477" s="6" t="s">
        <v>1299</v>
      </c>
      <c r="H1477" s="6">
        <v>0</v>
      </c>
      <c r="I1477" s="6">
        <v>0</v>
      </c>
      <c r="J1477" s="6">
        <v>35</v>
      </c>
      <c r="K1477" s="6">
        <v>0</v>
      </c>
      <c r="L1477" s="6">
        <v>30</v>
      </c>
      <c r="M1477" s="6">
        <v>33.059700999999997</v>
      </c>
      <c r="N1477" s="6">
        <v>0</v>
      </c>
      <c r="O1477" s="6">
        <v>30</v>
      </c>
      <c r="P1477" s="6">
        <v>33.014704999999999</v>
      </c>
      <c r="Q1477" s="6">
        <v>0</v>
      </c>
      <c r="R1477" s="6">
        <v>30</v>
      </c>
      <c r="S1477" s="6">
        <v>33.014704999999999</v>
      </c>
      <c r="T1477" s="6">
        <v>0</v>
      </c>
      <c r="U1477" s="6">
        <v>30</v>
      </c>
      <c r="V1477" s="6">
        <v>33.014704999999999</v>
      </c>
    </row>
    <row r="1478" spans="2:22">
      <c r="B1478" s="6">
        <v>32638</v>
      </c>
      <c r="C1478" s="6" t="s">
        <v>209</v>
      </c>
      <c r="D1478" s="6">
        <v>20902</v>
      </c>
      <c r="E1478" s="6" t="s">
        <v>53</v>
      </c>
      <c r="F1478" s="6" t="s">
        <v>16</v>
      </c>
      <c r="G1478" s="6" t="s">
        <v>1295</v>
      </c>
      <c r="H1478" s="6">
        <v>0</v>
      </c>
      <c r="I1478" s="6">
        <v>0</v>
      </c>
      <c r="J1478" s="6">
        <v>30</v>
      </c>
      <c r="K1478" s="6">
        <v>27.235294</v>
      </c>
      <c r="L1478" s="6">
        <v>26.730157999999999</v>
      </c>
      <c r="M1478" s="6">
        <v>28.302752000000002</v>
      </c>
      <c r="N1478" s="6">
        <v>27.102803000000002</v>
      </c>
      <c r="O1478" s="6">
        <v>26.100322999999999</v>
      </c>
      <c r="P1478" s="6">
        <v>27.578899</v>
      </c>
      <c r="Q1478" s="6">
        <v>27.102803000000002</v>
      </c>
      <c r="R1478" s="6">
        <v>26.100322999999999</v>
      </c>
      <c r="S1478" s="6">
        <v>27.558453</v>
      </c>
      <c r="T1478" s="6">
        <v>26.737159999999999</v>
      </c>
      <c r="U1478" s="6">
        <v>25.752351000000001</v>
      </c>
      <c r="V1478" s="6">
        <v>27.323633000000001</v>
      </c>
    </row>
    <row r="1479" spans="2:22">
      <c r="B1479" s="6">
        <v>32638</v>
      </c>
      <c r="C1479" s="6" t="s">
        <v>209</v>
      </c>
      <c r="D1479" s="6">
        <v>20902</v>
      </c>
      <c r="E1479" s="6" t="s">
        <v>53</v>
      </c>
      <c r="F1479" s="6" t="s">
        <v>13</v>
      </c>
      <c r="G1479" s="6" t="s">
        <v>14</v>
      </c>
      <c r="H1479" s="6">
        <v>0</v>
      </c>
      <c r="I1479" s="6">
        <v>0</v>
      </c>
      <c r="J1479" s="6">
        <v>20</v>
      </c>
      <c r="K1479" s="6">
        <v>19.956309999999998</v>
      </c>
      <c r="L1479" s="6">
        <v>19.965827000000001</v>
      </c>
      <c r="M1479" s="6">
        <v>19.613216000000001</v>
      </c>
      <c r="N1479" s="6">
        <v>19.181818</v>
      </c>
      <c r="O1479" s="6">
        <v>19.119288999999998</v>
      </c>
      <c r="P1479" s="6">
        <v>18.784502</v>
      </c>
      <c r="Q1479" s="6">
        <v>19.181818</v>
      </c>
      <c r="R1479" s="6">
        <v>19.101835999999999</v>
      </c>
      <c r="S1479" s="6">
        <v>18.763134000000001</v>
      </c>
      <c r="T1479" s="6">
        <v>19.181818</v>
      </c>
      <c r="U1479" s="6">
        <v>19.101835999999999</v>
      </c>
      <c r="V1479" s="6">
        <v>18.763134000000001</v>
      </c>
    </row>
    <row r="1480" spans="2:22">
      <c r="B1480" s="6">
        <v>32638</v>
      </c>
      <c r="C1480" s="6" t="s">
        <v>209</v>
      </c>
      <c r="D1480" s="6">
        <v>20906</v>
      </c>
      <c r="E1480" s="6" t="s">
        <v>48</v>
      </c>
      <c r="F1480" s="6" t="s">
        <v>49</v>
      </c>
      <c r="G1480" s="6" t="s">
        <v>1296</v>
      </c>
      <c r="H1480" s="6">
        <v>0</v>
      </c>
      <c r="I1480" s="6">
        <v>0</v>
      </c>
      <c r="J1480" s="6">
        <v>20</v>
      </c>
      <c r="K1480" s="6">
        <v>16.923482</v>
      </c>
      <c r="L1480" s="6">
        <v>16.908185</v>
      </c>
      <c r="M1480" s="6">
        <v>17.652851999999999</v>
      </c>
      <c r="N1480" s="6">
        <v>17.016705999999999</v>
      </c>
      <c r="O1480" s="6">
        <v>16.954350000000002</v>
      </c>
      <c r="P1480" s="6">
        <v>17.537869000000001</v>
      </c>
      <c r="Q1480" s="6">
        <v>17.016335999999999</v>
      </c>
      <c r="R1480" s="6">
        <v>16.958155999999999</v>
      </c>
      <c r="S1480" s="6">
        <v>17.538882000000001</v>
      </c>
      <c r="T1480" s="6">
        <v>17.016335999999999</v>
      </c>
      <c r="U1480" s="6">
        <v>16.958155999999999</v>
      </c>
      <c r="V1480" s="6">
        <v>17.538882000000001</v>
      </c>
    </row>
    <row r="1481" spans="2:22">
      <c r="B1481" s="6">
        <v>32639</v>
      </c>
      <c r="C1481" s="6" t="s">
        <v>1073</v>
      </c>
      <c r="D1481" s="6">
        <v>20500</v>
      </c>
      <c r="E1481" s="6" t="s">
        <v>31</v>
      </c>
      <c r="F1481" s="6" t="s">
        <v>17</v>
      </c>
      <c r="G1481" s="6" t="s">
        <v>1294</v>
      </c>
      <c r="H1481" s="6">
        <v>0</v>
      </c>
      <c r="I1481" s="6">
        <v>0</v>
      </c>
      <c r="J1481" s="6">
        <v>20</v>
      </c>
      <c r="K1481" s="6">
        <v>26.093993999999999</v>
      </c>
      <c r="L1481" s="6">
        <v>26.469746000000001</v>
      </c>
      <c r="M1481" s="6">
        <v>26.000619</v>
      </c>
      <c r="N1481" s="6">
        <v>26.108958000000001</v>
      </c>
      <c r="O1481" s="6">
        <v>26.328648000000001</v>
      </c>
      <c r="P1481" s="6">
        <v>26.003786000000002</v>
      </c>
      <c r="Q1481" s="6">
        <v>26.101534000000001</v>
      </c>
      <c r="R1481" s="6">
        <v>26.316153</v>
      </c>
      <c r="S1481" s="6">
        <v>25.991613999999998</v>
      </c>
      <c r="T1481" s="6">
        <v>25.645997000000001</v>
      </c>
      <c r="U1481" s="6">
        <v>25.223958</v>
      </c>
      <c r="V1481" s="6">
        <v>24.770192999999999</v>
      </c>
    </row>
    <row r="1482" spans="2:22">
      <c r="B1482" s="6">
        <v>32639</v>
      </c>
      <c r="C1482" s="6" t="s">
        <v>1073</v>
      </c>
      <c r="D1482" s="6">
        <v>20706</v>
      </c>
      <c r="E1482" s="6" t="s">
        <v>52</v>
      </c>
      <c r="F1482" s="6" t="s">
        <v>73</v>
      </c>
      <c r="G1482" s="6" t="s">
        <v>1299</v>
      </c>
      <c r="H1482" s="6">
        <v>0</v>
      </c>
      <c r="I1482" s="6">
        <v>0</v>
      </c>
      <c r="J1482" s="6">
        <v>35</v>
      </c>
      <c r="K1482" s="6">
        <v>0</v>
      </c>
      <c r="L1482" s="6">
        <v>30</v>
      </c>
      <c r="M1482" s="6">
        <v>33.059700999999997</v>
      </c>
      <c r="N1482" s="6">
        <v>0</v>
      </c>
      <c r="O1482" s="6">
        <v>30</v>
      </c>
      <c r="P1482" s="6">
        <v>33.014704999999999</v>
      </c>
      <c r="Q1482" s="6">
        <v>0</v>
      </c>
      <c r="R1482" s="6">
        <v>30</v>
      </c>
      <c r="S1482" s="6">
        <v>33.014704999999999</v>
      </c>
      <c r="T1482" s="6">
        <v>0</v>
      </c>
      <c r="U1482" s="6">
        <v>30</v>
      </c>
      <c r="V1482" s="6">
        <v>33.014704999999999</v>
      </c>
    </row>
    <row r="1483" spans="2:22">
      <c r="B1483" s="6">
        <v>32639</v>
      </c>
      <c r="C1483" s="6" t="s">
        <v>1073</v>
      </c>
      <c r="D1483" s="6">
        <v>20902</v>
      </c>
      <c r="E1483" s="6" t="s">
        <v>53</v>
      </c>
      <c r="F1483" s="6" t="s">
        <v>16</v>
      </c>
      <c r="G1483" s="6" t="s">
        <v>1295</v>
      </c>
      <c r="H1483" s="6">
        <v>0</v>
      </c>
      <c r="I1483" s="6">
        <v>0</v>
      </c>
      <c r="J1483" s="6">
        <v>30</v>
      </c>
      <c r="K1483" s="6">
        <v>27.235294</v>
      </c>
      <c r="L1483" s="6">
        <v>26.730157999999999</v>
      </c>
      <c r="M1483" s="6">
        <v>28.302752000000002</v>
      </c>
      <c r="N1483" s="6">
        <v>27.102803000000002</v>
      </c>
      <c r="O1483" s="6">
        <v>26.100322999999999</v>
      </c>
      <c r="P1483" s="6">
        <v>27.578899</v>
      </c>
      <c r="Q1483" s="6">
        <v>27.102803000000002</v>
      </c>
      <c r="R1483" s="6">
        <v>26.100322999999999</v>
      </c>
      <c r="S1483" s="6">
        <v>27.558453</v>
      </c>
      <c r="T1483" s="6">
        <v>26.737159999999999</v>
      </c>
      <c r="U1483" s="6">
        <v>25.752351000000001</v>
      </c>
      <c r="V1483" s="6">
        <v>27.323633000000001</v>
      </c>
    </row>
    <row r="1484" spans="2:22">
      <c r="B1484" s="6">
        <v>32639</v>
      </c>
      <c r="C1484" s="6" t="s">
        <v>1073</v>
      </c>
      <c r="D1484" s="6">
        <v>20906</v>
      </c>
      <c r="E1484" s="6" t="s">
        <v>48</v>
      </c>
      <c r="F1484" s="6" t="s">
        <v>49</v>
      </c>
      <c r="G1484" s="6" t="s">
        <v>1296</v>
      </c>
      <c r="H1484" s="6">
        <v>0</v>
      </c>
      <c r="I1484" s="6">
        <v>0</v>
      </c>
      <c r="J1484" s="6">
        <v>20</v>
      </c>
      <c r="K1484" s="6">
        <v>16.923482</v>
      </c>
      <c r="L1484" s="6">
        <v>16.908185</v>
      </c>
      <c r="M1484" s="6">
        <v>17.652851999999999</v>
      </c>
      <c r="N1484" s="6">
        <v>17.016705999999999</v>
      </c>
      <c r="O1484" s="6">
        <v>16.954350000000002</v>
      </c>
      <c r="P1484" s="6">
        <v>17.537869000000001</v>
      </c>
      <c r="Q1484" s="6">
        <v>17.016335999999999</v>
      </c>
      <c r="R1484" s="6">
        <v>16.958155999999999</v>
      </c>
      <c r="S1484" s="6">
        <v>17.538882000000001</v>
      </c>
      <c r="T1484" s="6">
        <v>17.016335999999999</v>
      </c>
      <c r="U1484" s="6">
        <v>16.958155999999999</v>
      </c>
      <c r="V1484" s="6">
        <v>17.538882000000001</v>
      </c>
    </row>
    <row r="1485" spans="2:22">
      <c r="B1485" s="6">
        <v>32640</v>
      </c>
      <c r="C1485" s="6" t="s">
        <v>210</v>
      </c>
      <c r="D1485" s="6">
        <v>20500</v>
      </c>
      <c r="E1485" s="6" t="s">
        <v>31</v>
      </c>
      <c r="F1485" s="6" t="s">
        <v>13</v>
      </c>
      <c r="G1485" s="6" t="s">
        <v>14</v>
      </c>
      <c r="H1485" s="6">
        <v>0</v>
      </c>
      <c r="I1485" s="6">
        <v>0</v>
      </c>
      <c r="J1485" s="6">
        <v>20</v>
      </c>
      <c r="K1485" s="6">
        <v>0</v>
      </c>
      <c r="L1485" s="6">
        <v>0</v>
      </c>
      <c r="M1485" s="6">
        <v>20</v>
      </c>
      <c r="N1485" s="6">
        <v>25</v>
      </c>
      <c r="O1485" s="6">
        <v>22.5</v>
      </c>
      <c r="P1485" s="6">
        <v>20.123965999999999</v>
      </c>
      <c r="Q1485" s="6">
        <v>25</v>
      </c>
      <c r="R1485" s="6">
        <v>22.5</v>
      </c>
      <c r="S1485" s="6">
        <v>20.122949999999999</v>
      </c>
      <c r="T1485" s="6">
        <v>28.409089999999999</v>
      </c>
      <c r="U1485" s="6">
        <v>28.088235000000001</v>
      </c>
      <c r="V1485" s="6">
        <v>22.096774</v>
      </c>
    </row>
    <row r="1486" spans="2:22">
      <c r="B1486" s="6">
        <v>32640</v>
      </c>
      <c r="C1486" s="6" t="s">
        <v>210</v>
      </c>
      <c r="D1486" s="6">
        <v>20500</v>
      </c>
      <c r="E1486" s="6" t="s">
        <v>31</v>
      </c>
      <c r="F1486" s="6" t="s">
        <v>17</v>
      </c>
      <c r="G1486" s="6" t="s">
        <v>1294</v>
      </c>
      <c r="H1486" s="6">
        <v>0</v>
      </c>
      <c r="I1486" s="6">
        <v>27</v>
      </c>
      <c r="J1486" s="6">
        <v>27</v>
      </c>
      <c r="K1486" s="6">
        <v>26.046875</v>
      </c>
      <c r="L1486" s="6">
        <v>26.199541</v>
      </c>
      <c r="M1486" s="6">
        <v>26.109717</v>
      </c>
      <c r="N1486" s="6">
        <v>26.108958000000001</v>
      </c>
      <c r="O1486" s="6">
        <v>26.328648000000001</v>
      </c>
      <c r="P1486" s="6">
        <v>26.003786000000002</v>
      </c>
      <c r="Q1486" s="6">
        <v>26.101534000000001</v>
      </c>
      <c r="R1486" s="6">
        <v>26.316153</v>
      </c>
      <c r="S1486" s="6">
        <v>25.991613999999998</v>
      </c>
      <c r="T1486" s="6">
        <v>25.645997000000001</v>
      </c>
      <c r="U1486" s="6">
        <v>25.223958</v>
      </c>
      <c r="V1486" s="6">
        <v>24.770192999999999</v>
      </c>
    </row>
    <row r="1487" spans="2:22">
      <c r="B1487" s="6">
        <v>32640</v>
      </c>
      <c r="C1487" s="6" t="s">
        <v>210</v>
      </c>
      <c r="D1487" s="6">
        <v>20702</v>
      </c>
      <c r="E1487" s="6" t="s">
        <v>44</v>
      </c>
      <c r="F1487" s="6" t="s">
        <v>17</v>
      </c>
      <c r="G1487" s="6" t="s">
        <v>1294</v>
      </c>
      <c r="H1487" s="6">
        <v>0</v>
      </c>
      <c r="I1487" s="6">
        <v>35</v>
      </c>
      <c r="J1487" s="6">
        <v>35</v>
      </c>
      <c r="K1487" s="6">
        <v>34.851851000000003</v>
      </c>
      <c r="L1487" s="6">
        <v>34.933332999999998</v>
      </c>
      <c r="M1487" s="6">
        <v>34.897097000000002</v>
      </c>
      <c r="N1487" s="6">
        <v>34.893103000000004</v>
      </c>
      <c r="O1487" s="6">
        <v>34.949179999999998</v>
      </c>
      <c r="P1487" s="6">
        <v>34.926701000000001</v>
      </c>
      <c r="Q1487" s="6">
        <v>34.894556999999999</v>
      </c>
      <c r="R1487" s="6">
        <v>34.950949000000001</v>
      </c>
      <c r="S1487" s="6">
        <v>34.883485</v>
      </c>
      <c r="T1487" s="6">
        <v>34.894556999999999</v>
      </c>
      <c r="U1487" s="6">
        <v>34.950949000000001</v>
      </c>
      <c r="V1487" s="6">
        <v>34.883485</v>
      </c>
    </row>
    <row r="1488" spans="2:22">
      <c r="B1488" s="6">
        <v>32640</v>
      </c>
      <c r="C1488" s="6" t="s">
        <v>210</v>
      </c>
      <c r="D1488" s="6">
        <v>20902</v>
      </c>
      <c r="E1488" s="6" t="s">
        <v>53</v>
      </c>
      <c r="F1488" s="6" t="s">
        <v>13</v>
      </c>
      <c r="G1488" s="6" t="s">
        <v>14</v>
      </c>
      <c r="H1488" s="6">
        <v>0</v>
      </c>
      <c r="I1488" s="6">
        <v>20</v>
      </c>
      <c r="J1488" s="6">
        <v>20</v>
      </c>
      <c r="K1488" s="6">
        <v>18.622046999999998</v>
      </c>
      <c r="L1488" s="6">
        <v>18.557046</v>
      </c>
      <c r="M1488" s="6">
        <v>18.643459</v>
      </c>
      <c r="N1488" s="6">
        <v>19.181818</v>
      </c>
      <c r="O1488" s="6">
        <v>19.119288999999998</v>
      </c>
      <c r="P1488" s="6">
        <v>18.784502</v>
      </c>
      <c r="Q1488" s="6">
        <v>19.181818</v>
      </c>
      <c r="R1488" s="6">
        <v>19.101835999999999</v>
      </c>
      <c r="S1488" s="6">
        <v>18.763134000000001</v>
      </c>
      <c r="T1488" s="6">
        <v>19.181818</v>
      </c>
      <c r="U1488" s="6">
        <v>19.101835999999999</v>
      </c>
      <c r="V1488" s="6">
        <v>18.763134000000001</v>
      </c>
    </row>
    <row r="1489" spans="2:22">
      <c r="B1489" s="6">
        <v>32640</v>
      </c>
      <c r="C1489" s="6" t="s">
        <v>210</v>
      </c>
      <c r="D1489" s="6">
        <v>20906</v>
      </c>
      <c r="E1489" s="6" t="s">
        <v>48</v>
      </c>
      <c r="F1489" s="6" t="s">
        <v>49</v>
      </c>
      <c r="G1489" s="6" t="s">
        <v>1296</v>
      </c>
      <c r="H1489" s="6">
        <v>0</v>
      </c>
      <c r="I1489" s="6">
        <v>17</v>
      </c>
      <c r="J1489" s="6">
        <v>17</v>
      </c>
      <c r="K1489" s="6">
        <v>17.229590999999999</v>
      </c>
      <c r="L1489" s="6">
        <v>17.052391</v>
      </c>
      <c r="M1489" s="6">
        <v>17.431988</v>
      </c>
      <c r="N1489" s="6">
        <v>17.016705999999999</v>
      </c>
      <c r="O1489" s="6">
        <v>16.954350000000002</v>
      </c>
      <c r="P1489" s="6">
        <v>17.537869000000001</v>
      </c>
      <c r="Q1489" s="6">
        <v>17.016335999999999</v>
      </c>
      <c r="R1489" s="6">
        <v>16.958155999999999</v>
      </c>
      <c r="S1489" s="6">
        <v>17.538882000000001</v>
      </c>
      <c r="T1489" s="6">
        <v>17.016335999999999</v>
      </c>
      <c r="U1489" s="6">
        <v>16.958155999999999</v>
      </c>
      <c r="V1489" s="6">
        <v>17.538882000000001</v>
      </c>
    </row>
    <row r="1490" spans="2:22">
      <c r="B1490" s="6">
        <v>32642</v>
      </c>
      <c r="C1490" s="6" t="s">
        <v>211</v>
      </c>
      <c r="D1490" s="6">
        <v>20500</v>
      </c>
      <c r="E1490" s="6" t="s">
        <v>31</v>
      </c>
      <c r="F1490" s="6" t="s">
        <v>13</v>
      </c>
      <c r="G1490" s="6" t="s">
        <v>14</v>
      </c>
      <c r="H1490" s="6">
        <v>0</v>
      </c>
      <c r="I1490" s="6">
        <v>0</v>
      </c>
      <c r="J1490" s="6">
        <v>20</v>
      </c>
      <c r="K1490" s="6">
        <v>0</v>
      </c>
      <c r="L1490" s="6">
        <v>0</v>
      </c>
      <c r="M1490" s="6">
        <v>20</v>
      </c>
      <c r="N1490" s="6">
        <v>25</v>
      </c>
      <c r="O1490" s="6">
        <v>22.5</v>
      </c>
      <c r="P1490" s="6">
        <v>20.123965999999999</v>
      </c>
      <c r="Q1490" s="6">
        <v>25</v>
      </c>
      <c r="R1490" s="6">
        <v>22.5</v>
      </c>
      <c r="S1490" s="6">
        <v>20.122949999999999</v>
      </c>
      <c r="T1490" s="6">
        <v>28.409089999999999</v>
      </c>
      <c r="U1490" s="6">
        <v>28.088235000000001</v>
      </c>
      <c r="V1490" s="6">
        <v>22.096774</v>
      </c>
    </row>
    <row r="1491" spans="2:22">
      <c r="B1491" s="6">
        <v>32642</v>
      </c>
      <c r="C1491" s="6" t="s">
        <v>211</v>
      </c>
      <c r="D1491" s="6">
        <v>20500</v>
      </c>
      <c r="E1491" s="6" t="s">
        <v>31</v>
      </c>
      <c r="F1491" s="6" t="s">
        <v>17</v>
      </c>
      <c r="G1491" s="6" t="s">
        <v>1294</v>
      </c>
      <c r="H1491" s="6">
        <v>0</v>
      </c>
      <c r="I1491" s="6">
        <v>27</v>
      </c>
      <c r="J1491" s="6">
        <v>27</v>
      </c>
      <c r="K1491" s="6">
        <v>26.046875</v>
      </c>
      <c r="L1491" s="6">
        <v>26.199541</v>
      </c>
      <c r="M1491" s="6">
        <v>26.109717</v>
      </c>
      <c r="N1491" s="6">
        <v>26.108958000000001</v>
      </c>
      <c r="O1491" s="6">
        <v>26.328648000000001</v>
      </c>
      <c r="P1491" s="6">
        <v>26.003786000000002</v>
      </c>
      <c r="Q1491" s="6">
        <v>26.101534000000001</v>
      </c>
      <c r="R1491" s="6">
        <v>26.316153</v>
      </c>
      <c r="S1491" s="6">
        <v>25.991613999999998</v>
      </c>
      <c r="T1491" s="6">
        <v>25.645997000000001</v>
      </c>
      <c r="U1491" s="6">
        <v>25.223958</v>
      </c>
      <c r="V1491" s="6">
        <v>24.770192999999999</v>
      </c>
    </row>
    <row r="1492" spans="2:22">
      <c r="B1492" s="6">
        <v>32642</v>
      </c>
      <c r="C1492" s="6" t="s">
        <v>211</v>
      </c>
      <c r="D1492" s="6">
        <v>20702</v>
      </c>
      <c r="E1492" s="6" t="s">
        <v>44</v>
      </c>
      <c r="F1492" s="6" t="s">
        <v>17</v>
      </c>
      <c r="G1492" s="6" t="s">
        <v>1294</v>
      </c>
      <c r="H1492" s="6">
        <v>0</v>
      </c>
      <c r="I1492" s="6">
        <v>35</v>
      </c>
      <c r="J1492" s="6">
        <v>35</v>
      </c>
      <c r="K1492" s="6">
        <v>34.851851000000003</v>
      </c>
      <c r="L1492" s="6">
        <v>34.933332999999998</v>
      </c>
      <c r="M1492" s="6">
        <v>34.897097000000002</v>
      </c>
      <c r="N1492" s="6">
        <v>34.893103000000004</v>
      </c>
      <c r="O1492" s="6">
        <v>34.949179999999998</v>
      </c>
      <c r="P1492" s="6">
        <v>34.926701000000001</v>
      </c>
      <c r="Q1492" s="6">
        <v>34.894556999999999</v>
      </c>
      <c r="R1492" s="6">
        <v>34.950949000000001</v>
      </c>
      <c r="S1492" s="6">
        <v>34.883485</v>
      </c>
      <c r="T1492" s="6">
        <v>34.894556999999999</v>
      </c>
      <c r="U1492" s="6">
        <v>34.950949000000001</v>
      </c>
      <c r="V1492" s="6">
        <v>34.883485</v>
      </c>
    </row>
    <row r="1493" spans="2:22">
      <c r="B1493" s="6">
        <v>32642</v>
      </c>
      <c r="C1493" s="6" t="s">
        <v>211</v>
      </c>
      <c r="D1493" s="6">
        <v>20902</v>
      </c>
      <c r="E1493" s="6" t="s">
        <v>53</v>
      </c>
      <c r="F1493" s="6" t="s">
        <v>13</v>
      </c>
      <c r="G1493" s="6" t="s">
        <v>14</v>
      </c>
      <c r="H1493" s="6">
        <v>0</v>
      </c>
      <c r="I1493" s="6">
        <v>20</v>
      </c>
      <c r="J1493" s="6">
        <v>20</v>
      </c>
      <c r="K1493" s="6">
        <v>18.622046999999998</v>
      </c>
      <c r="L1493" s="6">
        <v>18.557046</v>
      </c>
      <c r="M1493" s="6">
        <v>18.643459</v>
      </c>
      <c r="N1493" s="6">
        <v>19.181818</v>
      </c>
      <c r="O1493" s="6">
        <v>19.119288999999998</v>
      </c>
      <c r="P1493" s="6">
        <v>18.784502</v>
      </c>
      <c r="Q1493" s="6">
        <v>19.181818</v>
      </c>
      <c r="R1493" s="6">
        <v>19.101835999999999</v>
      </c>
      <c r="S1493" s="6">
        <v>18.763134000000001</v>
      </c>
      <c r="T1493" s="6">
        <v>19.181818</v>
      </c>
      <c r="U1493" s="6">
        <v>19.101835999999999</v>
      </c>
      <c r="V1493" s="6">
        <v>18.763134000000001</v>
      </c>
    </row>
    <row r="1494" spans="2:22">
      <c r="B1494" s="6">
        <v>32642</v>
      </c>
      <c r="C1494" s="6" t="s">
        <v>211</v>
      </c>
      <c r="D1494" s="6">
        <v>20906</v>
      </c>
      <c r="E1494" s="6" t="s">
        <v>48</v>
      </c>
      <c r="F1494" s="6" t="s">
        <v>49</v>
      </c>
      <c r="G1494" s="6" t="s">
        <v>1296</v>
      </c>
      <c r="H1494" s="6">
        <v>0</v>
      </c>
      <c r="I1494" s="6">
        <v>17</v>
      </c>
      <c r="J1494" s="6">
        <v>17</v>
      </c>
      <c r="K1494" s="6">
        <v>17.229590999999999</v>
      </c>
      <c r="L1494" s="6">
        <v>17.052391</v>
      </c>
      <c r="M1494" s="6">
        <v>17.431988</v>
      </c>
      <c r="N1494" s="6">
        <v>17.016705999999999</v>
      </c>
      <c r="O1494" s="6">
        <v>16.954350000000002</v>
      </c>
      <c r="P1494" s="6">
        <v>17.537869000000001</v>
      </c>
      <c r="Q1494" s="6">
        <v>17.016335999999999</v>
      </c>
      <c r="R1494" s="6">
        <v>16.958155999999999</v>
      </c>
      <c r="S1494" s="6">
        <v>17.538882000000001</v>
      </c>
      <c r="T1494" s="6">
        <v>17.016335999999999</v>
      </c>
      <c r="U1494" s="6">
        <v>16.958155999999999</v>
      </c>
      <c r="V1494" s="6">
        <v>17.538882000000001</v>
      </c>
    </row>
    <row r="1495" spans="2:22">
      <c r="B1495" s="6">
        <v>32643</v>
      </c>
      <c r="C1495" s="6" t="s">
        <v>212</v>
      </c>
      <c r="D1495" s="6">
        <v>20500</v>
      </c>
      <c r="E1495" s="6" t="s">
        <v>31</v>
      </c>
      <c r="F1495" s="6" t="s">
        <v>13</v>
      </c>
      <c r="G1495" s="6" t="s">
        <v>14</v>
      </c>
      <c r="H1495" s="6">
        <v>0</v>
      </c>
      <c r="I1495" s="6">
        <v>0</v>
      </c>
      <c r="J1495" s="6">
        <v>20</v>
      </c>
      <c r="K1495" s="6">
        <v>0</v>
      </c>
      <c r="L1495" s="6">
        <v>0</v>
      </c>
      <c r="M1495" s="6">
        <v>20</v>
      </c>
      <c r="N1495" s="6">
        <v>25</v>
      </c>
      <c r="O1495" s="6">
        <v>22.5</v>
      </c>
      <c r="P1495" s="6">
        <v>20.123965999999999</v>
      </c>
      <c r="Q1495" s="6">
        <v>25</v>
      </c>
      <c r="R1495" s="6">
        <v>22.5</v>
      </c>
      <c r="S1495" s="6">
        <v>20.122949999999999</v>
      </c>
      <c r="T1495" s="6">
        <v>28.409089999999999</v>
      </c>
      <c r="U1495" s="6">
        <v>28.088235000000001</v>
      </c>
      <c r="V1495" s="6">
        <v>22.096774</v>
      </c>
    </row>
    <row r="1496" spans="2:22">
      <c r="B1496" s="6">
        <v>32643</v>
      </c>
      <c r="C1496" s="6" t="s">
        <v>212</v>
      </c>
      <c r="D1496" s="6">
        <v>20500</v>
      </c>
      <c r="E1496" s="6" t="s">
        <v>31</v>
      </c>
      <c r="F1496" s="6" t="s">
        <v>17</v>
      </c>
      <c r="G1496" s="6" t="s">
        <v>1294</v>
      </c>
      <c r="H1496" s="6">
        <v>0</v>
      </c>
      <c r="I1496" s="6">
        <v>27</v>
      </c>
      <c r="J1496" s="6">
        <v>27</v>
      </c>
      <c r="K1496" s="6">
        <v>26.046875</v>
      </c>
      <c r="L1496" s="6">
        <v>26.199541</v>
      </c>
      <c r="M1496" s="6">
        <v>26.109717</v>
      </c>
      <c r="N1496" s="6">
        <v>26.108958000000001</v>
      </c>
      <c r="O1496" s="6">
        <v>26.328648000000001</v>
      </c>
      <c r="P1496" s="6">
        <v>26.003786000000002</v>
      </c>
      <c r="Q1496" s="6">
        <v>26.101534000000001</v>
      </c>
      <c r="R1496" s="6">
        <v>26.316153</v>
      </c>
      <c r="S1496" s="6">
        <v>25.991613999999998</v>
      </c>
      <c r="T1496" s="6">
        <v>25.645997000000001</v>
      </c>
      <c r="U1496" s="6">
        <v>25.223958</v>
      </c>
      <c r="V1496" s="6">
        <v>24.770192999999999</v>
      </c>
    </row>
    <row r="1497" spans="2:22">
      <c r="B1497" s="6">
        <v>32643</v>
      </c>
      <c r="C1497" s="6" t="s">
        <v>212</v>
      </c>
      <c r="D1497" s="6">
        <v>20702</v>
      </c>
      <c r="E1497" s="6" t="s">
        <v>44</v>
      </c>
      <c r="F1497" s="6" t="s">
        <v>17</v>
      </c>
      <c r="G1497" s="6" t="s">
        <v>1294</v>
      </c>
      <c r="H1497" s="6">
        <v>0</v>
      </c>
      <c r="I1497" s="6">
        <v>35</v>
      </c>
      <c r="J1497" s="6">
        <v>35</v>
      </c>
      <c r="K1497" s="6">
        <v>34.851851000000003</v>
      </c>
      <c r="L1497" s="6">
        <v>34.933332999999998</v>
      </c>
      <c r="M1497" s="6">
        <v>34.897097000000002</v>
      </c>
      <c r="N1497" s="6">
        <v>34.893103000000004</v>
      </c>
      <c r="O1497" s="6">
        <v>34.949179999999998</v>
      </c>
      <c r="P1497" s="6">
        <v>34.926701000000001</v>
      </c>
      <c r="Q1497" s="6">
        <v>34.894556999999999</v>
      </c>
      <c r="R1497" s="6">
        <v>34.950949000000001</v>
      </c>
      <c r="S1497" s="6">
        <v>34.883485</v>
      </c>
      <c r="T1497" s="6">
        <v>34.894556999999999</v>
      </c>
      <c r="U1497" s="6">
        <v>34.950949000000001</v>
      </c>
      <c r="V1497" s="6">
        <v>34.883485</v>
      </c>
    </row>
    <row r="1498" spans="2:22">
      <c r="B1498" s="6">
        <v>32643</v>
      </c>
      <c r="C1498" s="6" t="s">
        <v>212</v>
      </c>
      <c r="D1498" s="6">
        <v>20902</v>
      </c>
      <c r="E1498" s="6" t="s">
        <v>53</v>
      </c>
      <c r="F1498" s="6" t="s">
        <v>13</v>
      </c>
      <c r="G1498" s="6" t="s">
        <v>14</v>
      </c>
      <c r="H1498" s="6">
        <v>0</v>
      </c>
      <c r="I1498" s="6">
        <v>20</v>
      </c>
      <c r="J1498" s="6">
        <v>20</v>
      </c>
      <c r="K1498" s="6">
        <v>18.622046999999998</v>
      </c>
      <c r="L1498" s="6">
        <v>18.557046</v>
      </c>
      <c r="M1498" s="6">
        <v>18.643459</v>
      </c>
      <c r="N1498" s="6">
        <v>19.181818</v>
      </c>
      <c r="O1498" s="6">
        <v>19.119288999999998</v>
      </c>
      <c r="P1498" s="6">
        <v>18.784502</v>
      </c>
      <c r="Q1498" s="6">
        <v>19.181818</v>
      </c>
      <c r="R1498" s="6">
        <v>19.101835999999999</v>
      </c>
      <c r="S1498" s="6">
        <v>18.763134000000001</v>
      </c>
      <c r="T1498" s="6">
        <v>19.181818</v>
      </c>
      <c r="U1498" s="6">
        <v>19.101835999999999</v>
      </c>
      <c r="V1498" s="6">
        <v>18.763134000000001</v>
      </c>
    </row>
    <row r="1499" spans="2:22">
      <c r="B1499" s="6">
        <v>32643</v>
      </c>
      <c r="C1499" s="6" t="s">
        <v>212</v>
      </c>
      <c r="D1499" s="6">
        <v>20906</v>
      </c>
      <c r="E1499" s="6" t="s">
        <v>48</v>
      </c>
      <c r="F1499" s="6" t="s">
        <v>49</v>
      </c>
      <c r="G1499" s="6" t="s">
        <v>1296</v>
      </c>
      <c r="H1499" s="6">
        <v>0</v>
      </c>
      <c r="I1499" s="6">
        <v>17</v>
      </c>
      <c r="J1499" s="6">
        <v>17</v>
      </c>
      <c r="K1499" s="6">
        <v>17.229590999999999</v>
      </c>
      <c r="L1499" s="6">
        <v>17.052391</v>
      </c>
      <c r="M1499" s="6">
        <v>17.431988</v>
      </c>
      <c r="N1499" s="6">
        <v>17.016705999999999</v>
      </c>
      <c r="O1499" s="6">
        <v>16.954350000000002</v>
      </c>
      <c r="P1499" s="6">
        <v>17.537869000000001</v>
      </c>
      <c r="Q1499" s="6">
        <v>17.016335999999999</v>
      </c>
      <c r="R1499" s="6">
        <v>16.958155999999999</v>
      </c>
      <c r="S1499" s="6">
        <v>17.538882000000001</v>
      </c>
      <c r="T1499" s="6">
        <v>17.016335999999999</v>
      </c>
      <c r="U1499" s="6">
        <v>16.958155999999999</v>
      </c>
      <c r="V1499" s="6">
        <v>17.538882000000001</v>
      </c>
    </row>
    <row r="1500" spans="2:22">
      <c r="B1500" s="6">
        <v>32655</v>
      </c>
      <c r="C1500" s="6" t="s">
        <v>1136</v>
      </c>
      <c r="D1500" s="6">
        <v>20500</v>
      </c>
      <c r="E1500" s="6" t="s">
        <v>31</v>
      </c>
      <c r="F1500" s="6" t="s">
        <v>17</v>
      </c>
      <c r="G1500" s="6" t="s">
        <v>1294</v>
      </c>
      <c r="H1500" s="6">
        <v>0</v>
      </c>
      <c r="I1500" s="6">
        <v>0</v>
      </c>
      <c r="J1500" s="6">
        <v>25</v>
      </c>
      <c r="K1500" s="6">
        <v>26.179282000000001</v>
      </c>
      <c r="L1500" s="6">
        <v>26.186138</v>
      </c>
      <c r="M1500" s="6">
        <v>25.935728999999998</v>
      </c>
      <c r="N1500" s="6">
        <v>26.108958000000001</v>
      </c>
      <c r="O1500" s="6">
        <v>26.328648000000001</v>
      </c>
      <c r="P1500" s="6">
        <v>26.003786000000002</v>
      </c>
      <c r="Q1500" s="6">
        <v>26.101534000000001</v>
      </c>
      <c r="R1500" s="6">
        <v>26.316153</v>
      </c>
      <c r="S1500" s="6">
        <v>25.991613999999998</v>
      </c>
      <c r="T1500" s="6">
        <v>25.645997000000001</v>
      </c>
      <c r="U1500" s="6">
        <v>25.223958</v>
      </c>
      <c r="V1500" s="6">
        <v>24.770192999999999</v>
      </c>
    </row>
    <row r="1501" spans="2:22">
      <c r="B1501" s="6">
        <v>32655</v>
      </c>
      <c r="C1501" s="6" t="s">
        <v>1136</v>
      </c>
      <c r="D1501" s="6">
        <v>20705</v>
      </c>
      <c r="E1501" s="6" t="s">
        <v>59</v>
      </c>
      <c r="F1501" s="6" t="s">
        <v>17</v>
      </c>
      <c r="G1501" s="6" t="s">
        <v>1294</v>
      </c>
      <c r="H1501" s="6">
        <v>0</v>
      </c>
      <c r="I1501" s="6">
        <v>0</v>
      </c>
      <c r="J1501" s="6">
        <v>30</v>
      </c>
      <c r="K1501" s="6">
        <v>30</v>
      </c>
      <c r="L1501" s="6">
        <v>30</v>
      </c>
      <c r="M1501" s="6">
        <v>30</v>
      </c>
      <c r="N1501" s="6">
        <v>30</v>
      </c>
      <c r="O1501" s="6">
        <v>30</v>
      </c>
      <c r="P1501" s="6">
        <v>30</v>
      </c>
      <c r="Q1501" s="6">
        <v>30</v>
      </c>
      <c r="R1501" s="6">
        <v>30</v>
      </c>
      <c r="S1501" s="6">
        <v>29.784172000000002</v>
      </c>
      <c r="T1501" s="6">
        <v>30</v>
      </c>
      <c r="U1501" s="6">
        <v>30</v>
      </c>
      <c r="V1501" s="6">
        <v>29.784172000000002</v>
      </c>
    </row>
    <row r="1502" spans="2:22">
      <c r="B1502" s="6">
        <v>32655</v>
      </c>
      <c r="C1502" s="6" t="s">
        <v>1136</v>
      </c>
      <c r="D1502" s="6">
        <v>20902</v>
      </c>
      <c r="E1502" s="6" t="s">
        <v>53</v>
      </c>
      <c r="F1502" s="6" t="s">
        <v>13</v>
      </c>
      <c r="G1502" s="6" t="s">
        <v>14</v>
      </c>
      <c r="H1502" s="6">
        <v>0</v>
      </c>
      <c r="I1502" s="6">
        <v>0</v>
      </c>
      <c r="J1502" s="6">
        <v>15</v>
      </c>
      <c r="K1502" s="6">
        <v>18.635802000000002</v>
      </c>
      <c r="L1502" s="6">
        <v>18.195121</v>
      </c>
      <c r="M1502" s="6">
        <v>17.625368000000002</v>
      </c>
      <c r="N1502" s="6">
        <v>19.181818</v>
      </c>
      <c r="O1502" s="6">
        <v>19.119288999999998</v>
      </c>
      <c r="P1502" s="6">
        <v>18.784502</v>
      </c>
      <c r="Q1502" s="6">
        <v>19.181818</v>
      </c>
      <c r="R1502" s="6">
        <v>19.101835999999999</v>
      </c>
      <c r="S1502" s="6">
        <v>18.763134000000001</v>
      </c>
      <c r="T1502" s="6">
        <v>19.181818</v>
      </c>
      <c r="U1502" s="6">
        <v>19.101835999999999</v>
      </c>
      <c r="V1502" s="6">
        <v>18.763134000000001</v>
      </c>
    </row>
    <row r="1503" spans="2:22">
      <c r="B1503" s="6">
        <v>32655</v>
      </c>
      <c r="C1503" s="6" t="s">
        <v>1136</v>
      </c>
      <c r="D1503" s="6">
        <v>20906</v>
      </c>
      <c r="E1503" s="6" t="s">
        <v>48</v>
      </c>
      <c r="F1503" s="6" t="s">
        <v>49</v>
      </c>
      <c r="G1503" s="6" t="s">
        <v>1296</v>
      </c>
      <c r="H1503" s="6">
        <v>0</v>
      </c>
      <c r="I1503" s="6">
        <v>0</v>
      </c>
      <c r="J1503" s="6">
        <v>18</v>
      </c>
      <c r="K1503" s="6">
        <v>16.992394999999998</v>
      </c>
      <c r="L1503" s="6">
        <v>16.951830000000001</v>
      </c>
      <c r="M1503" s="6">
        <v>17.405908</v>
      </c>
      <c r="N1503" s="6">
        <v>17.016705999999999</v>
      </c>
      <c r="O1503" s="6">
        <v>16.954350000000002</v>
      </c>
      <c r="P1503" s="6">
        <v>17.537869000000001</v>
      </c>
      <c r="Q1503" s="6">
        <v>17.016335999999999</v>
      </c>
      <c r="R1503" s="6">
        <v>16.958155999999999</v>
      </c>
      <c r="S1503" s="6">
        <v>17.538882000000001</v>
      </c>
      <c r="T1503" s="6">
        <v>17.016335999999999</v>
      </c>
      <c r="U1503" s="6">
        <v>16.958155999999999</v>
      </c>
      <c r="V1503" s="6">
        <v>17.538882000000001</v>
      </c>
    </row>
    <row r="1504" spans="2:22">
      <c r="B1504" s="6">
        <v>32657</v>
      </c>
      <c r="C1504" s="6" t="s">
        <v>1196</v>
      </c>
      <c r="D1504" s="6">
        <v>10900</v>
      </c>
      <c r="E1504" s="6" t="s">
        <v>1222</v>
      </c>
      <c r="F1504" s="6" t="s">
        <v>73</v>
      </c>
      <c r="G1504" s="6" t="s">
        <v>1299</v>
      </c>
      <c r="H1504" s="6">
        <v>0</v>
      </c>
      <c r="I1504" s="6">
        <v>0</v>
      </c>
      <c r="J1504" s="6">
        <v>5</v>
      </c>
      <c r="K1504" s="6">
        <v>0</v>
      </c>
      <c r="L1504" s="6">
        <v>5</v>
      </c>
      <c r="M1504" s="6">
        <v>5</v>
      </c>
      <c r="N1504" s="6">
        <v>0</v>
      </c>
      <c r="O1504" s="6">
        <v>5</v>
      </c>
      <c r="P1504" s="6">
        <v>5</v>
      </c>
      <c r="Q1504" s="6">
        <v>0</v>
      </c>
      <c r="R1504" s="6">
        <v>5</v>
      </c>
      <c r="S1504" s="6">
        <v>5</v>
      </c>
      <c r="T1504" s="6">
        <v>0</v>
      </c>
      <c r="U1504" s="6">
        <v>5</v>
      </c>
      <c r="V1504" s="6">
        <v>5</v>
      </c>
    </row>
    <row r="1505" spans="2:22">
      <c r="B1505" s="6">
        <v>32657</v>
      </c>
      <c r="C1505" s="6" t="s">
        <v>1196</v>
      </c>
      <c r="D1505" s="6">
        <v>23314</v>
      </c>
      <c r="E1505" s="6" t="s">
        <v>1233</v>
      </c>
      <c r="F1505" s="6" t="s">
        <v>73</v>
      </c>
      <c r="G1505" s="6" t="s">
        <v>1299</v>
      </c>
      <c r="H1505" s="6">
        <v>0</v>
      </c>
      <c r="I1505" s="6">
        <v>0</v>
      </c>
      <c r="J1505" s="6">
        <v>1</v>
      </c>
      <c r="K1505" s="6">
        <v>1</v>
      </c>
      <c r="L1505" s="6">
        <v>1</v>
      </c>
      <c r="M1505" s="6">
        <v>1</v>
      </c>
      <c r="N1505" s="6">
        <v>1</v>
      </c>
      <c r="O1505" s="6">
        <v>1</v>
      </c>
      <c r="P1505" s="6">
        <v>1</v>
      </c>
      <c r="Q1505" s="6">
        <v>1</v>
      </c>
      <c r="R1505" s="6">
        <v>1</v>
      </c>
      <c r="S1505" s="6">
        <v>1</v>
      </c>
      <c r="T1505" s="6">
        <v>1</v>
      </c>
      <c r="U1505" s="6">
        <v>1</v>
      </c>
      <c r="V1505" s="6">
        <v>1</v>
      </c>
    </row>
    <row r="1506" spans="2:22">
      <c r="B1506" s="6">
        <v>32657</v>
      </c>
      <c r="C1506" s="6" t="s">
        <v>1196</v>
      </c>
      <c r="D1506" s="6">
        <v>23314</v>
      </c>
      <c r="E1506" s="6" t="s">
        <v>1233</v>
      </c>
      <c r="F1506" s="6" t="s">
        <v>1305</v>
      </c>
      <c r="G1506" s="6" t="s">
        <v>1306</v>
      </c>
      <c r="H1506" s="6">
        <v>0</v>
      </c>
      <c r="I1506" s="6">
        <v>0</v>
      </c>
      <c r="J1506" s="6">
        <v>1</v>
      </c>
      <c r="K1506" s="6">
        <v>0</v>
      </c>
      <c r="L1506" s="6">
        <v>1</v>
      </c>
      <c r="M1506" s="6">
        <v>1</v>
      </c>
      <c r="N1506" s="6">
        <v>0</v>
      </c>
      <c r="O1506" s="6">
        <v>1</v>
      </c>
      <c r="P1506" s="6">
        <v>1</v>
      </c>
      <c r="Q1506" s="6">
        <v>0</v>
      </c>
      <c r="R1506" s="6">
        <v>1</v>
      </c>
      <c r="S1506" s="6">
        <v>1</v>
      </c>
      <c r="T1506" s="6">
        <v>0</v>
      </c>
      <c r="U1506" s="6">
        <v>1</v>
      </c>
      <c r="V1506" s="6">
        <v>1</v>
      </c>
    </row>
    <row r="1507" spans="2:22">
      <c r="B1507" s="6">
        <v>32658</v>
      </c>
      <c r="C1507" s="6" t="s">
        <v>1197</v>
      </c>
      <c r="D1507" s="6">
        <v>10900</v>
      </c>
      <c r="E1507" s="6" t="s">
        <v>1222</v>
      </c>
      <c r="F1507" s="6" t="s">
        <v>73</v>
      </c>
      <c r="G1507" s="6" t="s">
        <v>1299</v>
      </c>
      <c r="H1507" s="6">
        <v>0</v>
      </c>
      <c r="I1507" s="6">
        <v>5</v>
      </c>
      <c r="J1507" s="6">
        <v>5</v>
      </c>
      <c r="K1507" s="6">
        <v>0</v>
      </c>
      <c r="L1507" s="6">
        <v>5</v>
      </c>
      <c r="M1507" s="6">
        <v>5</v>
      </c>
      <c r="N1507" s="6">
        <v>0</v>
      </c>
      <c r="O1507" s="6">
        <v>5</v>
      </c>
      <c r="P1507" s="6">
        <v>5</v>
      </c>
      <c r="Q1507" s="6">
        <v>0</v>
      </c>
      <c r="R1507" s="6">
        <v>5</v>
      </c>
      <c r="S1507" s="6">
        <v>5</v>
      </c>
      <c r="T1507" s="6">
        <v>0</v>
      </c>
      <c r="U1507" s="6">
        <v>5</v>
      </c>
      <c r="V1507" s="6">
        <v>5</v>
      </c>
    </row>
    <row r="1508" spans="2:22">
      <c r="B1508" s="6">
        <v>32658</v>
      </c>
      <c r="C1508" s="6" t="s">
        <v>1197</v>
      </c>
      <c r="D1508" s="6">
        <v>21000</v>
      </c>
      <c r="E1508" s="6" t="s">
        <v>276</v>
      </c>
      <c r="F1508" s="6" t="s">
        <v>73</v>
      </c>
      <c r="G1508" s="6" t="s">
        <v>1299</v>
      </c>
      <c r="H1508" s="6">
        <v>15</v>
      </c>
      <c r="I1508" s="6">
        <v>15</v>
      </c>
      <c r="J1508" s="6">
        <v>15</v>
      </c>
      <c r="K1508" s="6">
        <v>15</v>
      </c>
      <c r="L1508" s="6">
        <v>15</v>
      </c>
      <c r="M1508" s="6">
        <v>15</v>
      </c>
      <c r="N1508" s="6">
        <v>15</v>
      </c>
      <c r="O1508" s="6">
        <v>15</v>
      </c>
      <c r="P1508" s="6">
        <v>15</v>
      </c>
      <c r="Q1508" s="6">
        <v>15</v>
      </c>
      <c r="R1508" s="6">
        <v>15</v>
      </c>
      <c r="S1508" s="6">
        <v>15</v>
      </c>
      <c r="T1508" s="6">
        <v>15</v>
      </c>
      <c r="U1508" s="6">
        <v>15</v>
      </c>
      <c r="V1508" s="6">
        <v>15</v>
      </c>
    </row>
    <row r="1509" spans="2:22">
      <c r="B1509" s="6">
        <v>32658</v>
      </c>
      <c r="C1509" s="6" t="s">
        <v>1197</v>
      </c>
      <c r="D1509" s="6">
        <v>23314</v>
      </c>
      <c r="E1509" s="6" t="s">
        <v>1233</v>
      </c>
      <c r="F1509" s="6" t="s">
        <v>73</v>
      </c>
      <c r="G1509" s="6" t="s">
        <v>1299</v>
      </c>
      <c r="H1509" s="6">
        <v>0</v>
      </c>
      <c r="I1509" s="6">
        <v>0</v>
      </c>
      <c r="J1509" s="6">
        <v>1</v>
      </c>
      <c r="K1509" s="6">
        <v>1</v>
      </c>
      <c r="L1509" s="6">
        <v>1</v>
      </c>
      <c r="M1509" s="6">
        <v>1</v>
      </c>
      <c r="N1509" s="6">
        <v>1</v>
      </c>
      <c r="O1509" s="6">
        <v>1</v>
      </c>
      <c r="P1509" s="6">
        <v>1</v>
      </c>
      <c r="Q1509" s="6">
        <v>1</v>
      </c>
      <c r="R1509" s="6">
        <v>1</v>
      </c>
      <c r="S1509" s="6">
        <v>1</v>
      </c>
      <c r="T1509" s="6">
        <v>1</v>
      </c>
      <c r="U1509" s="6">
        <v>1</v>
      </c>
      <c r="V1509" s="6">
        <v>1</v>
      </c>
    </row>
    <row r="1510" spans="2:22">
      <c r="B1510" s="6">
        <v>32658</v>
      </c>
      <c r="C1510" s="6" t="s">
        <v>1197</v>
      </c>
      <c r="D1510" s="6">
        <v>23314</v>
      </c>
      <c r="E1510" s="6" t="s">
        <v>1233</v>
      </c>
      <c r="F1510" s="6" t="s">
        <v>1305</v>
      </c>
      <c r="G1510" s="6" t="s">
        <v>1306</v>
      </c>
      <c r="H1510" s="6">
        <v>0</v>
      </c>
      <c r="I1510" s="6">
        <v>1</v>
      </c>
      <c r="J1510" s="6">
        <v>1</v>
      </c>
      <c r="K1510" s="6">
        <v>0</v>
      </c>
      <c r="L1510" s="6">
        <v>1</v>
      </c>
      <c r="M1510" s="6">
        <v>1</v>
      </c>
      <c r="N1510" s="6">
        <v>0</v>
      </c>
      <c r="O1510" s="6">
        <v>1</v>
      </c>
      <c r="P1510" s="6">
        <v>1</v>
      </c>
      <c r="Q1510" s="6">
        <v>0</v>
      </c>
      <c r="R1510" s="6">
        <v>1</v>
      </c>
      <c r="S1510" s="6">
        <v>1</v>
      </c>
      <c r="T1510" s="6">
        <v>0</v>
      </c>
      <c r="U1510" s="6">
        <v>1</v>
      </c>
      <c r="V1510" s="6">
        <v>1</v>
      </c>
    </row>
    <row r="1511" spans="2:22">
      <c r="B1511" s="6">
        <v>32658</v>
      </c>
      <c r="C1511" s="6" t="s">
        <v>1197</v>
      </c>
      <c r="D1511" s="6">
        <v>23500</v>
      </c>
      <c r="E1511" s="6" t="s">
        <v>37</v>
      </c>
      <c r="F1511" s="6" t="s">
        <v>73</v>
      </c>
      <c r="G1511" s="6" t="s">
        <v>1299</v>
      </c>
      <c r="H1511" s="6">
        <v>0</v>
      </c>
      <c r="I1511" s="6">
        <v>1</v>
      </c>
      <c r="J1511" s="6">
        <v>1</v>
      </c>
      <c r="K1511" s="6">
        <v>1</v>
      </c>
      <c r="L1511" s="6">
        <v>1</v>
      </c>
      <c r="M1511" s="6">
        <v>1</v>
      </c>
      <c r="N1511" s="6">
        <v>1</v>
      </c>
      <c r="O1511" s="6">
        <v>1</v>
      </c>
      <c r="P1511" s="6">
        <v>1</v>
      </c>
      <c r="Q1511" s="6">
        <v>1</v>
      </c>
      <c r="R1511" s="6">
        <v>1</v>
      </c>
      <c r="S1511" s="6">
        <v>1</v>
      </c>
      <c r="T1511" s="6">
        <v>1</v>
      </c>
      <c r="U1511" s="6">
        <v>1</v>
      </c>
      <c r="V1511" s="6">
        <v>1</v>
      </c>
    </row>
    <row r="1512" spans="2:22">
      <c r="B1512" s="6">
        <v>32659</v>
      </c>
      <c r="C1512" s="6" t="s">
        <v>266</v>
      </c>
      <c r="D1512" s="6">
        <v>12400</v>
      </c>
      <c r="E1512" s="6" t="s">
        <v>217</v>
      </c>
      <c r="F1512" s="6" t="s">
        <v>16</v>
      </c>
      <c r="G1512" s="6" t="s">
        <v>1295</v>
      </c>
      <c r="H1512" s="6">
        <v>0</v>
      </c>
      <c r="I1512" s="6">
        <v>8.5</v>
      </c>
      <c r="J1512" s="6">
        <v>9</v>
      </c>
      <c r="K1512" s="6">
        <v>13.375</v>
      </c>
      <c r="L1512" s="6">
        <v>10.9375</v>
      </c>
      <c r="M1512" s="6">
        <v>9.2653060000000007</v>
      </c>
      <c r="N1512" s="6">
        <v>9.2387090000000001</v>
      </c>
      <c r="O1512" s="6">
        <v>8.7126429999999999</v>
      </c>
      <c r="P1512" s="6">
        <v>8.6856360000000006</v>
      </c>
      <c r="Q1512" s="6">
        <v>9.2387090000000001</v>
      </c>
      <c r="R1512" s="6">
        <v>8.7126429999999999</v>
      </c>
      <c r="S1512" s="6">
        <v>8.6856360000000006</v>
      </c>
      <c r="T1512" s="6">
        <v>8.8875729999999997</v>
      </c>
      <c r="U1512" s="6">
        <v>8.6089380000000002</v>
      </c>
      <c r="V1512" s="6">
        <v>8.6174140000000001</v>
      </c>
    </row>
    <row r="1513" spans="2:22">
      <c r="B1513" s="6">
        <v>32659</v>
      </c>
      <c r="C1513" s="6" t="s">
        <v>266</v>
      </c>
      <c r="D1513" s="6">
        <v>20500</v>
      </c>
      <c r="E1513" s="6" t="s">
        <v>31</v>
      </c>
      <c r="F1513" s="6" t="s">
        <v>16</v>
      </c>
      <c r="G1513" s="6" t="s">
        <v>1295</v>
      </c>
      <c r="H1513" s="6">
        <v>0</v>
      </c>
      <c r="I1513" s="6">
        <v>10</v>
      </c>
      <c r="J1513" s="6">
        <v>10</v>
      </c>
      <c r="K1513" s="6">
        <v>10</v>
      </c>
      <c r="L1513" s="6">
        <v>10</v>
      </c>
      <c r="M1513" s="6">
        <v>9.9722220000000004</v>
      </c>
      <c r="N1513" s="6">
        <v>10</v>
      </c>
      <c r="O1513" s="6">
        <v>10</v>
      </c>
      <c r="P1513" s="6">
        <v>9.9904759999999992</v>
      </c>
      <c r="Q1513" s="6">
        <v>10</v>
      </c>
      <c r="R1513" s="6">
        <v>10</v>
      </c>
      <c r="S1513" s="6">
        <v>9.9904759999999992</v>
      </c>
      <c r="T1513" s="6">
        <v>16.909089999999999</v>
      </c>
      <c r="U1513" s="6">
        <v>13.130081000000001</v>
      </c>
      <c r="V1513" s="6">
        <v>12.707865</v>
      </c>
    </row>
    <row r="1514" spans="2:22">
      <c r="B1514" s="6">
        <v>32659</v>
      </c>
      <c r="C1514" s="6" t="s">
        <v>266</v>
      </c>
      <c r="D1514" s="6">
        <v>20904</v>
      </c>
      <c r="E1514" s="6" t="s">
        <v>156</v>
      </c>
      <c r="F1514" s="6" t="s">
        <v>16</v>
      </c>
      <c r="G1514" s="6" t="s">
        <v>1295</v>
      </c>
      <c r="H1514" s="6">
        <v>0</v>
      </c>
      <c r="I1514" s="6">
        <v>10</v>
      </c>
      <c r="J1514" s="6">
        <v>10</v>
      </c>
      <c r="K1514" s="6">
        <v>10</v>
      </c>
      <c r="L1514" s="6">
        <v>10</v>
      </c>
      <c r="M1514" s="6">
        <v>11.173913000000001</v>
      </c>
      <c r="N1514" s="6">
        <v>14.736841999999999</v>
      </c>
      <c r="O1514" s="6">
        <v>14.21875</v>
      </c>
      <c r="P1514" s="6">
        <v>13.268817</v>
      </c>
      <c r="Q1514" s="6">
        <v>14.736841999999999</v>
      </c>
      <c r="R1514" s="6">
        <v>14.21875</v>
      </c>
      <c r="S1514" s="6">
        <v>13.268817</v>
      </c>
      <c r="T1514" s="6">
        <v>14.736841999999999</v>
      </c>
      <c r="U1514" s="6">
        <v>14.21875</v>
      </c>
      <c r="V1514" s="6">
        <v>13.268817</v>
      </c>
    </row>
    <row r="1515" spans="2:22">
      <c r="B1515" s="6">
        <v>32660</v>
      </c>
      <c r="C1515" s="6" t="s">
        <v>643</v>
      </c>
      <c r="D1515" s="6">
        <v>20500</v>
      </c>
      <c r="E1515" s="6" t="s">
        <v>31</v>
      </c>
      <c r="F1515" s="6" t="s">
        <v>17</v>
      </c>
      <c r="G1515" s="6" t="s">
        <v>1294</v>
      </c>
      <c r="H1515" s="6">
        <v>0</v>
      </c>
      <c r="I1515" s="6">
        <v>0</v>
      </c>
      <c r="J1515" s="6">
        <v>27</v>
      </c>
      <c r="K1515" s="6">
        <v>26.179282000000001</v>
      </c>
      <c r="L1515" s="6">
        <v>26.186138</v>
      </c>
      <c r="M1515" s="6">
        <v>25.935728999999998</v>
      </c>
      <c r="N1515" s="6">
        <v>26.108958000000001</v>
      </c>
      <c r="O1515" s="6">
        <v>26.328648000000001</v>
      </c>
      <c r="P1515" s="6">
        <v>26.003786000000002</v>
      </c>
      <c r="Q1515" s="6">
        <v>26.101534000000001</v>
      </c>
      <c r="R1515" s="6">
        <v>26.316153</v>
      </c>
      <c r="S1515" s="6">
        <v>25.991613999999998</v>
      </c>
      <c r="T1515" s="6">
        <v>25.645997000000001</v>
      </c>
      <c r="U1515" s="6">
        <v>25.223958</v>
      </c>
      <c r="V1515" s="6">
        <v>24.770192999999999</v>
      </c>
    </row>
    <row r="1516" spans="2:22">
      <c r="B1516" s="6">
        <v>32660</v>
      </c>
      <c r="C1516" s="6" t="s">
        <v>643</v>
      </c>
      <c r="D1516" s="6">
        <v>20706</v>
      </c>
      <c r="E1516" s="6" t="s">
        <v>52</v>
      </c>
      <c r="F1516" s="6" t="s">
        <v>17</v>
      </c>
      <c r="G1516" s="6" t="s">
        <v>1294</v>
      </c>
      <c r="H1516" s="6">
        <v>0</v>
      </c>
      <c r="I1516" s="6">
        <v>0</v>
      </c>
      <c r="J1516" s="6">
        <v>40</v>
      </c>
      <c r="K1516" s="6">
        <v>40</v>
      </c>
      <c r="L1516" s="6">
        <v>40</v>
      </c>
      <c r="M1516" s="6">
        <v>39.931505999999999</v>
      </c>
      <c r="N1516" s="6">
        <v>39.962778999999998</v>
      </c>
      <c r="O1516" s="6">
        <v>39.971750999999998</v>
      </c>
      <c r="P1516" s="6">
        <v>39.969020999999998</v>
      </c>
      <c r="Q1516" s="6">
        <v>39.963768000000002</v>
      </c>
      <c r="R1516" s="6">
        <v>39.972496999999997</v>
      </c>
      <c r="S1516" s="6">
        <v>39.969659999999998</v>
      </c>
      <c r="T1516" s="6">
        <v>39.867787999999997</v>
      </c>
      <c r="U1516" s="6">
        <v>39.928649</v>
      </c>
      <c r="V1516" s="6">
        <v>39.945453999999998</v>
      </c>
    </row>
    <row r="1517" spans="2:22">
      <c r="B1517" s="6">
        <v>32660</v>
      </c>
      <c r="C1517" s="6" t="s">
        <v>643</v>
      </c>
      <c r="D1517" s="6">
        <v>20902</v>
      </c>
      <c r="E1517" s="6" t="s">
        <v>53</v>
      </c>
      <c r="F1517" s="6" t="s">
        <v>13</v>
      </c>
      <c r="G1517" s="6" t="s">
        <v>14</v>
      </c>
      <c r="H1517" s="6">
        <v>0</v>
      </c>
      <c r="I1517" s="6">
        <v>0</v>
      </c>
      <c r="J1517" s="6">
        <v>15</v>
      </c>
      <c r="K1517" s="6">
        <v>18.635802000000002</v>
      </c>
      <c r="L1517" s="6">
        <v>18.195121</v>
      </c>
      <c r="M1517" s="6">
        <v>17.625368000000002</v>
      </c>
      <c r="N1517" s="6">
        <v>19.181818</v>
      </c>
      <c r="O1517" s="6">
        <v>19.119288999999998</v>
      </c>
      <c r="P1517" s="6">
        <v>18.784502</v>
      </c>
      <c r="Q1517" s="6">
        <v>19.181818</v>
      </c>
      <c r="R1517" s="6">
        <v>19.101835999999999</v>
      </c>
      <c r="S1517" s="6">
        <v>18.763134000000001</v>
      </c>
      <c r="T1517" s="6">
        <v>19.181818</v>
      </c>
      <c r="U1517" s="6">
        <v>19.101835999999999</v>
      </c>
      <c r="V1517" s="6">
        <v>18.763134000000001</v>
      </c>
    </row>
    <row r="1518" spans="2:22">
      <c r="B1518" s="6">
        <v>32660</v>
      </c>
      <c r="C1518" s="6" t="s">
        <v>643</v>
      </c>
      <c r="D1518" s="6">
        <v>20906</v>
      </c>
      <c r="E1518" s="6" t="s">
        <v>48</v>
      </c>
      <c r="F1518" s="6" t="s">
        <v>49</v>
      </c>
      <c r="G1518" s="6" t="s">
        <v>1296</v>
      </c>
      <c r="H1518" s="6">
        <v>0</v>
      </c>
      <c r="I1518" s="6">
        <v>0</v>
      </c>
      <c r="J1518" s="6">
        <v>19</v>
      </c>
      <c r="K1518" s="6">
        <v>16.992394999999998</v>
      </c>
      <c r="L1518" s="6">
        <v>16.951830000000001</v>
      </c>
      <c r="M1518" s="6">
        <v>17.405908</v>
      </c>
      <c r="N1518" s="6">
        <v>17.016705999999999</v>
      </c>
      <c r="O1518" s="6">
        <v>16.954350000000002</v>
      </c>
      <c r="P1518" s="6">
        <v>17.537869000000001</v>
      </c>
      <c r="Q1518" s="6">
        <v>17.016335999999999</v>
      </c>
      <c r="R1518" s="6">
        <v>16.958155999999999</v>
      </c>
      <c r="S1518" s="6">
        <v>17.538882000000001</v>
      </c>
      <c r="T1518" s="6">
        <v>17.016335999999999</v>
      </c>
      <c r="U1518" s="6">
        <v>16.958155999999999</v>
      </c>
      <c r="V1518" s="6">
        <v>17.538882000000001</v>
      </c>
    </row>
    <row r="1519" spans="2:22">
      <c r="B1519" s="6">
        <v>32661</v>
      </c>
      <c r="C1519" s="6" t="s">
        <v>408</v>
      </c>
      <c r="D1519" s="6">
        <v>20500</v>
      </c>
      <c r="E1519" s="6" t="s">
        <v>31</v>
      </c>
      <c r="F1519" s="6" t="s">
        <v>17</v>
      </c>
      <c r="G1519" s="6" t="s">
        <v>1294</v>
      </c>
      <c r="H1519" s="6">
        <v>0</v>
      </c>
      <c r="I1519" s="6">
        <v>0</v>
      </c>
      <c r="J1519" s="6">
        <v>27</v>
      </c>
      <c r="K1519" s="6">
        <v>26.179282000000001</v>
      </c>
      <c r="L1519" s="6">
        <v>26.186138</v>
      </c>
      <c r="M1519" s="6">
        <v>25.935728999999998</v>
      </c>
      <c r="N1519" s="6">
        <v>26.108958000000001</v>
      </c>
      <c r="O1519" s="6">
        <v>26.328648000000001</v>
      </c>
      <c r="P1519" s="6">
        <v>26.003786000000002</v>
      </c>
      <c r="Q1519" s="6">
        <v>26.101534000000001</v>
      </c>
      <c r="R1519" s="6">
        <v>26.316153</v>
      </c>
      <c r="S1519" s="6">
        <v>25.991613999999998</v>
      </c>
      <c r="T1519" s="6">
        <v>25.645997000000001</v>
      </c>
      <c r="U1519" s="6">
        <v>25.223958</v>
      </c>
      <c r="V1519" s="6">
        <v>24.770192999999999</v>
      </c>
    </row>
    <row r="1520" spans="2:22">
      <c r="B1520" s="6">
        <v>32661</v>
      </c>
      <c r="C1520" s="6" t="s">
        <v>408</v>
      </c>
      <c r="D1520" s="6">
        <v>20706</v>
      </c>
      <c r="E1520" s="6" t="s">
        <v>52</v>
      </c>
      <c r="F1520" s="6" t="s">
        <v>17</v>
      </c>
      <c r="G1520" s="6" t="s">
        <v>1294</v>
      </c>
      <c r="H1520" s="6">
        <v>0</v>
      </c>
      <c r="I1520" s="6">
        <v>0</v>
      </c>
      <c r="J1520" s="6">
        <v>40</v>
      </c>
      <c r="K1520" s="6">
        <v>40</v>
      </c>
      <c r="L1520" s="6">
        <v>40</v>
      </c>
      <c r="M1520" s="6">
        <v>39.931505999999999</v>
      </c>
      <c r="N1520" s="6">
        <v>39.962778999999998</v>
      </c>
      <c r="O1520" s="6">
        <v>39.971750999999998</v>
      </c>
      <c r="P1520" s="6">
        <v>39.969020999999998</v>
      </c>
      <c r="Q1520" s="6">
        <v>39.963768000000002</v>
      </c>
      <c r="R1520" s="6">
        <v>39.972496999999997</v>
      </c>
      <c r="S1520" s="6">
        <v>39.969659999999998</v>
      </c>
      <c r="T1520" s="6">
        <v>39.867787999999997</v>
      </c>
      <c r="U1520" s="6">
        <v>39.928649</v>
      </c>
      <c r="V1520" s="6">
        <v>39.945453999999998</v>
      </c>
    </row>
    <row r="1521" spans="2:22">
      <c r="B1521" s="6">
        <v>32661</v>
      </c>
      <c r="C1521" s="6" t="s">
        <v>408</v>
      </c>
      <c r="D1521" s="6">
        <v>20902</v>
      </c>
      <c r="E1521" s="6" t="s">
        <v>53</v>
      </c>
      <c r="F1521" s="6" t="s">
        <v>16</v>
      </c>
      <c r="G1521" s="6" t="s">
        <v>1295</v>
      </c>
      <c r="H1521" s="6">
        <v>0</v>
      </c>
      <c r="I1521" s="6">
        <v>0</v>
      </c>
      <c r="J1521" s="6">
        <v>30</v>
      </c>
      <c r="K1521" s="6">
        <v>27.111111000000001</v>
      </c>
      <c r="L1521" s="6">
        <v>25.059170999999999</v>
      </c>
      <c r="M1521" s="6">
        <v>26.5625</v>
      </c>
      <c r="N1521" s="6">
        <v>27.102803000000002</v>
      </c>
      <c r="O1521" s="6">
        <v>26.100322999999999</v>
      </c>
      <c r="P1521" s="6">
        <v>27.578899</v>
      </c>
      <c r="Q1521" s="6">
        <v>27.102803000000002</v>
      </c>
      <c r="R1521" s="6">
        <v>26.100322999999999</v>
      </c>
      <c r="S1521" s="6">
        <v>27.558453</v>
      </c>
      <c r="T1521" s="6">
        <v>26.737159999999999</v>
      </c>
      <c r="U1521" s="6">
        <v>25.752351000000001</v>
      </c>
      <c r="V1521" s="6">
        <v>27.323633000000001</v>
      </c>
    </row>
    <row r="1522" spans="2:22">
      <c r="B1522" s="6">
        <v>32661</v>
      </c>
      <c r="C1522" s="6" t="s">
        <v>408</v>
      </c>
      <c r="D1522" s="6">
        <v>20906</v>
      </c>
      <c r="E1522" s="6" t="s">
        <v>48</v>
      </c>
      <c r="F1522" s="6" t="s">
        <v>49</v>
      </c>
      <c r="G1522" s="6" t="s">
        <v>1296</v>
      </c>
      <c r="H1522" s="6">
        <v>0</v>
      </c>
      <c r="I1522" s="6">
        <v>0</v>
      </c>
      <c r="J1522" s="6">
        <v>18</v>
      </c>
      <c r="K1522" s="6">
        <v>16.992394999999998</v>
      </c>
      <c r="L1522" s="6">
        <v>16.951830000000001</v>
      </c>
      <c r="M1522" s="6">
        <v>17.405908</v>
      </c>
      <c r="N1522" s="6">
        <v>17.016705999999999</v>
      </c>
      <c r="O1522" s="6">
        <v>16.954350000000002</v>
      </c>
      <c r="P1522" s="6">
        <v>17.537869000000001</v>
      </c>
      <c r="Q1522" s="6">
        <v>17.016335999999999</v>
      </c>
      <c r="R1522" s="6">
        <v>16.958155999999999</v>
      </c>
      <c r="S1522" s="6">
        <v>17.538882000000001</v>
      </c>
      <c r="T1522" s="6">
        <v>17.016335999999999</v>
      </c>
      <c r="U1522" s="6">
        <v>16.958155999999999</v>
      </c>
      <c r="V1522" s="6">
        <v>17.538882000000001</v>
      </c>
    </row>
    <row r="1523" spans="2:22">
      <c r="B1523" s="6">
        <v>32662</v>
      </c>
      <c r="C1523" s="6" t="s">
        <v>406</v>
      </c>
      <c r="D1523" s="6">
        <v>20500</v>
      </c>
      <c r="E1523" s="6" t="s">
        <v>31</v>
      </c>
      <c r="F1523" s="6" t="s">
        <v>17</v>
      </c>
      <c r="G1523" s="6" t="s">
        <v>1294</v>
      </c>
      <c r="H1523" s="6">
        <v>0</v>
      </c>
      <c r="I1523" s="6">
        <v>0</v>
      </c>
      <c r="J1523" s="6">
        <v>27</v>
      </c>
      <c r="K1523" s="6">
        <v>26.179282000000001</v>
      </c>
      <c r="L1523" s="6">
        <v>26.186138</v>
      </c>
      <c r="M1523" s="6">
        <v>25.935728999999998</v>
      </c>
      <c r="N1523" s="6">
        <v>26.108958000000001</v>
      </c>
      <c r="O1523" s="6">
        <v>26.328648000000001</v>
      </c>
      <c r="P1523" s="6">
        <v>26.003786000000002</v>
      </c>
      <c r="Q1523" s="6">
        <v>26.101534000000001</v>
      </c>
      <c r="R1523" s="6">
        <v>26.316153</v>
      </c>
      <c r="S1523" s="6">
        <v>25.991613999999998</v>
      </c>
      <c r="T1523" s="6">
        <v>25.645997000000001</v>
      </c>
      <c r="U1523" s="6">
        <v>25.223958</v>
      </c>
      <c r="V1523" s="6">
        <v>24.770192999999999</v>
      </c>
    </row>
    <row r="1524" spans="2:22">
      <c r="B1524" s="6">
        <v>32662</v>
      </c>
      <c r="C1524" s="6" t="s">
        <v>406</v>
      </c>
      <c r="D1524" s="6">
        <v>20706</v>
      </c>
      <c r="E1524" s="6" t="s">
        <v>52</v>
      </c>
      <c r="F1524" s="6" t="s">
        <v>17</v>
      </c>
      <c r="G1524" s="6" t="s">
        <v>1294</v>
      </c>
      <c r="H1524" s="6">
        <v>0</v>
      </c>
      <c r="I1524" s="6">
        <v>0</v>
      </c>
      <c r="J1524" s="6">
        <v>40</v>
      </c>
      <c r="K1524" s="6">
        <v>40</v>
      </c>
      <c r="L1524" s="6">
        <v>40</v>
      </c>
      <c r="M1524" s="6">
        <v>39.931505999999999</v>
      </c>
      <c r="N1524" s="6">
        <v>39.962778999999998</v>
      </c>
      <c r="O1524" s="6">
        <v>39.971750999999998</v>
      </c>
      <c r="P1524" s="6">
        <v>39.969020999999998</v>
      </c>
      <c r="Q1524" s="6">
        <v>39.963768000000002</v>
      </c>
      <c r="R1524" s="6">
        <v>39.972496999999997</v>
      </c>
      <c r="S1524" s="6">
        <v>39.969659999999998</v>
      </c>
      <c r="T1524" s="6">
        <v>39.867787999999997</v>
      </c>
      <c r="U1524" s="6">
        <v>39.928649</v>
      </c>
      <c r="V1524" s="6">
        <v>39.945453999999998</v>
      </c>
    </row>
    <row r="1525" spans="2:22">
      <c r="B1525" s="6">
        <v>32662</v>
      </c>
      <c r="C1525" s="6" t="s">
        <v>406</v>
      </c>
      <c r="D1525" s="6">
        <v>20902</v>
      </c>
      <c r="E1525" s="6" t="s">
        <v>53</v>
      </c>
      <c r="F1525" s="6" t="s">
        <v>16</v>
      </c>
      <c r="G1525" s="6" t="s">
        <v>1295</v>
      </c>
      <c r="H1525" s="6">
        <v>0</v>
      </c>
      <c r="I1525" s="6">
        <v>0</v>
      </c>
      <c r="J1525" s="6">
        <v>30</v>
      </c>
      <c r="K1525" s="6">
        <v>27.111111000000001</v>
      </c>
      <c r="L1525" s="6">
        <v>25.059170999999999</v>
      </c>
      <c r="M1525" s="6">
        <v>26.5625</v>
      </c>
      <c r="N1525" s="6">
        <v>27.102803000000002</v>
      </c>
      <c r="O1525" s="6">
        <v>26.100322999999999</v>
      </c>
      <c r="P1525" s="6">
        <v>27.578899</v>
      </c>
      <c r="Q1525" s="6">
        <v>27.102803000000002</v>
      </c>
      <c r="R1525" s="6">
        <v>26.100322999999999</v>
      </c>
      <c r="S1525" s="6">
        <v>27.558453</v>
      </c>
      <c r="T1525" s="6">
        <v>26.737159999999999</v>
      </c>
      <c r="U1525" s="6">
        <v>25.752351000000001</v>
      </c>
      <c r="V1525" s="6">
        <v>27.323633000000001</v>
      </c>
    </row>
    <row r="1526" spans="2:22">
      <c r="B1526" s="6">
        <v>32662</v>
      </c>
      <c r="C1526" s="6" t="s">
        <v>406</v>
      </c>
      <c r="D1526" s="6">
        <v>20906</v>
      </c>
      <c r="E1526" s="6" t="s">
        <v>48</v>
      </c>
      <c r="F1526" s="6" t="s">
        <v>49</v>
      </c>
      <c r="G1526" s="6" t="s">
        <v>1296</v>
      </c>
      <c r="H1526" s="6">
        <v>0</v>
      </c>
      <c r="I1526" s="6">
        <v>0</v>
      </c>
      <c r="J1526" s="6">
        <v>18</v>
      </c>
      <c r="K1526" s="6">
        <v>16.992394999999998</v>
      </c>
      <c r="L1526" s="6">
        <v>16.951830000000001</v>
      </c>
      <c r="M1526" s="6">
        <v>17.405908</v>
      </c>
      <c r="N1526" s="6">
        <v>17.016705999999999</v>
      </c>
      <c r="O1526" s="6">
        <v>16.954350000000002</v>
      </c>
      <c r="P1526" s="6">
        <v>17.537869000000001</v>
      </c>
      <c r="Q1526" s="6">
        <v>17.016335999999999</v>
      </c>
      <c r="R1526" s="6">
        <v>16.958155999999999</v>
      </c>
      <c r="S1526" s="6">
        <v>17.538882000000001</v>
      </c>
      <c r="T1526" s="6">
        <v>17.016335999999999</v>
      </c>
      <c r="U1526" s="6">
        <v>16.958155999999999</v>
      </c>
      <c r="V1526" s="6">
        <v>17.538882000000001</v>
      </c>
    </row>
    <row r="1527" spans="2:22">
      <c r="B1527" s="6">
        <v>32663</v>
      </c>
      <c r="C1527" s="6" t="s">
        <v>438</v>
      </c>
      <c r="D1527" s="6">
        <v>20500</v>
      </c>
      <c r="E1527" s="6" t="s">
        <v>31</v>
      </c>
      <c r="F1527" s="6" t="s">
        <v>17</v>
      </c>
      <c r="G1527" s="6" t="s">
        <v>1294</v>
      </c>
      <c r="H1527" s="6">
        <v>0</v>
      </c>
      <c r="I1527" s="6">
        <v>0</v>
      </c>
      <c r="J1527" s="6">
        <v>27</v>
      </c>
      <c r="K1527" s="6">
        <v>26.179282000000001</v>
      </c>
      <c r="L1527" s="6">
        <v>26.186138</v>
      </c>
      <c r="M1527" s="6">
        <v>25.935728999999998</v>
      </c>
      <c r="N1527" s="6">
        <v>26.108958000000001</v>
      </c>
      <c r="O1527" s="6">
        <v>26.328648000000001</v>
      </c>
      <c r="P1527" s="6">
        <v>26.003786000000002</v>
      </c>
      <c r="Q1527" s="6">
        <v>26.101534000000001</v>
      </c>
      <c r="R1527" s="6">
        <v>26.316153</v>
      </c>
      <c r="S1527" s="6">
        <v>25.991613999999998</v>
      </c>
      <c r="T1527" s="6">
        <v>25.645997000000001</v>
      </c>
      <c r="U1527" s="6">
        <v>25.223958</v>
      </c>
      <c r="V1527" s="6">
        <v>24.770192999999999</v>
      </c>
    </row>
    <row r="1528" spans="2:22">
      <c r="B1528" s="6">
        <v>32663</v>
      </c>
      <c r="C1528" s="6" t="s">
        <v>438</v>
      </c>
      <c r="D1528" s="6">
        <v>20706</v>
      </c>
      <c r="E1528" s="6" t="s">
        <v>52</v>
      </c>
      <c r="F1528" s="6" t="s">
        <v>17</v>
      </c>
      <c r="G1528" s="6" t="s">
        <v>1294</v>
      </c>
      <c r="H1528" s="6">
        <v>0</v>
      </c>
      <c r="I1528" s="6">
        <v>0</v>
      </c>
      <c r="J1528" s="6">
        <v>40</v>
      </c>
      <c r="K1528" s="6">
        <v>40</v>
      </c>
      <c r="L1528" s="6">
        <v>40</v>
      </c>
      <c r="M1528" s="6">
        <v>39.931505999999999</v>
      </c>
      <c r="N1528" s="6">
        <v>39.962778999999998</v>
      </c>
      <c r="O1528" s="6">
        <v>39.971750999999998</v>
      </c>
      <c r="P1528" s="6">
        <v>39.969020999999998</v>
      </c>
      <c r="Q1528" s="6">
        <v>39.963768000000002</v>
      </c>
      <c r="R1528" s="6">
        <v>39.972496999999997</v>
      </c>
      <c r="S1528" s="6">
        <v>39.969659999999998</v>
      </c>
      <c r="T1528" s="6">
        <v>39.867787999999997</v>
      </c>
      <c r="U1528" s="6">
        <v>39.928649</v>
      </c>
      <c r="V1528" s="6">
        <v>39.945453999999998</v>
      </c>
    </row>
    <row r="1529" spans="2:22">
      <c r="B1529" s="6">
        <v>32663</v>
      </c>
      <c r="C1529" s="6" t="s">
        <v>438</v>
      </c>
      <c r="D1529" s="6">
        <v>20902</v>
      </c>
      <c r="E1529" s="6" t="s">
        <v>53</v>
      </c>
      <c r="F1529" s="6" t="s">
        <v>16</v>
      </c>
      <c r="G1529" s="6" t="s">
        <v>1295</v>
      </c>
      <c r="H1529" s="6">
        <v>0</v>
      </c>
      <c r="I1529" s="6">
        <v>0</v>
      </c>
      <c r="J1529" s="6">
        <v>30</v>
      </c>
      <c r="K1529" s="6">
        <v>27.111111000000001</v>
      </c>
      <c r="L1529" s="6">
        <v>25.059170999999999</v>
      </c>
      <c r="M1529" s="6">
        <v>26.5625</v>
      </c>
      <c r="N1529" s="6">
        <v>27.102803000000002</v>
      </c>
      <c r="O1529" s="6">
        <v>26.100322999999999</v>
      </c>
      <c r="P1529" s="6">
        <v>27.578899</v>
      </c>
      <c r="Q1529" s="6">
        <v>27.102803000000002</v>
      </c>
      <c r="R1529" s="6">
        <v>26.100322999999999</v>
      </c>
      <c r="S1529" s="6">
        <v>27.558453</v>
      </c>
      <c r="T1529" s="6">
        <v>26.737159999999999</v>
      </c>
      <c r="U1529" s="6">
        <v>25.752351000000001</v>
      </c>
      <c r="V1529" s="6">
        <v>27.323633000000001</v>
      </c>
    </row>
    <row r="1530" spans="2:22">
      <c r="B1530" s="6">
        <v>32663</v>
      </c>
      <c r="C1530" s="6" t="s">
        <v>438</v>
      </c>
      <c r="D1530" s="6">
        <v>20906</v>
      </c>
      <c r="E1530" s="6" t="s">
        <v>48</v>
      </c>
      <c r="F1530" s="6" t="s">
        <v>49</v>
      </c>
      <c r="G1530" s="6" t="s">
        <v>1296</v>
      </c>
      <c r="H1530" s="6">
        <v>0</v>
      </c>
      <c r="I1530" s="6">
        <v>0</v>
      </c>
      <c r="J1530" s="6">
        <v>17.333333</v>
      </c>
      <c r="K1530" s="6">
        <v>16.992394999999998</v>
      </c>
      <c r="L1530" s="6">
        <v>16.951830000000001</v>
      </c>
      <c r="M1530" s="6">
        <v>17.405908</v>
      </c>
      <c r="N1530" s="6">
        <v>17.016705999999999</v>
      </c>
      <c r="O1530" s="6">
        <v>16.954350000000002</v>
      </c>
      <c r="P1530" s="6">
        <v>17.537869000000001</v>
      </c>
      <c r="Q1530" s="6">
        <v>17.016335999999999</v>
      </c>
      <c r="R1530" s="6">
        <v>16.958155999999999</v>
      </c>
      <c r="S1530" s="6">
        <v>17.538882000000001</v>
      </c>
      <c r="T1530" s="6">
        <v>17.016335999999999</v>
      </c>
      <c r="U1530" s="6">
        <v>16.958155999999999</v>
      </c>
      <c r="V1530" s="6">
        <v>17.538882000000001</v>
      </c>
    </row>
    <row r="1531" spans="2:22">
      <c r="B1531" s="6">
        <v>32664</v>
      </c>
      <c r="C1531" s="6" t="s">
        <v>593</v>
      </c>
      <c r="D1531" s="6">
        <v>12400</v>
      </c>
      <c r="E1531" s="6" t="s">
        <v>217</v>
      </c>
      <c r="F1531" s="6" t="s">
        <v>16</v>
      </c>
      <c r="G1531" s="6" t="s">
        <v>1295</v>
      </c>
      <c r="H1531" s="6">
        <v>0</v>
      </c>
      <c r="I1531" s="6">
        <v>0</v>
      </c>
      <c r="J1531" s="6">
        <v>8</v>
      </c>
      <c r="K1531" s="6">
        <v>13.375</v>
      </c>
      <c r="L1531" s="6">
        <v>10.9375</v>
      </c>
      <c r="M1531" s="6">
        <v>9.2653060000000007</v>
      </c>
      <c r="N1531" s="6">
        <v>9.2387090000000001</v>
      </c>
      <c r="O1531" s="6">
        <v>8.7126429999999999</v>
      </c>
      <c r="P1531" s="6">
        <v>8.6856360000000006</v>
      </c>
      <c r="Q1531" s="6">
        <v>9.2387090000000001</v>
      </c>
      <c r="R1531" s="6">
        <v>8.7126429999999999</v>
      </c>
      <c r="S1531" s="6">
        <v>8.6856360000000006</v>
      </c>
      <c r="T1531" s="6">
        <v>8.8875729999999997</v>
      </c>
      <c r="U1531" s="6">
        <v>8.6089380000000002</v>
      </c>
      <c r="V1531" s="6">
        <v>8.6174140000000001</v>
      </c>
    </row>
    <row r="1532" spans="2:22">
      <c r="B1532" s="6">
        <v>32664</v>
      </c>
      <c r="C1532" s="6" t="s">
        <v>593</v>
      </c>
      <c r="D1532" s="6">
        <v>23119</v>
      </c>
      <c r="E1532" s="6" t="s">
        <v>281</v>
      </c>
      <c r="F1532" s="6" t="s">
        <v>16</v>
      </c>
      <c r="G1532" s="6" t="s">
        <v>1295</v>
      </c>
      <c r="H1532" s="6">
        <v>0</v>
      </c>
      <c r="I1532" s="6">
        <v>0</v>
      </c>
      <c r="J1532" s="6">
        <v>10</v>
      </c>
      <c r="K1532" s="6">
        <v>0</v>
      </c>
      <c r="L1532" s="6">
        <v>0</v>
      </c>
      <c r="M1532" s="6">
        <v>10</v>
      </c>
      <c r="N1532" s="6">
        <v>0</v>
      </c>
      <c r="O1532" s="6">
        <v>0</v>
      </c>
      <c r="P1532" s="6">
        <v>10</v>
      </c>
      <c r="Q1532" s="6">
        <v>0</v>
      </c>
      <c r="R1532" s="6">
        <v>0</v>
      </c>
      <c r="S1532" s="6">
        <v>10</v>
      </c>
      <c r="T1532" s="6">
        <v>0</v>
      </c>
      <c r="U1532" s="6">
        <v>0</v>
      </c>
      <c r="V1532" s="6">
        <v>10</v>
      </c>
    </row>
    <row r="1533" spans="2:22">
      <c r="B1533" s="6">
        <v>32664</v>
      </c>
      <c r="C1533" s="6" t="s">
        <v>593</v>
      </c>
      <c r="D1533" s="6">
        <v>23311</v>
      </c>
      <c r="E1533" s="6" t="s">
        <v>221</v>
      </c>
      <c r="F1533" s="6" t="s">
        <v>16</v>
      </c>
      <c r="G1533" s="6" t="s">
        <v>1295</v>
      </c>
      <c r="H1533" s="6">
        <v>0</v>
      </c>
      <c r="I1533" s="6">
        <v>0</v>
      </c>
      <c r="J1533" s="6">
        <v>10</v>
      </c>
      <c r="K1533" s="6">
        <v>10</v>
      </c>
      <c r="L1533" s="6">
        <v>10</v>
      </c>
      <c r="M1533" s="6">
        <v>10</v>
      </c>
      <c r="N1533" s="6">
        <v>10.099009000000001</v>
      </c>
      <c r="O1533" s="6">
        <v>10.02364</v>
      </c>
      <c r="P1533" s="6">
        <v>10.011260999999999</v>
      </c>
      <c r="Q1533" s="6">
        <v>10.099009000000001</v>
      </c>
      <c r="R1533" s="6">
        <v>10.02364</v>
      </c>
      <c r="S1533" s="6">
        <v>10.011260999999999</v>
      </c>
      <c r="T1533" s="6">
        <v>10.099009000000001</v>
      </c>
      <c r="U1533" s="6">
        <v>10.02364</v>
      </c>
      <c r="V1533" s="6">
        <v>10.011260999999999</v>
      </c>
    </row>
    <row r="1534" spans="2:22">
      <c r="B1534" s="6">
        <v>32664</v>
      </c>
      <c r="C1534" s="6" t="s">
        <v>593</v>
      </c>
      <c r="D1534" s="6">
        <v>23315</v>
      </c>
      <c r="E1534" s="6" t="s">
        <v>246</v>
      </c>
      <c r="F1534" s="6" t="s">
        <v>16</v>
      </c>
      <c r="G1534" s="6" t="s">
        <v>1295</v>
      </c>
      <c r="H1534" s="6">
        <v>0</v>
      </c>
      <c r="I1534" s="6">
        <v>0</v>
      </c>
      <c r="J1534" s="6">
        <v>10</v>
      </c>
      <c r="K1534" s="6">
        <v>10</v>
      </c>
      <c r="L1534" s="6">
        <v>10</v>
      </c>
      <c r="M1534" s="6">
        <v>9.625</v>
      </c>
      <c r="N1534" s="6">
        <v>10</v>
      </c>
      <c r="O1534" s="6">
        <v>10</v>
      </c>
      <c r="P1534" s="6">
        <v>9.6571420000000003</v>
      </c>
      <c r="Q1534" s="6">
        <v>10</v>
      </c>
      <c r="R1534" s="6">
        <v>10</v>
      </c>
      <c r="S1534" s="6">
        <v>9.6571420000000003</v>
      </c>
      <c r="T1534" s="6">
        <v>10</v>
      </c>
      <c r="U1534" s="6">
        <v>10</v>
      </c>
      <c r="V1534" s="6">
        <v>9.6571420000000003</v>
      </c>
    </row>
    <row r="1535" spans="2:22">
      <c r="B1535" s="6">
        <v>32665</v>
      </c>
      <c r="C1535" s="6" t="s">
        <v>702</v>
      </c>
      <c r="D1535" s="6">
        <v>12400</v>
      </c>
      <c r="E1535" s="6" t="s">
        <v>217</v>
      </c>
      <c r="F1535" s="6" t="s">
        <v>16</v>
      </c>
      <c r="G1535" s="6" t="s">
        <v>1295</v>
      </c>
      <c r="H1535" s="6">
        <v>0</v>
      </c>
      <c r="I1535" s="6">
        <v>0</v>
      </c>
      <c r="J1535" s="6">
        <v>8</v>
      </c>
      <c r="K1535" s="6">
        <v>13.375</v>
      </c>
      <c r="L1535" s="6">
        <v>10.9375</v>
      </c>
      <c r="M1535" s="6">
        <v>9.2653060000000007</v>
      </c>
      <c r="N1535" s="6">
        <v>9.2387090000000001</v>
      </c>
      <c r="O1535" s="6">
        <v>8.7126429999999999</v>
      </c>
      <c r="P1535" s="6">
        <v>8.6856360000000006</v>
      </c>
      <c r="Q1535" s="6">
        <v>9.2387090000000001</v>
      </c>
      <c r="R1535" s="6">
        <v>8.7126429999999999</v>
      </c>
      <c r="S1535" s="6">
        <v>8.6856360000000006</v>
      </c>
      <c r="T1535" s="6">
        <v>8.8875729999999997</v>
      </c>
      <c r="U1535" s="6">
        <v>8.6089380000000002</v>
      </c>
      <c r="V1535" s="6">
        <v>8.6174140000000001</v>
      </c>
    </row>
    <row r="1536" spans="2:22">
      <c r="B1536" s="6">
        <v>32665</v>
      </c>
      <c r="C1536" s="6" t="s">
        <v>702</v>
      </c>
      <c r="D1536" s="6">
        <v>20920</v>
      </c>
      <c r="E1536" s="6" t="s">
        <v>231</v>
      </c>
      <c r="F1536" s="6" t="s">
        <v>16</v>
      </c>
      <c r="G1536" s="6" t="s">
        <v>1295</v>
      </c>
      <c r="H1536" s="6">
        <v>0</v>
      </c>
      <c r="I1536" s="6">
        <v>0</v>
      </c>
      <c r="J1536" s="6">
        <v>7</v>
      </c>
      <c r="K1536" s="6">
        <v>8.1999999999999993</v>
      </c>
      <c r="L1536" s="6">
        <v>8</v>
      </c>
      <c r="M1536" s="6">
        <v>7.2068960000000004</v>
      </c>
      <c r="N1536" s="6">
        <v>8.1999999999999993</v>
      </c>
      <c r="O1536" s="6">
        <v>8.0909089999999999</v>
      </c>
      <c r="P1536" s="6">
        <v>7.923076</v>
      </c>
      <c r="Q1536" s="6">
        <v>8.1999999999999993</v>
      </c>
      <c r="R1536" s="6">
        <v>8.0909089999999999</v>
      </c>
      <c r="S1536" s="6">
        <v>7.923076</v>
      </c>
      <c r="T1536" s="6">
        <v>8.1999999999999993</v>
      </c>
      <c r="U1536" s="6">
        <v>8.0909089999999999</v>
      </c>
      <c r="V1536" s="6">
        <v>7.923076</v>
      </c>
    </row>
    <row r="1537" spans="2:22">
      <c r="B1537" s="6">
        <v>32665</v>
      </c>
      <c r="C1537" s="6" t="s">
        <v>702</v>
      </c>
      <c r="D1537" s="6">
        <v>23311</v>
      </c>
      <c r="E1537" s="6" t="s">
        <v>221</v>
      </c>
      <c r="F1537" s="6" t="s">
        <v>16</v>
      </c>
      <c r="G1537" s="6" t="s">
        <v>1295</v>
      </c>
      <c r="H1537" s="6">
        <v>0</v>
      </c>
      <c r="I1537" s="6">
        <v>0</v>
      </c>
      <c r="J1537" s="6">
        <v>10</v>
      </c>
      <c r="K1537" s="6">
        <v>10</v>
      </c>
      <c r="L1537" s="6">
        <v>10</v>
      </c>
      <c r="M1537" s="6">
        <v>10</v>
      </c>
      <c r="N1537" s="6">
        <v>10.099009000000001</v>
      </c>
      <c r="O1537" s="6">
        <v>10.02364</v>
      </c>
      <c r="P1537" s="6">
        <v>10.011260999999999</v>
      </c>
      <c r="Q1537" s="6">
        <v>10.099009000000001</v>
      </c>
      <c r="R1537" s="6">
        <v>10.02364</v>
      </c>
      <c r="S1537" s="6">
        <v>10.011260999999999</v>
      </c>
      <c r="T1537" s="6">
        <v>10.099009000000001</v>
      </c>
      <c r="U1537" s="6">
        <v>10.02364</v>
      </c>
      <c r="V1537" s="6">
        <v>10.011260999999999</v>
      </c>
    </row>
    <row r="1538" spans="2:22">
      <c r="B1538" s="6">
        <v>32665</v>
      </c>
      <c r="C1538" s="6" t="s">
        <v>702</v>
      </c>
      <c r="D1538" s="6">
        <v>23315</v>
      </c>
      <c r="E1538" s="6" t="s">
        <v>246</v>
      </c>
      <c r="F1538" s="6" t="s">
        <v>16</v>
      </c>
      <c r="G1538" s="6" t="s">
        <v>1295</v>
      </c>
      <c r="H1538" s="6">
        <v>0</v>
      </c>
      <c r="I1538" s="6">
        <v>0</v>
      </c>
      <c r="J1538" s="6">
        <v>7</v>
      </c>
      <c r="K1538" s="6">
        <v>10</v>
      </c>
      <c r="L1538" s="6">
        <v>10</v>
      </c>
      <c r="M1538" s="6">
        <v>9.625</v>
      </c>
      <c r="N1538" s="6">
        <v>10</v>
      </c>
      <c r="O1538" s="6">
        <v>10</v>
      </c>
      <c r="P1538" s="6">
        <v>9.6571420000000003</v>
      </c>
      <c r="Q1538" s="6">
        <v>10</v>
      </c>
      <c r="R1538" s="6">
        <v>10</v>
      </c>
      <c r="S1538" s="6">
        <v>9.6571420000000003</v>
      </c>
      <c r="T1538" s="6">
        <v>10</v>
      </c>
      <c r="U1538" s="6">
        <v>10</v>
      </c>
      <c r="V1538" s="6">
        <v>9.6571420000000003</v>
      </c>
    </row>
    <row r="1539" spans="2:22">
      <c r="B1539" s="6">
        <v>32666</v>
      </c>
      <c r="C1539" s="6" t="s">
        <v>1201</v>
      </c>
      <c r="D1539" s="6">
        <v>21000</v>
      </c>
      <c r="E1539" s="6" t="s">
        <v>276</v>
      </c>
      <c r="F1539" s="6" t="s">
        <v>1309</v>
      </c>
      <c r="G1539" s="6" t="s">
        <v>1310</v>
      </c>
      <c r="H1539" s="6">
        <v>0</v>
      </c>
      <c r="I1539" s="6">
        <v>0</v>
      </c>
      <c r="J1539" s="6">
        <v>30</v>
      </c>
      <c r="K1539" s="6">
        <v>0</v>
      </c>
      <c r="L1539" s="6">
        <v>0</v>
      </c>
      <c r="M1539" s="6">
        <v>30</v>
      </c>
      <c r="N1539" s="6">
        <v>0</v>
      </c>
      <c r="O1539" s="6">
        <v>0</v>
      </c>
      <c r="P1539" s="6">
        <v>30</v>
      </c>
      <c r="Q1539" s="6">
        <v>0</v>
      </c>
      <c r="R1539" s="6">
        <v>0</v>
      </c>
      <c r="S1539" s="6">
        <v>30</v>
      </c>
      <c r="T1539" s="6">
        <v>0</v>
      </c>
      <c r="U1539" s="6">
        <v>0</v>
      </c>
      <c r="V1539" s="6">
        <v>30</v>
      </c>
    </row>
    <row r="1540" spans="2:22">
      <c r="B1540" s="6">
        <v>32669</v>
      </c>
      <c r="C1540" s="6" t="s">
        <v>800</v>
      </c>
      <c r="D1540" s="6">
        <v>12400</v>
      </c>
      <c r="E1540" s="6" t="s">
        <v>217</v>
      </c>
      <c r="F1540" s="6" t="s">
        <v>16</v>
      </c>
      <c r="G1540" s="6" t="s">
        <v>1295</v>
      </c>
      <c r="H1540" s="6">
        <v>0</v>
      </c>
      <c r="I1540" s="6">
        <v>0</v>
      </c>
      <c r="J1540" s="6">
        <v>8</v>
      </c>
      <c r="K1540" s="6">
        <v>8.2173909999999992</v>
      </c>
      <c r="L1540" s="6">
        <v>8.1046829999999996</v>
      </c>
      <c r="M1540" s="6">
        <v>8.2384710000000005</v>
      </c>
      <c r="N1540" s="6">
        <v>9.2387090000000001</v>
      </c>
      <c r="O1540" s="6">
        <v>8.7126429999999999</v>
      </c>
      <c r="P1540" s="6">
        <v>8.6856360000000006</v>
      </c>
      <c r="Q1540" s="6">
        <v>9.2387090000000001</v>
      </c>
      <c r="R1540" s="6">
        <v>8.7126429999999999</v>
      </c>
      <c r="S1540" s="6">
        <v>8.6856360000000006</v>
      </c>
      <c r="T1540" s="6">
        <v>8.8875729999999997</v>
      </c>
      <c r="U1540" s="6">
        <v>8.6089380000000002</v>
      </c>
      <c r="V1540" s="6">
        <v>8.6174140000000001</v>
      </c>
    </row>
    <row r="1541" spans="2:22">
      <c r="B1541" s="6">
        <v>32669</v>
      </c>
      <c r="C1541" s="6" t="s">
        <v>800</v>
      </c>
      <c r="D1541" s="6">
        <v>23311</v>
      </c>
      <c r="E1541" s="6" t="s">
        <v>221</v>
      </c>
      <c r="F1541" s="6" t="s">
        <v>16</v>
      </c>
      <c r="G1541" s="6" t="s">
        <v>1295</v>
      </c>
      <c r="H1541" s="6">
        <v>0</v>
      </c>
      <c r="I1541" s="6">
        <v>0</v>
      </c>
      <c r="J1541" s="6">
        <v>10</v>
      </c>
      <c r="K1541" s="6">
        <v>10.144926999999999</v>
      </c>
      <c r="L1541" s="6">
        <v>10.029239</v>
      </c>
      <c r="M1541" s="6">
        <v>10.013888</v>
      </c>
      <c r="N1541" s="6">
        <v>10.099009000000001</v>
      </c>
      <c r="O1541" s="6">
        <v>10.02364</v>
      </c>
      <c r="P1541" s="6">
        <v>10.011260999999999</v>
      </c>
      <c r="Q1541" s="6">
        <v>10.099009000000001</v>
      </c>
      <c r="R1541" s="6">
        <v>10.02364</v>
      </c>
      <c r="S1541" s="6">
        <v>10.011260999999999</v>
      </c>
      <c r="T1541" s="6">
        <v>10.099009000000001</v>
      </c>
      <c r="U1541" s="6">
        <v>10.02364</v>
      </c>
      <c r="V1541" s="6">
        <v>10.011260999999999</v>
      </c>
    </row>
    <row r="1542" spans="2:22">
      <c r="B1542" s="6">
        <v>32671</v>
      </c>
      <c r="C1542" s="6" t="s">
        <v>1205</v>
      </c>
      <c r="D1542" s="6">
        <v>24000</v>
      </c>
      <c r="E1542" s="6" t="s">
        <v>72</v>
      </c>
      <c r="F1542" s="6" t="s">
        <v>73</v>
      </c>
      <c r="G1542" s="6" t="s">
        <v>1299</v>
      </c>
      <c r="H1542" s="6">
        <v>0</v>
      </c>
      <c r="I1542" s="6">
        <v>0</v>
      </c>
      <c r="J1542" s="6">
        <v>15</v>
      </c>
      <c r="K1542" s="6">
        <v>0</v>
      </c>
      <c r="L1542" s="6">
        <v>0</v>
      </c>
      <c r="M1542" s="6">
        <v>15</v>
      </c>
      <c r="N1542" s="6">
        <v>0</v>
      </c>
      <c r="O1542" s="6">
        <v>0</v>
      </c>
      <c r="P1542" s="6">
        <v>15</v>
      </c>
      <c r="Q1542" s="6">
        <v>0</v>
      </c>
      <c r="R1542" s="6">
        <v>0</v>
      </c>
      <c r="S1542" s="6">
        <v>15</v>
      </c>
      <c r="T1542" s="6">
        <v>0</v>
      </c>
      <c r="U1542" s="6">
        <v>0</v>
      </c>
      <c r="V1542" s="6">
        <v>15</v>
      </c>
    </row>
    <row r="1543" spans="2:22">
      <c r="B1543" s="6">
        <v>32672</v>
      </c>
      <c r="C1543" s="6" t="s">
        <v>555</v>
      </c>
      <c r="D1543" s="6">
        <v>20500</v>
      </c>
      <c r="E1543" s="6" t="s">
        <v>31</v>
      </c>
      <c r="F1543" s="6" t="s">
        <v>17</v>
      </c>
      <c r="G1543" s="6" t="s">
        <v>1294</v>
      </c>
      <c r="H1543" s="6">
        <v>27</v>
      </c>
      <c r="I1543" s="6">
        <v>27</v>
      </c>
      <c r="J1543" s="6">
        <v>27</v>
      </c>
      <c r="K1543" s="6">
        <v>26.179282000000001</v>
      </c>
      <c r="L1543" s="6">
        <v>26.186138</v>
      </c>
      <c r="M1543" s="6">
        <v>25.935728999999998</v>
      </c>
      <c r="N1543" s="6">
        <v>26.108958000000001</v>
      </c>
      <c r="O1543" s="6">
        <v>26.328648000000001</v>
      </c>
      <c r="P1543" s="6">
        <v>26.003786000000002</v>
      </c>
      <c r="Q1543" s="6">
        <v>26.101534000000001</v>
      </c>
      <c r="R1543" s="6">
        <v>26.316153</v>
      </c>
      <c r="S1543" s="6">
        <v>25.991613999999998</v>
      </c>
      <c r="T1543" s="6">
        <v>25.645997000000001</v>
      </c>
      <c r="U1543" s="6">
        <v>25.223958</v>
      </c>
      <c r="V1543" s="6">
        <v>24.770192999999999</v>
      </c>
    </row>
    <row r="1544" spans="2:22">
      <c r="B1544" s="6">
        <v>32672</v>
      </c>
      <c r="C1544" s="6" t="s">
        <v>555</v>
      </c>
      <c r="D1544" s="6">
        <v>20713</v>
      </c>
      <c r="E1544" s="6" t="s">
        <v>147</v>
      </c>
      <c r="F1544" s="6" t="s">
        <v>17</v>
      </c>
      <c r="G1544" s="6" t="s">
        <v>1294</v>
      </c>
      <c r="H1544" s="6">
        <v>25</v>
      </c>
      <c r="I1544" s="6">
        <v>25</v>
      </c>
      <c r="J1544" s="6">
        <v>25</v>
      </c>
      <c r="K1544" s="6">
        <v>25</v>
      </c>
      <c r="L1544" s="6">
        <v>25.175438</v>
      </c>
      <c r="M1544" s="6">
        <v>25.10989</v>
      </c>
      <c r="N1544" s="6">
        <v>25.272727</v>
      </c>
      <c r="O1544" s="6">
        <v>25.25</v>
      </c>
      <c r="P1544" s="6">
        <v>25.15015</v>
      </c>
      <c r="Q1544" s="6">
        <v>25.272727</v>
      </c>
      <c r="R1544" s="6">
        <v>25.25</v>
      </c>
      <c r="S1544" s="6">
        <v>25.15015</v>
      </c>
      <c r="T1544" s="6">
        <v>25.272727</v>
      </c>
      <c r="U1544" s="6">
        <v>25.25</v>
      </c>
      <c r="V1544" s="6">
        <v>25.15015</v>
      </c>
    </row>
    <row r="1545" spans="2:22">
      <c r="B1545" s="6">
        <v>32672</v>
      </c>
      <c r="C1545" s="6" t="s">
        <v>555</v>
      </c>
      <c r="D1545" s="6">
        <v>20902</v>
      </c>
      <c r="E1545" s="6" t="s">
        <v>53</v>
      </c>
      <c r="F1545" s="6" t="s">
        <v>16</v>
      </c>
      <c r="G1545" s="6" t="s">
        <v>1295</v>
      </c>
      <c r="H1545" s="6">
        <v>20</v>
      </c>
      <c r="I1545" s="6">
        <v>18.928571000000002</v>
      </c>
      <c r="J1545" s="6">
        <v>21.842105</v>
      </c>
      <c r="K1545" s="6">
        <v>27.111111000000001</v>
      </c>
      <c r="L1545" s="6">
        <v>25.059170999999999</v>
      </c>
      <c r="M1545" s="6">
        <v>26.5625</v>
      </c>
      <c r="N1545" s="6">
        <v>27.102803000000002</v>
      </c>
      <c r="O1545" s="6">
        <v>26.100322999999999</v>
      </c>
      <c r="P1545" s="6">
        <v>27.578899</v>
      </c>
      <c r="Q1545" s="6">
        <v>27.102803000000002</v>
      </c>
      <c r="R1545" s="6">
        <v>26.100322999999999</v>
      </c>
      <c r="S1545" s="6">
        <v>27.558453</v>
      </c>
      <c r="T1545" s="6">
        <v>26.737159999999999</v>
      </c>
      <c r="U1545" s="6">
        <v>25.752351000000001</v>
      </c>
      <c r="V1545" s="6">
        <v>27.323633000000001</v>
      </c>
    </row>
    <row r="1546" spans="2:22">
      <c r="B1546" s="6">
        <v>32672</v>
      </c>
      <c r="C1546" s="6" t="s">
        <v>555</v>
      </c>
      <c r="D1546" s="6">
        <v>20902</v>
      </c>
      <c r="E1546" s="6" t="s">
        <v>53</v>
      </c>
      <c r="F1546" s="6" t="s">
        <v>13</v>
      </c>
      <c r="G1546" s="6" t="s">
        <v>14</v>
      </c>
      <c r="H1546" s="6">
        <v>18.333333</v>
      </c>
      <c r="I1546" s="6">
        <v>18.333333</v>
      </c>
      <c r="J1546" s="6">
        <v>16.25</v>
      </c>
      <c r="K1546" s="6">
        <v>18.635802000000002</v>
      </c>
      <c r="L1546" s="6">
        <v>18.195121</v>
      </c>
      <c r="M1546" s="6">
        <v>17.625368000000002</v>
      </c>
      <c r="N1546" s="6">
        <v>19.181818</v>
      </c>
      <c r="O1546" s="6">
        <v>19.119288999999998</v>
      </c>
      <c r="P1546" s="6">
        <v>18.784502</v>
      </c>
      <c r="Q1546" s="6">
        <v>19.181818</v>
      </c>
      <c r="R1546" s="6">
        <v>19.101835999999999</v>
      </c>
      <c r="S1546" s="6">
        <v>18.763134000000001</v>
      </c>
      <c r="T1546" s="6">
        <v>19.181818</v>
      </c>
      <c r="U1546" s="6">
        <v>19.101835999999999</v>
      </c>
      <c r="V1546" s="6">
        <v>18.763134000000001</v>
      </c>
    </row>
    <row r="1547" spans="2:22">
      <c r="B1547" s="6">
        <v>32672</v>
      </c>
      <c r="C1547" s="6" t="s">
        <v>555</v>
      </c>
      <c r="D1547" s="6">
        <v>20906</v>
      </c>
      <c r="E1547" s="6" t="s">
        <v>48</v>
      </c>
      <c r="F1547" s="6" t="s">
        <v>49</v>
      </c>
      <c r="G1547" s="6" t="s">
        <v>1296</v>
      </c>
      <c r="H1547" s="6">
        <v>17.600000000000001</v>
      </c>
      <c r="I1547" s="6">
        <v>17.136362999999999</v>
      </c>
      <c r="J1547" s="6">
        <v>17.444444000000001</v>
      </c>
      <c r="K1547" s="6">
        <v>16.992394999999998</v>
      </c>
      <c r="L1547" s="6">
        <v>16.951830000000001</v>
      </c>
      <c r="M1547" s="6">
        <v>17.405908</v>
      </c>
      <c r="N1547" s="6">
        <v>17.016705999999999</v>
      </c>
      <c r="O1547" s="6">
        <v>16.954350000000002</v>
      </c>
      <c r="P1547" s="6">
        <v>17.537869000000001</v>
      </c>
      <c r="Q1547" s="6">
        <v>17.016335999999999</v>
      </c>
      <c r="R1547" s="6">
        <v>16.958155999999999</v>
      </c>
      <c r="S1547" s="6">
        <v>17.538882000000001</v>
      </c>
      <c r="T1547" s="6">
        <v>17.016335999999999</v>
      </c>
      <c r="U1547" s="6">
        <v>16.958155999999999</v>
      </c>
      <c r="V1547" s="6">
        <v>17.538882000000001</v>
      </c>
    </row>
    <row r="1548" spans="2:22">
      <c r="B1548" s="6">
        <v>32673</v>
      </c>
      <c r="C1548" s="6" t="s">
        <v>820</v>
      </c>
      <c r="D1548" s="6">
        <v>20500</v>
      </c>
      <c r="E1548" s="6" t="s">
        <v>31</v>
      </c>
      <c r="F1548" s="6" t="s">
        <v>17</v>
      </c>
      <c r="G1548" s="6" t="s">
        <v>1294</v>
      </c>
      <c r="H1548" s="6">
        <v>27</v>
      </c>
      <c r="I1548" s="6">
        <v>27</v>
      </c>
      <c r="J1548" s="6">
        <v>27</v>
      </c>
      <c r="K1548" s="6">
        <v>26.179282000000001</v>
      </c>
      <c r="L1548" s="6">
        <v>26.186138</v>
      </c>
      <c r="M1548" s="6">
        <v>25.935728999999998</v>
      </c>
      <c r="N1548" s="6">
        <v>26.108958000000001</v>
      </c>
      <c r="O1548" s="6">
        <v>26.328648000000001</v>
      </c>
      <c r="P1548" s="6">
        <v>26.003786000000002</v>
      </c>
      <c r="Q1548" s="6">
        <v>26.101534000000001</v>
      </c>
      <c r="R1548" s="6">
        <v>26.316153</v>
      </c>
      <c r="S1548" s="6">
        <v>25.991613999999998</v>
      </c>
      <c r="T1548" s="6">
        <v>25.645997000000001</v>
      </c>
      <c r="U1548" s="6">
        <v>25.223958</v>
      </c>
      <c r="V1548" s="6">
        <v>24.770192999999999</v>
      </c>
    </row>
    <row r="1549" spans="2:22">
      <c r="B1549" s="6">
        <v>32673</v>
      </c>
      <c r="C1549" s="6" t="s">
        <v>820</v>
      </c>
      <c r="D1549" s="6">
        <v>20713</v>
      </c>
      <c r="E1549" s="6" t="s">
        <v>147</v>
      </c>
      <c r="F1549" s="6" t="s">
        <v>17</v>
      </c>
      <c r="G1549" s="6" t="s">
        <v>1294</v>
      </c>
      <c r="H1549" s="6">
        <v>25</v>
      </c>
      <c r="I1549" s="6">
        <v>25</v>
      </c>
      <c r="J1549" s="6">
        <v>25</v>
      </c>
      <c r="K1549" s="6">
        <v>25</v>
      </c>
      <c r="L1549" s="6">
        <v>25.175438</v>
      </c>
      <c r="M1549" s="6">
        <v>25.10989</v>
      </c>
      <c r="N1549" s="6">
        <v>25.272727</v>
      </c>
      <c r="O1549" s="6">
        <v>25.25</v>
      </c>
      <c r="P1549" s="6">
        <v>25.15015</v>
      </c>
      <c r="Q1549" s="6">
        <v>25.272727</v>
      </c>
      <c r="R1549" s="6">
        <v>25.25</v>
      </c>
      <c r="S1549" s="6">
        <v>25.15015</v>
      </c>
      <c r="T1549" s="6">
        <v>25.272727</v>
      </c>
      <c r="U1549" s="6">
        <v>25.25</v>
      </c>
      <c r="V1549" s="6">
        <v>25.15015</v>
      </c>
    </row>
    <row r="1550" spans="2:22">
      <c r="B1550" s="6">
        <v>32673</v>
      </c>
      <c r="C1550" s="6" t="s">
        <v>820</v>
      </c>
      <c r="D1550" s="6">
        <v>20902</v>
      </c>
      <c r="E1550" s="6" t="s">
        <v>53</v>
      </c>
      <c r="F1550" s="6" t="s">
        <v>16</v>
      </c>
      <c r="G1550" s="6" t="s">
        <v>1295</v>
      </c>
      <c r="H1550" s="6">
        <v>25</v>
      </c>
      <c r="I1550" s="6">
        <v>21.176469999999998</v>
      </c>
      <c r="J1550" s="6">
        <v>21.176469999999998</v>
      </c>
      <c r="K1550" s="6">
        <v>27.111111000000001</v>
      </c>
      <c r="L1550" s="6">
        <v>25.059170999999999</v>
      </c>
      <c r="M1550" s="6">
        <v>26.5625</v>
      </c>
      <c r="N1550" s="6">
        <v>27.102803000000002</v>
      </c>
      <c r="O1550" s="6">
        <v>26.100322999999999</v>
      </c>
      <c r="P1550" s="6">
        <v>27.578899</v>
      </c>
      <c r="Q1550" s="6">
        <v>27.102803000000002</v>
      </c>
      <c r="R1550" s="6">
        <v>26.100322999999999</v>
      </c>
      <c r="S1550" s="6">
        <v>27.558453</v>
      </c>
      <c r="T1550" s="6">
        <v>26.737159999999999</v>
      </c>
      <c r="U1550" s="6">
        <v>25.752351000000001</v>
      </c>
      <c r="V1550" s="6">
        <v>27.323633000000001</v>
      </c>
    </row>
    <row r="1551" spans="2:22">
      <c r="B1551" s="6">
        <v>32673</v>
      </c>
      <c r="C1551" s="6" t="s">
        <v>820</v>
      </c>
      <c r="D1551" s="6">
        <v>20902</v>
      </c>
      <c r="E1551" s="6" t="s">
        <v>53</v>
      </c>
      <c r="F1551" s="6" t="s">
        <v>13</v>
      </c>
      <c r="G1551" s="6" t="s">
        <v>14</v>
      </c>
      <c r="H1551" s="6">
        <v>20.833333</v>
      </c>
      <c r="I1551" s="6">
        <v>20.833333</v>
      </c>
      <c r="J1551" s="6">
        <v>20.473683999999999</v>
      </c>
      <c r="K1551" s="6">
        <v>18.635802000000002</v>
      </c>
      <c r="L1551" s="6">
        <v>18.195121</v>
      </c>
      <c r="M1551" s="6">
        <v>17.625368000000002</v>
      </c>
      <c r="N1551" s="6">
        <v>19.181818</v>
      </c>
      <c r="O1551" s="6">
        <v>19.119288999999998</v>
      </c>
      <c r="P1551" s="6">
        <v>18.784502</v>
      </c>
      <c r="Q1551" s="6">
        <v>19.181818</v>
      </c>
      <c r="R1551" s="6">
        <v>19.101835999999999</v>
      </c>
      <c r="S1551" s="6">
        <v>18.763134000000001</v>
      </c>
      <c r="T1551" s="6">
        <v>19.181818</v>
      </c>
      <c r="U1551" s="6">
        <v>19.101835999999999</v>
      </c>
      <c r="V1551" s="6">
        <v>18.763134000000001</v>
      </c>
    </row>
    <row r="1552" spans="2:22">
      <c r="B1552" s="6">
        <v>32673</v>
      </c>
      <c r="C1552" s="6" t="s">
        <v>820</v>
      </c>
      <c r="D1552" s="6">
        <v>20906</v>
      </c>
      <c r="E1552" s="6" t="s">
        <v>48</v>
      </c>
      <c r="F1552" s="6" t="s">
        <v>49</v>
      </c>
      <c r="G1552" s="6" t="s">
        <v>1296</v>
      </c>
      <c r="H1552" s="6">
        <v>17.26923</v>
      </c>
      <c r="I1552" s="6">
        <v>17.452380000000002</v>
      </c>
      <c r="J1552" s="6">
        <v>17.754715999999998</v>
      </c>
      <c r="K1552" s="6">
        <v>16.992394999999998</v>
      </c>
      <c r="L1552" s="6">
        <v>16.951830000000001</v>
      </c>
      <c r="M1552" s="6">
        <v>17.405908</v>
      </c>
      <c r="N1552" s="6">
        <v>17.016705999999999</v>
      </c>
      <c r="O1552" s="6">
        <v>16.954350000000002</v>
      </c>
      <c r="P1552" s="6">
        <v>17.537869000000001</v>
      </c>
      <c r="Q1552" s="6">
        <v>17.016335999999999</v>
      </c>
      <c r="R1552" s="6">
        <v>16.958155999999999</v>
      </c>
      <c r="S1552" s="6">
        <v>17.538882000000001</v>
      </c>
      <c r="T1552" s="6">
        <v>17.016335999999999</v>
      </c>
      <c r="U1552" s="6">
        <v>16.958155999999999</v>
      </c>
      <c r="V1552" s="6">
        <v>17.538882000000001</v>
      </c>
    </row>
    <row r="1553" spans="2:22">
      <c r="B1553" s="6">
        <v>32674</v>
      </c>
      <c r="C1553" s="6" t="s">
        <v>725</v>
      </c>
      <c r="D1553" s="6">
        <v>20500</v>
      </c>
      <c r="E1553" s="6" t="s">
        <v>31</v>
      </c>
      <c r="F1553" s="6" t="s">
        <v>17</v>
      </c>
      <c r="G1553" s="6" t="s">
        <v>1294</v>
      </c>
      <c r="H1553" s="6">
        <v>27</v>
      </c>
      <c r="I1553" s="6">
        <v>27</v>
      </c>
      <c r="J1553" s="6">
        <v>27</v>
      </c>
      <c r="K1553" s="6">
        <v>26.179282000000001</v>
      </c>
      <c r="L1553" s="6">
        <v>26.186138</v>
      </c>
      <c r="M1553" s="6">
        <v>25.935728999999998</v>
      </c>
      <c r="N1553" s="6">
        <v>26.108958000000001</v>
      </c>
      <c r="O1553" s="6">
        <v>26.328648000000001</v>
      </c>
      <c r="P1553" s="6">
        <v>26.003786000000002</v>
      </c>
      <c r="Q1553" s="6">
        <v>26.101534000000001</v>
      </c>
      <c r="R1553" s="6">
        <v>26.316153</v>
      </c>
      <c r="S1553" s="6">
        <v>25.991613999999998</v>
      </c>
      <c r="T1553" s="6">
        <v>25.645997000000001</v>
      </c>
      <c r="U1553" s="6">
        <v>25.223958</v>
      </c>
      <c r="V1553" s="6">
        <v>24.770192999999999</v>
      </c>
    </row>
    <row r="1554" spans="2:22">
      <c r="B1554" s="6">
        <v>32674</v>
      </c>
      <c r="C1554" s="6" t="s">
        <v>725</v>
      </c>
      <c r="D1554" s="6">
        <v>20713</v>
      </c>
      <c r="E1554" s="6" t="s">
        <v>147</v>
      </c>
      <c r="F1554" s="6" t="s">
        <v>17</v>
      </c>
      <c r="G1554" s="6" t="s">
        <v>1294</v>
      </c>
      <c r="H1554" s="6">
        <v>25</v>
      </c>
      <c r="I1554" s="6">
        <v>25</v>
      </c>
      <c r="J1554" s="6">
        <v>25</v>
      </c>
      <c r="K1554" s="6">
        <v>25</v>
      </c>
      <c r="L1554" s="6">
        <v>25.175438</v>
      </c>
      <c r="M1554" s="6">
        <v>25.10989</v>
      </c>
      <c r="N1554" s="6">
        <v>25.272727</v>
      </c>
      <c r="O1554" s="6">
        <v>25.25</v>
      </c>
      <c r="P1554" s="6">
        <v>25.15015</v>
      </c>
      <c r="Q1554" s="6">
        <v>25.272727</v>
      </c>
      <c r="R1554" s="6">
        <v>25.25</v>
      </c>
      <c r="S1554" s="6">
        <v>25.15015</v>
      </c>
      <c r="T1554" s="6">
        <v>25.272727</v>
      </c>
      <c r="U1554" s="6">
        <v>25.25</v>
      </c>
      <c r="V1554" s="6">
        <v>25.15015</v>
      </c>
    </row>
    <row r="1555" spans="2:22">
      <c r="B1555" s="6">
        <v>32674</v>
      </c>
      <c r="C1555" s="6" t="s">
        <v>725</v>
      </c>
      <c r="D1555" s="6">
        <v>20902</v>
      </c>
      <c r="E1555" s="6" t="s">
        <v>53</v>
      </c>
      <c r="F1555" s="6" t="s">
        <v>16</v>
      </c>
      <c r="G1555" s="6" t="s">
        <v>1295</v>
      </c>
      <c r="H1555" s="6">
        <v>30</v>
      </c>
      <c r="I1555" s="6">
        <v>30</v>
      </c>
      <c r="J1555" s="6">
        <v>30</v>
      </c>
      <c r="K1555" s="6">
        <v>27.111111000000001</v>
      </c>
      <c r="L1555" s="6">
        <v>25.059170999999999</v>
      </c>
      <c r="M1555" s="6">
        <v>26.5625</v>
      </c>
      <c r="N1555" s="6">
        <v>27.102803000000002</v>
      </c>
      <c r="O1555" s="6">
        <v>26.100322999999999</v>
      </c>
      <c r="P1555" s="6">
        <v>27.578899</v>
      </c>
      <c r="Q1555" s="6">
        <v>27.102803000000002</v>
      </c>
      <c r="R1555" s="6">
        <v>26.100322999999999</v>
      </c>
      <c r="S1555" s="6">
        <v>27.558453</v>
      </c>
      <c r="T1555" s="6">
        <v>26.737159999999999</v>
      </c>
      <c r="U1555" s="6">
        <v>25.752351000000001</v>
      </c>
      <c r="V1555" s="6">
        <v>27.323633000000001</v>
      </c>
    </row>
    <row r="1556" spans="2:22">
      <c r="B1556" s="6">
        <v>32674</v>
      </c>
      <c r="C1556" s="6" t="s">
        <v>725</v>
      </c>
      <c r="D1556" s="6">
        <v>20902</v>
      </c>
      <c r="E1556" s="6" t="s">
        <v>53</v>
      </c>
      <c r="F1556" s="6" t="s">
        <v>13</v>
      </c>
      <c r="G1556" s="6" t="s">
        <v>14</v>
      </c>
      <c r="H1556" s="6">
        <v>20</v>
      </c>
      <c r="I1556" s="6">
        <v>20</v>
      </c>
      <c r="J1556" s="6">
        <v>20</v>
      </c>
      <c r="K1556" s="6">
        <v>18.635802000000002</v>
      </c>
      <c r="L1556" s="6">
        <v>18.195121</v>
      </c>
      <c r="M1556" s="6">
        <v>17.625368000000002</v>
      </c>
      <c r="N1556" s="6">
        <v>19.181818</v>
      </c>
      <c r="O1556" s="6">
        <v>19.119288999999998</v>
      </c>
      <c r="P1556" s="6">
        <v>18.784502</v>
      </c>
      <c r="Q1556" s="6">
        <v>19.181818</v>
      </c>
      <c r="R1556" s="6">
        <v>19.101835999999999</v>
      </c>
      <c r="S1556" s="6">
        <v>18.763134000000001</v>
      </c>
      <c r="T1556" s="6">
        <v>19.181818</v>
      </c>
      <c r="U1556" s="6">
        <v>19.101835999999999</v>
      </c>
      <c r="V1556" s="6">
        <v>18.763134000000001</v>
      </c>
    </row>
    <row r="1557" spans="2:22">
      <c r="B1557" s="6">
        <v>32674</v>
      </c>
      <c r="C1557" s="6" t="s">
        <v>725</v>
      </c>
      <c r="D1557" s="6">
        <v>20906</v>
      </c>
      <c r="E1557" s="6" t="s">
        <v>48</v>
      </c>
      <c r="F1557" s="6" t="s">
        <v>49</v>
      </c>
      <c r="G1557" s="6" t="s">
        <v>1296</v>
      </c>
      <c r="H1557" s="6">
        <v>17</v>
      </c>
      <c r="I1557" s="6">
        <v>17</v>
      </c>
      <c r="J1557" s="6">
        <v>17.306121999999998</v>
      </c>
      <c r="K1557" s="6">
        <v>16.992394999999998</v>
      </c>
      <c r="L1557" s="6">
        <v>16.951830000000001</v>
      </c>
      <c r="M1557" s="6">
        <v>17.405908</v>
      </c>
      <c r="N1557" s="6">
        <v>17.016705999999999</v>
      </c>
      <c r="O1557" s="6">
        <v>16.954350000000002</v>
      </c>
      <c r="P1557" s="6">
        <v>17.537869000000001</v>
      </c>
      <c r="Q1557" s="6">
        <v>17.016335999999999</v>
      </c>
      <c r="R1557" s="6">
        <v>16.958155999999999</v>
      </c>
      <c r="S1557" s="6">
        <v>17.538882000000001</v>
      </c>
      <c r="T1557" s="6">
        <v>17.016335999999999</v>
      </c>
      <c r="U1557" s="6">
        <v>16.958155999999999</v>
      </c>
      <c r="V1557" s="6">
        <v>17.538882000000001</v>
      </c>
    </row>
    <row r="1558" spans="2:22">
      <c r="B1558" s="6">
        <v>32675</v>
      </c>
      <c r="C1558" s="6" t="s">
        <v>661</v>
      </c>
      <c r="D1558" s="6">
        <v>20500</v>
      </c>
      <c r="E1558" s="6" t="s">
        <v>31</v>
      </c>
      <c r="F1558" s="6" t="s">
        <v>17</v>
      </c>
      <c r="G1558" s="6" t="s">
        <v>1294</v>
      </c>
      <c r="H1558" s="6">
        <v>0</v>
      </c>
      <c r="I1558" s="6">
        <v>27</v>
      </c>
      <c r="J1558" s="6">
        <v>27</v>
      </c>
      <c r="K1558" s="6">
        <v>26.179282000000001</v>
      </c>
      <c r="L1558" s="6">
        <v>26.186138</v>
      </c>
      <c r="M1558" s="6">
        <v>25.935728999999998</v>
      </c>
      <c r="N1558" s="6">
        <v>26.108958000000001</v>
      </c>
      <c r="O1558" s="6">
        <v>26.328648000000001</v>
      </c>
      <c r="P1558" s="6">
        <v>26.003786000000002</v>
      </c>
      <c r="Q1558" s="6">
        <v>26.101534000000001</v>
      </c>
      <c r="R1558" s="6">
        <v>26.316153</v>
      </c>
      <c r="S1558" s="6">
        <v>25.991613999999998</v>
      </c>
      <c r="T1558" s="6">
        <v>25.645997000000001</v>
      </c>
      <c r="U1558" s="6">
        <v>25.223958</v>
      </c>
      <c r="V1558" s="6">
        <v>24.770192999999999</v>
      </c>
    </row>
    <row r="1559" spans="2:22">
      <c r="B1559" s="6">
        <v>32675</v>
      </c>
      <c r="C1559" s="6" t="s">
        <v>661</v>
      </c>
      <c r="D1559" s="6">
        <v>20713</v>
      </c>
      <c r="E1559" s="6" t="s">
        <v>147</v>
      </c>
      <c r="F1559" s="6" t="s">
        <v>17</v>
      </c>
      <c r="G1559" s="6" t="s">
        <v>1294</v>
      </c>
      <c r="H1559" s="6">
        <v>0</v>
      </c>
      <c r="I1559" s="6">
        <v>25</v>
      </c>
      <c r="J1559" s="6">
        <v>25</v>
      </c>
      <c r="K1559" s="6">
        <v>25</v>
      </c>
      <c r="L1559" s="6">
        <v>25.175438</v>
      </c>
      <c r="M1559" s="6">
        <v>25.10989</v>
      </c>
      <c r="N1559" s="6">
        <v>25.272727</v>
      </c>
      <c r="O1559" s="6">
        <v>25.25</v>
      </c>
      <c r="P1559" s="6">
        <v>25.15015</v>
      </c>
      <c r="Q1559" s="6">
        <v>25.272727</v>
      </c>
      <c r="R1559" s="6">
        <v>25.25</v>
      </c>
      <c r="S1559" s="6">
        <v>25.15015</v>
      </c>
      <c r="T1559" s="6">
        <v>25.272727</v>
      </c>
      <c r="U1559" s="6">
        <v>25.25</v>
      </c>
      <c r="V1559" s="6">
        <v>25.15015</v>
      </c>
    </row>
    <row r="1560" spans="2:22">
      <c r="B1560" s="6">
        <v>32675</v>
      </c>
      <c r="C1560" s="6" t="s">
        <v>661</v>
      </c>
      <c r="D1560" s="6">
        <v>20902</v>
      </c>
      <c r="E1560" s="6" t="s">
        <v>53</v>
      </c>
      <c r="F1560" s="6" t="s">
        <v>13</v>
      </c>
      <c r="G1560" s="6" t="s">
        <v>14</v>
      </c>
      <c r="H1560" s="6">
        <v>0</v>
      </c>
      <c r="I1560" s="6">
        <v>20</v>
      </c>
      <c r="J1560" s="6">
        <v>20</v>
      </c>
      <c r="K1560" s="6">
        <v>18.635802000000002</v>
      </c>
      <c r="L1560" s="6">
        <v>18.195121</v>
      </c>
      <c r="M1560" s="6">
        <v>17.625368000000002</v>
      </c>
      <c r="N1560" s="6">
        <v>19.181818</v>
      </c>
      <c r="O1560" s="6">
        <v>19.119288999999998</v>
      </c>
      <c r="P1560" s="6">
        <v>18.784502</v>
      </c>
      <c r="Q1560" s="6">
        <v>19.181818</v>
      </c>
      <c r="R1560" s="6">
        <v>19.101835999999999</v>
      </c>
      <c r="S1560" s="6">
        <v>18.763134000000001</v>
      </c>
      <c r="T1560" s="6">
        <v>19.181818</v>
      </c>
      <c r="U1560" s="6">
        <v>19.101835999999999</v>
      </c>
      <c r="V1560" s="6">
        <v>18.763134000000001</v>
      </c>
    </row>
    <row r="1561" spans="2:22">
      <c r="B1561" s="6">
        <v>32675</v>
      </c>
      <c r="C1561" s="6" t="s">
        <v>661</v>
      </c>
      <c r="D1561" s="6">
        <v>20906</v>
      </c>
      <c r="E1561" s="6" t="s">
        <v>48</v>
      </c>
      <c r="F1561" s="6" t="s">
        <v>49</v>
      </c>
      <c r="G1561" s="6" t="s">
        <v>1296</v>
      </c>
      <c r="H1561" s="6">
        <v>0</v>
      </c>
      <c r="I1561" s="6">
        <v>17</v>
      </c>
      <c r="J1561" s="6">
        <v>18</v>
      </c>
      <c r="K1561" s="6">
        <v>16.992394999999998</v>
      </c>
      <c r="L1561" s="6">
        <v>16.951830000000001</v>
      </c>
      <c r="M1561" s="6">
        <v>17.405908</v>
      </c>
      <c r="N1561" s="6">
        <v>17.016705999999999</v>
      </c>
      <c r="O1561" s="6">
        <v>16.954350000000002</v>
      </c>
      <c r="P1561" s="6">
        <v>17.537869000000001</v>
      </c>
      <c r="Q1561" s="6">
        <v>17.016335999999999</v>
      </c>
      <c r="R1561" s="6">
        <v>16.958155999999999</v>
      </c>
      <c r="S1561" s="6">
        <v>17.538882000000001</v>
      </c>
      <c r="T1561" s="6">
        <v>17.016335999999999</v>
      </c>
      <c r="U1561" s="6">
        <v>16.958155999999999</v>
      </c>
      <c r="V1561" s="6">
        <v>17.538882000000001</v>
      </c>
    </row>
    <row r="1562" spans="2:22">
      <c r="B1562" s="6">
        <v>32676</v>
      </c>
      <c r="C1562" s="6" t="s">
        <v>1078</v>
      </c>
      <c r="D1562" s="6">
        <v>20500</v>
      </c>
      <c r="E1562" s="6" t="s">
        <v>31</v>
      </c>
      <c r="F1562" s="6" t="s">
        <v>16</v>
      </c>
      <c r="G1562" s="6" t="s">
        <v>1295</v>
      </c>
      <c r="H1562" s="6">
        <v>0</v>
      </c>
      <c r="I1562" s="6">
        <v>0</v>
      </c>
      <c r="J1562" s="6">
        <v>15</v>
      </c>
      <c r="K1562" s="6">
        <v>15</v>
      </c>
      <c r="L1562" s="6">
        <v>15</v>
      </c>
      <c r="M1562" s="6">
        <v>15</v>
      </c>
      <c r="N1562" s="6">
        <v>15</v>
      </c>
      <c r="O1562" s="6">
        <v>15</v>
      </c>
      <c r="P1562" s="6">
        <v>15</v>
      </c>
      <c r="Q1562" s="6">
        <v>15</v>
      </c>
      <c r="R1562" s="6">
        <v>15</v>
      </c>
      <c r="S1562" s="6">
        <v>15</v>
      </c>
      <c r="T1562" s="6">
        <v>16.909089999999999</v>
      </c>
      <c r="U1562" s="6">
        <v>13.130081000000001</v>
      </c>
      <c r="V1562" s="6">
        <v>12.707865</v>
      </c>
    </row>
    <row r="1563" spans="2:22">
      <c r="B1563" s="6">
        <v>32676</v>
      </c>
      <c r="C1563" s="6" t="s">
        <v>1078</v>
      </c>
      <c r="D1563" s="6">
        <v>20600</v>
      </c>
      <c r="E1563" s="6" t="s">
        <v>32</v>
      </c>
      <c r="F1563" s="6" t="s">
        <v>16</v>
      </c>
      <c r="G1563" s="6" t="s">
        <v>1295</v>
      </c>
      <c r="H1563" s="6">
        <v>0</v>
      </c>
      <c r="I1563" s="6">
        <v>0</v>
      </c>
      <c r="J1563" s="6">
        <v>15</v>
      </c>
      <c r="K1563" s="6">
        <v>0</v>
      </c>
      <c r="L1563" s="6">
        <v>0</v>
      </c>
      <c r="M1563" s="6">
        <v>13.181818</v>
      </c>
      <c r="N1563" s="6">
        <v>0</v>
      </c>
      <c r="O1563" s="6">
        <v>0</v>
      </c>
      <c r="P1563" s="6">
        <v>13.181818</v>
      </c>
      <c r="Q1563" s="6">
        <v>15</v>
      </c>
      <c r="R1563" s="6">
        <v>11.333333</v>
      </c>
      <c r="S1563" s="6">
        <v>11.764704999999999</v>
      </c>
      <c r="T1563" s="6">
        <v>37.272727000000003</v>
      </c>
      <c r="U1563" s="6">
        <v>35.853658000000003</v>
      </c>
      <c r="V1563" s="6">
        <v>40.728476000000001</v>
      </c>
    </row>
    <row r="1564" spans="2:22">
      <c r="B1564" s="6">
        <v>32676</v>
      </c>
      <c r="C1564" s="6" t="s">
        <v>1078</v>
      </c>
      <c r="D1564" s="6">
        <v>20600</v>
      </c>
      <c r="E1564" s="6" t="s">
        <v>32</v>
      </c>
      <c r="F1564" s="6" t="s">
        <v>16</v>
      </c>
      <c r="G1564" s="6" t="s">
        <v>1295</v>
      </c>
      <c r="H1564" s="6">
        <v>0</v>
      </c>
      <c r="I1564" s="6">
        <v>0</v>
      </c>
      <c r="J1564" s="6">
        <v>15</v>
      </c>
      <c r="K1564" s="6">
        <v>0</v>
      </c>
      <c r="L1564" s="6">
        <v>0</v>
      </c>
      <c r="M1564" s="6">
        <v>13.181818</v>
      </c>
      <c r="N1564" s="6">
        <v>0</v>
      </c>
      <c r="O1564" s="6">
        <v>0</v>
      </c>
      <c r="P1564" s="6">
        <v>13.181818</v>
      </c>
      <c r="Q1564" s="6">
        <v>15</v>
      </c>
      <c r="R1564" s="6">
        <v>11.333333</v>
      </c>
      <c r="S1564" s="6">
        <v>11.764704999999999</v>
      </c>
      <c r="T1564" s="6">
        <v>37.272727000000003</v>
      </c>
      <c r="U1564" s="6">
        <v>35.853658000000003</v>
      </c>
      <c r="V1564" s="6">
        <v>40.728476000000001</v>
      </c>
    </row>
    <row r="1565" spans="2:22">
      <c r="B1565" s="6">
        <v>32676</v>
      </c>
      <c r="C1565" s="6" t="s">
        <v>1078</v>
      </c>
      <c r="D1565" s="6">
        <v>20710</v>
      </c>
      <c r="E1565" s="6" t="s">
        <v>214</v>
      </c>
      <c r="F1565" s="6" t="s">
        <v>16</v>
      </c>
      <c r="G1565" s="6" t="s">
        <v>1295</v>
      </c>
      <c r="H1565" s="6">
        <v>0</v>
      </c>
      <c r="I1565" s="6">
        <v>0</v>
      </c>
      <c r="J1565" s="6">
        <v>12</v>
      </c>
      <c r="K1565" s="6">
        <v>12.103448</v>
      </c>
      <c r="L1565" s="6">
        <v>12.1</v>
      </c>
      <c r="M1565" s="6">
        <v>12.04186</v>
      </c>
      <c r="N1565" s="6">
        <v>12.103448</v>
      </c>
      <c r="O1565" s="6">
        <v>12.1</v>
      </c>
      <c r="P1565" s="6">
        <v>12.04186</v>
      </c>
      <c r="Q1565" s="6">
        <v>12.103448</v>
      </c>
      <c r="R1565" s="6">
        <v>12.1</v>
      </c>
      <c r="S1565" s="6">
        <v>12.04186</v>
      </c>
      <c r="T1565" s="6">
        <v>12.103448</v>
      </c>
      <c r="U1565" s="6">
        <v>12.1</v>
      </c>
      <c r="V1565" s="6">
        <v>12.04186</v>
      </c>
    </row>
    <row r="1566" spans="2:22">
      <c r="B1566" s="6">
        <v>32677</v>
      </c>
      <c r="C1566" s="6" t="s">
        <v>1097</v>
      </c>
      <c r="D1566" s="6">
        <v>20500</v>
      </c>
      <c r="E1566" s="6" t="s">
        <v>31</v>
      </c>
      <c r="F1566" s="6" t="s">
        <v>16</v>
      </c>
      <c r="G1566" s="6" t="s">
        <v>1295</v>
      </c>
      <c r="H1566" s="6">
        <v>0</v>
      </c>
      <c r="I1566" s="6">
        <v>0</v>
      </c>
      <c r="J1566" s="6">
        <v>15</v>
      </c>
      <c r="K1566" s="6">
        <v>15</v>
      </c>
      <c r="L1566" s="6">
        <v>15</v>
      </c>
      <c r="M1566" s="6">
        <v>15</v>
      </c>
      <c r="N1566" s="6">
        <v>15</v>
      </c>
      <c r="O1566" s="6">
        <v>15</v>
      </c>
      <c r="P1566" s="6">
        <v>15</v>
      </c>
      <c r="Q1566" s="6">
        <v>15</v>
      </c>
      <c r="R1566" s="6">
        <v>15</v>
      </c>
      <c r="S1566" s="6">
        <v>15</v>
      </c>
      <c r="T1566" s="6">
        <v>16.909089999999999</v>
      </c>
      <c r="U1566" s="6">
        <v>13.130081000000001</v>
      </c>
      <c r="V1566" s="6">
        <v>12.707865</v>
      </c>
    </row>
    <row r="1567" spans="2:22">
      <c r="B1567" s="6">
        <v>32677</v>
      </c>
      <c r="C1567" s="6" t="s">
        <v>1097</v>
      </c>
      <c r="D1567" s="6">
        <v>20600</v>
      </c>
      <c r="E1567" s="6" t="s">
        <v>32</v>
      </c>
      <c r="F1567" s="6" t="s">
        <v>16</v>
      </c>
      <c r="G1567" s="6" t="s">
        <v>1295</v>
      </c>
      <c r="H1567" s="6">
        <v>0</v>
      </c>
      <c r="I1567" s="6">
        <v>0</v>
      </c>
      <c r="J1567" s="6">
        <v>15</v>
      </c>
      <c r="K1567" s="6">
        <v>0</v>
      </c>
      <c r="L1567" s="6">
        <v>0</v>
      </c>
      <c r="M1567" s="6">
        <v>13.181818</v>
      </c>
      <c r="N1567" s="6">
        <v>0</v>
      </c>
      <c r="O1567" s="6">
        <v>0</v>
      </c>
      <c r="P1567" s="6">
        <v>13.181818</v>
      </c>
      <c r="Q1567" s="6">
        <v>15</v>
      </c>
      <c r="R1567" s="6">
        <v>11.333333</v>
      </c>
      <c r="S1567" s="6">
        <v>11.764704999999999</v>
      </c>
      <c r="T1567" s="6">
        <v>37.272727000000003</v>
      </c>
      <c r="U1567" s="6">
        <v>35.853658000000003</v>
      </c>
      <c r="V1567" s="6">
        <v>40.728476000000001</v>
      </c>
    </row>
    <row r="1568" spans="2:22">
      <c r="B1568" s="6">
        <v>32677</v>
      </c>
      <c r="C1568" s="6" t="s">
        <v>1097</v>
      </c>
      <c r="D1568" s="6">
        <v>20600</v>
      </c>
      <c r="E1568" s="6" t="s">
        <v>32</v>
      </c>
      <c r="F1568" s="6" t="s">
        <v>16</v>
      </c>
      <c r="G1568" s="6" t="s">
        <v>1295</v>
      </c>
      <c r="H1568" s="6">
        <v>0</v>
      </c>
      <c r="I1568" s="6">
        <v>0</v>
      </c>
      <c r="J1568" s="6">
        <v>15</v>
      </c>
      <c r="K1568" s="6">
        <v>0</v>
      </c>
      <c r="L1568" s="6">
        <v>0</v>
      </c>
      <c r="M1568" s="6">
        <v>13.181818</v>
      </c>
      <c r="N1568" s="6">
        <v>0</v>
      </c>
      <c r="O1568" s="6">
        <v>0</v>
      </c>
      <c r="P1568" s="6">
        <v>13.181818</v>
      </c>
      <c r="Q1568" s="6">
        <v>15</v>
      </c>
      <c r="R1568" s="6">
        <v>11.333333</v>
      </c>
      <c r="S1568" s="6">
        <v>11.764704999999999</v>
      </c>
      <c r="T1568" s="6">
        <v>37.272727000000003</v>
      </c>
      <c r="U1568" s="6">
        <v>35.853658000000003</v>
      </c>
      <c r="V1568" s="6">
        <v>40.728476000000001</v>
      </c>
    </row>
    <row r="1569" spans="2:22">
      <c r="B1569" s="6">
        <v>32677</v>
      </c>
      <c r="C1569" s="6" t="s">
        <v>1097</v>
      </c>
      <c r="D1569" s="6">
        <v>20600</v>
      </c>
      <c r="E1569" s="6" t="s">
        <v>32</v>
      </c>
      <c r="F1569" s="6" t="s">
        <v>16</v>
      </c>
      <c r="G1569" s="6" t="s">
        <v>1295</v>
      </c>
      <c r="H1569" s="6">
        <v>0</v>
      </c>
      <c r="I1569" s="6">
        <v>0</v>
      </c>
      <c r="J1569" s="6">
        <v>15</v>
      </c>
      <c r="K1569" s="6">
        <v>0</v>
      </c>
      <c r="L1569" s="6">
        <v>0</v>
      </c>
      <c r="M1569" s="6">
        <v>13.181818</v>
      </c>
      <c r="N1569" s="6">
        <v>0</v>
      </c>
      <c r="O1569" s="6">
        <v>0</v>
      </c>
      <c r="P1569" s="6">
        <v>13.181818</v>
      </c>
      <c r="Q1569" s="6">
        <v>15</v>
      </c>
      <c r="R1569" s="6">
        <v>11.333333</v>
      </c>
      <c r="S1569" s="6">
        <v>11.764704999999999</v>
      </c>
      <c r="T1569" s="6">
        <v>37.272727000000003</v>
      </c>
      <c r="U1569" s="6">
        <v>35.853658000000003</v>
      </c>
      <c r="V1569" s="6">
        <v>40.728476000000001</v>
      </c>
    </row>
    <row r="1570" spans="2:22">
      <c r="B1570" s="6">
        <v>32677</v>
      </c>
      <c r="C1570" s="6" t="s">
        <v>1097</v>
      </c>
      <c r="D1570" s="6">
        <v>20710</v>
      </c>
      <c r="E1570" s="6" t="s">
        <v>214</v>
      </c>
      <c r="F1570" s="6" t="s">
        <v>16</v>
      </c>
      <c r="G1570" s="6" t="s">
        <v>1295</v>
      </c>
      <c r="H1570" s="6">
        <v>0</v>
      </c>
      <c r="I1570" s="6">
        <v>0</v>
      </c>
      <c r="J1570" s="6">
        <v>12</v>
      </c>
      <c r="K1570" s="6">
        <v>12.103448</v>
      </c>
      <c r="L1570" s="6">
        <v>12.1</v>
      </c>
      <c r="M1570" s="6">
        <v>12.04186</v>
      </c>
      <c r="N1570" s="6">
        <v>12.103448</v>
      </c>
      <c r="O1570" s="6">
        <v>12.1</v>
      </c>
      <c r="P1570" s="6">
        <v>12.04186</v>
      </c>
      <c r="Q1570" s="6">
        <v>12.103448</v>
      </c>
      <c r="R1570" s="6">
        <v>12.1</v>
      </c>
      <c r="S1570" s="6">
        <v>12.04186</v>
      </c>
      <c r="T1570" s="6">
        <v>12.103448</v>
      </c>
      <c r="U1570" s="6">
        <v>12.1</v>
      </c>
      <c r="V1570" s="6">
        <v>12.04186</v>
      </c>
    </row>
    <row r="1571" spans="2:22">
      <c r="B1571" s="6">
        <v>32678</v>
      </c>
      <c r="C1571" s="6" t="s">
        <v>1202</v>
      </c>
      <c r="D1571" s="6">
        <v>23314</v>
      </c>
      <c r="E1571" s="6" t="s">
        <v>1233</v>
      </c>
      <c r="F1571" s="6" t="s">
        <v>1305</v>
      </c>
      <c r="G1571" s="6" t="s">
        <v>1306</v>
      </c>
      <c r="H1571" s="6">
        <v>0</v>
      </c>
      <c r="I1571" s="6">
        <v>0</v>
      </c>
      <c r="J1571" s="6">
        <v>1</v>
      </c>
      <c r="K1571" s="6">
        <v>0</v>
      </c>
      <c r="L1571" s="6">
        <v>0</v>
      </c>
      <c r="M1571" s="6">
        <v>1</v>
      </c>
      <c r="N1571" s="6">
        <v>0</v>
      </c>
      <c r="O1571" s="6">
        <v>1</v>
      </c>
      <c r="P1571" s="6">
        <v>1</v>
      </c>
      <c r="Q1571" s="6">
        <v>0</v>
      </c>
      <c r="R1571" s="6">
        <v>1</v>
      </c>
      <c r="S1571" s="6">
        <v>1</v>
      </c>
      <c r="T1571" s="6">
        <v>0</v>
      </c>
      <c r="U1571" s="6">
        <v>1</v>
      </c>
      <c r="V1571" s="6">
        <v>1</v>
      </c>
    </row>
    <row r="1572" spans="2:22">
      <c r="B1572" s="6">
        <v>32678</v>
      </c>
      <c r="C1572" s="6" t="s">
        <v>1202</v>
      </c>
      <c r="D1572" s="6">
        <v>23500</v>
      </c>
      <c r="E1572" s="6" t="s">
        <v>37</v>
      </c>
      <c r="F1572" s="6" t="s">
        <v>73</v>
      </c>
      <c r="G1572" s="6" t="s">
        <v>1299</v>
      </c>
      <c r="H1572" s="6">
        <v>0</v>
      </c>
      <c r="I1572" s="6">
        <v>0</v>
      </c>
      <c r="J1572" s="6">
        <v>1</v>
      </c>
      <c r="K1572" s="6">
        <v>0</v>
      </c>
      <c r="L1572" s="6">
        <v>0</v>
      </c>
      <c r="M1572" s="6">
        <v>1</v>
      </c>
      <c r="N1572" s="6">
        <v>1</v>
      </c>
      <c r="O1572" s="6">
        <v>1</v>
      </c>
      <c r="P1572" s="6">
        <v>1</v>
      </c>
      <c r="Q1572" s="6">
        <v>1</v>
      </c>
      <c r="R1572" s="6">
        <v>1</v>
      </c>
      <c r="S1572" s="6">
        <v>1</v>
      </c>
      <c r="T1572" s="6">
        <v>1</v>
      </c>
      <c r="U1572" s="6">
        <v>1</v>
      </c>
      <c r="V1572" s="6">
        <v>1</v>
      </c>
    </row>
    <row r="1573" spans="2:22">
      <c r="B1573" s="6">
        <v>32680</v>
      </c>
      <c r="C1573" s="6" t="s">
        <v>1187</v>
      </c>
      <c r="D1573" s="6">
        <v>25000</v>
      </c>
      <c r="E1573" s="6" t="s">
        <v>1226</v>
      </c>
      <c r="F1573" s="6" t="s">
        <v>16</v>
      </c>
      <c r="G1573" s="6" t="s">
        <v>1295</v>
      </c>
      <c r="H1573" s="6">
        <v>0</v>
      </c>
      <c r="I1573" s="6">
        <v>20</v>
      </c>
      <c r="J1573" s="6">
        <v>20</v>
      </c>
      <c r="K1573" s="6">
        <v>13.076923000000001</v>
      </c>
      <c r="L1573" s="6">
        <v>14.533333000000001</v>
      </c>
      <c r="M1573" s="6">
        <v>15.393442</v>
      </c>
      <c r="N1573" s="6">
        <v>13.076923000000001</v>
      </c>
      <c r="O1573" s="6">
        <v>14.533333000000001</v>
      </c>
      <c r="P1573" s="6">
        <v>15.139533999999999</v>
      </c>
      <c r="Q1573" s="6">
        <v>13.076923000000001</v>
      </c>
      <c r="R1573" s="6">
        <v>14.533333000000001</v>
      </c>
      <c r="S1573" s="6">
        <v>15.139533999999999</v>
      </c>
      <c r="T1573" s="6">
        <v>13.076923000000001</v>
      </c>
      <c r="U1573" s="6">
        <v>14.533333000000001</v>
      </c>
      <c r="V1573" s="6">
        <v>15.139533999999999</v>
      </c>
    </row>
    <row r="1574" spans="2:22">
      <c r="B1574" s="6">
        <v>32680</v>
      </c>
      <c r="C1574" s="6" t="s">
        <v>1187</v>
      </c>
      <c r="D1574" s="6">
        <v>25006</v>
      </c>
      <c r="E1574" s="6" t="s">
        <v>1235</v>
      </c>
      <c r="F1574" s="6" t="s">
        <v>38</v>
      </c>
      <c r="G1574" s="6" t="s">
        <v>1302</v>
      </c>
      <c r="H1574" s="6">
        <v>0</v>
      </c>
      <c r="I1574" s="6">
        <v>20</v>
      </c>
      <c r="J1574" s="6">
        <v>20</v>
      </c>
      <c r="K1574" s="6">
        <v>23</v>
      </c>
      <c r="L1574" s="6">
        <v>21</v>
      </c>
      <c r="M1574" s="6">
        <v>17.291665999999999</v>
      </c>
      <c r="N1574" s="6">
        <v>23</v>
      </c>
      <c r="O1574" s="6">
        <v>21</v>
      </c>
      <c r="P1574" s="6">
        <v>17.291665999999999</v>
      </c>
      <c r="Q1574" s="6">
        <v>23</v>
      </c>
      <c r="R1574" s="6">
        <v>21</v>
      </c>
      <c r="S1574" s="6">
        <v>17.291665999999999</v>
      </c>
      <c r="T1574" s="6">
        <v>23</v>
      </c>
      <c r="U1574" s="6">
        <v>21</v>
      </c>
      <c r="V1574" s="6">
        <v>17.291665999999999</v>
      </c>
    </row>
    <row r="1575" spans="2:22">
      <c r="B1575" s="6">
        <v>32681</v>
      </c>
      <c r="C1575" s="6" t="s">
        <v>1146</v>
      </c>
      <c r="D1575" s="6">
        <v>23500</v>
      </c>
      <c r="E1575" s="6" t="s">
        <v>37</v>
      </c>
      <c r="F1575" s="6" t="s">
        <v>1305</v>
      </c>
      <c r="G1575" s="6" t="s">
        <v>1306</v>
      </c>
      <c r="H1575" s="6">
        <v>6</v>
      </c>
      <c r="I1575" s="6">
        <v>5.2857139999999996</v>
      </c>
      <c r="J1575" s="6">
        <v>5.25</v>
      </c>
      <c r="K1575" s="6">
        <v>6</v>
      </c>
      <c r="L1575" s="6">
        <v>5.1818179999999998</v>
      </c>
      <c r="M1575" s="6">
        <v>4.875</v>
      </c>
      <c r="N1575" s="6">
        <v>6</v>
      </c>
      <c r="O1575" s="6">
        <v>5.1818179999999998</v>
      </c>
      <c r="P1575" s="6">
        <v>4.875</v>
      </c>
      <c r="Q1575" s="6">
        <v>6</v>
      </c>
      <c r="R1575" s="6">
        <v>5.1818179999999998</v>
      </c>
      <c r="S1575" s="6">
        <v>4.875</v>
      </c>
      <c r="T1575" s="6">
        <v>9.1111109999999993</v>
      </c>
      <c r="U1575" s="6">
        <v>7.5909089999999999</v>
      </c>
      <c r="V1575" s="6">
        <v>7.2666659999999998</v>
      </c>
    </row>
    <row r="1576" spans="2:22">
      <c r="B1576" s="6">
        <v>32683</v>
      </c>
      <c r="C1576" s="6" t="s">
        <v>1151</v>
      </c>
      <c r="D1576" s="6">
        <v>25006</v>
      </c>
      <c r="E1576" s="6" t="s">
        <v>1235</v>
      </c>
      <c r="F1576" s="6" t="s">
        <v>1305</v>
      </c>
      <c r="G1576" s="6" t="s">
        <v>1306</v>
      </c>
      <c r="H1576" s="6">
        <v>6</v>
      </c>
      <c r="I1576" s="6">
        <v>6</v>
      </c>
      <c r="J1576" s="6">
        <v>6</v>
      </c>
      <c r="K1576" s="6">
        <v>6</v>
      </c>
      <c r="L1576" s="6">
        <v>6</v>
      </c>
      <c r="M1576" s="6">
        <v>6</v>
      </c>
      <c r="N1576" s="6">
        <v>6</v>
      </c>
      <c r="O1576" s="6">
        <v>6</v>
      </c>
      <c r="P1576" s="6">
        <v>6</v>
      </c>
      <c r="Q1576" s="6">
        <v>6</v>
      </c>
      <c r="R1576" s="6">
        <v>6</v>
      </c>
      <c r="S1576" s="6">
        <v>6</v>
      </c>
      <c r="T1576" s="6">
        <v>6</v>
      </c>
      <c r="U1576" s="6">
        <v>6</v>
      </c>
      <c r="V1576" s="6">
        <v>6</v>
      </c>
    </row>
    <row r="1577" spans="2:22">
      <c r="B1577" s="6">
        <v>32683</v>
      </c>
      <c r="C1577" s="6" t="s">
        <v>1151</v>
      </c>
      <c r="D1577" s="6">
        <v>25006</v>
      </c>
      <c r="E1577" s="6" t="s">
        <v>1235</v>
      </c>
      <c r="F1577" s="6" t="s">
        <v>38</v>
      </c>
      <c r="G1577" s="6" t="s">
        <v>1302</v>
      </c>
      <c r="H1577" s="6">
        <v>10</v>
      </c>
      <c r="I1577" s="6">
        <v>10</v>
      </c>
      <c r="J1577" s="6">
        <v>12.5</v>
      </c>
      <c r="K1577" s="6">
        <v>10</v>
      </c>
      <c r="L1577" s="6">
        <v>10</v>
      </c>
      <c r="M1577" s="6">
        <v>11.666665999999999</v>
      </c>
      <c r="N1577" s="6">
        <v>10</v>
      </c>
      <c r="O1577" s="6">
        <v>10</v>
      </c>
      <c r="P1577" s="6">
        <v>11.666665999999999</v>
      </c>
      <c r="Q1577" s="6">
        <v>10</v>
      </c>
      <c r="R1577" s="6">
        <v>10</v>
      </c>
      <c r="S1577" s="6">
        <v>11.666665999999999</v>
      </c>
      <c r="T1577" s="6">
        <v>10</v>
      </c>
      <c r="U1577" s="6">
        <v>10</v>
      </c>
      <c r="V1577" s="6">
        <v>11.666665999999999</v>
      </c>
    </row>
    <row r="1578" spans="2:22">
      <c r="B1578" s="6">
        <v>32684</v>
      </c>
      <c r="C1578" s="6" t="s">
        <v>1144</v>
      </c>
      <c r="D1578" s="6">
        <v>25006</v>
      </c>
      <c r="E1578" s="6" t="s">
        <v>1235</v>
      </c>
      <c r="F1578" s="6" t="s">
        <v>38</v>
      </c>
      <c r="G1578" s="6" t="s">
        <v>1302</v>
      </c>
      <c r="H1578" s="6">
        <v>0</v>
      </c>
      <c r="I1578" s="6">
        <v>0</v>
      </c>
      <c r="J1578" s="6">
        <v>10</v>
      </c>
      <c r="K1578" s="6">
        <v>10</v>
      </c>
      <c r="L1578" s="6">
        <v>10</v>
      </c>
      <c r="M1578" s="6">
        <v>11.666665999999999</v>
      </c>
      <c r="N1578" s="6">
        <v>10</v>
      </c>
      <c r="O1578" s="6">
        <v>10</v>
      </c>
      <c r="P1578" s="6">
        <v>11.666665999999999</v>
      </c>
      <c r="Q1578" s="6">
        <v>10</v>
      </c>
      <c r="R1578" s="6">
        <v>10</v>
      </c>
      <c r="S1578" s="6">
        <v>11.666665999999999</v>
      </c>
      <c r="T1578" s="6">
        <v>10</v>
      </c>
      <c r="U1578" s="6">
        <v>10</v>
      </c>
      <c r="V1578" s="6">
        <v>11.666665999999999</v>
      </c>
    </row>
    <row r="1579" spans="2:22">
      <c r="B1579" s="6">
        <v>32686</v>
      </c>
      <c r="C1579" s="6" t="s">
        <v>1020</v>
      </c>
      <c r="D1579" s="6">
        <v>12400</v>
      </c>
      <c r="E1579" s="6" t="s">
        <v>217</v>
      </c>
      <c r="F1579" s="6" t="s">
        <v>16</v>
      </c>
      <c r="G1579" s="6" t="s">
        <v>1295</v>
      </c>
      <c r="H1579" s="6">
        <v>0</v>
      </c>
      <c r="I1579" s="6">
        <v>0</v>
      </c>
      <c r="J1579" s="6">
        <v>10</v>
      </c>
      <c r="K1579" s="6">
        <v>10</v>
      </c>
      <c r="L1579" s="6">
        <v>10</v>
      </c>
      <c r="M1579" s="6">
        <v>9.9817350000000005</v>
      </c>
      <c r="N1579" s="6">
        <v>9.2387090000000001</v>
      </c>
      <c r="O1579" s="6">
        <v>8.7126429999999999</v>
      </c>
      <c r="P1579" s="6">
        <v>8.6856360000000006</v>
      </c>
      <c r="Q1579" s="6">
        <v>9.2387090000000001</v>
      </c>
      <c r="R1579" s="6">
        <v>8.7126429999999999</v>
      </c>
      <c r="S1579" s="6">
        <v>8.6856360000000006</v>
      </c>
      <c r="T1579" s="6">
        <v>8.8875729999999997</v>
      </c>
      <c r="U1579" s="6">
        <v>8.6089380000000002</v>
      </c>
      <c r="V1579" s="6">
        <v>8.6174140000000001</v>
      </c>
    </row>
    <row r="1580" spans="2:22">
      <c r="B1580" s="6">
        <v>32686</v>
      </c>
      <c r="C1580" s="6" t="s">
        <v>1020</v>
      </c>
      <c r="D1580" s="6">
        <v>23119</v>
      </c>
      <c r="E1580" s="6" t="s">
        <v>281</v>
      </c>
      <c r="F1580" s="6" t="s">
        <v>16</v>
      </c>
      <c r="G1580" s="6" t="s">
        <v>1295</v>
      </c>
      <c r="H1580" s="6">
        <v>0</v>
      </c>
      <c r="I1580" s="6">
        <v>0</v>
      </c>
      <c r="J1580" s="6">
        <v>10</v>
      </c>
      <c r="K1580" s="6">
        <v>0</v>
      </c>
      <c r="L1580" s="6">
        <v>0</v>
      </c>
      <c r="M1580" s="6">
        <v>10</v>
      </c>
      <c r="N1580" s="6">
        <v>0</v>
      </c>
      <c r="O1580" s="6">
        <v>0</v>
      </c>
      <c r="P1580" s="6">
        <v>10</v>
      </c>
      <c r="Q1580" s="6">
        <v>0</v>
      </c>
      <c r="R1580" s="6">
        <v>0</v>
      </c>
      <c r="S1580" s="6">
        <v>10</v>
      </c>
      <c r="T1580" s="6">
        <v>0</v>
      </c>
      <c r="U1580" s="6">
        <v>0</v>
      </c>
      <c r="V1580" s="6">
        <v>10</v>
      </c>
    </row>
    <row r="1581" spans="2:22">
      <c r="B1581" s="6">
        <v>32686</v>
      </c>
      <c r="C1581" s="6" t="s">
        <v>1020</v>
      </c>
      <c r="D1581" s="6">
        <v>23311</v>
      </c>
      <c r="E1581" s="6" t="s">
        <v>221</v>
      </c>
      <c r="F1581" s="6" t="s">
        <v>16</v>
      </c>
      <c r="G1581" s="6" t="s">
        <v>1295</v>
      </c>
      <c r="H1581" s="6">
        <v>0</v>
      </c>
      <c r="I1581" s="6">
        <v>0</v>
      </c>
      <c r="J1581" s="6">
        <v>10</v>
      </c>
      <c r="K1581" s="6">
        <v>10</v>
      </c>
      <c r="L1581" s="6">
        <v>10</v>
      </c>
      <c r="M1581" s="6">
        <v>10</v>
      </c>
      <c r="N1581" s="6">
        <v>10.099009000000001</v>
      </c>
      <c r="O1581" s="6">
        <v>10.02364</v>
      </c>
      <c r="P1581" s="6">
        <v>10.011260999999999</v>
      </c>
      <c r="Q1581" s="6">
        <v>10.099009000000001</v>
      </c>
      <c r="R1581" s="6">
        <v>10.02364</v>
      </c>
      <c r="S1581" s="6">
        <v>10.011260999999999</v>
      </c>
      <c r="T1581" s="6">
        <v>10.099009000000001</v>
      </c>
      <c r="U1581" s="6">
        <v>10.02364</v>
      </c>
      <c r="V1581" s="6">
        <v>10.011260999999999</v>
      </c>
    </row>
    <row r="1582" spans="2:22">
      <c r="B1582" s="6">
        <v>32686</v>
      </c>
      <c r="C1582" s="6" t="s">
        <v>1020</v>
      </c>
      <c r="D1582" s="6">
        <v>23315</v>
      </c>
      <c r="E1582" s="6" t="s">
        <v>246</v>
      </c>
      <c r="F1582" s="6" t="s">
        <v>16</v>
      </c>
      <c r="G1582" s="6" t="s">
        <v>1295</v>
      </c>
      <c r="H1582" s="6">
        <v>0</v>
      </c>
      <c r="I1582" s="6">
        <v>0</v>
      </c>
      <c r="J1582" s="6">
        <v>10</v>
      </c>
      <c r="K1582" s="6">
        <v>0</v>
      </c>
      <c r="L1582" s="6">
        <v>0</v>
      </c>
      <c r="M1582" s="6">
        <v>10</v>
      </c>
      <c r="N1582" s="6">
        <v>10</v>
      </c>
      <c r="O1582" s="6">
        <v>10</v>
      </c>
      <c r="P1582" s="6">
        <v>9.6571420000000003</v>
      </c>
      <c r="Q1582" s="6">
        <v>10</v>
      </c>
      <c r="R1582" s="6">
        <v>10</v>
      </c>
      <c r="S1582" s="6">
        <v>9.6571420000000003</v>
      </c>
      <c r="T1582" s="6">
        <v>10</v>
      </c>
      <c r="U1582" s="6">
        <v>10</v>
      </c>
      <c r="V1582" s="6">
        <v>9.6571420000000003</v>
      </c>
    </row>
    <row r="1583" spans="2:22">
      <c r="B1583" s="6">
        <v>32687</v>
      </c>
      <c r="C1583" s="6" t="s">
        <v>834</v>
      </c>
      <c r="D1583" s="6">
        <v>20500</v>
      </c>
      <c r="E1583" s="6" t="s">
        <v>31</v>
      </c>
      <c r="F1583" s="6" t="s">
        <v>17</v>
      </c>
      <c r="G1583" s="6" t="s">
        <v>1294</v>
      </c>
      <c r="H1583" s="6">
        <v>27</v>
      </c>
      <c r="I1583" s="6">
        <v>27</v>
      </c>
      <c r="J1583" s="6">
        <v>27</v>
      </c>
      <c r="K1583" s="6">
        <v>26.046875</v>
      </c>
      <c r="L1583" s="6">
        <v>26.199541</v>
      </c>
      <c r="M1583" s="6">
        <v>26.109717</v>
      </c>
      <c r="N1583" s="6">
        <v>26.108958000000001</v>
      </c>
      <c r="O1583" s="6">
        <v>26.328648000000001</v>
      </c>
      <c r="P1583" s="6">
        <v>26.003786000000002</v>
      </c>
      <c r="Q1583" s="6">
        <v>26.101534000000001</v>
      </c>
      <c r="R1583" s="6">
        <v>26.316153</v>
      </c>
      <c r="S1583" s="6">
        <v>25.991613999999998</v>
      </c>
      <c r="T1583" s="6">
        <v>25.645997000000001</v>
      </c>
      <c r="U1583" s="6">
        <v>25.223958</v>
      </c>
      <c r="V1583" s="6">
        <v>24.770192999999999</v>
      </c>
    </row>
    <row r="1584" spans="2:22">
      <c r="B1584" s="6">
        <v>32687</v>
      </c>
      <c r="C1584" s="6" t="s">
        <v>834</v>
      </c>
      <c r="D1584" s="6">
        <v>20713</v>
      </c>
      <c r="E1584" s="6" t="s">
        <v>147</v>
      </c>
      <c r="F1584" s="6" t="s">
        <v>17</v>
      </c>
      <c r="G1584" s="6" t="s">
        <v>1294</v>
      </c>
      <c r="H1584" s="6">
        <v>25</v>
      </c>
      <c r="I1584" s="6">
        <v>25</v>
      </c>
      <c r="J1584" s="6">
        <v>25</v>
      </c>
      <c r="K1584" s="6">
        <v>25.666665999999999</v>
      </c>
      <c r="L1584" s="6">
        <v>25.348837</v>
      </c>
      <c r="M1584" s="6">
        <v>25.214285</v>
      </c>
      <c r="N1584" s="6">
        <v>25.272727</v>
      </c>
      <c r="O1584" s="6">
        <v>25.25</v>
      </c>
      <c r="P1584" s="6">
        <v>25.15015</v>
      </c>
      <c r="Q1584" s="6">
        <v>25.272727</v>
      </c>
      <c r="R1584" s="6">
        <v>25.25</v>
      </c>
      <c r="S1584" s="6">
        <v>25.15015</v>
      </c>
      <c r="T1584" s="6">
        <v>25.272727</v>
      </c>
      <c r="U1584" s="6">
        <v>25.25</v>
      </c>
      <c r="V1584" s="6">
        <v>25.15015</v>
      </c>
    </row>
    <row r="1585" spans="2:22">
      <c r="B1585" s="6">
        <v>32687</v>
      </c>
      <c r="C1585" s="6" t="s">
        <v>834</v>
      </c>
      <c r="D1585" s="6">
        <v>20902</v>
      </c>
      <c r="E1585" s="6" t="s">
        <v>53</v>
      </c>
      <c r="F1585" s="6" t="s">
        <v>16</v>
      </c>
      <c r="G1585" s="6" t="s">
        <v>1295</v>
      </c>
      <c r="H1585" s="6">
        <v>20</v>
      </c>
      <c r="I1585" s="6">
        <v>22.142856999999999</v>
      </c>
      <c r="J1585" s="6">
        <v>23.68421</v>
      </c>
      <c r="K1585" s="6">
        <v>26.721311</v>
      </c>
      <c r="L1585" s="6">
        <v>25.932835000000001</v>
      </c>
      <c r="M1585" s="6">
        <v>26.507536999999999</v>
      </c>
      <c r="N1585" s="6">
        <v>27.102803000000002</v>
      </c>
      <c r="O1585" s="6">
        <v>26.100322999999999</v>
      </c>
      <c r="P1585" s="6">
        <v>27.578899</v>
      </c>
      <c r="Q1585" s="6">
        <v>27.102803000000002</v>
      </c>
      <c r="R1585" s="6">
        <v>26.100322999999999</v>
      </c>
      <c r="S1585" s="6">
        <v>27.558453</v>
      </c>
      <c r="T1585" s="6">
        <v>26.737159999999999</v>
      </c>
      <c r="U1585" s="6">
        <v>25.752351000000001</v>
      </c>
      <c r="V1585" s="6">
        <v>27.323633000000001</v>
      </c>
    </row>
    <row r="1586" spans="2:22">
      <c r="B1586" s="6">
        <v>32687</v>
      </c>
      <c r="C1586" s="6" t="s">
        <v>834</v>
      </c>
      <c r="D1586" s="6">
        <v>20902</v>
      </c>
      <c r="E1586" s="6" t="s">
        <v>53</v>
      </c>
      <c r="F1586" s="6" t="s">
        <v>13</v>
      </c>
      <c r="G1586" s="6" t="s">
        <v>14</v>
      </c>
      <c r="H1586" s="6">
        <v>21.363636</v>
      </c>
      <c r="I1586" s="6">
        <v>21.363636</v>
      </c>
      <c r="J1586" s="6">
        <v>21.363636</v>
      </c>
      <c r="K1586" s="6">
        <v>18.622046999999998</v>
      </c>
      <c r="L1586" s="6">
        <v>18.557046</v>
      </c>
      <c r="M1586" s="6">
        <v>18.643459</v>
      </c>
      <c r="N1586" s="6">
        <v>19.181818</v>
      </c>
      <c r="O1586" s="6">
        <v>19.119288999999998</v>
      </c>
      <c r="P1586" s="6">
        <v>18.784502</v>
      </c>
      <c r="Q1586" s="6">
        <v>19.181818</v>
      </c>
      <c r="R1586" s="6">
        <v>19.101835999999999</v>
      </c>
      <c r="S1586" s="6">
        <v>18.763134000000001</v>
      </c>
      <c r="T1586" s="6">
        <v>19.181818</v>
      </c>
      <c r="U1586" s="6">
        <v>19.101835999999999</v>
      </c>
      <c r="V1586" s="6">
        <v>18.763134000000001</v>
      </c>
    </row>
    <row r="1587" spans="2:22">
      <c r="B1587" s="6">
        <v>32687</v>
      </c>
      <c r="C1587" s="6" t="s">
        <v>834</v>
      </c>
      <c r="D1587" s="6">
        <v>20906</v>
      </c>
      <c r="E1587" s="6" t="s">
        <v>48</v>
      </c>
      <c r="F1587" s="6" t="s">
        <v>49</v>
      </c>
      <c r="G1587" s="6" t="s">
        <v>1296</v>
      </c>
      <c r="H1587" s="6">
        <v>17.157893999999999</v>
      </c>
      <c r="I1587" s="6">
        <v>17.103448</v>
      </c>
      <c r="J1587" s="6">
        <v>17.100000000000001</v>
      </c>
      <c r="K1587" s="6">
        <v>17.229590999999999</v>
      </c>
      <c r="L1587" s="6">
        <v>17.052391</v>
      </c>
      <c r="M1587" s="6">
        <v>17.431988</v>
      </c>
      <c r="N1587" s="6">
        <v>17.016705999999999</v>
      </c>
      <c r="O1587" s="6">
        <v>16.954350000000002</v>
      </c>
      <c r="P1587" s="6">
        <v>17.537869000000001</v>
      </c>
      <c r="Q1587" s="6">
        <v>17.016335999999999</v>
      </c>
      <c r="R1587" s="6">
        <v>16.958155999999999</v>
      </c>
      <c r="S1587" s="6">
        <v>17.538882000000001</v>
      </c>
      <c r="T1587" s="6">
        <v>17.016335999999999</v>
      </c>
      <c r="U1587" s="6">
        <v>16.958155999999999</v>
      </c>
      <c r="V1587" s="6">
        <v>17.538882000000001</v>
      </c>
    </row>
    <row r="1588" spans="2:22">
      <c r="B1588" s="6">
        <v>32688</v>
      </c>
      <c r="C1588" s="6" t="s">
        <v>795</v>
      </c>
      <c r="D1588" s="6">
        <v>20500</v>
      </c>
      <c r="E1588" s="6" t="s">
        <v>31</v>
      </c>
      <c r="F1588" s="6" t="s">
        <v>17</v>
      </c>
      <c r="G1588" s="6" t="s">
        <v>1294</v>
      </c>
      <c r="H1588" s="6">
        <v>27</v>
      </c>
      <c r="I1588" s="6">
        <v>27</v>
      </c>
      <c r="J1588" s="6">
        <v>27</v>
      </c>
      <c r="K1588" s="6">
        <v>26.046875</v>
      </c>
      <c r="L1588" s="6">
        <v>26.199541</v>
      </c>
      <c r="M1588" s="6">
        <v>26.109717</v>
      </c>
      <c r="N1588" s="6">
        <v>26.108958000000001</v>
      </c>
      <c r="O1588" s="6">
        <v>26.328648000000001</v>
      </c>
      <c r="P1588" s="6">
        <v>26.003786000000002</v>
      </c>
      <c r="Q1588" s="6">
        <v>26.101534000000001</v>
      </c>
      <c r="R1588" s="6">
        <v>26.316153</v>
      </c>
      <c r="S1588" s="6">
        <v>25.991613999999998</v>
      </c>
      <c r="T1588" s="6">
        <v>25.645997000000001</v>
      </c>
      <c r="U1588" s="6">
        <v>25.223958</v>
      </c>
      <c r="V1588" s="6">
        <v>24.770192999999999</v>
      </c>
    </row>
    <row r="1589" spans="2:22">
      <c r="B1589" s="6">
        <v>32688</v>
      </c>
      <c r="C1589" s="6" t="s">
        <v>795</v>
      </c>
      <c r="D1589" s="6">
        <v>20713</v>
      </c>
      <c r="E1589" s="6" t="s">
        <v>147</v>
      </c>
      <c r="F1589" s="6" t="s">
        <v>17</v>
      </c>
      <c r="G1589" s="6" t="s">
        <v>1294</v>
      </c>
      <c r="H1589" s="6">
        <v>25</v>
      </c>
      <c r="I1589" s="6">
        <v>25</v>
      </c>
      <c r="J1589" s="6">
        <v>25</v>
      </c>
      <c r="K1589" s="6">
        <v>25.666665999999999</v>
      </c>
      <c r="L1589" s="6">
        <v>25.348837</v>
      </c>
      <c r="M1589" s="6">
        <v>25.214285</v>
      </c>
      <c r="N1589" s="6">
        <v>25.272727</v>
      </c>
      <c r="O1589" s="6">
        <v>25.25</v>
      </c>
      <c r="P1589" s="6">
        <v>25.15015</v>
      </c>
      <c r="Q1589" s="6">
        <v>25.272727</v>
      </c>
      <c r="R1589" s="6">
        <v>25.25</v>
      </c>
      <c r="S1589" s="6">
        <v>25.15015</v>
      </c>
      <c r="T1589" s="6">
        <v>25.272727</v>
      </c>
      <c r="U1589" s="6">
        <v>25.25</v>
      </c>
      <c r="V1589" s="6">
        <v>25.15015</v>
      </c>
    </row>
    <row r="1590" spans="2:22">
      <c r="B1590" s="6">
        <v>32688</v>
      </c>
      <c r="C1590" s="6" t="s">
        <v>795</v>
      </c>
      <c r="D1590" s="6">
        <v>20902</v>
      </c>
      <c r="E1590" s="6" t="s">
        <v>53</v>
      </c>
      <c r="F1590" s="6" t="s">
        <v>16</v>
      </c>
      <c r="G1590" s="6" t="s">
        <v>1295</v>
      </c>
      <c r="H1590" s="6">
        <v>0</v>
      </c>
      <c r="I1590" s="6">
        <v>20</v>
      </c>
      <c r="J1590" s="6">
        <v>20</v>
      </c>
      <c r="K1590" s="6">
        <v>26.721311</v>
      </c>
      <c r="L1590" s="6">
        <v>25.932835000000001</v>
      </c>
      <c r="M1590" s="6">
        <v>26.507536999999999</v>
      </c>
      <c r="N1590" s="6">
        <v>27.102803000000002</v>
      </c>
      <c r="O1590" s="6">
        <v>26.100322999999999</v>
      </c>
      <c r="P1590" s="6">
        <v>27.578899</v>
      </c>
      <c r="Q1590" s="6">
        <v>27.102803000000002</v>
      </c>
      <c r="R1590" s="6">
        <v>26.100322999999999</v>
      </c>
      <c r="S1590" s="6">
        <v>27.558453</v>
      </c>
      <c r="T1590" s="6">
        <v>26.737159999999999</v>
      </c>
      <c r="U1590" s="6">
        <v>25.752351000000001</v>
      </c>
      <c r="V1590" s="6">
        <v>27.323633000000001</v>
      </c>
    </row>
    <row r="1591" spans="2:22">
      <c r="B1591" s="6">
        <v>32688</v>
      </c>
      <c r="C1591" s="6" t="s">
        <v>795</v>
      </c>
      <c r="D1591" s="6">
        <v>20902</v>
      </c>
      <c r="E1591" s="6" t="s">
        <v>53</v>
      </c>
      <c r="F1591" s="6" t="s">
        <v>13</v>
      </c>
      <c r="G1591" s="6" t="s">
        <v>14</v>
      </c>
      <c r="H1591" s="6">
        <v>20</v>
      </c>
      <c r="I1591" s="6">
        <v>21.25</v>
      </c>
      <c r="J1591" s="6">
        <v>22.75</v>
      </c>
      <c r="K1591" s="6">
        <v>18.622046999999998</v>
      </c>
      <c r="L1591" s="6">
        <v>18.557046</v>
      </c>
      <c r="M1591" s="6">
        <v>18.643459</v>
      </c>
      <c r="N1591" s="6">
        <v>19.181818</v>
      </c>
      <c r="O1591" s="6">
        <v>19.119288999999998</v>
      </c>
      <c r="P1591" s="6">
        <v>18.784502</v>
      </c>
      <c r="Q1591" s="6">
        <v>19.181818</v>
      </c>
      <c r="R1591" s="6">
        <v>19.101835999999999</v>
      </c>
      <c r="S1591" s="6">
        <v>18.763134000000001</v>
      </c>
      <c r="T1591" s="6">
        <v>19.181818</v>
      </c>
      <c r="U1591" s="6">
        <v>19.101835999999999</v>
      </c>
      <c r="V1591" s="6">
        <v>18.763134000000001</v>
      </c>
    </row>
    <row r="1592" spans="2:22">
      <c r="B1592" s="6">
        <v>32688</v>
      </c>
      <c r="C1592" s="6" t="s">
        <v>795</v>
      </c>
      <c r="D1592" s="6">
        <v>20906</v>
      </c>
      <c r="E1592" s="6" t="s">
        <v>48</v>
      </c>
      <c r="F1592" s="6" t="s">
        <v>49</v>
      </c>
      <c r="G1592" s="6" t="s">
        <v>1296</v>
      </c>
      <c r="H1592" s="6">
        <v>18.125</v>
      </c>
      <c r="I1592" s="6">
        <v>17.642856999999999</v>
      </c>
      <c r="J1592" s="6">
        <v>17.409089999999999</v>
      </c>
      <c r="K1592" s="6">
        <v>17.229590999999999</v>
      </c>
      <c r="L1592" s="6">
        <v>17.052391</v>
      </c>
      <c r="M1592" s="6">
        <v>17.431988</v>
      </c>
      <c r="N1592" s="6">
        <v>17.016705999999999</v>
      </c>
      <c r="O1592" s="6">
        <v>16.954350000000002</v>
      </c>
      <c r="P1592" s="6">
        <v>17.537869000000001</v>
      </c>
      <c r="Q1592" s="6">
        <v>17.016335999999999</v>
      </c>
      <c r="R1592" s="6">
        <v>16.958155999999999</v>
      </c>
      <c r="S1592" s="6">
        <v>17.538882000000001</v>
      </c>
      <c r="T1592" s="6">
        <v>17.016335999999999</v>
      </c>
      <c r="U1592" s="6">
        <v>16.958155999999999</v>
      </c>
      <c r="V1592" s="6">
        <v>17.538882000000001</v>
      </c>
    </row>
    <row r="1593" spans="2:22">
      <c r="B1593" s="6">
        <v>32689</v>
      </c>
      <c r="C1593" s="6" t="s">
        <v>696</v>
      </c>
      <c r="D1593" s="6">
        <v>20500</v>
      </c>
      <c r="E1593" s="6" t="s">
        <v>31</v>
      </c>
      <c r="F1593" s="6" t="s">
        <v>17</v>
      </c>
      <c r="G1593" s="6" t="s">
        <v>1294</v>
      </c>
      <c r="H1593" s="6">
        <v>27</v>
      </c>
      <c r="I1593" s="6">
        <v>27</v>
      </c>
      <c r="J1593" s="6">
        <v>27</v>
      </c>
      <c r="K1593" s="6">
        <v>26.046875</v>
      </c>
      <c r="L1593" s="6">
        <v>26.199541</v>
      </c>
      <c r="M1593" s="6">
        <v>26.109717</v>
      </c>
      <c r="N1593" s="6">
        <v>26.108958000000001</v>
      </c>
      <c r="O1593" s="6">
        <v>26.328648000000001</v>
      </c>
      <c r="P1593" s="6">
        <v>26.003786000000002</v>
      </c>
      <c r="Q1593" s="6">
        <v>26.101534000000001</v>
      </c>
      <c r="R1593" s="6">
        <v>26.316153</v>
      </c>
      <c r="S1593" s="6">
        <v>25.991613999999998</v>
      </c>
      <c r="T1593" s="6">
        <v>25.645997000000001</v>
      </c>
      <c r="U1593" s="6">
        <v>25.223958</v>
      </c>
      <c r="V1593" s="6">
        <v>24.770192999999999</v>
      </c>
    </row>
    <row r="1594" spans="2:22">
      <c r="B1594" s="6">
        <v>32689</v>
      </c>
      <c r="C1594" s="6" t="s">
        <v>696</v>
      </c>
      <c r="D1594" s="6">
        <v>20713</v>
      </c>
      <c r="E1594" s="6" t="s">
        <v>147</v>
      </c>
      <c r="F1594" s="6" t="s">
        <v>17</v>
      </c>
      <c r="G1594" s="6" t="s">
        <v>1294</v>
      </c>
      <c r="H1594" s="6">
        <v>25</v>
      </c>
      <c r="I1594" s="6">
        <v>25</v>
      </c>
      <c r="J1594" s="6">
        <v>25</v>
      </c>
      <c r="K1594" s="6">
        <v>25.666665999999999</v>
      </c>
      <c r="L1594" s="6">
        <v>25.348837</v>
      </c>
      <c r="M1594" s="6">
        <v>25.214285</v>
      </c>
      <c r="N1594" s="6">
        <v>25.272727</v>
      </c>
      <c r="O1594" s="6">
        <v>25.25</v>
      </c>
      <c r="P1594" s="6">
        <v>25.15015</v>
      </c>
      <c r="Q1594" s="6">
        <v>25.272727</v>
      </c>
      <c r="R1594" s="6">
        <v>25.25</v>
      </c>
      <c r="S1594" s="6">
        <v>25.15015</v>
      </c>
      <c r="T1594" s="6">
        <v>25.272727</v>
      </c>
      <c r="U1594" s="6">
        <v>25.25</v>
      </c>
      <c r="V1594" s="6">
        <v>25.15015</v>
      </c>
    </row>
    <row r="1595" spans="2:22">
      <c r="B1595" s="6">
        <v>32689</v>
      </c>
      <c r="C1595" s="6" t="s">
        <v>696</v>
      </c>
      <c r="D1595" s="6">
        <v>20902</v>
      </c>
      <c r="E1595" s="6" t="s">
        <v>53</v>
      </c>
      <c r="F1595" s="6" t="s">
        <v>16</v>
      </c>
      <c r="G1595" s="6" t="s">
        <v>1295</v>
      </c>
      <c r="H1595" s="6">
        <v>0</v>
      </c>
      <c r="I1595" s="6">
        <v>0</v>
      </c>
      <c r="J1595" s="6">
        <v>30</v>
      </c>
      <c r="K1595" s="6">
        <v>26.721311</v>
      </c>
      <c r="L1595" s="6">
        <v>25.932835000000001</v>
      </c>
      <c r="M1595" s="6">
        <v>26.507536999999999</v>
      </c>
      <c r="N1595" s="6">
        <v>27.102803000000002</v>
      </c>
      <c r="O1595" s="6">
        <v>26.100322999999999</v>
      </c>
      <c r="P1595" s="6">
        <v>27.578899</v>
      </c>
      <c r="Q1595" s="6">
        <v>27.102803000000002</v>
      </c>
      <c r="R1595" s="6">
        <v>26.100322999999999</v>
      </c>
      <c r="S1595" s="6">
        <v>27.558453</v>
      </c>
      <c r="T1595" s="6">
        <v>26.737159999999999</v>
      </c>
      <c r="U1595" s="6">
        <v>25.752351000000001</v>
      </c>
      <c r="V1595" s="6">
        <v>27.323633000000001</v>
      </c>
    </row>
    <row r="1596" spans="2:22">
      <c r="B1596" s="6">
        <v>32689</v>
      </c>
      <c r="C1596" s="6" t="s">
        <v>696</v>
      </c>
      <c r="D1596" s="6">
        <v>20902</v>
      </c>
      <c r="E1596" s="6" t="s">
        <v>53</v>
      </c>
      <c r="F1596" s="6" t="s">
        <v>13</v>
      </c>
      <c r="G1596" s="6" t="s">
        <v>14</v>
      </c>
      <c r="H1596" s="6">
        <v>20</v>
      </c>
      <c r="I1596" s="6">
        <v>20</v>
      </c>
      <c r="J1596" s="6">
        <v>20</v>
      </c>
      <c r="K1596" s="6">
        <v>18.622046999999998</v>
      </c>
      <c r="L1596" s="6">
        <v>18.557046</v>
      </c>
      <c r="M1596" s="6">
        <v>18.643459</v>
      </c>
      <c r="N1596" s="6">
        <v>19.181818</v>
      </c>
      <c r="O1596" s="6">
        <v>19.119288999999998</v>
      </c>
      <c r="P1596" s="6">
        <v>18.784502</v>
      </c>
      <c r="Q1596" s="6">
        <v>19.181818</v>
      </c>
      <c r="R1596" s="6">
        <v>19.101835999999999</v>
      </c>
      <c r="S1596" s="6">
        <v>18.763134000000001</v>
      </c>
      <c r="T1596" s="6">
        <v>19.181818</v>
      </c>
      <c r="U1596" s="6">
        <v>19.101835999999999</v>
      </c>
      <c r="V1596" s="6">
        <v>18.763134000000001</v>
      </c>
    </row>
    <row r="1597" spans="2:22">
      <c r="B1597" s="6">
        <v>32689</v>
      </c>
      <c r="C1597" s="6" t="s">
        <v>696</v>
      </c>
      <c r="D1597" s="6">
        <v>20906</v>
      </c>
      <c r="E1597" s="6" t="s">
        <v>48</v>
      </c>
      <c r="F1597" s="6" t="s">
        <v>49</v>
      </c>
      <c r="G1597" s="6" t="s">
        <v>1296</v>
      </c>
      <c r="H1597" s="6">
        <v>17</v>
      </c>
      <c r="I1597" s="6">
        <v>16.875</v>
      </c>
      <c r="J1597" s="6">
        <v>16.923075999999998</v>
      </c>
      <c r="K1597" s="6">
        <v>17.229590999999999</v>
      </c>
      <c r="L1597" s="6">
        <v>17.052391</v>
      </c>
      <c r="M1597" s="6">
        <v>17.431988</v>
      </c>
      <c r="N1597" s="6">
        <v>17.016705999999999</v>
      </c>
      <c r="O1597" s="6">
        <v>16.954350000000002</v>
      </c>
      <c r="P1597" s="6">
        <v>17.537869000000001</v>
      </c>
      <c r="Q1597" s="6">
        <v>17.016335999999999</v>
      </c>
      <c r="R1597" s="6">
        <v>16.958155999999999</v>
      </c>
      <c r="S1597" s="6">
        <v>17.538882000000001</v>
      </c>
      <c r="T1597" s="6">
        <v>17.016335999999999</v>
      </c>
      <c r="U1597" s="6">
        <v>16.958155999999999</v>
      </c>
      <c r="V1597" s="6">
        <v>17.538882000000001</v>
      </c>
    </row>
    <row r="1598" spans="2:22">
      <c r="B1598" s="6">
        <v>32690</v>
      </c>
      <c r="C1598" s="6" t="s">
        <v>625</v>
      </c>
      <c r="D1598" s="6">
        <v>20500</v>
      </c>
      <c r="E1598" s="6" t="s">
        <v>31</v>
      </c>
      <c r="F1598" s="6" t="s">
        <v>17</v>
      </c>
      <c r="G1598" s="6" t="s">
        <v>1294</v>
      </c>
      <c r="H1598" s="6">
        <v>27</v>
      </c>
      <c r="I1598" s="6">
        <v>27</v>
      </c>
      <c r="J1598" s="6">
        <v>27</v>
      </c>
      <c r="K1598" s="6">
        <v>26.046875</v>
      </c>
      <c r="L1598" s="6">
        <v>26.199541</v>
      </c>
      <c r="M1598" s="6">
        <v>26.109717</v>
      </c>
      <c r="N1598" s="6">
        <v>26.108958000000001</v>
      </c>
      <c r="O1598" s="6">
        <v>26.328648000000001</v>
      </c>
      <c r="P1598" s="6">
        <v>26.003786000000002</v>
      </c>
      <c r="Q1598" s="6">
        <v>26.101534000000001</v>
      </c>
      <c r="R1598" s="6">
        <v>26.316153</v>
      </c>
      <c r="S1598" s="6">
        <v>25.991613999999998</v>
      </c>
      <c r="T1598" s="6">
        <v>25.645997000000001</v>
      </c>
      <c r="U1598" s="6">
        <v>25.223958</v>
      </c>
      <c r="V1598" s="6">
        <v>24.770192999999999</v>
      </c>
    </row>
    <row r="1599" spans="2:22">
      <c r="B1599" s="6">
        <v>32690</v>
      </c>
      <c r="C1599" s="6" t="s">
        <v>625</v>
      </c>
      <c r="D1599" s="6">
        <v>20713</v>
      </c>
      <c r="E1599" s="6" t="s">
        <v>147</v>
      </c>
      <c r="F1599" s="6" t="s">
        <v>17</v>
      </c>
      <c r="G1599" s="6" t="s">
        <v>1294</v>
      </c>
      <c r="H1599" s="6">
        <v>25</v>
      </c>
      <c r="I1599" s="6">
        <v>25</v>
      </c>
      <c r="J1599" s="6">
        <v>25</v>
      </c>
      <c r="K1599" s="6">
        <v>25.666665999999999</v>
      </c>
      <c r="L1599" s="6">
        <v>25.348837</v>
      </c>
      <c r="M1599" s="6">
        <v>25.214285</v>
      </c>
      <c r="N1599" s="6">
        <v>25.272727</v>
      </c>
      <c r="O1599" s="6">
        <v>25.25</v>
      </c>
      <c r="P1599" s="6">
        <v>25.15015</v>
      </c>
      <c r="Q1599" s="6">
        <v>25.272727</v>
      </c>
      <c r="R1599" s="6">
        <v>25.25</v>
      </c>
      <c r="S1599" s="6">
        <v>25.15015</v>
      </c>
      <c r="T1599" s="6">
        <v>25.272727</v>
      </c>
      <c r="U1599" s="6">
        <v>25.25</v>
      </c>
      <c r="V1599" s="6">
        <v>25.15015</v>
      </c>
    </row>
    <row r="1600" spans="2:22">
      <c r="B1600" s="6">
        <v>32690</v>
      </c>
      <c r="C1600" s="6" t="s">
        <v>625</v>
      </c>
      <c r="D1600" s="6">
        <v>20902</v>
      </c>
      <c r="E1600" s="6" t="s">
        <v>53</v>
      </c>
      <c r="F1600" s="6" t="s">
        <v>16</v>
      </c>
      <c r="G1600" s="6" t="s">
        <v>1295</v>
      </c>
      <c r="H1600" s="6">
        <v>0</v>
      </c>
      <c r="I1600" s="6">
        <v>0</v>
      </c>
      <c r="J1600" s="6">
        <v>30</v>
      </c>
      <c r="K1600" s="6">
        <v>26.721311</v>
      </c>
      <c r="L1600" s="6">
        <v>25.932835000000001</v>
      </c>
      <c r="M1600" s="6">
        <v>26.507536999999999</v>
      </c>
      <c r="N1600" s="6">
        <v>27.102803000000002</v>
      </c>
      <c r="O1600" s="6">
        <v>26.100322999999999</v>
      </c>
      <c r="P1600" s="6">
        <v>27.578899</v>
      </c>
      <c r="Q1600" s="6">
        <v>27.102803000000002</v>
      </c>
      <c r="R1600" s="6">
        <v>26.100322999999999</v>
      </c>
      <c r="S1600" s="6">
        <v>27.558453</v>
      </c>
      <c r="T1600" s="6">
        <v>26.737159999999999</v>
      </c>
      <c r="U1600" s="6">
        <v>25.752351000000001</v>
      </c>
      <c r="V1600" s="6">
        <v>27.323633000000001</v>
      </c>
    </row>
    <row r="1601" spans="2:22">
      <c r="B1601" s="6">
        <v>32690</v>
      </c>
      <c r="C1601" s="6" t="s">
        <v>625</v>
      </c>
      <c r="D1601" s="6">
        <v>20902</v>
      </c>
      <c r="E1601" s="6" t="s">
        <v>53</v>
      </c>
      <c r="F1601" s="6" t="s">
        <v>13</v>
      </c>
      <c r="G1601" s="6" t="s">
        <v>14</v>
      </c>
      <c r="H1601" s="6">
        <v>20</v>
      </c>
      <c r="I1601" s="6">
        <v>20</v>
      </c>
      <c r="J1601" s="6">
        <v>20</v>
      </c>
      <c r="K1601" s="6">
        <v>18.622046999999998</v>
      </c>
      <c r="L1601" s="6">
        <v>18.557046</v>
      </c>
      <c r="M1601" s="6">
        <v>18.643459</v>
      </c>
      <c r="N1601" s="6">
        <v>19.181818</v>
      </c>
      <c r="O1601" s="6">
        <v>19.119288999999998</v>
      </c>
      <c r="P1601" s="6">
        <v>18.784502</v>
      </c>
      <c r="Q1601" s="6">
        <v>19.181818</v>
      </c>
      <c r="R1601" s="6">
        <v>19.101835999999999</v>
      </c>
      <c r="S1601" s="6">
        <v>18.763134000000001</v>
      </c>
      <c r="T1601" s="6">
        <v>19.181818</v>
      </c>
      <c r="U1601" s="6">
        <v>19.101835999999999</v>
      </c>
      <c r="V1601" s="6">
        <v>18.763134000000001</v>
      </c>
    </row>
    <row r="1602" spans="2:22">
      <c r="B1602" s="6">
        <v>32690</v>
      </c>
      <c r="C1602" s="6" t="s">
        <v>625</v>
      </c>
      <c r="D1602" s="6">
        <v>20906</v>
      </c>
      <c r="E1602" s="6" t="s">
        <v>48</v>
      </c>
      <c r="F1602" s="6" t="s">
        <v>49</v>
      </c>
      <c r="G1602" s="6" t="s">
        <v>1296</v>
      </c>
      <c r="H1602" s="6">
        <v>17</v>
      </c>
      <c r="I1602" s="6">
        <v>17</v>
      </c>
      <c r="J1602" s="6">
        <v>17</v>
      </c>
      <c r="K1602" s="6">
        <v>17.229590999999999</v>
      </c>
      <c r="L1602" s="6">
        <v>17.052391</v>
      </c>
      <c r="M1602" s="6">
        <v>17.431988</v>
      </c>
      <c r="N1602" s="6">
        <v>17.016705999999999</v>
      </c>
      <c r="O1602" s="6">
        <v>16.954350000000002</v>
      </c>
      <c r="P1602" s="6">
        <v>17.537869000000001</v>
      </c>
      <c r="Q1602" s="6">
        <v>17.016335999999999</v>
      </c>
      <c r="R1602" s="6">
        <v>16.958155999999999</v>
      </c>
      <c r="S1602" s="6">
        <v>17.538882000000001</v>
      </c>
      <c r="T1602" s="6">
        <v>17.016335999999999</v>
      </c>
      <c r="U1602" s="6">
        <v>16.958155999999999</v>
      </c>
      <c r="V1602" s="6">
        <v>17.538882000000001</v>
      </c>
    </row>
    <row r="1603" spans="2:22">
      <c r="B1603" s="6">
        <v>32691</v>
      </c>
      <c r="C1603" s="6" t="s">
        <v>1077</v>
      </c>
      <c r="D1603" s="6">
        <v>20500</v>
      </c>
      <c r="E1603" s="6" t="s">
        <v>31</v>
      </c>
      <c r="F1603" s="6" t="s">
        <v>17</v>
      </c>
      <c r="G1603" s="6" t="s">
        <v>1294</v>
      </c>
      <c r="H1603" s="6">
        <v>0</v>
      </c>
      <c r="I1603" s="6">
        <v>27</v>
      </c>
      <c r="J1603" s="6">
        <v>27</v>
      </c>
      <c r="K1603" s="6">
        <v>26.046875</v>
      </c>
      <c r="L1603" s="6">
        <v>26.199541</v>
      </c>
      <c r="M1603" s="6">
        <v>26.109717</v>
      </c>
      <c r="N1603" s="6">
        <v>26.108958000000001</v>
      </c>
      <c r="O1603" s="6">
        <v>26.328648000000001</v>
      </c>
      <c r="P1603" s="6">
        <v>26.003786000000002</v>
      </c>
      <c r="Q1603" s="6">
        <v>26.101534000000001</v>
      </c>
      <c r="R1603" s="6">
        <v>26.316153</v>
      </c>
      <c r="S1603" s="6">
        <v>25.991613999999998</v>
      </c>
      <c r="T1603" s="6">
        <v>25.645997000000001</v>
      </c>
      <c r="U1603" s="6">
        <v>25.223958</v>
      </c>
      <c r="V1603" s="6">
        <v>24.770192999999999</v>
      </c>
    </row>
    <row r="1604" spans="2:22">
      <c r="B1604" s="6">
        <v>32691</v>
      </c>
      <c r="C1604" s="6" t="s">
        <v>1077</v>
      </c>
      <c r="D1604" s="6">
        <v>20713</v>
      </c>
      <c r="E1604" s="6" t="s">
        <v>147</v>
      </c>
      <c r="F1604" s="6" t="s">
        <v>17</v>
      </c>
      <c r="G1604" s="6" t="s">
        <v>1294</v>
      </c>
      <c r="H1604" s="6">
        <v>0</v>
      </c>
      <c r="I1604" s="6">
        <v>0</v>
      </c>
      <c r="J1604" s="6">
        <v>25</v>
      </c>
      <c r="K1604" s="6">
        <v>25.666665999999999</v>
      </c>
      <c r="L1604" s="6">
        <v>25.348837</v>
      </c>
      <c r="M1604" s="6">
        <v>25.214285</v>
      </c>
      <c r="N1604" s="6">
        <v>25.272727</v>
      </c>
      <c r="O1604" s="6">
        <v>25.25</v>
      </c>
      <c r="P1604" s="6">
        <v>25.15015</v>
      </c>
      <c r="Q1604" s="6">
        <v>25.272727</v>
      </c>
      <c r="R1604" s="6">
        <v>25.25</v>
      </c>
      <c r="S1604" s="6">
        <v>25.15015</v>
      </c>
      <c r="T1604" s="6">
        <v>25.272727</v>
      </c>
      <c r="U1604" s="6">
        <v>25.25</v>
      </c>
      <c r="V1604" s="6">
        <v>25.15015</v>
      </c>
    </row>
    <row r="1605" spans="2:22">
      <c r="B1605" s="6">
        <v>32691</v>
      </c>
      <c r="C1605" s="6" t="s">
        <v>1077</v>
      </c>
      <c r="D1605" s="6">
        <v>20902</v>
      </c>
      <c r="E1605" s="6" t="s">
        <v>53</v>
      </c>
      <c r="F1605" s="6" t="s">
        <v>16</v>
      </c>
      <c r="G1605" s="6" t="s">
        <v>1295</v>
      </c>
      <c r="H1605" s="6">
        <v>0</v>
      </c>
      <c r="I1605" s="6">
        <v>0</v>
      </c>
      <c r="J1605" s="6">
        <v>30</v>
      </c>
      <c r="K1605" s="6">
        <v>26.721311</v>
      </c>
      <c r="L1605" s="6">
        <v>25.932835000000001</v>
      </c>
      <c r="M1605" s="6">
        <v>26.507536999999999</v>
      </c>
      <c r="N1605" s="6">
        <v>27.102803000000002</v>
      </c>
      <c r="O1605" s="6">
        <v>26.100322999999999</v>
      </c>
      <c r="P1605" s="6">
        <v>27.578899</v>
      </c>
      <c r="Q1605" s="6">
        <v>27.102803000000002</v>
      </c>
      <c r="R1605" s="6">
        <v>26.100322999999999</v>
      </c>
      <c r="S1605" s="6">
        <v>27.558453</v>
      </c>
      <c r="T1605" s="6">
        <v>26.737159999999999</v>
      </c>
      <c r="U1605" s="6">
        <v>25.752351000000001</v>
      </c>
      <c r="V1605" s="6">
        <v>27.323633000000001</v>
      </c>
    </row>
    <row r="1606" spans="2:22">
      <c r="B1606" s="6">
        <v>32691</v>
      </c>
      <c r="C1606" s="6" t="s">
        <v>1077</v>
      </c>
      <c r="D1606" s="6">
        <v>20906</v>
      </c>
      <c r="E1606" s="6" t="s">
        <v>48</v>
      </c>
      <c r="F1606" s="6" t="s">
        <v>49</v>
      </c>
      <c r="G1606" s="6" t="s">
        <v>1296</v>
      </c>
      <c r="H1606" s="6">
        <v>0</v>
      </c>
      <c r="I1606" s="6">
        <v>17</v>
      </c>
      <c r="J1606" s="6">
        <v>17</v>
      </c>
      <c r="K1606" s="6">
        <v>17.229590999999999</v>
      </c>
      <c r="L1606" s="6">
        <v>17.052391</v>
      </c>
      <c r="M1606" s="6">
        <v>17.431988</v>
      </c>
      <c r="N1606" s="6">
        <v>17.016705999999999</v>
      </c>
      <c r="O1606" s="6">
        <v>16.954350000000002</v>
      </c>
      <c r="P1606" s="6">
        <v>17.537869000000001</v>
      </c>
      <c r="Q1606" s="6">
        <v>17.016335999999999</v>
      </c>
      <c r="R1606" s="6">
        <v>16.958155999999999</v>
      </c>
      <c r="S1606" s="6">
        <v>17.538882000000001</v>
      </c>
      <c r="T1606" s="6">
        <v>17.016335999999999</v>
      </c>
      <c r="U1606" s="6">
        <v>16.958155999999999</v>
      </c>
      <c r="V1606" s="6">
        <v>17.538882000000001</v>
      </c>
    </row>
    <row r="1607" spans="2:22">
      <c r="B1607" s="6">
        <v>32692</v>
      </c>
      <c r="C1607" s="6" t="s">
        <v>646</v>
      </c>
      <c r="D1607" s="6">
        <v>20500</v>
      </c>
      <c r="E1607" s="6" t="s">
        <v>31</v>
      </c>
      <c r="F1607" s="6" t="s">
        <v>17</v>
      </c>
      <c r="G1607" s="6" t="s">
        <v>1294</v>
      </c>
      <c r="H1607" s="6">
        <v>27</v>
      </c>
      <c r="I1607" s="6">
        <v>27</v>
      </c>
      <c r="J1607" s="6">
        <v>27</v>
      </c>
      <c r="K1607" s="6">
        <v>26.046875</v>
      </c>
      <c r="L1607" s="6">
        <v>26.199541</v>
      </c>
      <c r="M1607" s="6">
        <v>26.109717</v>
      </c>
      <c r="N1607" s="6">
        <v>26.108958000000001</v>
      </c>
      <c r="O1607" s="6">
        <v>26.328648000000001</v>
      </c>
      <c r="P1607" s="6">
        <v>26.003786000000002</v>
      </c>
      <c r="Q1607" s="6">
        <v>26.101534000000001</v>
      </c>
      <c r="R1607" s="6">
        <v>26.316153</v>
      </c>
      <c r="S1607" s="6">
        <v>25.991613999999998</v>
      </c>
      <c r="T1607" s="6">
        <v>25.645997000000001</v>
      </c>
      <c r="U1607" s="6">
        <v>25.223958</v>
      </c>
      <c r="V1607" s="6">
        <v>24.770192999999999</v>
      </c>
    </row>
    <row r="1608" spans="2:22">
      <c r="B1608" s="6">
        <v>32692</v>
      </c>
      <c r="C1608" s="6" t="s">
        <v>646</v>
      </c>
      <c r="D1608" s="6">
        <v>20713</v>
      </c>
      <c r="E1608" s="6" t="s">
        <v>147</v>
      </c>
      <c r="F1608" s="6" t="s">
        <v>17</v>
      </c>
      <c r="G1608" s="6" t="s">
        <v>1294</v>
      </c>
      <c r="H1608" s="6">
        <v>25</v>
      </c>
      <c r="I1608" s="6">
        <v>25</v>
      </c>
      <c r="J1608" s="6">
        <v>25</v>
      </c>
      <c r="K1608" s="6">
        <v>25.666665999999999</v>
      </c>
      <c r="L1608" s="6">
        <v>25.348837</v>
      </c>
      <c r="M1608" s="6">
        <v>25.214285</v>
      </c>
      <c r="N1608" s="6">
        <v>25.272727</v>
      </c>
      <c r="O1608" s="6">
        <v>25.25</v>
      </c>
      <c r="P1608" s="6">
        <v>25.15015</v>
      </c>
      <c r="Q1608" s="6">
        <v>25.272727</v>
      </c>
      <c r="R1608" s="6">
        <v>25.25</v>
      </c>
      <c r="S1608" s="6">
        <v>25.15015</v>
      </c>
      <c r="T1608" s="6">
        <v>25.272727</v>
      </c>
      <c r="U1608" s="6">
        <v>25.25</v>
      </c>
      <c r="V1608" s="6">
        <v>25.15015</v>
      </c>
    </row>
    <row r="1609" spans="2:22">
      <c r="B1609" s="6">
        <v>32692</v>
      </c>
      <c r="C1609" s="6" t="s">
        <v>646</v>
      </c>
      <c r="D1609" s="6">
        <v>20902</v>
      </c>
      <c r="E1609" s="6" t="s">
        <v>53</v>
      </c>
      <c r="F1609" s="6" t="s">
        <v>16</v>
      </c>
      <c r="G1609" s="6" t="s">
        <v>1295</v>
      </c>
      <c r="H1609" s="6">
        <v>0</v>
      </c>
      <c r="I1609" s="6">
        <v>0</v>
      </c>
      <c r="J1609" s="6">
        <v>30</v>
      </c>
      <c r="K1609" s="6">
        <v>26.721311</v>
      </c>
      <c r="L1609" s="6">
        <v>25.932835000000001</v>
      </c>
      <c r="M1609" s="6">
        <v>26.507536999999999</v>
      </c>
      <c r="N1609" s="6">
        <v>27.102803000000002</v>
      </c>
      <c r="O1609" s="6">
        <v>26.100322999999999</v>
      </c>
      <c r="P1609" s="6">
        <v>27.578899</v>
      </c>
      <c r="Q1609" s="6">
        <v>27.102803000000002</v>
      </c>
      <c r="R1609" s="6">
        <v>26.100322999999999</v>
      </c>
      <c r="S1609" s="6">
        <v>27.558453</v>
      </c>
      <c r="T1609" s="6">
        <v>26.737159999999999</v>
      </c>
      <c r="U1609" s="6">
        <v>25.752351000000001</v>
      </c>
      <c r="V1609" s="6">
        <v>27.323633000000001</v>
      </c>
    </row>
    <row r="1610" spans="2:22">
      <c r="B1610" s="6">
        <v>32692</v>
      </c>
      <c r="C1610" s="6" t="s">
        <v>646</v>
      </c>
      <c r="D1610" s="6">
        <v>20902</v>
      </c>
      <c r="E1610" s="6" t="s">
        <v>53</v>
      </c>
      <c r="F1610" s="6" t="s">
        <v>13</v>
      </c>
      <c r="G1610" s="6" t="s">
        <v>14</v>
      </c>
      <c r="H1610" s="6">
        <v>20</v>
      </c>
      <c r="I1610" s="6">
        <v>20</v>
      </c>
      <c r="J1610" s="6">
        <v>20</v>
      </c>
      <c r="K1610" s="6">
        <v>18.622046999999998</v>
      </c>
      <c r="L1610" s="6">
        <v>18.557046</v>
      </c>
      <c r="M1610" s="6">
        <v>18.643459</v>
      </c>
      <c r="N1610" s="6">
        <v>19.181818</v>
      </c>
      <c r="O1610" s="6">
        <v>19.119288999999998</v>
      </c>
      <c r="P1610" s="6">
        <v>18.784502</v>
      </c>
      <c r="Q1610" s="6">
        <v>19.181818</v>
      </c>
      <c r="R1610" s="6">
        <v>19.101835999999999</v>
      </c>
      <c r="S1610" s="6">
        <v>18.763134000000001</v>
      </c>
      <c r="T1610" s="6">
        <v>19.181818</v>
      </c>
      <c r="U1610" s="6">
        <v>19.101835999999999</v>
      </c>
      <c r="V1610" s="6">
        <v>18.763134000000001</v>
      </c>
    </row>
    <row r="1611" spans="2:22">
      <c r="B1611" s="6">
        <v>32692</v>
      </c>
      <c r="C1611" s="6" t="s">
        <v>646</v>
      </c>
      <c r="D1611" s="6">
        <v>20906</v>
      </c>
      <c r="E1611" s="6" t="s">
        <v>48</v>
      </c>
      <c r="F1611" s="6" t="s">
        <v>49</v>
      </c>
      <c r="G1611" s="6" t="s">
        <v>1296</v>
      </c>
      <c r="H1611" s="6">
        <v>17</v>
      </c>
      <c r="I1611" s="6">
        <v>17</v>
      </c>
      <c r="J1611" s="6">
        <v>17</v>
      </c>
      <c r="K1611" s="6">
        <v>17.229590999999999</v>
      </c>
      <c r="L1611" s="6">
        <v>17.052391</v>
      </c>
      <c r="M1611" s="6">
        <v>17.431988</v>
      </c>
      <c r="N1611" s="6">
        <v>17.016705999999999</v>
      </c>
      <c r="O1611" s="6">
        <v>16.954350000000002</v>
      </c>
      <c r="P1611" s="6">
        <v>17.537869000000001</v>
      </c>
      <c r="Q1611" s="6">
        <v>17.016335999999999</v>
      </c>
      <c r="R1611" s="6">
        <v>16.958155999999999</v>
      </c>
      <c r="S1611" s="6">
        <v>17.538882000000001</v>
      </c>
      <c r="T1611" s="6">
        <v>17.016335999999999</v>
      </c>
      <c r="U1611" s="6">
        <v>16.958155999999999</v>
      </c>
      <c r="V1611" s="6">
        <v>17.538882000000001</v>
      </c>
    </row>
    <row r="1612" spans="2:22">
      <c r="B1612" s="6">
        <v>32693</v>
      </c>
      <c r="C1612" s="6" t="s">
        <v>516</v>
      </c>
      <c r="D1612" s="6">
        <v>20500</v>
      </c>
      <c r="E1612" s="6" t="s">
        <v>31</v>
      </c>
      <c r="F1612" s="6" t="s">
        <v>17</v>
      </c>
      <c r="G1612" s="6" t="s">
        <v>1294</v>
      </c>
      <c r="H1612" s="6">
        <v>27</v>
      </c>
      <c r="I1612" s="6">
        <v>27</v>
      </c>
      <c r="J1612" s="6">
        <v>27</v>
      </c>
      <c r="K1612" s="6">
        <v>26.046875</v>
      </c>
      <c r="L1612" s="6">
        <v>26.199541</v>
      </c>
      <c r="M1612" s="6">
        <v>26.109717</v>
      </c>
      <c r="N1612" s="6">
        <v>26.108958000000001</v>
      </c>
      <c r="O1612" s="6">
        <v>26.328648000000001</v>
      </c>
      <c r="P1612" s="6">
        <v>26.003786000000002</v>
      </c>
      <c r="Q1612" s="6">
        <v>26.101534000000001</v>
      </c>
      <c r="R1612" s="6">
        <v>26.316153</v>
      </c>
      <c r="S1612" s="6">
        <v>25.991613999999998</v>
      </c>
      <c r="T1612" s="6">
        <v>25.645997000000001</v>
      </c>
      <c r="U1612" s="6">
        <v>25.223958</v>
      </c>
      <c r="V1612" s="6">
        <v>24.770192999999999</v>
      </c>
    </row>
    <row r="1613" spans="2:22">
      <c r="B1613" s="6">
        <v>32693</v>
      </c>
      <c r="C1613" s="6" t="s">
        <v>516</v>
      </c>
      <c r="D1613" s="6">
        <v>20713</v>
      </c>
      <c r="E1613" s="6" t="s">
        <v>147</v>
      </c>
      <c r="F1613" s="6" t="s">
        <v>17</v>
      </c>
      <c r="G1613" s="6" t="s">
        <v>1294</v>
      </c>
      <c r="H1613" s="6">
        <v>25</v>
      </c>
      <c r="I1613" s="6">
        <v>25</v>
      </c>
      <c r="J1613" s="6">
        <v>25</v>
      </c>
      <c r="K1613" s="6">
        <v>25.666665999999999</v>
      </c>
      <c r="L1613" s="6">
        <v>25.348837</v>
      </c>
      <c r="M1613" s="6">
        <v>25.214285</v>
      </c>
      <c r="N1613" s="6">
        <v>25.272727</v>
      </c>
      <c r="O1613" s="6">
        <v>25.25</v>
      </c>
      <c r="P1613" s="6">
        <v>25.15015</v>
      </c>
      <c r="Q1613" s="6">
        <v>25.272727</v>
      </c>
      <c r="R1613" s="6">
        <v>25.25</v>
      </c>
      <c r="S1613" s="6">
        <v>25.15015</v>
      </c>
      <c r="T1613" s="6">
        <v>25.272727</v>
      </c>
      <c r="U1613" s="6">
        <v>25.25</v>
      </c>
      <c r="V1613" s="6">
        <v>25.15015</v>
      </c>
    </row>
    <row r="1614" spans="2:22">
      <c r="B1614" s="6">
        <v>32693</v>
      </c>
      <c r="C1614" s="6" t="s">
        <v>516</v>
      </c>
      <c r="D1614" s="6">
        <v>20902</v>
      </c>
      <c r="E1614" s="6" t="s">
        <v>53</v>
      </c>
      <c r="F1614" s="6" t="s">
        <v>16</v>
      </c>
      <c r="G1614" s="6" t="s">
        <v>1295</v>
      </c>
      <c r="H1614" s="6">
        <v>0</v>
      </c>
      <c r="I1614" s="6">
        <v>20</v>
      </c>
      <c r="J1614" s="6">
        <v>20</v>
      </c>
      <c r="K1614" s="6">
        <v>26.721311</v>
      </c>
      <c r="L1614" s="6">
        <v>25.932835000000001</v>
      </c>
      <c r="M1614" s="6">
        <v>26.507536999999999</v>
      </c>
      <c r="N1614" s="6">
        <v>27.102803000000002</v>
      </c>
      <c r="O1614" s="6">
        <v>26.100322999999999</v>
      </c>
      <c r="P1614" s="6">
        <v>27.578899</v>
      </c>
      <c r="Q1614" s="6">
        <v>27.102803000000002</v>
      </c>
      <c r="R1614" s="6">
        <v>26.100322999999999</v>
      </c>
      <c r="S1614" s="6">
        <v>27.558453</v>
      </c>
      <c r="T1614" s="6">
        <v>26.737159999999999</v>
      </c>
      <c r="U1614" s="6">
        <v>25.752351000000001</v>
      </c>
      <c r="V1614" s="6">
        <v>27.323633000000001</v>
      </c>
    </row>
    <row r="1615" spans="2:22">
      <c r="B1615" s="6">
        <v>32693</v>
      </c>
      <c r="C1615" s="6" t="s">
        <v>516</v>
      </c>
      <c r="D1615" s="6">
        <v>20902</v>
      </c>
      <c r="E1615" s="6" t="s">
        <v>53</v>
      </c>
      <c r="F1615" s="6" t="s">
        <v>13</v>
      </c>
      <c r="G1615" s="6" t="s">
        <v>14</v>
      </c>
      <c r="H1615" s="6">
        <v>20</v>
      </c>
      <c r="I1615" s="6">
        <v>20</v>
      </c>
      <c r="J1615" s="6">
        <v>20</v>
      </c>
      <c r="K1615" s="6">
        <v>18.622046999999998</v>
      </c>
      <c r="L1615" s="6">
        <v>18.557046</v>
      </c>
      <c r="M1615" s="6">
        <v>18.643459</v>
      </c>
      <c r="N1615" s="6">
        <v>19.181818</v>
      </c>
      <c r="O1615" s="6">
        <v>19.119288999999998</v>
      </c>
      <c r="P1615" s="6">
        <v>18.784502</v>
      </c>
      <c r="Q1615" s="6">
        <v>19.181818</v>
      </c>
      <c r="R1615" s="6">
        <v>19.101835999999999</v>
      </c>
      <c r="S1615" s="6">
        <v>18.763134000000001</v>
      </c>
      <c r="T1615" s="6">
        <v>19.181818</v>
      </c>
      <c r="U1615" s="6">
        <v>19.101835999999999</v>
      </c>
      <c r="V1615" s="6">
        <v>18.763134000000001</v>
      </c>
    </row>
    <row r="1616" spans="2:22">
      <c r="B1616" s="6">
        <v>32693</v>
      </c>
      <c r="C1616" s="6" t="s">
        <v>516</v>
      </c>
      <c r="D1616" s="6">
        <v>20906</v>
      </c>
      <c r="E1616" s="6" t="s">
        <v>48</v>
      </c>
      <c r="F1616" s="6" t="s">
        <v>49</v>
      </c>
      <c r="G1616" s="6" t="s">
        <v>1296</v>
      </c>
      <c r="H1616" s="6">
        <v>17</v>
      </c>
      <c r="I1616" s="6">
        <v>17</v>
      </c>
      <c r="J1616" s="6">
        <v>17</v>
      </c>
      <c r="K1616" s="6">
        <v>17.229590999999999</v>
      </c>
      <c r="L1616" s="6">
        <v>17.052391</v>
      </c>
      <c r="M1616" s="6">
        <v>17.431988</v>
      </c>
      <c r="N1616" s="6">
        <v>17.016705999999999</v>
      </c>
      <c r="O1616" s="6">
        <v>16.954350000000002</v>
      </c>
      <c r="P1616" s="6">
        <v>17.537869000000001</v>
      </c>
      <c r="Q1616" s="6">
        <v>17.016335999999999</v>
      </c>
      <c r="R1616" s="6">
        <v>16.958155999999999</v>
      </c>
      <c r="S1616" s="6">
        <v>17.538882000000001</v>
      </c>
      <c r="T1616" s="6">
        <v>17.016335999999999</v>
      </c>
      <c r="U1616" s="6">
        <v>16.958155999999999</v>
      </c>
      <c r="V1616" s="6">
        <v>17.538882000000001</v>
      </c>
    </row>
    <row r="1617" spans="2:22">
      <c r="B1617" s="6">
        <v>32694</v>
      </c>
      <c r="C1617" s="6" t="s">
        <v>719</v>
      </c>
      <c r="D1617" s="6">
        <v>20500</v>
      </c>
      <c r="E1617" s="6" t="s">
        <v>31</v>
      </c>
      <c r="F1617" s="6" t="s">
        <v>17</v>
      </c>
      <c r="G1617" s="6" t="s">
        <v>1294</v>
      </c>
      <c r="H1617" s="6">
        <v>27.75</v>
      </c>
      <c r="I1617" s="6">
        <v>27.375</v>
      </c>
      <c r="J1617" s="6">
        <v>27.272727</v>
      </c>
      <c r="K1617" s="6">
        <v>26.046875</v>
      </c>
      <c r="L1617" s="6">
        <v>26.199541</v>
      </c>
      <c r="M1617" s="6">
        <v>26.109717</v>
      </c>
      <c r="N1617" s="6">
        <v>26.108958000000001</v>
      </c>
      <c r="O1617" s="6">
        <v>26.328648000000001</v>
      </c>
      <c r="P1617" s="6">
        <v>26.003786000000002</v>
      </c>
      <c r="Q1617" s="6">
        <v>26.101534000000001</v>
      </c>
      <c r="R1617" s="6">
        <v>26.316153</v>
      </c>
      <c r="S1617" s="6">
        <v>25.991613999999998</v>
      </c>
      <c r="T1617" s="6">
        <v>25.645997000000001</v>
      </c>
      <c r="U1617" s="6">
        <v>25.223958</v>
      </c>
      <c r="V1617" s="6">
        <v>24.770192999999999</v>
      </c>
    </row>
    <row r="1618" spans="2:22">
      <c r="B1618" s="6">
        <v>32694</v>
      </c>
      <c r="C1618" s="6" t="s">
        <v>719</v>
      </c>
      <c r="D1618" s="6">
        <v>20713</v>
      </c>
      <c r="E1618" s="6" t="s">
        <v>147</v>
      </c>
      <c r="F1618" s="6" t="s">
        <v>17</v>
      </c>
      <c r="G1618" s="6" t="s">
        <v>1294</v>
      </c>
      <c r="H1618" s="6">
        <v>32.5</v>
      </c>
      <c r="I1618" s="6">
        <v>28.75</v>
      </c>
      <c r="J1618" s="6">
        <v>27.727271999999999</v>
      </c>
      <c r="K1618" s="6">
        <v>25.666665999999999</v>
      </c>
      <c r="L1618" s="6">
        <v>25.348837</v>
      </c>
      <c r="M1618" s="6">
        <v>25.214285</v>
      </c>
      <c r="N1618" s="6">
        <v>25.272727</v>
      </c>
      <c r="O1618" s="6">
        <v>25.25</v>
      </c>
      <c r="P1618" s="6">
        <v>25.15015</v>
      </c>
      <c r="Q1618" s="6">
        <v>25.272727</v>
      </c>
      <c r="R1618" s="6">
        <v>25.25</v>
      </c>
      <c r="S1618" s="6">
        <v>25.15015</v>
      </c>
      <c r="T1618" s="6">
        <v>25.272727</v>
      </c>
      <c r="U1618" s="6">
        <v>25.25</v>
      </c>
      <c r="V1618" s="6">
        <v>25.15015</v>
      </c>
    </row>
    <row r="1619" spans="2:22">
      <c r="B1619" s="6">
        <v>32694</v>
      </c>
      <c r="C1619" s="6" t="s">
        <v>719</v>
      </c>
      <c r="D1619" s="6">
        <v>20902</v>
      </c>
      <c r="E1619" s="6" t="s">
        <v>53</v>
      </c>
      <c r="F1619" s="6" t="s">
        <v>16</v>
      </c>
      <c r="G1619" s="6" t="s">
        <v>1295</v>
      </c>
      <c r="H1619" s="6">
        <v>0</v>
      </c>
      <c r="I1619" s="6">
        <v>20</v>
      </c>
      <c r="J1619" s="6">
        <v>20</v>
      </c>
      <c r="K1619" s="6">
        <v>26.721311</v>
      </c>
      <c r="L1619" s="6">
        <v>25.932835000000001</v>
      </c>
      <c r="M1619" s="6">
        <v>26.507536999999999</v>
      </c>
      <c r="N1619" s="6">
        <v>27.102803000000002</v>
      </c>
      <c r="O1619" s="6">
        <v>26.100322999999999</v>
      </c>
      <c r="P1619" s="6">
        <v>27.578899</v>
      </c>
      <c r="Q1619" s="6">
        <v>27.102803000000002</v>
      </c>
      <c r="R1619" s="6">
        <v>26.100322999999999</v>
      </c>
      <c r="S1619" s="6">
        <v>27.558453</v>
      </c>
      <c r="T1619" s="6">
        <v>26.737159999999999</v>
      </c>
      <c r="U1619" s="6">
        <v>25.752351000000001</v>
      </c>
      <c r="V1619" s="6">
        <v>27.323633000000001</v>
      </c>
    </row>
    <row r="1620" spans="2:22">
      <c r="B1620" s="6">
        <v>32694</v>
      </c>
      <c r="C1620" s="6" t="s">
        <v>719</v>
      </c>
      <c r="D1620" s="6">
        <v>20902</v>
      </c>
      <c r="E1620" s="6" t="s">
        <v>53</v>
      </c>
      <c r="F1620" s="6" t="s">
        <v>13</v>
      </c>
      <c r="G1620" s="6" t="s">
        <v>14</v>
      </c>
      <c r="H1620" s="6">
        <v>22.5</v>
      </c>
      <c r="I1620" s="6">
        <v>22</v>
      </c>
      <c r="J1620" s="6">
        <v>23.125</v>
      </c>
      <c r="K1620" s="6">
        <v>18.622046999999998</v>
      </c>
      <c r="L1620" s="6">
        <v>18.557046</v>
      </c>
      <c r="M1620" s="6">
        <v>18.643459</v>
      </c>
      <c r="N1620" s="6">
        <v>19.181818</v>
      </c>
      <c r="O1620" s="6">
        <v>19.119288999999998</v>
      </c>
      <c r="P1620" s="6">
        <v>18.784502</v>
      </c>
      <c r="Q1620" s="6">
        <v>19.181818</v>
      </c>
      <c r="R1620" s="6">
        <v>19.101835999999999</v>
      </c>
      <c r="S1620" s="6">
        <v>18.763134000000001</v>
      </c>
      <c r="T1620" s="6">
        <v>19.181818</v>
      </c>
      <c r="U1620" s="6">
        <v>19.101835999999999</v>
      </c>
      <c r="V1620" s="6">
        <v>18.763134000000001</v>
      </c>
    </row>
    <row r="1621" spans="2:22">
      <c r="B1621" s="6">
        <v>32694</v>
      </c>
      <c r="C1621" s="6" t="s">
        <v>719</v>
      </c>
      <c r="D1621" s="6">
        <v>20906</v>
      </c>
      <c r="E1621" s="6" t="s">
        <v>48</v>
      </c>
      <c r="F1621" s="6" t="s">
        <v>49</v>
      </c>
      <c r="G1621" s="6" t="s">
        <v>1296</v>
      </c>
      <c r="H1621" s="6">
        <v>17</v>
      </c>
      <c r="I1621" s="6">
        <v>17</v>
      </c>
      <c r="J1621" s="6">
        <v>17</v>
      </c>
      <c r="K1621" s="6">
        <v>17.229590999999999</v>
      </c>
      <c r="L1621" s="6">
        <v>17.052391</v>
      </c>
      <c r="M1621" s="6">
        <v>17.431988</v>
      </c>
      <c r="N1621" s="6">
        <v>17.016705999999999</v>
      </c>
      <c r="O1621" s="6">
        <v>16.954350000000002</v>
      </c>
      <c r="P1621" s="6">
        <v>17.537869000000001</v>
      </c>
      <c r="Q1621" s="6">
        <v>17.016335999999999</v>
      </c>
      <c r="R1621" s="6">
        <v>16.958155999999999</v>
      </c>
      <c r="S1621" s="6">
        <v>17.538882000000001</v>
      </c>
      <c r="T1621" s="6">
        <v>17.016335999999999</v>
      </c>
      <c r="U1621" s="6">
        <v>16.958155999999999</v>
      </c>
      <c r="V1621" s="6">
        <v>17.538882000000001</v>
      </c>
    </row>
    <row r="1622" spans="2:22">
      <c r="B1622" s="6">
        <v>32695</v>
      </c>
      <c r="C1622" s="6" t="s">
        <v>717</v>
      </c>
      <c r="D1622" s="6">
        <v>20500</v>
      </c>
      <c r="E1622" s="6" t="s">
        <v>31</v>
      </c>
      <c r="F1622" s="6" t="s">
        <v>17</v>
      </c>
      <c r="G1622" s="6" t="s">
        <v>1294</v>
      </c>
      <c r="H1622" s="6">
        <v>0</v>
      </c>
      <c r="I1622" s="6">
        <v>27</v>
      </c>
      <c r="J1622" s="6">
        <v>27</v>
      </c>
      <c r="K1622" s="6">
        <v>26.046875</v>
      </c>
      <c r="L1622" s="6">
        <v>26.199541</v>
      </c>
      <c r="M1622" s="6">
        <v>26.109717</v>
      </c>
      <c r="N1622" s="6">
        <v>26.108958000000001</v>
      </c>
      <c r="O1622" s="6">
        <v>26.328648000000001</v>
      </c>
      <c r="P1622" s="6">
        <v>26.003786000000002</v>
      </c>
      <c r="Q1622" s="6">
        <v>26.101534000000001</v>
      </c>
      <c r="R1622" s="6">
        <v>26.316153</v>
      </c>
      <c r="S1622" s="6">
        <v>25.991613999999998</v>
      </c>
      <c r="T1622" s="6">
        <v>25.645997000000001</v>
      </c>
      <c r="U1622" s="6">
        <v>25.223958</v>
      </c>
      <c r="V1622" s="6">
        <v>24.770192999999999</v>
      </c>
    </row>
    <row r="1623" spans="2:22">
      <c r="B1623" s="6">
        <v>32695</v>
      </c>
      <c r="C1623" s="6" t="s">
        <v>717</v>
      </c>
      <c r="D1623" s="6">
        <v>20713</v>
      </c>
      <c r="E1623" s="6" t="s">
        <v>147</v>
      </c>
      <c r="F1623" s="6" t="s">
        <v>17</v>
      </c>
      <c r="G1623" s="6" t="s">
        <v>1294</v>
      </c>
      <c r="H1623" s="6">
        <v>0</v>
      </c>
      <c r="I1623" s="6">
        <v>25</v>
      </c>
      <c r="J1623" s="6">
        <v>25</v>
      </c>
      <c r="K1623" s="6">
        <v>25.666665999999999</v>
      </c>
      <c r="L1623" s="6">
        <v>25.348837</v>
      </c>
      <c r="M1623" s="6">
        <v>25.214285</v>
      </c>
      <c r="N1623" s="6">
        <v>25.272727</v>
      </c>
      <c r="O1623" s="6">
        <v>25.25</v>
      </c>
      <c r="P1623" s="6">
        <v>25.15015</v>
      </c>
      <c r="Q1623" s="6">
        <v>25.272727</v>
      </c>
      <c r="R1623" s="6">
        <v>25.25</v>
      </c>
      <c r="S1623" s="6">
        <v>25.15015</v>
      </c>
      <c r="T1623" s="6">
        <v>25.272727</v>
      </c>
      <c r="U1623" s="6">
        <v>25.25</v>
      </c>
      <c r="V1623" s="6">
        <v>25.15015</v>
      </c>
    </row>
    <row r="1624" spans="2:22">
      <c r="B1624" s="6">
        <v>32695</v>
      </c>
      <c r="C1624" s="6" t="s">
        <v>717</v>
      </c>
      <c r="D1624" s="6">
        <v>20902</v>
      </c>
      <c r="E1624" s="6" t="s">
        <v>53</v>
      </c>
      <c r="F1624" s="6" t="s">
        <v>13</v>
      </c>
      <c r="G1624" s="6" t="s">
        <v>14</v>
      </c>
      <c r="H1624" s="6">
        <v>20</v>
      </c>
      <c r="I1624" s="6">
        <v>20</v>
      </c>
      <c r="J1624" s="6">
        <v>20</v>
      </c>
      <c r="K1624" s="6">
        <v>18.622046999999998</v>
      </c>
      <c r="L1624" s="6">
        <v>18.557046</v>
      </c>
      <c r="M1624" s="6">
        <v>18.643459</v>
      </c>
      <c r="N1624" s="6">
        <v>19.181818</v>
      </c>
      <c r="O1624" s="6">
        <v>19.119288999999998</v>
      </c>
      <c r="P1624" s="6">
        <v>18.784502</v>
      </c>
      <c r="Q1624" s="6">
        <v>19.181818</v>
      </c>
      <c r="R1624" s="6">
        <v>19.101835999999999</v>
      </c>
      <c r="S1624" s="6">
        <v>18.763134000000001</v>
      </c>
      <c r="T1624" s="6">
        <v>19.181818</v>
      </c>
      <c r="U1624" s="6">
        <v>19.101835999999999</v>
      </c>
      <c r="V1624" s="6">
        <v>18.763134000000001</v>
      </c>
    </row>
    <row r="1625" spans="2:22">
      <c r="B1625" s="6">
        <v>32695</v>
      </c>
      <c r="C1625" s="6" t="s">
        <v>717</v>
      </c>
      <c r="D1625" s="6">
        <v>20906</v>
      </c>
      <c r="E1625" s="6" t="s">
        <v>48</v>
      </c>
      <c r="F1625" s="6" t="s">
        <v>49</v>
      </c>
      <c r="G1625" s="6" t="s">
        <v>1296</v>
      </c>
      <c r="H1625" s="6">
        <v>0</v>
      </c>
      <c r="I1625" s="6">
        <v>17</v>
      </c>
      <c r="J1625" s="6">
        <v>17</v>
      </c>
      <c r="K1625" s="6">
        <v>17.229590999999999</v>
      </c>
      <c r="L1625" s="6">
        <v>17.052391</v>
      </c>
      <c r="M1625" s="6">
        <v>17.431988</v>
      </c>
      <c r="N1625" s="6">
        <v>17.016705999999999</v>
      </c>
      <c r="O1625" s="6">
        <v>16.954350000000002</v>
      </c>
      <c r="P1625" s="6">
        <v>17.537869000000001</v>
      </c>
      <c r="Q1625" s="6">
        <v>17.016335999999999</v>
      </c>
      <c r="R1625" s="6">
        <v>16.958155999999999</v>
      </c>
      <c r="S1625" s="6">
        <v>17.538882000000001</v>
      </c>
      <c r="T1625" s="6">
        <v>17.016335999999999</v>
      </c>
      <c r="U1625" s="6">
        <v>16.958155999999999</v>
      </c>
      <c r="V1625" s="6">
        <v>17.538882000000001</v>
      </c>
    </row>
    <row r="1626" spans="2:22">
      <c r="B1626" s="6">
        <v>32696</v>
      </c>
      <c r="C1626" s="6" t="s">
        <v>505</v>
      </c>
      <c r="D1626" s="6">
        <v>20500</v>
      </c>
      <c r="E1626" s="6" t="s">
        <v>31</v>
      </c>
      <c r="F1626" s="6" t="s">
        <v>17</v>
      </c>
      <c r="G1626" s="6" t="s">
        <v>1294</v>
      </c>
      <c r="H1626" s="6">
        <v>0</v>
      </c>
      <c r="I1626" s="6">
        <v>0</v>
      </c>
      <c r="J1626" s="6">
        <v>27</v>
      </c>
      <c r="K1626" s="6">
        <v>26.046875</v>
      </c>
      <c r="L1626" s="6">
        <v>26.199541</v>
      </c>
      <c r="M1626" s="6">
        <v>26.109717</v>
      </c>
      <c r="N1626" s="6">
        <v>26.108958000000001</v>
      </c>
      <c r="O1626" s="6">
        <v>26.328648000000001</v>
      </c>
      <c r="P1626" s="6">
        <v>26.003786000000002</v>
      </c>
      <c r="Q1626" s="6">
        <v>26.101534000000001</v>
      </c>
      <c r="R1626" s="6">
        <v>26.316153</v>
      </c>
      <c r="S1626" s="6">
        <v>25.991613999999998</v>
      </c>
      <c r="T1626" s="6">
        <v>25.645997000000001</v>
      </c>
      <c r="U1626" s="6">
        <v>25.223958</v>
      </c>
      <c r="V1626" s="6">
        <v>24.770192999999999</v>
      </c>
    </row>
    <row r="1627" spans="2:22">
      <c r="B1627" s="6">
        <v>32696</v>
      </c>
      <c r="C1627" s="6" t="s">
        <v>505</v>
      </c>
      <c r="D1627" s="6">
        <v>20713</v>
      </c>
      <c r="E1627" s="6" t="s">
        <v>147</v>
      </c>
      <c r="F1627" s="6" t="s">
        <v>17</v>
      </c>
      <c r="G1627" s="6" t="s">
        <v>1294</v>
      </c>
      <c r="H1627" s="6">
        <v>0</v>
      </c>
      <c r="I1627" s="6">
        <v>0</v>
      </c>
      <c r="J1627" s="6">
        <v>25</v>
      </c>
      <c r="K1627" s="6">
        <v>25.666665999999999</v>
      </c>
      <c r="L1627" s="6">
        <v>25.348837</v>
      </c>
      <c r="M1627" s="6">
        <v>25.214285</v>
      </c>
      <c r="N1627" s="6">
        <v>25.272727</v>
      </c>
      <c r="O1627" s="6">
        <v>25.25</v>
      </c>
      <c r="P1627" s="6">
        <v>25.15015</v>
      </c>
      <c r="Q1627" s="6">
        <v>25.272727</v>
      </c>
      <c r="R1627" s="6">
        <v>25.25</v>
      </c>
      <c r="S1627" s="6">
        <v>25.15015</v>
      </c>
      <c r="T1627" s="6">
        <v>25.272727</v>
      </c>
      <c r="U1627" s="6">
        <v>25.25</v>
      </c>
      <c r="V1627" s="6">
        <v>25.15015</v>
      </c>
    </row>
    <row r="1628" spans="2:22">
      <c r="B1628" s="6">
        <v>32696</v>
      </c>
      <c r="C1628" s="6" t="s">
        <v>505</v>
      </c>
      <c r="D1628" s="6">
        <v>20902</v>
      </c>
      <c r="E1628" s="6" t="s">
        <v>53</v>
      </c>
      <c r="F1628" s="6" t="s">
        <v>13</v>
      </c>
      <c r="G1628" s="6" t="s">
        <v>14</v>
      </c>
      <c r="H1628" s="6">
        <v>0</v>
      </c>
      <c r="I1628" s="6">
        <v>0</v>
      </c>
      <c r="J1628" s="6">
        <v>20</v>
      </c>
      <c r="K1628" s="6">
        <v>18.622046999999998</v>
      </c>
      <c r="L1628" s="6">
        <v>18.557046</v>
      </c>
      <c r="M1628" s="6">
        <v>18.643459</v>
      </c>
      <c r="N1628" s="6">
        <v>19.181818</v>
      </c>
      <c r="O1628" s="6">
        <v>19.119288999999998</v>
      </c>
      <c r="P1628" s="6">
        <v>18.784502</v>
      </c>
      <c r="Q1628" s="6">
        <v>19.181818</v>
      </c>
      <c r="R1628" s="6">
        <v>19.101835999999999</v>
      </c>
      <c r="S1628" s="6">
        <v>18.763134000000001</v>
      </c>
      <c r="T1628" s="6">
        <v>19.181818</v>
      </c>
      <c r="U1628" s="6">
        <v>19.101835999999999</v>
      </c>
      <c r="V1628" s="6">
        <v>18.763134000000001</v>
      </c>
    </row>
    <row r="1629" spans="2:22">
      <c r="B1629" s="6">
        <v>32696</v>
      </c>
      <c r="C1629" s="6" t="s">
        <v>505</v>
      </c>
      <c r="D1629" s="6">
        <v>20906</v>
      </c>
      <c r="E1629" s="6" t="s">
        <v>48</v>
      </c>
      <c r="F1629" s="6" t="s">
        <v>49</v>
      </c>
      <c r="G1629" s="6" t="s">
        <v>1296</v>
      </c>
      <c r="H1629" s="6">
        <v>0</v>
      </c>
      <c r="I1629" s="6">
        <v>0</v>
      </c>
      <c r="J1629" s="6">
        <v>17</v>
      </c>
      <c r="K1629" s="6">
        <v>17.229590999999999</v>
      </c>
      <c r="L1629" s="6">
        <v>17.052391</v>
      </c>
      <c r="M1629" s="6">
        <v>17.431988</v>
      </c>
      <c r="N1629" s="6">
        <v>17.016705999999999</v>
      </c>
      <c r="O1629" s="6">
        <v>16.954350000000002</v>
      </c>
      <c r="P1629" s="6">
        <v>17.537869000000001</v>
      </c>
      <c r="Q1629" s="6">
        <v>17.016335999999999</v>
      </c>
      <c r="R1629" s="6">
        <v>16.958155999999999</v>
      </c>
      <c r="S1629" s="6">
        <v>17.538882000000001</v>
      </c>
      <c r="T1629" s="6">
        <v>17.016335999999999</v>
      </c>
      <c r="U1629" s="6">
        <v>16.958155999999999</v>
      </c>
      <c r="V1629" s="6">
        <v>17.538882000000001</v>
      </c>
    </row>
    <row r="1630" spans="2:22">
      <c r="B1630" s="6">
        <v>32698</v>
      </c>
      <c r="C1630" s="6" t="s">
        <v>699</v>
      </c>
      <c r="D1630" s="6">
        <v>20500</v>
      </c>
      <c r="E1630" s="6" t="s">
        <v>31</v>
      </c>
      <c r="F1630" s="6" t="s">
        <v>17</v>
      </c>
      <c r="G1630" s="6" t="s">
        <v>1294</v>
      </c>
      <c r="H1630" s="6">
        <v>27</v>
      </c>
      <c r="I1630" s="6">
        <v>27</v>
      </c>
      <c r="J1630" s="6">
        <v>27</v>
      </c>
      <c r="K1630" s="6">
        <v>26.179282000000001</v>
      </c>
      <c r="L1630" s="6">
        <v>26.186138</v>
      </c>
      <c r="M1630" s="6">
        <v>25.935728999999998</v>
      </c>
      <c r="N1630" s="6">
        <v>26.108958000000001</v>
      </c>
      <c r="O1630" s="6">
        <v>26.328648000000001</v>
      </c>
      <c r="P1630" s="6">
        <v>26.003786000000002</v>
      </c>
      <c r="Q1630" s="6">
        <v>26.101534000000001</v>
      </c>
      <c r="R1630" s="6">
        <v>26.316153</v>
      </c>
      <c r="S1630" s="6">
        <v>25.991613999999998</v>
      </c>
      <c r="T1630" s="6">
        <v>25.645997000000001</v>
      </c>
      <c r="U1630" s="6">
        <v>25.223958</v>
      </c>
      <c r="V1630" s="6">
        <v>24.770192999999999</v>
      </c>
    </row>
    <row r="1631" spans="2:22">
      <c r="B1631" s="6">
        <v>32698</v>
      </c>
      <c r="C1631" s="6" t="s">
        <v>699</v>
      </c>
      <c r="D1631" s="6">
        <v>20713</v>
      </c>
      <c r="E1631" s="6" t="s">
        <v>147</v>
      </c>
      <c r="F1631" s="6" t="s">
        <v>17</v>
      </c>
      <c r="G1631" s="6" t="s">
        <v>1294</v>
      </c>
      <c r="H1631" s="6">
        <v>25</v>
      </c>
      <c r="I1631" s="6">
        <v>25</v>
      </c>
      <c r="J1631" s="6">
        <v>25</v>
      </c>
      <c r="K1631" s="6">
        <v>25</v>
      </c>
      <c r="L1631" s="6">
        <v>25.175438</v>
      </c>
      <c r="M1631" s="6">
        <v>25.10989</v>
      </c>
      <c r="N1631" s="6">
        <v>25.272727</v>
      </c>
      <c r="O1631" s="6">
        <v>25.25</v>
      </c>
      <c r="P1631" s="6">
        <v>25.15015</v>
      </c>
      <c r="Q1631" s="6">
        <v>25.272727</v>
      </c>
      <c r="R1631" s="6">
        <v>25.25</v>
      </c>
      <c r="S1631" s="6">
        <v>25.15015</v>
      </c>
      <c r="T1631" s="6">
        <v>25.272727</v>
      </c>
      <c r="U1631" s="6">
        <v>25.25</v>
      </c>
      <c r="V1631" s="6">
        <v>25.15015</v>
      </c>
    </row>
    <row r="1632" spans="2:22">
      <c r="B1632" s="6">
        <v>32698</v>
      </c>
      <c r="C1632" s="6" t="s">
        <v>699</v>
      </c>
      <c r="D1632" s="6">
        <v>20902</v>
      </c>
      <c r="E1632" s="6" t="s">
        <v>53</v>
      </c>
      <c r="F1632" s="6" t="s">
        <v>16</v>
      </c>
      <c r="G1632" s="6" t="s">
        <v>1295</v>
      </c>
      <c r="H1632" s="6">
        <v>0</v>
      </c>
      <c r="I1632" s="6">
        <v>0</v>
      </c>
      <c r="J1632" s="6">
        <v>30</v>
      </c>
      <c r="K1632" s="6">
        <v>27.111111000000001</v>
      </c>
      <c r="L1632" s="6">
        <v>25.059170999999999</v>
      </c>
      <c r="M1632" s="6">
        <v>26.5625</v>
      </c>
      <c r="N1632" s="6">
        <v>27.102803000000002</v>
      </c>
      <c r="O1632" s="6">
        <v>26.100322999999999</v>
      </c>
      <c r="P1632" s="6">
        <v>27.578899</v>
      </c>
      <c r="Q1632" s="6">
        <v>27.102803000000002</v>
      </c>
      <c r="R1632" s="6">
        <v>26.100322999999999</v>
      </c>
      <c r="S1632" s="6">
        <v>27.558453</v>
      </c>
      <c r="T1632" s="6">
        <v>26.737159999999999</v>
      </c>
      <c r="U1632" s="6">
        <v>25.752351000000001</v>
      </c>
      <c r="V1632" s="6">
        <v>27.323633000000001</v>
      </c>
    </row>
    <row r="1633" spans="2:22">
      <c r="B1633" s="6">
        <v>32698</v>
      </c>
      <c r="C1633" s="6" t="s">
        <v>699</v>
      </c>
      <c r="D1633" s="6">
        <v>20902</v>
      </c>
      <c r="E1633" s="6" t="s">
        <v>53</v>
      </c>
      <c r="F1633" s="6" t="s">
        <v>13</v>
      </c>
      <c r="G1633" s="6" t="s">
        <v>14</v>
      </c>
      <c r="H1633" s="6">
        <v>20</v>
      </c>
      <c r="I1633" s="6">
        <v>20</v>
      </c>
      <c r="J1633" s="6">
        <v>18.333333</v>
      </c>
      <c r="K1633" s="6">
        <v>18.635802000000002</v>
      </c>
      <c r="L1633" s="6">
        <v>18.195121</v>
      </c>
      <c r="M1633" s="6">
        <v>17.625368000000002</v>
      </c>
      <c r="N1633" s="6">
        <v>19.181818</v>
      </c>
      <c r="O1633" s="6">
        <v>19.119288999999998</v>
      </c>
      <c r="P1633" s="6">
        <v>18.784502</v>
      </c>
      <c r="Q1633" s="6">
        <v>19.181818</v>
      </c>
      <c r="R1633" s="6">
        <v>19.101835999999999</v>
      </c>
      <c r="S1633" s="6">
        <v>18.763134000000001</v>
      </c>
      <c r="T1633" s="6">
        <v>19.181818</v>
      </c>
      <c r="U1633" s="6">
        <v>19.101835999999999</v>
      </c>
      <c r="V1633" s="6">
        <v>18.763134000000001</v>
      </c>
    </row>
    <row r="1634" spans="2:22">
      <c r="B1634" s="6">
        <v>32698</v>
      </c>
      <c r="C1634" s="6" t="s">
        <v>699</v>
      </c>
      <c r="D1634" s="6">
        <v>20906</v>
      </c>
      <c r="E1634" s="6" t="s">
        <v>48</v>
      </c>
      <c r="F1634" s="6" t="s">
        <v>49</v>
      </c>
      <c r="G1634" s="6" t="s">
        <v>1296</v>
      </c>
      <c r="H1634" s="6">
        <v>17</v>
      </c>
      <c r="I1634" s="6">
        <v>17</v>
      </c>
      <c r="J1634" s="6">
        <v>17</v>
      </c>
      <c r="K1634" s="6">
        <v>16.992394999999998</v>
      </c>
      <c r="L1634" s="6">
        <v>16.951830000000001</v>
      </c>
      <c r="M1634" s="6">
        <v>17.405908</v>
      </c>
      <c r="N1634" s="6">
        <v>17.016705999999999</v>
      </c>
      <c r="O1634" s="6">
        <v>16.954350000000002</v>
      </c>
      <c r="P1634" s="6">
        <v>17.537869000000001</v>
      </c>
      <c r="Q1634" s="6">
        <v>17.016335999999999</v>
      </c>
      <c r="R1634" s="6">
        <v>16.958155999999999</v>
      </c>
      <c r="S1634" s="6">
        <v>17.538882000000001</v>
      </c>
      <c r="T1634" s="6">
        <v>17.016335999999999</v>
      </c>
      <c r="U1634" s="6">
        <v>16.958155999999999</v>
      </c>
      <c r="V1634" s="6">
        <v>17.538882000000001</v>
      </c>
    </row>
    <row r="1635" spans="2:22">
      <c r="B1635" s="6">
        <v>32700</v>
      </c>
      <c r="C1635" s="6" t="s">
        <v>442</v>
      </c>
      <c r="D1635" s="6">
        <v>20500</v>
      </c>
      <c r="E1635" s="6" t="s">
        <v>31</v>
      </c>
      <c r="F1635" s="6" t="s">
        <v>17</v>
      </c>
      <c r="G1635" s="6" t="s">
        <v>1294</v>
      </c>
      <c r="H1635" s="6">
        <v>27</v>
      </c>
      <c r="I1635" s="6">
        <v>27</v>
      </c>
      <c r="J1635" s="6">
        <v>27</v>
      </c>
      <c r="K1635" s="6">
        <v>26.179282000000001</v>
      </c>
      <c r="L1635" s="6">
        <v>26.186138</v>
      </c>
      <c r="M1635" s="6">
        <v>25.935728999999998</v>
      </c>
      <c r="N1635" s="6">
        <v>26.108958000000001</v>
      </c>
      <c r="O1635" s="6">
        <v>26.328648000000001</v>
      </c>
      <c r="P1635" s="6">
        <v>26.003786000000002</v>
      </c>
      <c r="Q1635" s="6">
        <v>26.101534000000001</v>
      </c>
      <c r="R1635" s="6">
        <v>26.316153</v>
      </c>
      <c r="S1635" s="6">
        <v>25.991613999999998</v>
      </c>
      <c r="T1635" s="6">
        <v>25.645997000000001</v>
      </c>
      <c r="U1635" s="6">
        <v>25.223958</v>
      </c>
      <c r="V1635" s="6">
        <v>24.770192999999999</v>
      </c>
    </row>
    <row r="1636" spans="2:22">
      <c r="B1636" s="6">
        <v>32700</v>
      </c>
      <c r="C1636" s="6" t="s">
        <v>442</v>
      </c>
      <c r="D1636" s="6">
        <v>20713</v>
      </c>
      <c r="E1636" s="6" t="s">
        <v>147</v>
      </c>
      <c r="F1636" s="6" t="s">
        <v>17</v>
      </c>
      <c r="G1636" s="6" t="s">
        <v>1294</v>
      </c>
      <c r="H1636" s="6">
        <v>25</v>
      </c>
      <c r="I1636" s="6">
        <v>29</v>
      </c>
      <c r="J1636" s="6">
        <v>26.666665999999999</v>
      </c>
      <c r="K1636" s="6">
        <v>25</v>
      </c>
      <c r="L1636" s="6">
        <v>25.175438</v>
      </c>
      <c r="M1636" s="6">
        <v>25.10989</v>
      </c>
      <c r="N1636" s="6">
        <v>25.272727</v>
      </c>
      <c r="O1636" s="6">
        <v>25.25</v>
      </c>
      <c r="P1636" s="6">
        <v>25.15015</v>
      </c>
      <c r="Q1636" s="6">
        <v>25.272727</v>
      </c>
      <c r="R1636" s="6">
        <v>25.25</v>
      </c>
      <c r="S1636" s="6">
        <v>25.15015</v>
      </c>
      <c r="T1636" s="6">
        <v>25.272727</v>
      </c>
      <c r="U1636" s="6">
        <v>25.25</v>
      </c>
      <c r="V1636" s="6">
        <v>25.15015</v>
      </c>
    </row>
    <row r="1637" spans="2:22">
      <c r="B1637" s="6">
        <v>32700</v>
      </c>
      <c r="C1637" s="6" t="s">
        <v>442</v>
      </c>
      <c r="D1637" s="6">
        <v>20902</v>
      </c>
      <c r="E1637" s="6" t="s">
        <v>53</v>
      </c>
      <c r="F1637" s="6" t="s">
        <v>16</v>
      </c>
      <c r="G1637" s="6" t="s">
        <v>1295</v>
      </c>
      <c r="H1637" s="6">
        <v>0</v>
      </c>
      <c r="I1637" s="6">
        <v>0</v>
      </c>
      <c r="J1637" s="6">
        <v>30</v>
      </c>
      <c r="K1637" s="6">
        <v>27.111111000000001</v>
      </c>
      <c r="L1637" s="6">
        <v>25.059170999999999</v>
      </c>
      <c r="M1637" s="6">
        <v>26.5625</v>
      </c>
      <c r="N1637" s="6">
        <v>27.102803000000002</v>
      </c>
      <c r="O1637" s="6">
        <v>26.100322999999999</v>
      </c>
      <c r="P1637" s="6">
        <v>27.578899</v>
      </c>
      <c r="Q1637" s="6">
        <v>27.102803000000002</v>
      </c>
      <c r="R1637" s="6">
        <v>26.100322999999999</v>
      </c>
      <c r="S1637" s="6">
        <v>27.558453</v>
      </c>
      <c r="T1637" s="6">
        <v>26.737159999999999</v>
      </c>
      <c r="U1637" s="6">
        <v>25.752351000000001</v>
      </c>
      <c r="V1637" s="6">
        <v>27.323633000000001</v>
      </c>
    </row>
    <row r="1638" spans="2:22">
      <c r="B1638" s="6">
        <v>32700</v>
      </c>
      <c r="C1638" s="6" t="s">
        <v>442</v>
      </c>
      <c r="D1638" s="6">
        <v>20902</v>
      </c>
      <c r="E1638" s="6" t="s">
        <v>53</v>
      </c>
      <c r="F1638" s="6" t="s">
        <v>13</v>
      </c>
      <c r="G1638" s="6" t="s">
        <v>14</v>
      </c>
      <c r="H1638" s="6">
        <v>20</v>
      </c>
      <c r="I1638" s="6">
        <v>20</v>
      </c>
      <c r="J1638" s="6">
        <v>20</v>
      </c>
      <c r="K1638" s="6">
        <v>18.635802000000002</v>
      </c>
      <c r="L1638" s="6">
        <v>18.195121</v>
      </c>
      <c r="M1638" s="6">
        <v>17.625368000000002</v>
      </c>
      <c r="N1638" s="6">
        <v>19.181818</v>
      </c>
      <c r="O1638" s="6">
        <v>19.119288999999998</v>
      </c>
      <c r="P1638" s="6">
        <v>18.784502</v>
      </c>
      <c r="Q1638" s="6">
        <v>19.181818</v>
      </c>
      <c r="R1638" s="6">
        <v>19.101835999999999</v>
      </c>
      <c r="S1638" s="6">
        <v>18.763134000000001</v>
      </c>
      <c r="T1638" s="6">
        <v>19.181818</v>
      </c>
      <c r="U1638" s="6">
        <v>19.101835999999999</v>
      </c>
      <c r="V1638" s="6">
        <v>18.763134000000001</v>
      </c>
    </row>
    <row r="1639" spans="2:22">
      <c r="B1639" s="6">
        <v>32700</v>
      </c>
      <c r="C1639" s="6" t="s">
        <v>442</v>
      </c>
      <c r="D1639" s="6">
        <v>20906</v>
      </c>
      <c r="E1639" s="6" t="s">
        <v>48</v>
      </c>
      <c r="F1639" s="6" t="s">
        <v>49</v>
      </c>
      <c r="G1639" s="6" t="s">
        <v>1296</v>
      </c>
      <c r="H1639" s="6">
        <v>17</v>
      </c>
      <c r="I1639" s="6">
        <v>18.2</v>
      </c>
      <c r="J1639" s="6">
        <v>17.5</v>
      </c>
      <c r="K1639" s="6">
        <v>16.992394999999998</v>
      </c>
      <c r="L1639" s="6">
        <v>16.951830000000001</v>
      </c>
      <c r="M1639" s="6">
        <v>17.405908</v>
      </c>
      <c r="N1639" s="6">
        <v>17.016705999999999</v>
      </c>
      <c r="O1639" s="6">
        <v>16.954350000000002</v>
      </c>
      <c r="P1639" s="6">
        <v>17.537869000000001</v>
      </c>
      <c r="Q1639" s="6">
        <v>17.016335999999999</v>
      </c>
      <c r="R1639" s="6">
        <v>16.958155999999999</v>
      </c>
      <c r="S1639" s="6">
        <v>17.538882000000001</v>
      </c>
      <c r="T1639" s="6">
        <v>17.016335999999999</v>
      </c>
      <c r="U1639" s="6">
        <v>16.958155999999999</v>
      </c>
      <c r="V1639" s="6">
        <v>17.538882000000001</v>
      </c>
    </row>
    <row r="1640" spans="2:22">
      <c r="B1640" s="6">
        <v>32701</v>
      </c>
      <c r="C1640" s="6" t="s">
        <v>1115</v>
      </c>
      <c r="D1640" s="6">
        <v>20600</v>
      </c>
      <c r="E1640" s="6" t="s">
        <v>32</v>
      </c>
      <c r="F1640" s="6" t="s">
        <v>17</v>
      </c>
      <c r="G1640" s="6" t="s">
        <v>1294</v>
      </c>
      <c r="H1640" s="6">
        <v>27</v>
      </c>
      <c r="I1640" s="6">
        <v>27</v>
      </c>
      <c r="J1640" s="6">
        <v>27</v>
      </c>
      <c r="K1640" s="6">
        <v>27</v>
      </c>
      <c r="L1640" s="6">
        <v>27</v>
      </c>
      <c r="M1640" s="6">
        <v>27</v>
      </c>
      <c r="N1640" s="6">
        <v>27</v>
      </c>
      <c r="O1640" s="6">
        <v>27</v>
      </c>
      <c r="P1640" s="6">
        <v>27</v>
      </c>
      <c r="Q1640" s="6">
        <v>27</v>
      </c>
      <c r="R1640" s="6">
        <v>27</v>
      </c>
      <c r="S1640" s="6">
        <v>27</v>
      </c>
      <c r="T1640" s="6">
        <v>27</v>
      </c>
      <c r="U1640" s="6">
        <v>27</v>
      </c>
      <c r="V1640" s="6">
        <v>27</v>
      </c>
    </row>
    <row r="1641" spans="2:22">
      <c r="B1641" s="6">
        <v>32701</v>
      </c>
      <c r="C1641" s="6" t="s">
        <v>1115</v>
      </c>
      <c r="D1641" s="6">
        <v>20706</v>
      </c>
      <c r="E1641" s="6" t="s">
        <v>52</v>
      </c>
      <c r="F1641" s="6" t="s">
        <v>17</v>
      </c>
      <c r="G1641" s="6" t="s">
        <v>1294</v>
      </c>
      <c r="H1641" s="6">
        <v>40</v>
      </c>
      <c r="I1641" s="6">
        <v>40</v>
      </c>
      <c r="J1641" s="6">
        <v>40</v>
      </c>
      <c r="K1641" s="6">
        <v>40</v>
      </c>
      <c r="L1641" s="6">
        <v>40</v>
      </c>
      <c r="M1641" s="6">
        <v>39.931505999999999</v>
      </c>
      <c r="N1641" s="6">
        <v>39.962778999999998</v>
      </c>
      <c r="O1641" s="6">
        <v>39.971750999999998</v>
      </c>
      <c r="P1641" s="6">
        <v>39.969020999999998</v>
      </c>
      <c r="Q1641" s="6">
        <v>39.963768000000002</v>
      </c>
      <c r="R1641" s="6">
        <v>39.972496999999997</v>
      </c>
      <c r="S1641" s="6">
        <v>39.969659999999998</v>
      </c>
      <c r="T1641" s="6">
        <v>39.867787999999997</v>
      </c>
      <c r="U1641" s="6">
        <v>39.928649</v>
      </c>
      <c r="V1641" s="6">
        <v>39.945453999999998</v>
      </c>
    </row>
    <row r="1642" spans="2:22">
      <c r="B1642" s="6">
        <v>32701</v>
      </c>
      <c r="C1642" s="6" t="s">
        <v>1115</v>
      </c>
      <c r="D1642" s="6">
        <v>20902</v>
      </c>
      <c r="E1642" s="6" t="s">
        <v>53</v>
      </c>
      <c r="F1642" s="6" t="s">
        <v>16</v>
      </c>
      <c r="G1642" s="6" t="s">
        <v>1295</v>
      </c>
      <c r="H1642" s="6">
        <v>0</v>
      </c>
      <c r="I1642" s="6">
        <v>0</v>
      </c>
      <c r="J1642" s="6">
        <v>17.5</v>
      </c>
      <c r="K1642" s="6">
        <v>27.111111000000001</v>
      </c>
      <c r="L1642" s="6">
        <v>25.059170999999999</v>
      </c>
      <c r="M1642" s="6">
        <v>26.5625</v>
      </c>
      <c r="N1642" s="6">
        <v>27.102803000000002</v>
      </c>
      <c r="O1642" s="6">
        <v>26.100322999999999</v>
      </c>
      <c r="P1642" s="6">
        <v>27.578899</v>
      </c>
      <c r="Q1642" s="6">
        <v>27.102803000000002</v>
      </c>
      <c r="R1642" s="6">
        <v>26.100322999999999</v>
      </c>
      <c r="S1642" s="6">
        <v>27.558453</v>
      </c>
      <c r="T1642" s="6">
        <v>26.737159999999999</v>
      </c>
      <c r="U1642" s="6">
        <v>25.752351000000001</v>
      </c>
      <c r="V1642" s="6">
        <v>27.323633000000001</v>
      </c>
    </row>
    <row r="1643" spans="2:22">
      <c r="B1643" s="6">
        <v>32701</v>
      </c>
      <c r="C1643" s="6" t="s">
        <v>1115</v>
      </c>
      <c r="D1643" s="6">
        <v>20902</v>
      </c>
      <c r="E1643" s="6" t="s">
        <v>53</v>
      </c>
      <c r="F1643" s="6" t="s">
        <v>13</v>
      </c>
      <c r="G1643" s="6" t="s">
        <v>14</v>
      </c>
      <c r="H1643" s="6">
        <v>20</v>
      </c>
      <c r="I1643" s="6">
        <v>20</v>
      </c>
      <c r="J1643" s="6">
        <v>20</v>
      </c>
      <c r="K1643" s="6">
        <v>18.635802000000002</v>
      </c>
      <c r="L1643" s="6">
        <v>18.195121</v>
      </c>
      <c r="M1643" s="6">
        <v>17.625368000000002</v>
      </c>
      <c r="N1643" s="6">
        <v>19.181818</v>
      </c>
      <c r="O1643" s="6">
        <v>19.119288999999998</v>
      </c>
      <c r="P1643" s="6">
        <v>18.784502</v>
      </c>
      <c r="Q1643" s="6">
        <v>19.181818</v>
      </c>
      <c r="R1643" s="6">
        <v>19.101835999999999</v>
      </c>
      <c r="S1643" s="6">
        <v>18.763134000000001</v>
      </c>
      <c r="T1643" s="6">
        <v>19.181818</v>
      </c>
      <c r="U1643" s="6">
        <v>19.101835999999999</v>
      </c>
      <c r="V1643" s="6">
        <v>18.763134000000001</v>
      </c>
    </row>
    <row r="1644" spans="2:22">
      <c r="B1644" s="6">
        <v>32701</v>
      </c>
      <c r="C1644" s="6" t="s">
        <v>1115</v>
      </c>
      <c r="D1644" s="6">
        <v>23312</v>
      </c>
      <c r="E1644" s="6" t="s">
        <v>215</v>
      </c>
      <c r="F1644" s="6" t="s">
        <v>16</v>
      </c>
      <c r="G1644" s="6" t="s">
        <v>1295</v>
      </c>
      <c r="H1644" s="6">
        <v>0</v>
      </c>
      <c r="I1644" s="6">
        <v>0</v>
      </c>
      <c r="J1644" s="6">
        <v>10</v>
      </c>
      <c r="K1644" s="6">
        <v>0</v>
      </c>
      <c r="L1644" s="6">
        <v>0</v>
      </c>
      <c r="M1644" s="6">
        <v>10</v>
      </c>
      <c r="N1644" s="6">
        <v>0</v>
      </c>
      <c r="O1644" s="6">
        <v>0</v>
      </c>
      <c r="P1644" s="6">
        <v>13.333333</v>
      </c>
      <c r="Q1644" s="6">
        <v>10</v>
      </c>
      <c r="R1644" s="6">
        <v>10</v>
      </c>
      <c r="S1644" s="6">
        <v>12</v>
      </c>
      <c r="T1644" s="6">
        <v>10</v>
      </c>
      <c r="U1644" s="6">
        <v>10</v>
      </c>
      <c r="V1644" s="6">
        <v>10.5</v>
      </c>
    </row>
    <row r="1645" spans="2:22">
      <c r="B1645" s="6">
        <v>32701</v>
      </c>
      <c r="C1645" s="6" t="s">
        <v>1115</v>
      </c>
      <c r="D1645" s="6">
        <v>23312</v>
      </c>
      <c r="E1645" s="6" t="s">
        <v>215</v>
      </c>
      <c r="F1645" s="6" t="s">
        <v>13</v>
      </c>
      <c r="G1645" s="6" t="s">
        <v>14</v>
      </c>
      <c r="H1645" s="6">
        <v>20</v>
      </c>
      <c r="I1645" s="6">
        <v>20</v>
      </c>
      <c r="J1645" s="6">
        <v>20</v>
      </c>
      <c r="K1645" s="6">
        <v>20</v>
      </c>
      <c r="L1645" s="6">
        <v>20</v>
      </c>
      <c r="M1645" s="6">
        <v>20</v>
      </c>
      <c r="N1645" s="6">
        <v>20</v>
      </c>
      <c r="O1645" s="6">
        <v>20</v>
      </c>
      <c r="P1645" s="6">
        <v>20</v>
      </c>
      <c r="Q1645" s="6">
        <v>20</v>
      </c>
      <c r="R1645" s="6">
        <v>20</v>
      </c>
      <c r="S1645" s="6">
        <v>20</v>
      </c>
      <c r="T1645" s="6">
        <v>20</v>
      </c>
      <c r="U1645" s="6">
        <v>20</v>
      </c>
      <c r="V1645" s="6">
        <v>20</v>
      </c>
    </row>
    <row r="1646" spans="2:22">
      <c r="B1646" s="6">
        <v>32702</v>
      </c>
      <c r="C1646" s="6" t="s">
        <v>1203</v>
      </c>
      <c r="D1646" s="6">
        <v>20500</v>
      </c>
      <c r="E1646" s="6" t="s">
        <v>31</v>
      </c>
      <c r="F1646" s="6" t="s">
        <v>16</v>
      </c>
      <c r="G1646" s="6" t="s">
        <v>1295</v>
      </c>
      <c r="H1646" s="6">
        <v>0</v>
      </c>
      <c r="I1646" s="6">
        <v>0</v>
      </c>
      <c r="J1646" s="6">
        <v>10</v>
      </c>
      <c r="K1646" s="6">
        <v>0</v>
      </c>
      <c r="L1646" s="6">
        <v>0</v>
      </c>
      <c r="M1646" s="6">
        <v>10</v>
      </c>
      <c r="N1646" s="6">
        <v>0</v>
      </c>
      <c r="O1646" s="6">
        <v>0</v>
      </c>
      <c r="P1646" s="6">
        <v>10</v>
      </c>
      <c r="Q1646" s="6">
        <v>0</v>
      </c>
      <c r="R1646" s="6">
        <v>0</v>
      </c>
      <c r="S1646" s="6">
        <v>10</v>
      </c>
      <c r="T1646" s="6">
        <v>0</v>
      </c>
      <c r="U1646" s="6">
        <v>10</v>
      </c>
      <c r="V1646" s="6">
        <v>10</v>
      </c>
    </row>
    <row r="1647" spans="2:22">
      <c r="B1647" s="6">
        <v>32702</v>
      </c>
      <c r="C1647" s="6" t="s">
        <v>1203</v>
      </c>
      <c r="D1647" s="6">
        <v>23314</v>
      </c>
      <c r="E1647" s="6" t="s">
        <v>1233</v>
      </c>
      <c r="F1647" s="6" t="s">
        <v>73</v>
      </c>
      <c r="G1647" s="6" t="s">
        <v>1299</v>
      </c>
      <c r="H1647" s="6">
        <v>0</v>
      </c>
      <c r="I1647" s="6">
        <v>0</v>
      </c>
      <c r="J1647" s="6">
        <v>1</v>
      </c>
      <c r="K1647" s="6">
        <v>0</v>
      </c>
      <c r="L1647" s="6">
        <v>0</v>
      </c>
      <c r="M1647" s="6">
        <v>1</v>
      </c>
      <c r="N1647" s="6">
        <v>0</v>
      </c>
      <c r="O1647" s="6">
        <v>0</v>
      </c>
      <c r="P1647" s="6">
        <v>1</v>
      </c>
      <c r="Q1647" s="6">
        <v>0</v>
      </c>
      <c r="R1647" s="6">
        <v>0</v>
      </c>
      <c r="S1647" s="6">
        <v>1</v>
      </c>
      <c r="T1647" s="6">
        <v>1</v>
      </c>
      <c r="U1647" s="6">
        <v>1</v>
      </c>
      <c r="V1647" s="6">
        <v>1</v>
      </c>
    </row>
    <row r="1648" spans="2:22">
      <c r="B1648" s="6">
        <v>32702</v>
      </c>
      <c r="C1648" s="6" t="s">
        <v>1203</v>
      </c>
      <c r="D1648" s="6">
        <v>23314</v>
      </c>
      <c r="E1648" s="6" t="s">
        <v>1233</v>
      </c>
      <c r="F1648" s="6" t="s">
        <v>1305</v>
      </c>
      <c r="G1648" s="6" t="s">
        <v>1306</v>
      </c>
      <c r="H1648" s="6">
        <v>0</v>
      </c>
      <c r="I1648" s="6">
        <v>0</v>
      </c>
      <c r="J1648" s="6">
        <v>1</v>
      </c>
      <c r="K1648" s="6">
        <v>0</v>
      </c>
      <c r="L1648" s="6">
        <v>0</v>
      </c>
      <c r="M1648" s="6">
        <v>1</v>
      </c>
      <c r="N1648" s="6">
        <v>0</v>
      </c>
      <c r="O1648" s="6">
        <v>0</v>
      </c>
      <c r="P1648" s="6">
        <v>1</v>
      </c>
      <c r="Q1648" s="6">
        <v>0</v>
      </c>
      <c r="R1648" s="6">
        <v>0</v>
      </c>
      <c r="S1648" s="6">
        <v>1</v>
      </c>
      <c r="T1648" s="6">
        <v>0</v>
      </c>
      <c r="U1648" s="6">
        <v>1</v>
      </c>
      <c r="V1648" s="6">
        <v>1</v>
      </c>
    </row>
    <row r="1649" spans="2:22">
      <c r="B1649" s="6">
        <v>32703</v>
      </c>
      <c r="C1649" s="6" t="s">
        <v>1183</v>
      </c>
      <c r="D1649" s="6">
        <v>25000</v>
      </c>
      <c r="E1649" s="6" t="s">
        <v>1226</v>
      </c>
      <c r="F1649" s="6" t="s">
        <v>16</v>
      </c>
      <c r="G1649" s="6" t="s">
        <v>1295</v>
      </c>
      <c r="H1649" s="6">
        <v>20</v>
      </c>
      <c r="I1649" s="6">
        <v>20</v>
      </c>
      <c r="J1649" s="6">
        <v>19.166665999999999</v>
      </c>
      <c r="K1649" s="6">
        <v>13.076923000000001</v>
      </c>
      <c r="L1649" s="6">
        <v>14.533333000000001</v>
      </c>
      <c r="M1649" s="6">
        <v>15.393442</v>
      </c>
      <c r="N1649" s="6">
        <v>13.076923000000001</v>
      </c>
      <c r="O1649" s="6">
        <v>14.533333000000001</v>
      </c>
      <c r="P1649" s="6">
        <v>15.139533999999999</v>
      </c>
      <c r="Q1649" s="6">
        <v>13.076923000000001</v>
      </c>
      <c r="R1649" s="6">
        <v>14.533333000000001</v>
      </c>
      <c r="S1649" s="6">
        <v>15.139533999999999</v>
      </c>
      <c r="T1649" s="6">
        <v>13.076923000000001</v>
      </c>
      <c r="U1649" s="6">
        <v>14.533333000000001</v>
      </c>
      <c r="V1649" s="6">
        <v>15.139533999999999</v>
      </c>
    </row>
    <row r="1650" spans="2:22">
      <c r="B1650" s="6">
        <v>32704</v>
      </c>
      <c r="C1650" s="6" t="s">
        <v>1184</v>
      </c>
      <c r="D1650" s="6">
        <v>25000</v>
      </c>
      <c r="E1650" s="6" t="s">
        <v>1226</v>
      </c>
      <c r="F1650" s="6" t="s">
        <v>16</v>
      </c>
      <c r="G1650" s="6" t="s">
        <v>1295</v>
      </c>
      <c r="H1650" s="6">
        <v>20</v>
      </c>
      <c r="I1650" s="6">
        <v>20</v>
      </c>
      <c r="J1650" s="6">
        <v>18.333333</v>
      </c>
      <c r="K1650" s="6">
        <v>13.076923000000001</v>
      </c>
      <c r="L1650" s="6">
        <v>14.533333000000001</v>
      </c>
      <c r="M1650" s="6">
        <v>15.393442</v>
      </c>
      <c r="N1650" s="6">
        <v>13.076923000000001</v>
      </c>
      <c r="O1650" s="6">
        <v>14.533333000000001</v>
      </c>
      <c r="P1650" s="6">
        <v>15.139533999999999</v>
      </c>
      <c r="Q1650" s="6">
        <v>13.076923000000001</v>
      </c>
      <c r="R1650" s="6">
        <v>14.533333000000001</v>
      </c>
      <c r="S1650" s="6">
        <v>15.139533999999999</v>
      </c>
      <c r="T1650" s="6">
        <v>13.076923000000001</v>
      </c>
      <c r="U1650" s="6">
        <v>14.533333000000001</v>
      </c>
      <c r="V1650" s="6">
        <v>15.139533999999999</v>
      </c>
    </row>
    <row r="1651" spans="2:22">
      <c r="B1651" s="6">
        <v>32704</v>
      </c>
      <c r="C1651" s="6" t="s">
        <v>1184</v>
      </c>
      <c r="D1651" s="6">
        <v>25006</v>
      </c>
      <c r="E1651" s="6" t="s">
        <v>1235</v>
      </c>
      <c r="F1651" s="6" t="s">
        <v>38</v>
      </c>
      <c r="G1651" s="6" t="s">
        <v>1302</v>
      </c>
      <c r="H1651" s="6">
        <v>15</v>
      </c>
      <c r="I1651" s="6">
        <v>15</v>
      </c>
      <c r="J1651" s="6">
        <v>15</v>
      </c>
      <c r="K1651" s="6">
        <v>23</v>
      </c>
      <c r="L1651" s="6">
        <v>21</v>
      </c>
      <c r="M1651" s="6">
        <v>17.291665999999999</v>
      </c>
      <c r="N1651" s="6">
        <v>23</v>
      </c>
      <c r="O1651" s="6">
        <v>21</v>
      </c>
      <c r="P1651" s="6">
        <v>17.291665999999999</v>
      </c>
      <c r="Q1651" s="6">
        <v>23</v>
      </c>
      <c r="R1651" s="6">
        <v>21</v>
      </c>
      <c r="S1651" s="6">
        <v>17.291665999999999</v>
      </c>
      <c r="T1651" s="6">
        <v>23</v>
      </c>
      <c r="U1651" s="6">
        <v>21</v>
      </c>
      <c r="V1651" s="6">
        <v>17.291665999999999</v>
      </c>
    </row>
    <row r="1652" spans="2:22">
      <c r="B1652" s="6">
        <v>32705</v>
      </c>
      <c r="C1652" s="6" t="s">
        <v>1172</v>
      </c>
      <c r="D1652" s="6">
        <v>25000</v>
      </c>
      <c r="E1652" s="6" t="s">
        <v>1226</v>
      </c>
      <c r="F1652" s="6" t="s">
        <v>16</v>
      </c>
      <c r="G1652" s="6" t="s">
        <v>1295</v>
      </c>
      <c r="H1652" s="6">
        <v>0</v>
      </c>
      <c r="I1652" s="6">
        <v>20</v>
      </c>
      <c r="J1652" s="6">
        <v>20</v>
      </c>
      <c r="K1652" s="6">
        <v>13.076923000000001</v>
      </c>
      <c r="L1652" s="6">
        <v>14.533333000000001</v>
      </c>
      <c r="M1652" s="6">
        <v>15.393442</v>
      </c>
      <c r="N1652" s="6">
        <v>13.076923000000001</v>
      </c>
      <c r="O1652" s="6">
        <v>14.533333000000001</v>
      </c>
      <c r="P1652" s="6">
        <v>15.139533999999999</v>
      </c>
      <c r="Q1652" s="6">
        <v>13.076923000000001</v>
      </c>
      <c r="R1652" s="6">
        <v>14.533333000000001</v>
      </c>
      <c r="S1652" s="6">
        <v>15.139533999999999</v>
      </c>
      <c r="T1652" s="6">
        <v>13.076923000000001</v>
      </c>
      <c r="U1652" s="6">
        <v>14.533333000000001</v>
      </c>
      <c r="V1652" s="6">
        <v>15.139533999999999</v>
      </c>
    </row>
    <row r="1653" spans="2:22">
      <c r="B1653" s="6">
        <v>32706</v>
      </c>
      <c r="C1653" s="6" t="s">
        <v>1166</v>
      </c>
      <c r="D1653" s="6">
        <v>25000</v>
      </c>
      <c r="E1653" s="6" t="s">
        <v>1226</v>
      </c>
      <c r="F1653" s="6" t="s">
        <v>16</v>
      </c>
      <c r="G1653" s="6" t="s">
        <v>1295</v>
      </c>
      <c r="H1653" s="6">
        <v>0</v>
      </c>
      <c r="I1653" s="6">
        <v>0</v>
      </c>
      <c r="J1653" s="6">
        <v>7</v>
      </c>
      <c r="K1653" s="6">
        <v>0</v>
      </c>
      <c r="L1653" s="6">
        <v>0</v>
      </c>
      <c r="M1653" s="6">
        <v>7</v>
      </c>
      <c r="N1653" s="6">
        <v>0</v>
      </c>
      <c r="O1653" s="6">
        <v>0</v>
      </c>
      <c r="P1653" s="6">
        <v>7</v>
      </c>
      <c r="Q1653" s="6">
        <v>0</v>
      </c>
      <c r="R1653" s="6">
        <v>0</v>
      </c>
      <c r="S1653" s="6">
        <v>7</v>
      </c>
      <c r="T1653" s="6">
        <v>0</v>
      </c>
      <c r="U1653" s="6">
        <v>0</v>
      </c>
      <c r="V1653" s="6">
        <v>7</v>
      </c>
    </row>
    <row r="1654" spans="2:22">
      <c r="B1654" s="6">
        <v>32706</v>
      </c>
      <c r="C1654" s="6" t="s">
        <v>1166</v>
      </c>
      <c r="D1654" s="6">
        <v>80013</v>
      </c>
      <c r="E1654" s="6" t="s">
        <v>250</v>
      </c>
      <c r="F1654" s="6" t="s">
        <v>16</v>
      </c>
      <c r="G1654" s="6" t="s">
        <v>1295</v>
      </c>
      <c r="H1654" s="6">
        <v>0</v>
      </c>
      <c r="I1654" s="6">
        <v>0</v>
      </c>
      <c r="J1654" s="6">
        <v>10</v>
      </c>
      <c r="K1654" s="6">
        <v>0</v>
      </c>
      <c r="L1654" s="6">
        <v>0</v>
      </c>
      <c r="M1654" s="6">
        <v>10</v>
      </c>
      <c r="N1654" s="6">
        <v>0</v>
      </c>
      <c r="O1654" s="6">
        <v>0</v>
      </c>
      <c r="P1654" s="6">
        <v>10</v>
      </c>
      <c r="Q1654" s="6">
        <v>0</v>
      </c>
      <c r="R1654" s="6">
        <v>0</v>
      </c>
      <c r="S1654" s="6">
        <v>10</v>
      </c>
      <c r="T1654" s="6">
        <v>0</v>
      </c>
      <c r="U1654" s="6">
        <v>0</v>
      </c>
      <c r="V1654" s="6">
        <v>10</v>
      </c>
    </row>
    <row r="1655" spans="2:22">
      <c r="B1655" s="6">
        <v>32707</v>
      </c>
      <c r="C1655" s="6" t="s">
        <v>403</v>
      </c>
      <c r="D1655" s="6">
        <v>20500</v>
      </c>
      <c r="E1655" s="6" t="s">
        <v>31</v>
      </c>
      <c r="F1655" s="6" t="s">
        <v>17</v>
      </c>
      <c r="G1655" s="6" t="s">
        <v>1294</v>
      </c>
      <c r="H1655" s="6">
        <v>27</v>
      </c>
      <c r="I1655" s="6">
        <v>27</v>
      </c>
      <c r="J1655" s="6">
        <v>27</v>
      </c>
      <c r="K1655" s="6">
        <v>26.093993999999999</v>
      </c>
      <c r="L1655" s="6">
        <v>26.469746000000001</v>
      </c>
      <c r="M1655" s="6">
        <v>26.000619</v>
      </c>
      <c r="N1655" s="6">
        <v>26.108958000000001</v>
      </c>
      <c r="O1655" s="6">
        <v>26.328648000000001</v>
      </c>
      <c r="P1655" s="6">
        <v>26.003786000000002</v>
      </c>
      <c r="Q1655" s="6">
        <v>26.101534000000001</v>
      </c>
      <c r="R1655" s="6">
        <v>26.316153</v>
      </c>
      <c r="S1655" s="6">
        <v>25.991613999999998</v>
      </c>
      <c r="T1655" s="6">
        <v>25.645997000000001</v>
      </c>
      <c r="U1655" s="6">
        <v>25.223958</v>
      </c>
      <c r="V1655" s="6">
        <v>24.770192999999999</v>
      </c>
    </row>
    <row r="1656" spans="2:22">
      <c r="B1656" s="6">
        <v>32707</v>
      </c>
      <c r="C1656" s="6" t="s">
        <v>403</v>
      </c>
      <c r="D1656" s="6">
        <v>20706</v>
      </c>
      <c r="E1656" s="6" t="s">
        <v>52</v>
      </c>
      <c r="F1656" s="6" t="s">
        <v>17</v>
      </c>
      <c r="G1656" s="6" t="s">
        <v>1294</v>
      </c>
      <c r="H1656" s="6">
        <v>40</v>
      </c>
      <c r="I1656" s="6">
        <v>40</v>
      </c>
      <c r="J1656" s="6">
        <v>40</v>
      </c>
      <c r="K1656" s="6">
        <v>40</v>
      </c>
      <c r="L1656" s="6">
        <v>39.985993999999998</v>
      </c>
      <c r="M1656" s="6">
        <v>39.981146000000003</v>
      </c>
      <c r="N1656" s="6">
        <v>39.962778999999998</v>
      </c>
      <c r="O1656" s="6">
        <v>39.971750999999998</v>
      </c>
      <c r="P1656" s="6">
        <v>39.969020999999998</v>
      </c>
      <c r="Q1656" s="6">
        <v>39.963768000000002</v>
      </c>
      <c r="R1656" s="6">
        <v>39.972496999999997</v>
      </c>
      <c r="S1656" s="6">
        <v>39.969659999999998</v>
      </c>
      <c r="T1656" s="6">
        <v>39.867787999999997</v>
      </c>
      <c r="U1656" s="6">
        <v>39.928649</v>
      </c>
      <c r="V1656" s="6">
        <v>39.945453999999998</v>
      </c>
    </row>
    <row r="1657" spans="2:22">
      <c r="B1657" s="6">
        <v>32707</v>
      </c>
      <c r="C1657" s="6" t="s">
        <v>403</v>
      </c>
      <c r="D1657" s="6">
        <v>20902</v>
      </c>
      <c r="E1657" s="6" t="s">
        <v>53</v>
      </c>
      <c r="F1657" s="6" t="s">
        <v>16</v>
      </c>
      <c r="G1657" s="6" t="s">
        <v>1295</v>
      </c>
      <c r="H1657" s="6">
        <v>0</v>
      </c>
      <c r="I1657" s="6">
        <v>20</v>
      </c>
      <c r="J1657" s="6">
        <v>20</v>
      </c>
      <c r="K1657" s="6">
        <v>27.235294</v>
      </c>
      <c r="L1657" s="6">
        <v>26.730157999999999</v>
      </c>
      <c r="M1657" s="6">
        <v>28.302752000000002</v>
      </c>
      <c r="N1657" s="6">
        <v>27.102803000000002</v>
      </c>
      <c r="O1657" s="6">
        <v>26.100322999999999</v>
      </c>
      <c r="P1657" s="6">
        <v>27.578899</v>
      </c>
      <c r="Q1657" s="6">
        <v>27.102803000000002</v>
      </c>
      <c r="R1657" s="6">
        <v>26.100322999999999</v>
      </c>
      <c r="S1657" s="6">
        <v>27.558453</v>
      </c>
      <c r="T1657" s="6">
        <v>26.737159999999999</v>
      </c>
      <c r="U1657" s="6">
        <v>25.752351000000001</v>
      </c>
      <c r="V1657" s="6">
        <v>27.323633000000001</v>
      </c>
    </row>
    <row r="1658" spans="2:22">
      <c r="B1658" s="6">
        <v>32707</v>
      </c>
      <c r="C1658" s="6" t="s">
        <v>403</v>
      </c>
      <c r="D1658" s="6">
        <v>20902</v>
      </c>
      <c r="E1658" s="6" t="s">
        <v>53</v>
      </c>
      <c r="F1658" s="6" t="s">
        <v>13</v>
      </c>
      <c r="G1658" s="6" t="s">
        <v>14</v>
      </c>
      <c r="H1658" s="6">
        <v>20</v>
      </c>
      <c r="I1658" s="6">
        <v>20</v>
      </c>
      <c r="J1658" s="6">
        <v>20</v>
      </c>
      <c r="K1658" s="6">
        <v>19.956309999999998</v>
      </c>
      <c r="L1658" s="6">
        <v>19.965827000000001</v>
      </c>
      <c r="M1658" s="6">
        <v>19.613216000000001</v>
      </c>
      <c r="N1658" s="6">
        <v>19.181818</v>
      </c>
      <c r="O1658" s="6">
        <v>19.119288999999998</v>
      </c>
      <c r="P1658" s="6">
        <v>18.784502</v>
      </c>
      <c r="Q1658" s="6">
        <v>19.181818</v>
      </c>
      <c r="R1658" s="6">
        <v>19.101835999999999</v>
      </c>
      <c r="S1658" s="6">
        <v>18.763134000000001</v>
      </c>
      <c r="T1658" s="6">
        <v>19.181818</v>
      </c>
      <c r="U1658" s="6">
        <v>19.101835999999999</v>
      </c>
      <c r="V1658" s="6">
        <v>18.763134000000001</v>
      </c>
    </row>
    <row r="1659" spans="2:22">
      <c r="B1659" s="6">
        <v>32707</v>
      </c>
      <c r="C1659" s="6" t="s">
        <v>403</v>
      </c>
      <c r="D1659" s="6">
        <v>20906</v>
      </c>
      <c r="E1659" s="6" t="s">
        <v>48</v>
      </c>
      <c r="F1659" s="6" t="s">
        <v>49</v>
      </c>
      <c r="G1659" s="6" t="s">
        <v>1296</v>
      </c>
      <c r="H1659" s="6">
        <v>17</v>
      </c>
      <c r="I1659" s="6">
        <v>17</v>
      </c>
      <c r="J1659" s="6">
        <v>17</v>
      </c>
      <c r="K1659" s="6">
        <v>16.923482</v>
      </c>
      <c r="L1659" s="6">
        <v>16.908185</v>
      </c>
      <c r="M1659" s="6">
        <v>17.652851999999999</v>
      </c>
      <c r="N1659" s="6">
        <v>17.016705999999999</v>
      </c>
      <c r="O1659" s="6">
        <v>16.954350000000002</v>
      </c>
      <c r="P1659" s="6">
        <v>17.537869000000001</v>
      </c>
      <c r="Q1659" s="6">
        <v>17.016335999999999</v>
      </c>
      <c r="R1659" s="6">
        <v>16.958155999999999</v>
      </c>
      <c r="S1659" s="6">
        <v>17.538882000000001</v>
      </c>
      <c r="T1659" s="6">
        <v>17.016335999999999</v>
      </c>
      <c r="U1659" s="6">
        <v>16.958155999999999</v>
      </c>
      <c r="V1659" s="6">
        <v>17.538882000000001</v>
      </c>
    </row>
    <row r="1660" spans="2:22">
      <c r="B1660" s="6">
        <v>32708</v>
      </c>
      <c r="C1660" s="6" t="s">
        <v>399</v>
      </c>
      <c r="D1660" s="6">
        <v>20500</v>
      </c>
      <c r="E1660" s="6" t="s">
        <v>31</v>
      </c>
      <c r="F1660" s="6" t="s">
        <v>17</v>
      </c>
      <c r="G1660" s="6" t="s">
        <v>1294</v>
      </c>
      <c r="H1660" s="6">
        <v>27</v>
      </c>
      <c r="I1660" s="6">
        <v>27</v>
      </c>
      <c r="J1660" s="6">
        <v>27</v>
      </c>
      <c r="K1660" s="6">
        <v>26.093993999999999</v>
      </c>
      <c r="L1660" s="6">
        <v>26.469746000000001</v>
      </c>
      <c r="M1660" s="6">
        <v>26.000619</v>
      </c>
      <c r="N1660" s="6">
        <v>26.108958000000001</v>
      </c>
      <c r="O1660" s="6">
        <v>26.328648000000001</v>
      </c>
      <c r="P1660" s="6">
        <v>26.003786000000002</v>
      </c>
      <c r="Q1660" s="6">
        <v>26.101534000000001</v>
      </c>
      <c r="R1660" s="6">
        <v>26.316153</v>
      </c>
      <c r="S1660" s="6">
        <v>25.991613999999998</v>
      </c>
      <c r="T1660" s="6">
        <v>25.645997000000001</v>
      </c>
      <c r="U1660" s="6">
        <v>25.223958</v>
      </c>
      <c r="V1660" s="6">
        <v>24.770192999999999</v>
      </c>
    </row>
    <row r="1661" spans="2:22">
      <c r="B1661" s="6">
        <v>32708</v>
      </c>
      <c r="C1661" s="6" t="s">
        <v>399</v>
      </c>
      <c r="D1661" s="6">
        <v>20706</v>
      </c>
      <c r="E1661" s="6" t="s">
        <v>52</v>
      </c>
      <c r="F1661" s="6" t="s">
        <v>17</v>
      </c>
      <c r="G1661" s="6" t="s">
        <v>1294</v>
      </c>
      <c r="H1661" s="6">
        <v>40</v>
      </c>
      <c r="I1661" s="6">
        <v>40</v>
      </c>
      <c r="J1661" s="6">
        <v>40</v>
      </c>
      <c r="K1661" s="6">
        <v>40</v>
      </c>
      <c r="L1661" s="6">
        <v>39.985993999999998</v>
      </c>
      <c r="M1661" s="6">
        <v>39.981146000000003</v>
      </c>
      <c r="N1661" s="6">
        <v>39.962778999999998</v>
      </c>
      <c r="O1661" s="6">
        <v>39.971750999999998</v>
      </c>
      <c r="P1661" s="6">
        <v>39.969020999999998</v>
      </c>
      <c r="Q1661" s="6">
        <v>39.963768000000002</v>
      </c>
      <c r="R1661" s="6">
        <v>39.972496999999997</v>
      </c>
      <c r="S1661" s="6">
        <v>39.969659999999998</v>
      </c>
      <c r="T1661" s="6">
        <v>39.867787999999997</v>
      </c>
      <c r="U1661" s="6">
        <v>39.928649</v>
      </c>
      <c r="V1661" s="6">
        <v>39.945453999999998</v>
      </c>
    </row>
    <row r="1662" spans="2:22">
      <c r="B1662" s="6">
        <v>32708</v>
      </c>
      <c r="C1662" s="6" t="s">
        <v>399</v>
      </c>
      <c r="D1662" s="6">
        <v>20902</v>
      </c>
      <c r="E1662" s="6" t="s">
        <v>53</v>
      </c>
      <c r="F1662" s="6" t="s">
        <v>16</v>
      </c>
      <c r="G1662" s="6" t="s">
        <v>1295</v>
      </c>
      <c r="H1662" s="6">
        <v>0</v>
      </c>
      <c r="I1662" s="6">
        <v>30</v>
      </c>
      <c r="J1662" s="6">
        <v>30</v>
      </c>
      <c r="K1662" s="6">
        <v>27.235294</v>
      </c>
      <c r="L1662" s="6">
        <v>26.730157999999999</v>
      </c>
      <c r="M1662" s="6">
        <v>28.302752000000002</v>
      </c>
      <c r="N1662" s="6">
        <v>27.102803000000002</v>
      </c>
      <c r="O1662" s="6">
        <v>26.100322999999999</v>
      </c>
      <c r="P1662" s="6">
        <v>27.578899</v>
      </c>
      <c r="Q1662" s="6">
        <v>27.102803000000002</v>
      </c>
      <c r="R1662" s="6">
        <v>26.100322999999999</v>
      </c>
      <c r="S1662" s="6">
        <v>27.558453</v>
      </c>
      <c r="T1662" s="6">
        <v>26.737159999999999</v>
      </c>
      <c r="U1662" s="6">
        <v>25.752351000000001</v>
      </c>
      <c r="V1662" s="6">
        <v>27.323633000000001</v>
      </c>
    </row>
    <row r="1663" spans="2:22">
      <c r="B1663" s="6">
        <v>32708</v>
      </c>
      <c r="C1663" s="6" t="s">
        <v>399</v>
      </c>
      <c r="D1663" s="6">
        <v>20902</v>
      </c>
      <c r="E1663" s="6" t="s">
        <v>53</v>
      </c>
      <c r="F1663" s="6" t="s">
        <v>13</v>
      </c>
      <c r="G1663" s="6" t="s">
        <v>14</v>
      </c>
      <c r="H1663" s="6">
        <v>20</v>
      </c>
      <c r="I1663" s="6">
        <v>20</v>
      </c>
      <c r="J1663" s="6">
        <v>20</v>
      </c>
      <c r="K1663" s="6">
        <v>19.956309999999998</v>
      </c>
      <c r="L1663" s="6">
        <v>19.965827000000001</v>
      </c>
      <c r="M1663" s="6">
        <v>19.613216000000001</v>
      </c>
      <c r="N1663" s="6">
        <v>19.181818</v>
      </c>
      <c r="O1663" s="6">
        <v>19.119288999999998</v>
      </c>
      <c r="P1663" s="6">
        <v>18.784502</v>
      </c>
      <c r="Q1663" s="6">
        <v>19.181818</v>
      </c>
      <c r="R1663" s="6">
        <v>19.101835999999999</v>
      </c>
      <c r="S1663" s="6">
        <v>18.763134000000001</v>
      </c>
      <c r="T1663" s="6">
        <v>19.181818</v>
      </c>
      <c r="U1663" s="6">
        <v>19.101835999999999</v>
      </c>
      <c r="V1663" s="6">
        <v>18.763134000000001</v>
      </c>
    </row>
    <row r="1664" spans="2:22">
      <c r="B1664" s="6">
        <v>32708</v>
      </c>
      <c r="C1664" s="6" t="s">
        <v>399</v>
      </c>
      <c r="D1664" s="6">
        <v>20906</v>
      </c>
      <c r="E1664" s="6" t="s">
        <v>48</v>
      </c>
      <c r="F1664" s="6" t="s">
        <v>49</v>
      </c>
      <c r="G1664" s="6" t="s">
        <v>1296</v>
      </c>
      <c r="H1664" s="6">
        <v>17</v>
      </c>
      <c r="I1664" s="6">
        <v>17</v>
      </c>
      <c r="J1664" s="6">
        <v>17</v>
      </c>
      <c r="K1664" s="6">
        <v>16.923482</v>
      </c>
      <c r="L1664" s="6">
        <v>16.908185</v>
      </c>
      <c r="M1664" s="6">
        <v>17.652851999999999</v>
      </c>
      <c r="N1664" s="6">
        <v>17.016705999999999</v>
      </c>
      <c r="O1664" s="6">
        <v>16.954350000000002</v>
      </c>
      <c r="P1664" s="6">
        <v>17.537869000000001</v>
      </c>
      <c r="Q1664" s="6">
        <v>17.016335999999999</v>
      </c>
      <c r="R1664" s="6">
        <v>16.958155999999999</v>
      </c>
      <c r="S1664" s="6">
        <v>17.538882000000001</v>
      </c>
      <c r="T1664" s="6">
        <v>17.016335999999999</v>
      </c>
      <c r="U1664" s="6">
        <v>16.958155999999999</v>
      </c>
      <c r="V1664" s="6">
        <v>17.538882000000001</v>
      </c>
    </row>
    <row r="1665" spans="2:22">
      <c r="B1665" s="6">
        <v>32709</v>
      </c>
      <c r="C1665" s="6" t="s">
        <v>650</v>
      </c>
      <c r="D1665" s="6">
        <v>20500</v>
      </c>
      <c r="E1665" s="6" t="s">
        <v>31</v>
      </c>
      <c r="F1665" s="6" t="s">
        <v>17</v>
      </c>
      <c r="G1665" s="6" t="s">
        <v>1294</v>
      </c>
      <c r="H1665" s="6">
        <v>27</v>
      </c>
      <c r="I1665" s="6">
        <v>27</v>
      </c>
      <c r="J1665" s="6">
        <v>27</v>
      </c>
      <c r="K1665" s="6">
        <v>26.093993999999999</v>
      </c>
      <c r="L1665" s="6">
        <v>26.469746000000001</v>
      </c>
      <c r="M1665" s="6">
        <v>26.000619</v>
      </c>
      <c r="N1665" s="6">
        <v>26.108958000000001</v>
      </c>
      <c r="O1665" s="6">
        <v>26.328648000000001</v>
      </c>
      <c r="P1665" s="6">
        <v>26.003786000000002</v>
      </c>
      <c r="Q1665" s="6">
        <v>26.101534000000001</v>
      </c>
      <c r="R1665" s="6">
        <v>26.316153</v>
      </c>
      <c r="S1665" s="6">
        <v>25.991613999999998</v>
      </c>
      <c r="T1665" s="6">
        <v>25.645997000000001</v>
      </c>
      <c r="U1665" s="6">
        <v>25.223958</v>
      </c>
      <c r="V1665" s="6">
        <v>24.770192999999999</v>
      </c>
    </row>
    <row r="1666" spans="2:22">
      <c r="B1666" s="6">
        <v>32709</v>
      </c>
      <c r="C1666" s="6" t="s">
        <v>650</v>
      </c>
      <c r="D1666" s="6">
        <v>20706</v>
      </c>
      <c r="E1666" s="6" t="s">
        <v>52</v>
      </c>
      <c r="F1666" s="6" t="s">
        <v>17</v>
      </c>
      <c r="G1666" s="6" t="s">
        <v>1294</v>
      </c>
      <c r="H1666" s="6">
        <v>40</v>
      </c>
      <c r="I1666" s="6">
        <v>40</v>
      </c>
      <c r="J1666" s="6">
        <v>40</v>
      </c>
      <c r="K1666" s="6">
        <v>40</v>
      </c>
      <c r="L1666" s="6">
        <v>39.985993999999998</v>
      </c>
      <c r="M1666" s="6">
        <v>39.981146000000003</v>
      </c>
      <c r="N1666" s="6">
        <v>39.962778999999998</v>
      </c>
      <c r="O1666" s="6">
        <v>39.971750999999998</v>
      </c>
      <c r="P1666" s="6">
        <v>39.969020999999998</v>
      </c>
      <c r="Q1666" s="6">
        <v>39.963768000000002</v>
      </c>
      <c r="R1666" s="6">
        <v>39.972496999999997</v>
      </c>
      <c r="S1666" s="6">
        <v>39.969659999999998</v>
      </c>
      <c r="T1666" s="6">
        <v>39.867787999999997</v>
      </c>
      <c r="U1666" s="6">
        <v>39.928649</v>
      </c>
      <c r="V1666" s="6">
        <v>39.945453999999998</v>
      </c>
    </row>
    <row r="1667" spans="2:22">
      <c r="B1667" s="6">
        <v>32709</v>
      </c>
      <c r="C1667" s="6" t="s">
        <v>650</v>
      </c>
      <c r="D1667" s="6">
        <v>20902</v>
      </c>
      <c r="E1667" s="6" t="s">
        <v>53</v>
      </c>
      <c r="F1667" s="6" t="s">
        <v>16</v>
      </c>
      <c r="G1667" s="6" t="s">
        <v>1295</v>
      </c>
      <c r="H1667" s="6">
        <v>30</v>
      </c>
      <c r="I1667" s="6">
        <v>30</v>
      </c>
      <c r="J1667" s="6">
        <v>30</v>
      </c>
      <c r="K1667" s="6">
        <v>27.235294</v>
      </c>
      <c r="L1667" s="6">
        <v>26.730157999999999</v>
      </c>
      <c r="M1667" s="6">
        <v>28.302752000000002</v>
      </c>
      <c r="N1667" s="6">
        <v>27.102803000000002</v>
      </c>
      <c r="O1667" s="6">
        <v>26.100322999999999</v>
      </c>
      <c r="P1667" s="6">
        <v>27.578899</v>
      </c>
      <c r="Q1667" s="6">
        <v>27.102803000000002</v>
      </c>
      <c r="R1667" s="6">
        <v>26.100322999999999</v>
      </c>
      <c r="S1667" s="6">
        <v>27.558453</v>
      </c>
      <c r="T1667" s="6">
        <v>26.737159999999999</v>
      </c>
      <c r="U1667" s="6">
        <v>25.752351000000001</v>
      </c>
      <c r="V1667" s="6">
        <v>27.323633000000001</v>
      </c>
    </row>
    <row r="1668" spans="2:22">
      <c r="B1668" s="6">
        <v>32709</v>
      </c>
      <c r="C1668" s="6" t="s">
        <v>650</v>
      </c>
      <c r="D1668" s="6">
        <v>20902</v>
      </c>
      <c r="E1668" s="6" t="s">
        <v>53</v>
      </c>
      <c r="F1668" s="6" t="s">
        <v>13</v>
      </c>
      <c r="G1668" s="6" t="s">
        <v>14</v>
      </c>
      <c r="H1668" s="6">
        <v>0</v>
      </c>
      <c r="I1668" s="6">
        <v>20</v>
      </c>
      <c r="J1668" s="6">
        <v>20</v>
      </c>
      <c r="K1668" s="6">
        <v>19.956309999999998</v>
      </c>
      <c r="L1668" s="6">
        <v>19.965827000000001</v>
      </c>
      <c r="M1668" s="6">
        <v>19.613216000000001</v>
      </c>
      <c r="N1668" s="6">
        <v>19.181818</v>
      </c>
      <c r="O1668" s="6">
        <v>19.119288999999998</v>
      </c>
      <c r="P1668" s="6">
        <v>18.784502</v>
      </c>
      <c r="Q1668" s="6">
        <v>19.181818</v>
      </c>
      <c r="R1668" s="6">
        <v>19.101835999999999</v>
      </c>
      <c r="S1668" s="6">
        <v>18.763134000000001</v>
      </c>
      <c r="T1668" s="6">
        <v>19.181818</v>
      </c>
      <c r="U1668" s="6">
        <v>19.101835999999999</v>
      </c>
      <c r="V1668" s="6">
        <v>18.763134000000001</v>
      </c>
    </row>
    <row r="1669" spans="2:22">
      <c r="B1669" s="6">
        <v>32709</v>
      </c>
      <c r="C1669" s="6" t="s">
        <v>650</v>
      </c>
      <c r="D1669" s="6">
        <v>20906</v>
      </c>
      <c r="E1669" s="6" t="s">
        <v>48</v>
      </c>
      <c r="F1669" s="6" t="s">
        <v>49</v>
      </c>
      <c r="G1669" s="6" t="s">
        <v>1296</v>
      </c>
      <c r="H1669" s="6">
        <v>17</v>
      </c>
      <c r="I1669" s="6">
        <v>17</v>
      </c>
      <c r="J1669" s="6">
        <v>17</v>
      </c>
      <c r="K1669" s="6">
        <v>16.923482</v>
      </c>
      <c r="L1669" s="6">
        <v>16.908185</v>
      </c>
      <c r="M1669" s="6">
        <v>17.652851999999999</v>
      </c>
      <c r="N1669" s="6">
        <v>17.016705999999999</v>
      </c>
      <c r="O1669" s="6">
        <v>16.954350000000002</v>
      </c>
      <c r="P1669" s="6">
        <v>17.537869000000001</v>
      </c>
      <c r="Q1669" s="6">
        <v>17.016335999999999</v>
      </c>
      <c r="R1669" s="6">
        <v>16.958155999999999</v>
      </c>
      <c r="S1669" s="6">
        <v>17.538882000000001</v>
      </c>
      <c r="T1669" s="6">
        <v>17.016335999999999</v>
      </c>
      <c r="U1669" s="6">
        <v>16.958155999999999</v>
      </c>
      <c r="V1669" s="6">
        <v>17.538882000000001</v>
      </c>
    </row>
    <row r="1670" spans="2:22">
      <c r="B1670" s="6">
        <v>32710</v>
      </c>
      <c r="C1670" s="6" t="s">
        <v>706</v>
      </c>
      <c r="D1670" s="6">
        <v>20500</v>
      </c>
      <c r="E1670" s="6" t="s">
        <v>31</v>
      </c>
      <c r="F1670" s="6" t="s">
        <v>17</v>
      </c>
      <c r="G1670" s="6" t="s">
        <v>1294</v>
      </c>
      <c r="H1670" s="6">
        <v>27</v>
      </c>
      <c r="I1670" s="6">
        <v>27</v>
      </c>
      <c r="J1670" s="6">
        <v>27</v>
      </c>
      <c r="K1670" s="6">
        <v>26.093993999999999</v>
      </c>
      <c r="L1670" s="6">
        <v>26.469746000000001</v>
      </c>
      <c r="M1670" s="6">
        <v>26.000619</v>
      </c>
      <c r="N1670" s="6">
        <v>26.108958000000001</v>
      </c>
      <c r="O1670" s="6">
        <v>26.328648000000001</v>
      </c>
      <c r="P1670" s="6">
        <v>26.003786000000002</v>
      </c>
      <c r="Q1670" s="6">
        <v>26.101534000000001</v>
      </c>
      <c r="R1670" s="6">
        <v>26.316153</v>
      </c>
      <c r="S1670" s="6">
        <v>25.991613999999998</v>
      </c>
      <c r="T1670" s="6">
        <v>25.645997000000001</v>
      </c>
      <c r="U1670" s="6">
        <v>25.223958</v>
      </c>
      <c r="V1670" s="6">
        <v>24.770192999999999</v>
      </c>
    </row>
    <row r="1671" spans="2:22">
      <c r="B1671" s="6">
        <v>32710</v>
      </c>
      <c r="C1671" s="6" t="s">
        <v>706</v>
      </c>
      <c r="D1671" s="6">
        <v>20706</v>
      </c>
      <c r="E1671" s="6" t="s">
        <v>52</v>
      </c>
      <c r="F1671" s="6" t="s">
        <v>17</v>
      </c>
      <c r="G1671" s="6" t="s">
        <v>1294</v>
      </c>
      <c r="H1671" s="6">
        <v>40</v>
      </c>
      <c r="I1671" s="6">
        <v>40</v>
      </c>
      <c r="J1671" s="6">
        <v>40</v>
      </c>
      <c r="K1671" s="6">
        <v>40</v>
      </c>
      <c r="L1671" s="6">
        <v>39.985993999999998</v>
      </c>
      <c r="M1671" s="6">
        <v>39.981146000000003</v>
      </c>
      <c r="N1671" s="6">
        <v>39.962778999999998</v>
      </c>
      <c r="O1671" s="6">
        <v>39.971750999999998</v>
      </c>
      <c r="P1671" s="6">
        <v>39.969020999999998</v>
      </c>
      <c r="Q1671" s="6">
        <v>39.963768000000002</v>
      </c>
      <c r="R1671" s="6">
        <v>39.972496999999997</v>
      </c>
      <c r="S1671" s="6">
        <v>39.969659999999998</v>
      </c>
      <c r="T1671" s="6">
        <v>39.867787999999997</v>
      </c>
      <c r="U1671" s="6">
        <v>39.928649</v>
      </c>
      <c r="V1671" s="6">
        <v>39.945453999999998</v>
      </c>
    </row>
    <row r="1672" spans="2:22">
      <c r="B1672" s="6">
        <v>32710</v>
      </c>
      <c r="C1672" s="6" t="s">
        <v>706</v>
      </c>
      <c r="D1672" s="6">
        <v>20902</v>
      </c>
      <c r="E1672" s="6" t="s">
        <v>53</v>
      </c>
      <c r="F1672" s="6" t="s">
        <v>16</v>
      </c>
      <c r="G1672" s="6" t="s">
        <v>1295</v>
      </c>
      <c r="H1672" s="6">
        <v>30</v>
      </c>
      <c r="I1672" s="6">
        <v>30</v>
      </c>
      <c r="J1672" s="6">
        <v>30</v>
      </c>
      <c r="K1672" s="6">
        <v>27.235294</v>
      </c>
      <c r="L1672" s="6">
        <v>26.730157999999999</v>
      </c>
      <c r="M1672" s="6">
        <v>28.302752000000002</v>
      </c>
      <c r="N1672" s="6">
        <v>27.102803000000002</v>
      </c>
      <c r="O1672" s="6">
        <v>26.100322999999999</v>
      </c>
      <c r="P1672" s="6">
        <v>27.578899</v>
      </c>
      <c r="Q1672" s="6">
        <v>27.102803000000002</v>
      </c>
      <c r="R1672" s="6">
        <v>26.100322999999999</v>
      </c>
      <c r="S1672" s="6">
        <v>27.558453</v>
      </c>
      <c r="T1672" s="6">
        <v>26.737159999999999</v>
      </c>
      <c r="U1672" s="6">
        <v>25.752351000000001</v>
      </c>
      <c r="V1672" s="6">
        <v>27.323633000000001</v>
      </c>
    </row>
    <row r="1673" spans="2:22">
      <c r="B1673" s="6">
        <v>32710</v>
      </c>
      <c r="C1673" s="6" t="s">
        <v>706</v>
      </c>
      <c r="D1673" s="6">
        <v>20902</v>
      </c>
      <c r="E1673" s="6" t="s">
        <v>53</v>
      </c>
      <c r="F1673" s="6" t="s">
        <v>13</v>
      </c>
      <c r="G1673" s="6" t="s">
        <v>14</v>
      </c>
      <c r="H1673" s="6">
        <v>0</v>
      </c>
      <c r="I1673" s="6">
        <v>20</v>
      </c>
      <c r="J1673" s="6">
        <v>20</v>
      </c>
      <c r="K1673" s="6">
        <v>19.956309999999998</v>
      </c>
      <c r="L1673" s="6">
        <v>19.965827000000001</v>
      </c>
      <c r="M1673" s="6">
        <v>19.613216000000001</v>
      </c>
      <c r="N1673" s="6">
        <v>19.181818</v>
      </c>
      <c r="O1673" s="6">
        <v>19.119288999999998</v>
      </c>
      <c r="P1673" s="6">
        <v>18.784502</v>
      </c>
      <c r="Q1673" s="6">
        <v>19.181818</v>
      </c>
      <c r="R1673" s="6">
        <v>19.101835999999999</v>
      </c>
      <c r="S1673" s="6">
        <v>18.763134000000001</v>
      </c>
      <c r="T1673" s="6">
        <v>19.181818</v>
      </c>
      <c r="U1673" s="6">
        <v>19.101835999999999</v>
      </c>
      <c r="V1673" s="6">
        <v>18.763134000000001</v>
      </c>
    </row>
    <row r="1674" spans="2:22">
      <c r="B1674" s="6">
        <v>32710</v>
      </c>
      <c r="C1674" s="6" t="s">
        <v>706</v>
      </c>
      <c r="D1674" s="6">
        <v>20906</v>
      </c>
      <c r="E1674" s="6" t="s">
        <v>48</v>
      </c>
      <c r="F1674" s="6" t="s">
        <v>49</v>
      </c>
      <c r="G1674" s="6" t="s">
        <v>1296</v>
      </c>
      <c r="H1674" s="6">
        <v>17</v>
      </c>
      <c r="I1674" s="6">
        <v>17</v>
      </c>
      <c r="J1674" s="6">
        <v>17</v>
      </c>
      <c r="K1674" s="6">
        <v>16.923482</v>
      </c>
      <c r="L1674" s="6">
        <v>16.908185</v>
      </c>
      <c r="M1674" s="6">
        <v>17.652851999999999</v>
      </c>
      <c r="N1674" s="6">
        <v>17.016705999999999</v>
      </c>
      <c r="O1674" s="6">
        <v>16.954350000000002</v>
      </c>
      <c r="P1674" s="6">
        <v>17.537869000000001</v>
      </c>
      <c r="Q1674" s="6">
        <v>17.016335999999999</v>
      </c>
      <c r="R1674" s="6">
        <v>16.958155999999999</v>
      </c>
      <c r="S1674" s="6">
        <v>17.538882000000001</v>
      </c>
      <c r="T1674" s="6">
        <v>17.016335999999999</v>
      </c>
      <c r="U1674" s="6">
        <v>16.958155999999999</v>
      </c>
      <c r="V1674" s="6">
        <v>17.538882000000001</v>
      </c>
    </row>
    <row r="1675" spans="2:22">
      <c r="B1675" s="6">
        <v>32711</v>
      </c>
      <c r="C1675" s="6" t="s">
        <v>440</v>
      </c>
      <c r="D1675" s="6">
        <v>20500</v>
      </c>
      <c r="E1675" s="6" t="s">
        <v>31</v>
      </c>
      <c r="F1675" s="6" t="s">
        <v>17</v>
      </c>
      <c r="G1675" s="6" t="s">
        <v>1294</v>
      </c>
      <c r="H1675" s="6">
        <v>0</v>
      </c>
      <c r="I1675" s="6">
        <v>27</v>
      </c>
      <c r="J1675" s="6">
        <v>27</v>
      </c>
      <c r="K1675" s="6">
        <v>26.093993999999999</v>
      </c>
      <c r="L1675" s="6">
        <v>26.469746000000001</v>
      </c>
      <c r="M1675" s="6">
        <v>26.000619</v>
      </c>
      <c r="N1675" s="6">
        <v>26.108958000000001</v>
      </c>
      <c r="O1675" s="6">
        <v>26.328648000000001</v>
      </c>
      <c r="P1675" s="6">
        <v>26.003786000000002</v>
      </c>
      <c r="Q1675" s="6">
        <v>26.101534000000001</v>
      </c>
      <c r="R1675" s="6">
        <v>26.316153</v>
      </c>
      <c r="S1675" s="6">
        <v>25.991613999999998</v>
      </c>
      <c r="T1675" s="6">
        <v>25.645997000000001</v>
      </c>
      <c r="U1675" s="6">
        <v>25.223958</v>
      </c>
      <c r="V1675" s="6">
        <v>24.770192999999999</v>
      </c>
    </row>
    <row r="1676" spans="2:22">
      <c r="B1676" s="6">
        <v>32711</v>
      </c>
      <c r="C1676" s="6" t="s">
        <v>440</v>
      </c>
      <c r="D1676" s="6">
        <v>20706</v>
      </c>
      <c r="E1676" s="6" t="s">
        <v>52</v>
      </c>
      <c r="F1676" s="6" t="s">
        <v>17</v>
      </c>
      <c r="G1676" s="6" t="s">
        <v>1294</v>
      </c>
      <c r="H1676" s="6">
        <v>0</v>
      </c>
      <c r="I1676" s="6">
        <v>40</v>
      </c>
      <c r="J1676" s="6">
        <v>40</v>
      </c>
      <c r="K1676" s="6">
        <v>40</v>
      </c>
      <c r="L1676" s="6">
        <v>39.985993999999998</v>
      </c>
      <c r="M1676" s="6">
        <v>39.981146000000003</v>
      </c>
      <c r="N1676" s="6">
        <v>39.962778999999998</v>
      </c>
      <c r="O1676" s="6">
        <v>39.971750999999998</v>
      </c>
      <c r="P1676" s="6">
        <v>39.969020999999998</v>
      </c>
      <c r="Q1676" s="6">
        <v>39.963768000000002</v>
      </c>
      <c r="R1676" s="6">
        <v>39.972496999999997</v>
      </c>
      <c r="S1676" s="6">
        <v>39.969659999999998</v>
      </c>
      <c r="T1676" s="6">
        <v>39.867787999999997</v>
      </c>
      <c r="U1676" s="6">
        <v>39.928649</v>
      </c>
      <c r="V1676" s="6">
        <v>39.945453999999998</v>
      </c>
    </row>
    <row r="1677" spans="2:22">
      <c r="B1677" s="6">
        <v>32711</v>
      </c>
      <c r="C1677" s="6" t="s">
        <v>440</v>
      </c>
      <c r="D1677" s="6">
        <v>20902</v>
      </c>
      <c r="E1677" s="6" t="s">
        <v>53</v>
      </c>
      <c r="F1677" s="6" t="s">
        <v>13</v>
      </c>
      <c r="G1677" s="6" t="s">
        <v>14</v>
      </c>
      <c r="H1677" s="6">
        <v>0</v>
      </c>
      <c r="I1677" s="6">
        <v>20</v>
      </c>
      <c r="J1677" s="6">
        <v>20</v>
      </c>
      <c r="K1677" s="6">
        <v>19.956309999999998</v>
      </c>
      <c r="L1677" s="6">
        <v>19.965827000000001</v>
      </c>
      <c r="M1677" s="6">
        <v>19.613216000000001</v>
      </c>
      <c r="N1677" s="6">
        <v>19.181818</v>
      </c>
      <c r="O1677" s="6">
        <v>19.119288999999998</v>
      </c>
      <c r="P1677" s="6">
        <v>18.784502</v>
      </c>
      <c r="Q1677" s="6">
        <v>19.181818</v>
      </c>
      <c r="R1677" s="6">
        <v>19.101835999999999</v>
      </c>
      <c r="S1677" s="6">
        <v>18.763134000000001</v>
      </c>
      <c r="T1677" s="6">
        <v>19.181818</v>
      </c>
      <c r="U1677" s="6">
        <v>19.101835999999999</v>
      </c>
      <c r="V1677" s="6">
        <v>18.763134000000001</v>
      </c>
    </row>
    <row r="1678" spans="2:22">
      <c r="B1678" s="6">
        <v>32711</v>
      </c>
      <c r="C1678" s="6" t="s">
        <v>440</v>
      </c>
      <c r="D1678" s="6">
        <v>20906</v>
      </c>
      <c r="E1678" s="6" t="s">
        <v>48</v>
      </c>
      <c r="F1678" s="6" t="s">
        <v>49</v>
      </c>
      <c r="G1678" s="6" t="s">
        <v>1296</v>
      </c>
      <c r="H1678" s="6">
        <v>0</v>
      </c>
      <c r="I1678" s="6">
        <v>17</v>
      </c>
      <c r="J1678" s="6">
        <v>17</v>
      </c>
      <c r="K1678" s="6">
        <v>16.923482</v>
      </c>
      <c r="L1678" s="6">
        <v>16.908185</v>
      </c>
      <c r="M1678" s="6">
        <v>17.652851999999999</v>
      </c>
      <c r="N1678" s="6">
        <v>17.016705999999999</v>
      </c>
      <c r="O1678" s="6">
        <v>16.954350000000002</v>
      </c>
      <c r="P1678" s="6">
        <v>17.537869000000001</v>
      </c>
      <c r="Q1678" s="6">
        <v>17.016335999999999</v>
      </c>
      <c r="R1678" s="6">
        <v>16.958155999999999</v>
      </c>
      <c r="S1678" s="6">
        <v>17.538882000000001</v>
      </c>
      <c r="T1678" s="6">
        <v>17.016335999999999</v>
      </c>
      <c r="U1678" s="6">
        <v>16.958155999999999</v>
      </c>
      <c r="V1678" s="6">
        <v>17.538882000000001</v>
      </c>
    </row>
    <row r="1679" spans="2:22">
      <c r="B1679" s="6">
        <v>32712</v>
      </c>
      <c r="C1679" s="6" t="s">
        <v>1139</v>
      </c>
      <c r="D1679" s="6">
        <v>20600</v>
      </c>
      <c r="E1679" s="6" t="s">
        <v>32</v>
      </c>
      <c r="F1679" s="6" t="s">
        <v>17</v>
      </c>
      <c r="G1679" s="6" t="s">
        <v>1294</v>
      </c>
      <c r="H1679" s="6">
        <v>0</v>
      </c>
      <c r="I1679" s="6">
        <v>0</v>
      </c>
      <c r="J1679" s="6">
        <v>27</v>
      </c>
      <c r="K1679" s="6">
        <v>0</v>
      </c>
      <c r="L1679" s="6">
        <v>0</v>
      </c>
      <c r="M1679" s="6">
        <v>27</v>
      </c>
      <c r="N1679" s="6">
        <v>27</v>
      </c>
      <c r="O1679" s="6">
        <v>27</v>
      </c>
      <c r="P1679" s="6">
        <v>27</v>
      </c>
      <c r="Q1679" s="6">
        <v>27</v>
      </c>
      <c r="R1679" s="6">
        <v>27</v>
      </c>
      <c r="S1679" s="6">
        <v>27</v>
      </c>
      <c r="T1679" s="6">
        <v>27</v>
      </c>
      <c r="U1679" s="6">
        <v>27</v>
      </c>
      <c r="V1679" s="6">
        <v>27</v>
      </c>
    </row>
    <row r="1680" spans="2:22">
      <c r="B1680" s="6">
        <v>32712</v>
      </c>
      <c r="C1680" s="6" t="s">
        <v>1139</v>
      </c>
      <c r="D1680" s="6">
        <v>20706</v>
      </c>
      <c r="E1680" s="6" t="s">
        <v>52</v>
      </c>
      <c r="F1680" s="6" t="s">
        <v>17</v>
      </c>
      <c r="G1680" s="6" t="s">
        <v>1294</v>
      </c>
      <c r="H1680" s="6">
        <v>0</v>
      </c>
      <c r="I1680" s="6">
        <v>0</v>
      </c>
      <c r="J1680" s="6">
        <v>40</v>
      </c>
      <c r="K1680" s="6">
        <v>40</v>
      </c>
      <c r="L1680" s="6">
        <v>39.985993999999998</v>
      </c>
      <c r="M1680" s="6">
        <v>39.981146000000003</v>
      </c>
      <c r="N1680" s="6">
        <v>39.962778999999998</v>
      </c>
      <c r="O1680" s="6">
        <v>39.971750999999998</v>
      </c>
      <c r="P1680" s="6">
        <v>39.969020999999998</v>
      </c>
      <c r="Q1680" s="6">
        <v>39.963768000000002</v>
      </c>
      <c r="R1680" s="6">
        <v>39.972496999999997</v>
      </c>
      <c r="S1680" s="6">
        <v>39.969659999999998</v>
      </c>
      <c r="T1680" s="6">
        <v>39.867787999999997</v>
      </c>
      <c r="U1680" s="6">
        <v>39.928649</v>
      </c>
      <c r="V1680" s="6">
        <v>39.945453999999998</v>
      </c>
    </row>
    <row r="1681" spans="2:22">
      <c r="B1681" s="6">
        <v>32712</v>
      </c>
      <c r="C1681" s="6" t="s">
        <v>1139</v>
      </c>
      <c r="D1681" s="6">
        <v>20902</v>
      </c>
      <c r="E1681" s="6" t="s">
        <v>53</v>
      </c>
      <c r="F1681" s="6" t="s">
        <v>16</v>
      </c>
      <c r="G1681" s="6" t="s">
        <v>1295</v>
      </c>
      <c r="H1681" s="6">
        <v>0</v>
      </c>
      <c r="I1681" s="6">
        <v>0</v>
      </c>
      <c r="J1681" s="6">
        <v>20</v>
      </c>
      <c r="K1681" s="6">
        <v>27.235294</v>
      </c>
      <c r="L1681" s="6">
        <v>26.730157999999999</v>
      </c>
      <c r="M1681" s="6">
        <v>28.302752000000002</v>
      </c>
      <c r="N1681" s="6">
        <v>27.102803000000002</v>
      </c>
      <c r="O1681" s="6">
        <v>26.100322999999999</v>
      </c>
      <c r="P1681" s="6">
        <v>27.578899</v>
      </c>
      <c r="Q1681" s="6">
        <v>27.102803000000002</v>
      </c>
      <c r="R1681" s="6">
        <v>26.100322999999999</v>
      </c>
      <c r="S1681" s="6">
        <v>27.558453</v>
      </c>
      <c r="T1681" s="6">
        <v>26.737159999999999</v>
      </c>
      <c r="U1681" s="6">
        <v>25.752351000000001</v>
      </c>
      <c r="V1681" s="6">
        <v>27.323633000000001</v>
      </c>
    </row>
    <row r="1682" spans="2:22">
      <c r="B1682" s="6">
        <v>32712</v>
      </c>
      <c r="C1682" s="6" t="s">
        <v>1139</v>
      </c>
      <c r="D1682" s="6">
        <v>23312</v>
      </c>
      <c r="E1682" s="6" t="s">
        <v>215</v>
      </c>
      <c r="F1682" s="6" t="s">
        <v>16</v>
      </c>
      <c r="G1682" s="6" t="s">
        <v>1295</v>
      </c>
      <c r="H1682" s="6">
        <v>0</v>
      </c>
      <c r="I1682" s="6">
        <v>0</v>
      </c>
      <c r="J1682" s="6">
        <v>20</v>
      </c>
      <c r="K1682" s="6">
        <v>0</v>
      </c>
      <c r="L1682" s="6">
        <v>0</v>
      </c>
      <c r="M1682" s="6">
        <v>20</v>
      </c>
      <c r="N1682" s="6">
        <v>0</v>
      </c>
      <c r="O1682" s="6">
        <v>0</v>
      </c>
      <c r="P1682" s="6">
        <v>13.333333</v>
      </c>
      <c r="Q1682" s="6">
        <v>10</v>
      </c>
      <c r="R1682" s="6">
        <v>10</v>
      </c>
      <c r="S1682" s="6">
        <v>12</v>
      </c>
      <c r="T1682" s="6">
        <v>10</v>
      </c>
      <c r="U1682" s="6">
        <v>10</v>
      </c>
      <c r="V1682" s="6">
        <v>10.5</v>
      </c>
    </row>
    <row r="1683" spans="2:22">
      <c r="B1683" s="6">
        <v>32713</v>
      </c>
      <c r="C1683" s="6" t="s">
        <v>1200</v>
      </c>
      <c r="D1683" s="6">
        <v>20500</v>
      </c>
      <c r="E1683" s="6" t="s">
        <v>31</v>
      </c>
      <c r="F1683" s="6" t="s">
        <v>73</v>
      </c>
      <c r="G1683" s="6" t="s">
        <v>1299</v>
      </c>
      <c r="H1683" s="6">
        <v>5</v>
      </c>
      <c r="I1683" s="6">
        <v>6</v>
      </c>
      <c r="J1683" s="6">
        <v>6</v>
      </c>
      <c r="K1683" s="6">
        <v>5</v>
      </c>
      <c r="L1683" s="6">
        <v>6</v>
      </c>
      <c r="M1683" s="6">
        <v>6</v>
      </c>
      <c r="N1683" s="6">
        <v>5</v>
      </c>
      <c r="O1683" s="6">
        <v>6</v>
      </c>
      <c r="P1683" s="6">
        <v>6</v>
      </c>
      <c r="Q1683" s="6">
        <v>5</v>
      </c>
      <c r="R1683" s="6">
        <v>6.571428</v>
      </c>
      <c r="S1683" s="6">
        <v>6.5333329999999998</v>
      </c>
      <c r="T1683" s="6">
        <v>5</v>
      </c>
      <c r="U1683" s="6">
        <v>6.375</v>
      </c>
      <c r="V1683" s="6">
        <v>6.4375</v>
      </c>
    </row>
    <row r="1684" spans="2:22">
      <c r="B1684" s="6">
        <v>32713</v>
      </c>
      <c r="C1684" s="6" t="s">
        <v>1200</v>
      </c>
      <c r="D1684" s="6">
        <v>20500</v>
      </c>
      <c r="E1684" s="6" t="s">
        <v>31</v>
      </c>
      <c r="F1684" s="6" t="s">
        <v>73</v>
      </c>
      <c r="G1684" s="6" t="s">
        <v>1299</v>
      </c>
      <c r="H1684" s="6">
        <v>5</v>
      </c>
      <c r="I1684" s="6">
        <v>6</v>
      </c>
      <c r="J1684" s="6">
        <v>6</v>
      </c>
      <c r="K1684" s="6">
        <v>5</v>
      </c>
      <c r="L1684" s="6">
        <v>6</v>
      </c>
      <c r="M1684" s="6">
        <v>6</v>
      </c>
      <c r="N1684" s="6">
        <v>5</v>
      </c>
      <c r="O1684" s="6">
        <v>6</v>
      </c>
      <c r="P1684" s="6">
        <v>6</v>
      </c>
      <c r="Q1684" s="6">
        <v>5</v>
      </c>
      <c r="R1684" s="6">
        <v>6.571428</v>
      </c>
      <c r="S1684" s="6">
        <v>6.5333329999999998</v>
      </c>
      <c r="T1684" s="6">
        <v>5</v>
      </c>
      <c r="U1684" s="6">
        <v>6.375</v>
      </c>
      <c r="V1684" s="6">
        <v>6.4375</v>
      </c>
    </row>
    <row r="1685" spans="2:22">
      <c r="B1685" s="6">
        <v>32713</v>
      </c>
      <c r="C1685" s="6" t="s">
        <v>1200</v>
      </c>
      <c r="D1685" s="6">
        <v>21400</v>
      </c>
      <c r="E1685" s="6" t="s">
        <v>1220</v>
      </c>
      <c r="F1685" s="6" t="s">
        <v>73</v>
      </c>
      <c r="G1685" s="6" t="s">
        <v>1299</v>
      </c>
      <c r="H1685" s="6">
        <v>15</v>
      </c>
      <c r="I1685" s="6">
        <v>15</v>
      </c>
      <c r="J1685" s="6">
        <v>15</v>
      </c>
      <c r="K1685" s="6">
        <v>15</v>
      </c>
      <c r="L1685" s="6">
        <v>15</v>
      </c>
      <c r="M1685" s="6">
        <v>15</v>
      </c>
      <c r="N1685" s="6">
        <v>15</v>
      </c>
      <c r="O1685" s="6">
        <v>15</v>
      </c>
      <c r="P1685" s="6">
        <v>15</v>
      </c>
      <c r="Q1685" s="6">
        <v>15</v>
      </c>
      <c r="R1685" s="6">
        <v>12.5</v>
      </c>
      <c r="S1685" s="6">
        <v>11.111110999999999</v>
      </c>
      <c r="T1685" s="6">
        <v>11.25</v>
      </c>
      <c r="U1685" s="6">
        <v>11.428571</v>
      </c>
      <c r="V1685" s="6">
        <v>10.833333</v>
      </c>
    </row>
    <row r="1686" spans="2:22">
      <c r="B1686" s="6">
        <v>32713</v>
      </c>
      <c r="C1686" s="6" t="s">
        <v>1200</v>
      </c>
      <c r="D1686" s="6">
        <v>21504</v>
      </c>
      <c r="E1686" s="6" t="s">
        <v>1229</v>
      </c>
      <c r="F1686" s="6" t="s">
        <v>1305</v>
      </c>
      <c r="G1686" s="6" t="s">
        <v>1306</v>
      </c>
      <c r="H1686" s="6">
        <v>5</v>
      </c>
      <c r="I1686" s="6">
        <v>5</v>
      </c>
      <c r="J1686" s="6">
        <v>5</v>
      </c>
      <c r="K1686" s="6">
        <v>5</v>
      </c>
      <c r="L1686" s="6">
        <v>5</v>
      </c>
      <c r="M1686" s="6">
        <v>5</v>
      </c>
      <c r="N1686" s="6">
        <v>5</v>
      </c>
      <c r="O1686" s="6">
        <v>5</v>
      </c>
      <c r="P1686" s="6">
        <v>5</v>
      </c>
      <c r="Q1686" s="6">
        <v>5</v>
      </c>
      <c r="R1686" s="6">
        <v>5</v>
      </c>
      <c r="S1686" s="6">
        <v>5</v>
      </c>
      <c r="T1686" s="6">
        <v>5</v>
      </c>
      <c r="U1686" s="6">
        <v>5</v>
      </c>
      <c r="V1686" s="6">
        <v>5</v>
      </c>
    </row>
    <row r="1687" spans="2:22">
      <c r="B1687" s="6">
        <v>32714</v>
      </c>
      <c r="C1687" s="6" t="s">
        <v>1209</v>
      </c>
      <c r="D1687" s="6">
        <v>20500</v>
      </c>
      <c r="E1687" s="6" t="s">
        <v>31</v>
      </c>
      <c r="F1687" s="6" t="s">
        <v>73</v>
      </c>
      <c r="G1687" s="6" t="s">
        <v>1299</v>
      </c>
      <c r="H1687" s="6">
        <v>0</v>
      </c>
      <c r="I1687" s="6">
        <v>8.5</v>
      </c>
      <c r="J1687" s="6">
        <v>8.5</v>
      </c>
      <c r="K1687" s="6">
        <v>0</v>
      </c>
      <c r="L1687" s="6">
        <v>8.5</v>
      </c>
      <c r="M1687" s="6">
        <v>6.75</v>
      </c>
      <c r="N1687" s="6">
        <v>0</v>
      </c>
      <c r="O1687" s="6">
        <v>8.5</v>
      </c>
      <c r="P1687" s="6">
        <v>6.75</v>
      </c>
      <c r="Q1687" s="6">
        <v>5</v>
      </c>
      <c r="R1687" s="6">
        <v>6.571428</v>
      </c>
      <c r="S1687" s="6">
        <v>6.5333329999999998</v>
      </c>
      <c r="T1687" s="6">
        <v>5</v>
      </c>
      <c r="U1687" s="6">
        <v>6.375</v>
      </c>
      <c r="V1687" s="6">
        <v>6.4375</v>
      </c>
    </row>
    <row r="1688" spans="2:22">
      <c r="B1688" s="6">
        <v>32714</v>
      </c>
      <c r="C1688" s="6" t="s">
        <v>1209</v>
      </c>
      <c r="D1688" s="6">
        <v>20500</v>
      </c>
      <c r="E1688" s="6" t="s">
        <v>31</v>
      </c>
      <c r="F1688" s="6" t="s">
        <v>73</v>
      </c>
      <c r="G1688" s="6" t="s">
        <v>1299</v>
      </c>
      <c r="H1688" s="6">
        <v>0</v>
      </c>
      <c r="I1688" s="6">
        <v>8.5</v>
      </c>
      <c r="J1688" s="6">
        <v>8.5</v>
      </c>
      <c r="K1688" s="6">
        <v>0</v>
      </c>
      <c r="L1688" s="6">
        <v>8.5</v>
      </c>
      <c r="M1688" s="6">
        <v>6.75</v>
      </c>
      <c r="N1688" s="6">
        <v>0</v>
      </c>
      <c r="O1688" s="6">
        <v>8.5</v>
      </c>
      <c r="P1688" s="6">
        <v>6.75</v>
      </c>
      <c r="Q1688" s="6">
        <v>5</v>
      </c>
      <c r="R1688" s="6">
        <v>6.571428</v>
      </c>
      <c r="S1688" s="6">
        <v>6.5333329999999998</v>
      </c>
      <c r="T1688" s="6">
        <v>5</v>
      </c>
      <c r="U1688" s="6">
        <v>6.375</v>
      </c>
      <c r="V1688" s="6">
        <v>6.4375</v>
      </c>
    </row>
    <row r="1689" spans="2:22">
      <c r="B1689" s="6">
        <v>32714</v>
      </c>
      <c r="C1689" s="6" t="s">
        <v>1209</v>
      </c>
      <c r="D1689" s="6">
        <v>21400</v>
      </c>
      <c r="E1689" s="6" t="s">
        <v>1220</v>
      </c>
      <c r="F1689" s="6" t="s">
        <v>73</v>
      </c>
      <c r="G1689" s="6" t="s">
        <v>1299</v>
      </c>
      <c r="H1689" s="6">
        <v>0</v>
      </c>
      <c r="I1689" s="6">
        <v>10</v>
      </c>
      <c r="J1689" s="6">
        <v>10</v>
      </c>
      <c r="K1689" s="6">
        <v>0</v>
      </c>
      <c r="L1689" s="6">
        <v>10</v>
      </c>
      <c r="M1689" s="6">
        <v>10</v>
      </c>
      <c r="N1689" s="6">
        <v>0</v>
      </c>
      <c r="O1689" s="6">
        <v>10</v>
      </c>
      <c r="P1689" s="6">
        <v>10</v>
      </c>
      <c r="Q1689" s="6">
        <v>15</v>
      </c>
      <c r="R1689" s="6">
        <v>12.5</v>
      </c>
      <c r="S1689" s="6">
        <v>11.111110999999999</v>
      </c>
      <c r="T1689" s="6">
        <v>11.25</v>
      </c>
      <c r="U1689" s="6">
        <v>11.428571</v>
      </c>
      <c r="V1689" s="6">
        <v>10.833333</v>
      </c>
    </row>
    <row r="1690" spans="2:22">
      <c r="B1690" s="6">
        <v>32715</v>
      </c>
      <c r="C1690" s="6" t="s">
        <v>1198</v>
      </c>
      <c r="D1690" s="6">
        <v>23314</v>
      </c>
      <c r="E1690" s="6" t="s">
        <v>1233</v>
      </c>
      <c r="F1690" s="6" t="s">
        <v>73</v>
      </c>
      <c r="G1690" s="6" t="s">
        <v>1299</v>
      </c>
      <c r="H1690" s="6">
        <v>1</v>
      </c>
      <c r="I1690" s="6">
        <v>1</v>
      </c>
      <c r="J1690" s="6">
        <v>1</v>
      </c>
      <c r="K1690" s="6">
        <v>1</v>
      </c>
      <c r="L1690" s="6">
        <v>1</v>
      </c>
      <c r="M1690" s="6">
        <v>1</v>
      </c>
      <c r="N1690" s="6">
        <v>1</v>
      </c>
      <c r="O1690" s="6">
        <v>1</v>
      </c>
      <c r="P1690" s="6">
        <v>1</v>
      </c>
      <c r="Q1690" s="6">
        <v>1</v>
      </c>
      <c r="R1690" s="6">
        <v>1</v>
      </c>
      <c r="S1690" s="6">
        <v>1</v>
      </c>
      <c r="T1690" s="6">
        <v>1</v>
      </c>
      <c r="U1690" s="6">
        <v>1</v>
      </c>
      <c r="V1690" s="6">
        <v>1</v>
      </c>
    </row>
    <row r="1691" spans="2:22">
      <c r="B1691" s="6">
        <v>32715</v>
      </c>
      <c r="C1691" s="6" t="s">
        <v>1198</v>
      </c>
      <c r="D1691" s="6">
        <v>23318</v>
      </c>
      <c r="E1691" s="6" t="s">
        <v>1237</v>
      </c>
      <c r="F1691" s="6" t="s">
        <v>1305</v>
      </c>
      <c r="G1691" s="6" t="s">
        <v>1306</v>
      </c>
      <c r="H1691" s="6">
        <v>5</v>
      </c>
      <c r="I1691" s="6">
        <v>5</v>
      </c>
      <c r="J1691" s="6">
        <v>5</v>
      </c>
      <c r="K1691" s="6">
        <v>5</v>
      </c>
      <c r="L1691" s="6">
        <v>5</v>
      </c>
      <c r="M1691" s="6">
        <v>5</v>
      </c>
      <c r="N1691" s="6">
        <v>5</v>
      </c>
      <c r="O1691" s="6">
        <v>5</v>
      </c>
      <c r="P1691" s="6">
        <v>5</v>
      </c>
      <c r="Q1691" s="6">
        <v>5</v>
      </c>
      <c r="R1691" s="6">
        <v>5</v>
      </c>
      <c r="S1691" s="6">
        <v>5</v>
      </c>
      <c r="T1691" s="6">
        <v>5</v>
      </c>
      <c r="U1691" s="6">
        <v>5</v>
      </c>
      <c r="V1691" s="6">
        <v>5</v>
      </c>
    </row>
    <row r="1692" spans="2:22">
      <c r="B1692" s="6">
        <v>32715</v>
      </c>
      <c r="C1692" s="6" t="s">
        <v>1198</v>
      </c>
      <c r="D1692" s="6">
        <v>23319</v>
      </c>
      <c r="E1692" s="6" t="s">
        <v>1238</v>
      </c>
      <c r="F1692" s="6" t="s">
        <v>73</v>
      </c>
      <c r="G1692" s="6" t="s">
        <v>1299</v>
      </c>
      <c r="H1692" s="6">
        <v>0</v>
      </c>
      <c r="I1692" s="6">
        <v>10</v>
      </c>
      <c r="J1692" s="6">
        <v>10</v>
      </c>
      <c r="K1692" s="6">
        <v>0</v>
      </c>
      <c r="L1692" s="6">
        <v>10</v>
      </c>
      <c r="M1692" s="6">
        <v>10</v>
      </c>
      <c r="N1692" s="6">
        <v>0</v>
      </c>
      <c r="O1692" s="6">
        <v>10</v>
      </c>
      <c r="P1692" s="6">
        <v>10</v>
      </c>
      <c r="Q1692" s="6">
        <v>0</v>
      </c>
      <c r="R1692" s="6">
        <v>10</v>
      </c>
      <c r="S1692" s="6">
        <v>10</v>
      </c>
      <c r="T1692" s="6">
        <v>0</v>
      </c>
      <c r="U1692" s="6">
        <v>10</v>
      </c>
      <c r="V1692" s="6">
        <v>10</v>
      </c>
    </row>
    <row r="1693" spans="2:22">
      <c r="B1693" s="6">
        <v>32715</v>
      </c>
      <c r="C1693" s="6" t="s">
        <v>1198</v>
      </c>
      <c r="D1693" s="6">
        <v>23319</v>
      </c>
      <c r="E1693" s="6" t="s">
        <v>1238</v>
      </c>
      <c r="F1693" s="6" t="s">
        <v>1305</v>
      </c>
      <c r="G1693" s="6" t="s">
        <v>1306</v>
      </c>
      <c r="H1693" s="6">
        <v>5</v>
      </c>
      <c r="I1693" s="6">
        <v>7.5</v>
      </c>
      <c r="J1693" s="6">
        <v>7.5</v>
      </c>
      <c r="K1693" s="6">
        <v>5</v>
      </c>
      <c r="L1693" s="6">
        <v>7.5</v>
      </c>
      <c r="M1693" s="6">
        <v>7.5</v>
      </c>
      <c r="N1693" s="6">
        <v>5</v>
      </c>
      <c r="O1693" s="6">
        <v>7.5</v>
      </c>
      <c r="P1693" s="6">
        <v>7.5</v>
      </c>
      <c r="Q1693" s="6">
        <v>5</v>
      </c>
      <c r="R1693" s="6">
        <v>7.5</v>
      </c>
      <c r="S1693" s="6">
        <v>7.5</v>
      </c>
      <c r="T1693" s="6">
        <v>5</v>
      </c>
      <c r="U1693" s="6">
        <v>7.5</v>
      </c>
      <c r="V1693" s="6">
        <v>7.5</v>
      </c>
    </row>
    <row r="1694" spans="2:22">
      <c r="B1694" s="6">
        <v>32715</v>
      </c>
      <c r="C1694" s="6" t="s">
        <v>1198</v>
      </c>
      <c r="D1694" s="6">
        <v>23500</v>
      </c>
      <c r="E1694" s="6" t="s">
        <v>37</v>
      </c>
      <c r="F1694" s="6" t="s">
        <v>73</v>
      </c>
      <c r="G1694" s="6" t="s">
        <v>1299</v>
      </c>
      <c r="H1694" s="6">
        <v>1</v>
      </c>
      <c r="I1694" s="6">
        <v>1</v>
      </c>
      <c r="J1694" s="6">
        <v>1</v>
      </c>
      <c r="K1694" s="6">
        <v>1</v>
      </c>
      <c r="L1694" s="6">
        <v>1</v>
      </c>
      <c r="M1694" s="6">
        <v>1</v>
      </c>
      <c r="N1694" s="6">
        <v>1</v>
      </c>
      <c r="O1694" s="6">
        <v>1</v>
      </c>
      <c r="P1694" s="6">
        <v>1</v>
      </c>
      <c r="Q1694" s="6">
        <v>1</v>
      </c>
      <c r="R1694" s="6">
        <v>1</v>
      </c>
      <c r="S1694" s="6">
        <v>1</v>
      </c>
      <c r="T1694" s="6">
        <v>1</v>
      </c>
      <c r="U1694" s="6">
        <v>1</v>
      </c>
      <c r="V1694" s="6">
        <v>1</v>
      </c>
    </row>
    <row r="1695" spans="2:22">
      <c r="B1695" s="6">
        <v>32715</v>
      </c>
      <c r="C1695" s="6" t="s">
        <v>1198</v>
      </c>
      <c r="D1695" s="6">
        <v>41202</v>
      </c>
      <c r="E1695" s="6" t="s">
        <v>1162</v>
      </c>
      <c r="F1695" s="6" t="s">
        <v>73</v>
      </c>
      <c r="G1695" s="6" t="s">
        <v>1299</v>
      </c>
      <c r="H1695" s="6">
        <v>15</v>
      </c>
      <c r="I1695" s="6">
        <v>15</v>
      </c>
      <c r="J1695" s="6">
        <v>15</v>
      </c>
      <c r="K1695" s="6">
        <v>15</v>
      </c>
      <c r="L1695" s="6">
        <v>15</v>
      </c>
      <c r="M1695" s="6">
        <v>15</v>
      </c>
      <c r="N1695" s="6">
        <v>15</v>
      </c>
      <c r="O1695" s="6">
        <v>15</v>
      </c>
      <c r="P1695" s="6">
        <v>15</v>
      </c>
      <c r="Q1695" s="6">
        <v>15</v>
      </c>
      <c r="R1695" s="6">
        <v>15</v>
      </c>
      <c r="S1695" s="6">
        <v>15</v>
      </c>
      <c r="T1695" s="6">
        <v>15</v>
      </c>
      <c r="U1695" s="6">
        <v>15</v>
      </c>
      <c r="V1695" s="6">
        <v>15</v>
      </c>
    </row>
    <row r="1696" spans="2:22">
      <c r="B1696" s="6">
        <v>32716</v>
      </c>
      <c r="C1696" s="6" t="s">
        <v>354</v>
      </c>
      <c r="D1696" s="6">
        <v>12400</v>
      </c>
      <c r="E1696" s="6" t="s">
        <v>217</v>
      </c>
      <c r="F1696" s="6" t="s">
        <v>16</v>
      </c>
      <c r="G1696" s="6" t="s">
        <v>1295</v>
      </c>
      <c r="H1696" s="6">
        <v>0</v>
      </c>
      <c r="I1696" s="6">
        <v>8.8000000000000007</v>
      </c>
      <c r="J1696" s="6">
        <v>8.8000000000000007</v>
      </c>
      <c r="K1696" s="6">
        <v>8.2173909999999992</v>
      </c>
      <c r="L1696" s="6">
        <v>8.1046829999999996</v>
      </c>
      <c r="M1696" s="6">
        <v>8.2384710000000005</v>
      </c>
      <c r="N1696" s="6">
        <v>9.2387090000000001</v>
      </c>
      <c r="O1696" s="6">
        <v>8.7126429999999999</v>
      </c>
      <c r="P1696" s="6">
        <v>8.6856360000000006</v>
      </c>
      <c r="Q1696" s="6">
        <v>9.2387090000000001</v>
      </c>
      <c r="R1696" s="6">
        <v>8.7126429999999999</v>
      </c>
      <c r="S1696" s="6">
        <v>8.6856360000000006</v>
      </c>
      <c r="T1696" s="6">
        <v>8.8875729999999997</v>
      </c>
      <c r="U1696" s="6">
        <v>8.6089380000000002</v>
      </c>
      <c r="V1696" s="6">
        <v>8.6174140000000001</v>
      </c>
    </row>
    <row r="1697" spans="2:22">
      <c r="B1697" s="6">
        <v>32716</v>
      </c>
      <c r="C1697" s="6" t="s">
        <v>354</v>
      </c>
      <c r="D1697" s="6">
        <v>23311</v>
      </c>
      <c r="E1697" s="6" t="s">
        <v>221</v>
      </c>
      <c r="F1697" s="6" t="s">
        <v>16</v>
      </c>
      <c r="G1697" s="6" t="s">
        <v>1295</v>
      </c>
      <c r="H1697" s="6">
        <v>0</v>
      </c>
      <c r="I1697" s="6">
        <v>10</v>
      </c>
      <c r="J1697" s="6">
        <v>10</v>
      </c>
      <c r="K1697" s="6">
        <v>10.144926999999999</v>
      </c>
      <c r="L1697" s="6">
        <v>10.029239</v>
      </c>
      <c r="M1697" s="6">
        <v>10.013888</v>
      </c>
      <c r="N1697" s="6">
        <v>10.099009000000001</v>
      </c>
      <c r="O1697" s="6">
        <v>10.02364</v>
      </c>
      <c r="P1697" s="6">
        <v>10.011260999999999</v>
      </c>
      <c r="Q1697" s="6">
        <v>10.099009000000001</v>
      </c>
      <c r="R1697" s="6">
        <v>10.02364</v>
      </c>
      <c r="S1697" s="6">
        <v>10.011260999999999</v>
      </c>
      <c r="T1697" s="6">
        <v>10.099009000000001</v>
      </c>
      <c r="U1697" s="6">
        <v>10.02364</v>
      </c>
      <c r="V1697" s="6">
        <v>10.011260999999999</v>
      </c>
    </row>
    <row r="1698" spans="2:22">
      <c r="B1698" s="6">
        <v>32717</v>
      </c>
      <c r="C1698" s="6" t="s">
        <v>635</v>
      </c>
      <c r="D1698" s="6">
        <v>20500</v>
      </c>
      <c r="E1698" s="6" t="s">
        <v>31</v>
      </c>
      <c r="F1698" s="6" t="s">
        <v>17</v>
      </c>
      <c r="G1698" s="6" t="s">
        <v>1294</v>
      </c>
      <c r="H1698" s="6">
        <v>0</v>
      </c>
      <c r="I1698" s="6">
        <v>25</v>
      </c>
      <c r="J1698" s="6">
        <v>25</v>
      </c>
      <c r="K1698" s="6">
        <v>26.046875</v>
      </c>
      <c r="L1698" s="6">
        <v>26.199541</v>
      </c>
      <c r="M1698" s="6">
        <v>26.109717</v>
      </c>
      <c r="N1698" s="6">
        <v>26.108958000000001</v>
      </c>
      <c r="O1698" s="6">
        <v>26.328648000000001</v>
      </c>
      <c r="P1698" s="6">
        <v>26.003786000000002</v>
      </c>
      <c r="Q1698" s="6">
        <v>26.101534000000001</v>
      </c>
      <c r="R1698" s="6">
        <v>26.316153</v>
      </c>
      <c r="S1698" s="6">
        <v>25.991613999999998</v>
      </c>
      <c r="T1698" s="6">
        <v>25.645997000000001</v>
      </c>
      <c r="U1698" s="6">
        <v>25.223958</v>
      </c>
      <c r="V1698" s="6">
        <v>24.770192999999999</v>
      </c>
    </row>
    <row r="1699" spans="2:22">
      <c r="B1699" s="6">
        <v>32717</v>
      </c>
      <c r="C1699" s="6" t="s">
        <v>635</v>
      </c>
      <c r="D1699" s="6">
        <v>20706</v>
      </c>
      <c r="E1699" s="6" t="s">
        <v>52</v>
      </c>
      <c r="F1699" s="6" t="s">
        <v>17</v>
      </c>
      <c r="G1699" s="6" t="s">
        <v>1294</v>
      </c>
      <c r="H1699" s="6">
        <v>0</v>
      </c>
      <c r="I1699" s="6">
        <v>40</v>
      </c>
      <c r="J1699" s="6">
        <v>40</v>
      </c>
      <c r="K1699" s="6">
        <v>39.625</v>
      </c>
      <c r="L1699" s="6">
        <v>39.852941000000001</v>
      </c>
      <c r="M1699" s="6">
        <v>39.894365999999998</v>
      </c>
      <c r="N1699" s="6">
        <v>39.962778999999998</v>
      </c>
      <c r="O1699" s="6">
        <v>39.971750999999998</v>
      </c>
      <c r="P1699" s="6">
        <v>39.969020999999998</v>
      </c>
      <c r="Q1699" s="6">
        <v>39.963768000000002</v>
      </c>
      <c r="R1699" s="6">
        <v>39.972496999999997</v>
      </c>
      <c r="S1699" s="6">
        <v>39.969659999999998</v>
      </c>
      <c r="T1699" s="6">
        <v>39.867787999999997</v>
      </c>
      <c r="U1699" s="6">
        <v>39.928649</v>
      </c>
      <c r="V1699" s="6">
        <v>39.945453999999998</v>
      </c>
    </row>
    <row r="1700" spans="2:22">
      <c r="B1700" s="6">
        <v>32717</v>
      </c>
      <c r="C1700" s="6" t="s">
        <v>635</v>
      </c>
      <c r="D1700" s="6">
        <v>20902</v>
      </c>
      <c r="E1700" s="6" t="s">
        <v>53</v>
      </c>
      <c r="F1700" s="6" t="s">
        <v>13</v>
      </c>
      <c r="G1700" s="6" t="s">
        <v>14</v>
      </c>
      <c r="H1700" s="6">
        <v>0</v>
      </c>
      <c r="I1700" s="6">
        <v>15</v>
      </c>
      <c r="J1700" s="6">
        <v>15</v>
      </c>
      <c r="K1700" s="6">
        <v>18.622046999999998</v>
      </c>
      <c r="L1700" s="6">
        <v>18.557046</v>
      </c>
      <c r="M1700" s="6">
        <v>18.643459</v>
      </c>
      <c r="N1700" s="6">
        <v>19.181818</v>
      </c>
      <c r="O1700" s="6">
        <v>19.119288999999998</v>
      </c>
      <c r="P1700" s="6">
        <v>18.784502</v>
      </c>
      <c r="Q1700" s="6">
        <v>19.181818</v>
      </c>
      <c r="R1700" s="6">
        <v>19.101835999999999</v>
      </c>
      <c r="S1700" s="6">
        <v>18.763134000000001</v>
      </c>
      <c r="T1700" s="6">
        <v>19.181818</v>
      </c>
      <c r="U1700" s="6">
        <v>19.101835999999999</v>
      </c>
      <c r="V1700" s="6">
        <v>18.763134000000001</v>
      </c>
    </row>
    <row r="1701" spans="2:22">
      <c r="B1701" s="6">
        <v>32717</v>
      </c>
      <c r="C1701" s="6" t="s">
        <v>635</v>
      </c>
      <c r="D1701" s="6">
        <v>20906</v>
      </c>
      <c r="E1701" s="6" t="s">
        <v>48</v>
      </c>
      <c r="F1701" s="6" t="s">
        <v>49</v>
      </c>
      <c r="G1701" s="6" t="s">
        <v>1296</v>
      </c>
      <c r="H1701" s="6">
        <v>0</v>
      </c>
      <c r="I1701" s="6">
        <v>17</v>
      </c>
      <c r="J1701" s="6">
        <v>17</v>
      </c>
      <c r="K1701" s="6">
        <v>17.229590999999999</v>
      </c>
      <c r="L1701" s="6">
        <v>17.052391</v>
      </c>
      <c r="M1701" s="6">
        <v>17.431988</v>
      </c>
      <c r="N1701" s="6">
        <v>17.016705999999999</v>
      </c>
      <c r="O1701" s="6">
        <v>16.954350000000002</v>
      </c>
      <c r="P1701" s="6">
        <v>17.537869000000001</v>
      </c>
      <c r="Q1701" s="6">
        <v>17.016335999999999</v>
      </c>
      <c r="R1701" s="6">
        <v>16.958155999999999</v>
      </c>
      <c r="S1701" s="6">
        <v>17.538882000000001</v>
      </c>
      <c r="T1701" s="6">
        <v>17.016335999999999</v>
      </c>
      <c r="U1701" s="6">
        <v>16.958155999999999</v>
      </c>
      <c r="V1701" s="6">
        <v>17.538882000000001</v>
      </c>
    </row>
    <row r="1702" spans="2:22">
      <c r="B1702" s="6">
        <v>32718</v>
      </c>
      <c r="C1702" s="6" t="s">
        <v>675</v>
      </c>
      <c r="D1702" s="6">
        <v>20500</v>
      </c>
      <c r="E1702" s="6" t="s">
        <v>31</v>
      </c>
      <c r="F1702" s="6" t="s">
        <v>17</v>
      </c>
      <c r="G1702" s="6" t="s">
        <v>1294</v>
      </c>
      <c r="H1702" s="6">
        <v>0</v>
      </c>
      <c r="I1702" s="6">
        <v>25</v>
      </c>
      <c r="J1702" s="6">
        <v>25</v>
      </c>
      <c r="K1702" s="6">
        <v>26.046875</v>
      </c>
      <c r="L1702" s="6">
        <v>26.199541</v>
      </c>
      <c r="M1702" s="6">
        <v>26.109717</v>
      </c>
      <c r="N1702" s="6">
        <v>26.108958000000001</v>
      </c>
      <c r="O1702" s="6">
        <v>26.328648000000001</v>
      </c>
      <c r="P1702" s="6">
        <v>26.003786000000002</v>
      </c>
      <c r="Q1702" s="6">
        <v>26.101534000000001</v>
      </c>
      <c r="R1702" s="6">
        <v>26.316153</v>
      </c>
      <c r="S1702" s="6">
        <v>25.991613999999998</v>
      </c>
      <c r="T1702" s="6">
        <v>25.645997000000001</v>
      </c>
      <c r="U1702" s="6">
        <v>25.223958</v>
      </c>
      <c r="V1702" s="6">
        <v>24.770192999999999</v>
      </c>
    </row>
    <row r="1703" spans="2:22">
      <c r="B1703" s="6">
        <v>32718</v>
      </c>
      <c r="C1703" s="6" t="s">
        <v>675</v>
      </c>
      <c r="D1703" s="6">
        <v>20706</v>
      </c>
      <c r="E1703" s="6" t="s">
        <v>52</v>
      </c>
      <c r="F1703" s="6" t="s">
        <v>17</v>
      </c>
      <c r="G1703" s="6" t="s">
        <v>1294</v>
      </c>
      <c r="H1703" s="6">
        <v>0</v>
      </c>
      <c r="I1703" s="6">
        <v>40</v>
      </c>
      <c r="J1703" s="6">
        <v>40</v>
      </c>
      <c r="K1703" s="6">
        <v>39.625</v>
      </c>
      <c r="L1703" s="6">
        <v>39.852941000000001</v>
      </c>
      <c r="M1703" s="6">
        <v>39.894365999999998</v>
      </c>
      <c r="N1703" s="6">
        <v>39.962778999999998</v>
      </c>
      <c r="O1703" s="6">
        <v>39.971750999999998</v>
      </c>
      <c r="P1703" s="6">
        <v>39.969020999999998</v>
      </c>
      <c r="Q1703" s="6">
        <v>39.963768000000002</v>
      </c>
      <c r="R1703" s="6">
        <v>39.972496999999997</v>
      </c>
      <c r="S1703" s="6">
        <v>39.969659999999998</v>
      </c>
      <c r="T1703" s="6">
        <v>39.867787999999997</v>
      </c>
      <c r="U1703" s="6">
        <v>39.928649</v>
      </c>
      <c r="V1703" s="6">
        <v>39.945453999999998</v>
      </c>
    </row>
    <row r="1704" spans="2:22">
      <c r="B1704" s="6">
        <v>32718</v>
      </c>
      <c r="C1704" s="6" t="s">
        <v>675</v>
      </c>
      <c r="D1704" s="6">
        <v>20902</v>
      </c>
      <c r="E1704" s="6" t="s">
        <v>53</v>
      </c>
      <c r="F1704" s="6" t="s">
        <v>13</v>
      </c>
      <c r="G1704" s="6" t="s">
        <v>14</v>
      </c>
      <c r="H1704" s="6">
        <v>0</v>
      </c>
      <c r="I1704" s="6">
        <v>15</v>
      </c>
      <c r="J1704" s="6">
        <v>15</v>
      </c>
      <c r="K1704" s="6">
        <v>18.622046999999998</v>
      </c>
      <c r="L1704" s="6">
        <v>18.557046</v>
      </c>
      <c r="M1704" s="6">
        <v>18.643459</v>
      </c>
      <c r="N1704" s="6">
        <v>19.181818</v>
      </c>
      <c r="O1704" s="6">
        <v>19.119288999999998</v>
      </c>
      <c r="P1704" s="6">
        <v>18.784502</v>
      </c>
      <c r="Q1704" s="6">
        <v>19.181818</v>
      </c>
      <c r="R1704" s="6">
        <v>19.101835999999999</v>
      </c>
      <c r="S1704" s="6">
        <v>18.763134000000001</v>
      </c>
      <c r="T1704" s="6">
        <v>19.181818</v>
      </c>
      <c r="U1704" s="6">
        <v>19.101835999999999</v>
      </c>
      <c r="V1704" s="6">
        <v>18.763134000000001</v>
      </c>
    </row>
    <row r="1705" spans="2:22">
      <c r="B1705" s="6">
        <v>32718</v>
      </c>
      <c r="C1705" s="6" t="s">
        <v>675</v>
      </c>
      <c r="D1705" s="6">
        <v>20906</v>
      </c>
      <c r="E1705" s="6" t="s">
        <v>48</v>
      </c>
      <c r="F1705" s="6" t="s">
        <v>49</v>
      </c>
      <c r="G1705" s="6" t="s">
        <v>1296</v>
      </c>
      <c r="H1705" s="6">
        <v>0</v>
      </c>
      <c r="I1705" s="6">
        <v>17</v>
      </c>
      <c r="J1705" s="6">
        <v>17</v>
      </c>
      <c r="K1705" s="6">
        <v>17.229590999999999</v>
      </c>
      <c r="L1705" s="6">
        <v>17.052391</v>
      </c>
      <c r="M1705" s="6">
        <v>17.431988</v>
      </c>
      <c r="N1705" s="6">
        <v>17.016705999999999</v>
      </c>
      <c r="O1705" s="6">
        <v>16.954350000000002</v>
      </c>
      <c r="P1705" s="6">
        <v>17.537869000000001</v>
      </c>
      <c r="Q1705" s="6">
        <v>17.016335999999999</v>
      </c>
      <c r="R1705" s="6">
        <v>16.958155999999999</v>
      </c>
      <c r="S1705" s="6">
        <v>17.538882000000001</v>
      </c>
      <c r="T1705" s="6">
        <v>17.016335999999999</v>
      </c>
      <c r="U1705" s="6">
        <v>16.958155999999999</v>
      </c>
      <c r="V1705" s="6">
        <v>17.538882000000001</v>
      </c>
    </row>
    <row r="1706" spans="2:22">
      <c r="B1706" s="6">
        <v>32719</v>
      </c>
      <c r="C1706" s="6" t="s">
        <v>754</v>
      </c>
      <c r="D1706" s="6">
        <v>20500</v>
      </c>
      <c r="E1706" s="6" t="s">
        <v>31</v>
      </c>
      <c r="F1706" s="6" t="s">
        <v>17</v>
      </c>
      <c r="G1706" s="6" t="s">
        <v>1294</v>
      </c>
      <c r="H1706" s="6">
        <v>0</v>
      </c>
      <c r="I1706" s="6">
        <v>25</v>
      </c>
      <c r="J1706" s="6">
        <v>25</v>
      </c>
      <c r="K1706" s="6">
        <v>26.046875</v>
      </c>
      <c r="L1706" s="6">
        <v>26.199541</v>
      </c>
      <c r="M1706" s="6">
        <v>26.109717</v>
      </c>
      <c r="N1706" s="6">
        <v>26.108958000000001</v>
      </c>
      <c r="O1706" s="6">
        <v>26.328648000000001</v>
      </c>
      <c r="P1706" s="6">
        <v>26.003786000000002</v>
      </c>
      <c r="Q1706" s="6">
        <v>26.101534000000001</v>
      </c>
      <c r="R1706" s="6">
        <v>26.316153</v>
      </c>
      <c r="S1706" s="6">
        <v>25.991613999999998</v>
      </c>
      <c r="T1706" s="6">
        <v>25.645997000000001</v>
      </c>
      <c r="U1706" s="6">
        <v>25.223958</v>
      </c>
      <c r="V1706" s="6">
        <v>24.770192999999999</v>
      </c>
    </row>
    <row r="1707" spans="2:22">
      <c r="B1707" s="6">
        <v>32719</v>
      </c>
      <c r="C1707" s="6" t="s">
        <v>754</v>
      </c>
      <c r="D1707" s="6">
        <v>20706</v>
      </c>
      <c r="E1707" s="6" t="s">
        <v>52</v>
      </c>
      <c r="F1707" s="6" t="s">
        <v>17</v>
      </c>
      <c r="G1707" s="6" t="s">
        <v>1294</v>
      </c>
      <c r="H1707" s="6">
        <v>0</v>
      </c>
      <c r="I1707" s="6">
        <v>40</v>
      </c>
      <c r="J1707" s="6">
        <v>40</v>
      </c>
      <c r="K1707" s="6">
        <v>39.625</v>
      </c>
      <c r="L1707" s="6">
        <v>39.852941000000001</v>
      </c>
      <c r="M1707" s="6">
        <v>39.894365999999998</v>
      </c>
      <c r="N1707" s="6">
        <v>39.962778999999998</v>
      </c>
      <c r="O1707" s="6">
        <v>39.971750999999998</v>
      </c>
      <c r="P1707" s="6">
        <v>39.969020999999998</v>
      </c>
      <c r="Q1707" s="6">
        <v>39.963768000000002</v>
      </c>
      <c r="R1707" s="6">
        <v>39.972496999999997</v>
      </c>
      <c r="S1707" s="6">
        <v>39.969659999999998</v>
      </c>
      <c r="T1707" s="6">
        <v>39.867787999999997</v>
      </c>
      <c r="U1707" s="6">
        <v>39.928649</v>
      </c>
      <c r="V1707" s="6">
        <v>39.945453999999998</v>
      </c>
    </row>
    <row r="1708" spans="2:22">
      <c r="B1708" s="6">
        <v>32719</v>
      </c>
      <c r="C1708" s="6" t="s">
        <v>754</v>
      </c>
      <c r="D1708" s="6">
        <v>20902</v>
      </c>
      <c r="E1708" s="6" t="s">
        <v>53</v>
      </c>
      <c r="F1708" s="6" t="s">
        <v>13</v>
      </c>
      <c r="G1708" s="6" t="s">
        <v>14</v>
      </c>
      <c r="H1708" s="6">
        <v>0</v>
      </c>
      <c r="I1708" s="6">
        <v>15</v>
      </c>
      <c r="J1708" s="6">
        <v>15</v>
      </c>
      <c r="K1708" s="6">
        <v>18.622046999999998</v>
      </c>
      <c r="L1708" s="6">
        <v>18.557046</v>
      </c>
      <c r="M1708" s="6">
        <v>18.643459</v>
      </c>
      <c r="N1708" s="6">
        <v>19.181818</v>
      </c>
      <c r="O1708" s="6">
        <v>19.119288999999998</v>
      </c>
      <c r="P1708" s="6">
        <v>18.784502</v>
      </c>
      <c r="Q1708" s="6">
        <v>19.181818</v>
      </c>
      <c r="R1708" s="6">
        <v>19.101835999999999</v>
      </c>
      <c r="S1708" s="6">
        <v>18.763134000000001</v>
      </c>
      <c r="T1708" s="6">
        <v>19.181818</v>
      </c>
      <c r="U1708" s="6">
        <v>19.101835999999999</v>
      </c>
      <c r="V1708" s="6">
        <v>18.763134000000001</v>
      </c>
    </row>
    <row r="1709" spans="2:22">
      <c r="B1709" s="6">
        <v>32719</v>
      </c>
      <c r="C1709" s="6" t="s">
        <v>754</v>
      </c>
      <c r="D1709" s="6">
        <v>20906</v>
      </c>
      <c r="E1709" s="6" t="s">
        <v>48</v>
      </c>
      <c r="F1709" s="6" t="s">
        <v>49</v>
      </c>
      <c r="G1709" s="6" t="s">
        <v>1296</v>
      </c>
      <c r="H1709" s="6">
        <v>0</v>
      </c>
      <c r="I1709" s="6">
        <v>17</v>
      </c>
      <c r="J1709" s="6">
        <v>17</v>
      </c>
      <c r="K1709" s="6">
        <v>17.229590999999999</v>
      </c>
      <c r="L1709" s="6">
        <v>17.052391</v>
      </c>
      <c r="M1709" s="6">
        <v>17.431988</v>
      </c>
      <c r="N1709" s="6">
        <v>17.016705999999999</v>
      </c>
      <c r="O1709" s="6">
        <v>16.954350000000002</v>
      </c>
      <c r="P1709" s="6">
        <v>17.537869000000001</v>
      </c>
      <c r="Q1709" s="6">
        <v>17.016335999999999</v>
      </c>
      <c r="R1709" s="6">
        <v>16.958155999999999</v>
      </c>
      <c r="S1709" s="6">
        <v>17.538882000000001</v>
      </c>
      <c r="T1709" s="6">
        <v>17.016335999999999</v>
      </c>
      <c r="U1709" s="6">
        <v>16.958155999999999</v>
      </c>
      <c r="V1709" s="6">
        <v>17.538882000000001</v>
      </c>
    </row>
    <row r="1710" spans="2:22">
      <c r="B1710" s="6">
        <v>32720</v>
      </c>
      <c r="C1710" s="6" t="s">
        <v>1171</v>
      </c>
      <c r="D1710" s="6">
        <v>25000</v>
      </c>
      <c r="E1710" s="6" t="s">
        <v>1226</v>
      </c>
      <c r="F1710" s="6" t="s">
        <v>16</v>
      </c>
      <c r="G1710" s="6" t="s">
        <v>1295</v>
      </c>
      <c r="H1710" s="6">
        <v>0</v>
      </c>
      <c r="I1710" s="6">
        <v>20</v>
      </c>
      <c r="J1710" s="6">
        <v>20</v>
      </c>
      <c r="K1710" s="6">
        <v>13.076923000000001</v>
      </c>
      <c r="L1710" s="6">
        <v>14.533333000000001</v>
      </c>
      <c r="M1710" s="6">
        <v>15.393442</v>
      </c>
      <c r="N1710" s="6">
        <v>13.076923000000001</v>
      </c>
      <c r="O1710" s="6">
        <v>14.533333000000001</v>
      </c>
      <c r="P1710" s="6">
        <v>15.139533999999999</v>
      </c>
      <c r="Q1710" s="6">
        <v>13.076923000000001</v>
      </c>
      <c r="R1710" s="6">
        <v>14.533333000000001</v>
      </c>
      <c r="S1710" s="6">
        <v>15.139533999999999</v>
      </c>
      <c r="T1710" s="6">
        <v>13.076923000000001</v>
      </c>
      <c r="U1710" s="6">
        <v>14.533333000000001</v>
      </c>
      <c r="V1710" s="6">
        <v>15.139533999999999</v>
      </c>
    </row>
    <row r="1711" spans="2:22">
      <c r="B1711" s="6">
        <v>32720</v>
      </c>
      <c r="C1711" s="6" t="s">
        <v>1171</v>
      </c>
      <c r="D1711" s="6">
        <v>25000</v>
      </c>
      <c r="E1711" s="6" t="s">
        <v>1226</v>
      </c>
      <c r="F1711" s="6" t="s">
        <v>16</v>
      </c>
      <c r="G1711" s="6" t="s">
        <v>1295</v>
      </c>
      <c r="H1711" s="6">
        <v>0</v>
      </c>
      <c r="I1711" s="6">
        <v>20</v>
      </c>
      <c r="J1711" s="6">
        <v>20</v>
      </c>
      <c r="K1711" s="6">
        <v>13.076923000000001</v>
      </c>
      <c r="L1711" s="6">
        <v>14.533333000000001</v>
      </c>
      <c r="M1711" s="6">
        <v>15.393442</v>
      </c>
      <c r="N1711" s="6">
        <v>13.076923000000001</v>
      </c>
      <c r="O1711" s="6">
        <v>14.533333000000001</v>
      </c>
      <c r="P1711" s="6">
        <v>15.139533999999999</v>
      </c>
      <c r="Q1711" s="6">
        <v>13.076923000000001</v>
      </c>
      <c r="R1711" s="6">
        <v>14.533333000000001</v>
      </c>
      <c r="S1711" s="6">
        <v>15.139533999999999</v>
      </c>
      <c r="T1711" s="6">
        <v>13.076923000000001</v>
      </c>
      <c r="U1711" s="6">
        <v>14.533333000000001</v>
      </c>
      <c r="V1711" s="6">
        <v>15.139533999999999</v>
      </c>
    </row>
    <row r="1712" spans="2:22">
      <c r="B1712" s="6">
        <v>32720</v>
      </c>
      <c r="C1712" s="6" t="s">
        <v>1171</v>
      </c>
      <c r="D1712" s="6">
        <v>80008</v>
      </c>
      <c r="E1712" s="6" t="s">
        <v>1227</v>
      </c>
      <c r="F1712" s="6" t="s">
        <v>38</v>
      </c>
      <c r="G1712" s="6" t="s">
        <v>1302</v>
      </c>
      <c r="H1712" s="6">
        <v>0</v>
      </c>
      <c r="I1712" s="6">
        <v>10</v>
      </c>
      <c r="J1712" s="6">
        <v>10</v>
      </c>
      <c r="K1712" s="6">
        <v>0</v>
      </c>
      <c r="L1712" s="6">
        <v>10</v>
      </c>
      <c r="M1712" s="6">
        <v>10</v>
      </c>
      <c r="N1712" s="6">
        <v>0</v>
      </c>
      <c r="O1712" s="6">
        <v>10</v>
      </c>
      <c r="P1712" s="6">
        <v>10</v>
      </c>
      <c r="Q1712" s="6">
        <v>0</v>
      </c>
      <c r="R1712" s="6">
        <v>10</v>
      </c>
      <c r="S1712" s="6">
        <v>10</v>
      </c>
      <c r="T1712" s="6">
        <v>0</v>
      </c>
      <c r="U1712" s="6">
        <v>10</v>
      </c>
      <c r="V1712" s="6">
        <v>10</v>
      </c>
    </row>
    <row r="1713" spans="2:22">
      <c r="B1713" s="6">
        <v>32725</v>
      </c>
      <c r="C1713" s="6" t="s">
        <v>1208</v>
      </c>
      <c r="D1713" s="6">
        <v>80012</v>
      </c>
      <c r="E1713" s="6" t="s">
        <v>1230</v>
      </c>
      <c r="F1713" s="6" t="s">
        <v>73</v>
      </c>
      <c r="G1713" s="6" t="s">
        <v>1299</v>
      </c>
      <c r="H1713" s="6">
        <v>15</v>
      </c>
      <c r="I1713" s="6">
        <v>15</v>
      </c>
      <c r="J1713" s="6">
        <v>15</v>
      </c>
      <c r="K1713" s="6">
        <v>15</v>
      </c>
      <c r="L1713" s="6">
        <v>15</v>
      </c>
      <c r="M1713" s="6">
        <v>15</v>
      </c>
      <c r="N1713" s="6">
        <v>15</v>
      </c>
      <c r="O1713" s="6">
        <v>15</v>
      </c>
      <c r="P1713" s="6">
        <v>15</v>
      </c>
      <c r="Q1713" s="6">
        <v>15</v>
      </c>
      <c r="R1713" s="6">
        <v>15</v>
      </c>
      <c r="S1713" s="6">
        <v>15</v>
      </c>
      <c r="T1713" s="6">
        <v>15</v>
      </c>
      <c r="U1713" s="6">
        <v>15</v>
      </c>
      <c r="V1713" s="6">
        <v>15</v>
      </c>
    </row>
    <row r="1714" spans="2:22">
      <c r="B1714" s="6">
        <v>32727</v>
      </c>
      <c r="C1714" s="6" t="s">
        <v>500</v>
      </c>
      <c r="D1714" s="6">
        <v>23312</v>
      </c>
      <c r="E1714" s="6" t="s">
        <v>215</v>
      </c>
      <c r="F1714" s="6" t="s">
        <v>13</v>
      </c>
      <c r="G1714" s="6" t="s">
        <v>14</v>
      </c>
      <c r="H1714" s="6">
        <v>0</v>
      </c>
      <c r="I1714" s="6">
        <v>20</v>
      </c>
      <c r="J1714" s="6">
        <v>20</v>
      </c>
      <c r="K1714" s="6">
        <v>20</v>
      </c>
      <c r="L1714" s="6">
        <v>20</v>
      </c>
      <c r="M1714" s="6">
        <v>20</v>
      </c>
      <c r="N1714" s="6">
        <v>20</v>
      </c>
      <c r="O1714" s="6">
        <v>20</v>
      </c>
      <c r="P1714" s="6">
        <v>20</v>
      </c>
      <c r="Q1714" s="6">
        <v>20</v>
      </c>
      <c r="R1714" s="6">
        <v>20</v>
      </c>
      <c r="S1714" s="6">
        <v>20</v>
      </c>
      <c r="T1714" s="6">
        <v>20</v>
      </c>
      <c r="U1714" s="6">
        <v>20</v>
      </c>
      <c r="V1714" s="6">
        <v>20</v>
      </c>
    </row>
    <row r="1715" spans="2:22">
      <c r="B1715" s="6">
        <v>32728</v>
      </c>
      <c r="C1715" s="6" t="s">
        <v>612</v>
      </c>
      <c r="D1715" s="6">
        <v>20500</v>
      </c>
      <c r="E1715" s="6" t="s">
        <v>31</v>
      </c>
      <c r="F1715" s="6" t="s">
        <v>17</v>
      </c>
      <c r="G1715" s="6" t="s">
        <v>1294</v>
      </c>
      <c r="H1715" s="6">
        <v>0</v>
      </c>
      <c r="I1715" s="6">
        <v>27</v>
      </c>
      <c r="J1715" s="6">
        <v>27</v>
      </c>
      <c r="K1715" s="6">
        <v>26.046875</v>
      </c>
      <c r="L1715" s="6">
        <v>26.199541</v>
      </c>
      <c r="M1715" s="6">
        <v>26.109717</v>
      </c>
      <c r="N1715" s="6">
        <v>26.108958000000001</v>
      </c>
      <c r="O1715" s="6">
        <v>26.328648000000001</v>
      </c>
      <c r="P1715" s="6">
        <v>26.003786000000002</v>
      </c>
      <c r="Q1715" s="6">
        <v>26.101534000000001</v>
      </c>
      <c r="R1715" s="6">
        <v>26.316153</v>
      </c>
      <c r="S1715" s="6">
        <v>25.991613999999998</v>
      </c>
      <c r="T1715" s="6">
        <v>25.645997000000001</v>
      </c>
      <c r="U1715" s="6">
        <v>25.223958</v>
      </c>
      <c r="V1715" s="6">
        <v>24.770192999999999</v>
      </c>
    </row>
    <row r="1716" spans="2:22">
      <c r="B1716" s="6">
        <v>32728</v>
      </c>
      <c r="C1716" s="6" t="s">
        <v>612</v>
      </c>
      <c r="D1716" s="6">
        <v>20704</v>
      </c>
      <c r="E1716" s="6" t="s">
        <v>47</v>
      </c>
      <c r="F1716" s="6" t="s">
        <v>17</v>
      </c>
      <c r="G1716" s="6" t="s">
        <v>1294</v>
      </c>
      <c r="H1716" s="6">
        <v>0</v>
      </c>
      <c r="I1716" s="6">
        <v>30</v>
      </c>
      <c r="J1716" s="6">
        <v>30</v>
      </c>
      <c r="K1716" s="6">
        <v>0</v>
      </c>
      <c r="L1716" s="6">
        <v>30</v>
      </c>
      <c r="M1716" s="6">
        <v>30</v>
      </c>
      <c r="N1716" s="6">
        <v>0</v>
      </c>
      <c r="O1716" s="6">
        <v>30</v>
      </c>
      <c r="P1716" s="6">
        <v>30</v>
      </c>
      <c r="Q1716" s="6">
        <v>30</v>
      </c>
      <c r="R1716" s="6">
        <v>30</v>
      </c>
      <c r="S1716" s="6">
        <v>30</v>
      </c>
      <c r="T1716" s="6">
        <v>30</v>
      </c>
      <c r="U1716" s="6">
        <v>30</v>
      </c>
      <c r="V1716" s="6">
        <v>30</v>
      </c>
    </row>
    <row r="1717" spans="2:22">
      <c r="B1717" s="6">
        <v>32728</v>
      </c>
      <c r="C1717" s="6" t="s">
        <v>612</v>
      </c>
      <c r="D1717" s="6">
        <v>20902</v>
      </c>
      <c r="E1717" s="6" t="s">
        <v>53</v>
      </c>
      <c r="F1717" s="6" t="s">
        <v>16</v>
      </c>
      <c r="G1717" s="6" t="s">
        <v>1295</v>
      </c>
      <c r="H1717" s="6">
        <v>0</v>
      </c>
      <c r="I1717" s="6">
        <v>30</v>
      </c>
      <c r="J1717" s="6">
        <v>30</v>
      </c>
      <c r="K1717" s="6">
        <v>26.721311</v>
      </c>
      <c r="L1717" s="6">
        <v>25.932835000000001</v>
      </c>
      <c r="M1717" s="6">
        <v>26.507536999999999</v>
      </c>
      <c r="N1717" s="6">
        <v>27.102803000000002</v>
      </c>
      <c r="O1717" s="6">
        <v>26.100322999999999</v>
      </c>
      <c r="P1717" s="6">
        <v>27.578899</v>
      </c>
      <c r="Q1717" s="6">
        <v>27.102803000000002</v>
      </c>
      <c r="R1717" s="6">
        <v>26.100322999999999</v>
      </c>
      <c r="S1717" s="6">
        <v>27.558453</v>
      </c>
      <c r="T1717" s="6">
        <v>26.737159999999999</v>
      </c>
      <c r="U1717" s="6">
        <v>25.752351000000001</v>
      </c>
      <c r="V1717" s="6">
        <v>27.323633000000001</v>
      </c>
    </row>
    <row r="1718" spans="2:22">
      <c r="B1718" s="6">
        <v>32728</v>
      </c>
      <c r="C1718" s="6" t="s">
        <v>612</v>
      </c>
      <c r="D1718" s="6">
        <v>20906</v>
      </c>
      <c r="E1718" s="6" t="s">
        <v>48</v>
      </c>
      <c r="F1718" s="6" t="s">
        <v>49</v>
      </c>
      <c r="G1718" s="6" t="s">
        <v>1296</v>
      </c>
      <c r="H1718" s="6">
        <v>0</v>
      </c>
      <c r="I1718" s="6">
        <v>17</v>
      </c>
      <c r="J1718" s="6">
        <v>17</v>
      </c>
      <c r="K1718" s="6">
        <v>17.229590999999999</v>
      </c>
      <c r="L1718" s="6">
        <v>17.052391</v>
      </c>
      <c r="M1718" s="6">
        <v>17.431988</v>
      </c>
      <c r="N1718" s="6">
        <v>17.016705999999999</v>
      </c>
      <c r="O1718" s="6">
        <v>16.954350000000002</v>
      </c>
      <c r="P1718" s="6">
        <v>17.537869000000001</v>
      </c>
      <c r="Q1718" s="6">
        <v>17.016335999999999</v>
      </c>
      <c r="R1718" s="6">
        <v>16.958155999999999</v>
      </c>
      <c r="S1718" s="6">
        <v>17.538882000000001</v>
      </c>
      <c r="T1718" s="6">
        <v>17.016335999999999</v>
      </c>
      <c r="U1718" s="6">
        <v>16.958155999999999</v>
      </c>
      <c r="V1718" s="6">
        <v>17.538882000000001</v>
      </c>
    </row>
    <row r="1719" spans="2:22">
      <c r="B1719" s="6">
        <v>32730</v>
      </c>
      <c r="C1719" s="6" t="s">
        <v>671</v>
      </c>
      <c r="D1719" s="6">
        <v>20500</v>
      </c>
      <c r="E1719" s="6" t="s">
        <v>31</v>
      </c>
      <c r="F1719" s="6" t="s">
        <v>17</v>
      </c>
      <c r="G1719" s="6" t="s">
        <v>1294</v>
      </c>
      <c r="H1719" s="6">
        <v>25</v>
      </c>
      <c r="I1719" s="6">
        <v>25</v>
      </c>
      <c r="J1719" s="6">
        <v>25</v>
      </c>
      <c r="K1719" s="6">
        <v>26.179282000000001</v>
      </c>
      <c r="L1719" s="6">
        <v>26.186138</v>
      </c>
      <c r="M1719" s="6">
        <v>25.935728999999998</v>
      </c>
      <c r="N1719" s="6">
        <v>26.108958000000001</v>
      </c>
      <c r="O1719" s="6">
        <v>26.328648000000001</v>
      </c>
      <c r="P1719" s="6">
        <v>26.003786000000002</v>
      </c>
      <c r="Q1719" s="6">
        <v>26.101534000000001</v>
      </c>
      <c r="R1719" s="6">
        <v>26.316153</v>
      </c>
      <c r="S1719" s="6">
        <v>25.991613999999998</v>
      </c>
      <c r="T1719" s="6">
        <v>25.645997000000001</v>
      </c>
      <c r="U1719" s="6">
        <v>25.223958</v>
      </c>
      <c r="V1719" s="6">
        <v>24.770192999999999</v>
      </c>
    </row>
    <row r="1720" spans="2:22">
      <c r="B1720" s="6">
        <v>32730</v>
      </c>
      <c r="C1720" s="6" t="s">
        <v>671</v>
      </c>
      <c r="D1720" s="6">
        <v>20706</v>
      </c>
      <c r="E1720" s="6" t="s">
        <v>52</v>
      </c>
      <c r="F1720" s="6" t="s">
        <v>17</v>
      </c>
      <c r="G1720" s="6" t="s">
        <v>1294</v>
      </c>
      <c r="H1720" s="6">
        <v>40</v>
      </c>
      <c r="I1720" s="6">
        <v>40</v>
      </c>
      <c r="J1720" s="6">
        <v>40</v>
      </c>
      <c r="K1720" s="6">
        <v>40</v>
      </c>
      <c r="L1720" s="6">
        <v>40</v>
      </c>
      <c r="M1720" s="6">
        <v>39.931505999999999</v>
      </c>
      <c r="N1720" s="6">
        <v>39.962778999999998</v>
      </c>
      <c r="O1720" s="6">
        <v>39.971750999999998</v>
      </c>
      <c r="P1720" s="6">
        <v>39.969020999999998</v>
      </c>
      <c r="Q1720" s="6">
        <v>39.963768000000002</v>
      </c>
      <c r="R1720" s="6">
        <v>39.972496999999997</v>
      </c>
      <c r="S1720" s="6">
        <v>39.969659999999998</v>
      </c>
      <c r="T1720" s="6">
        <v>39.867787999999997</v>
      </c>
      <c r="U1720" s="6">
        <v>39.928649</v>
      </c>
      <c r="V1720" s="6">
        <v>39.945453999999998</v>
      </c>
    </row>
    <row r="1721" spans="2:22">
      <c r="B1721" s="6">
        <v>32730</v>
      </c>
      <c r="C1721" s="6" t="s">
        <v>671</v>
      </c>
      <c r="D1721" s="6">
        <v>20902</v>
      </c>
      <c r="E1721" s="6" t="s">
        <v>53</v>
      </c>
      <c r="F1721" s="6" t="s">
        <v>13</v>
      </c>
      <c r="G1721" s="6" t="s">
        <v>14</v>
      </c>
      <c r="H1721" s="6">
        <v>15</v>
      </c>
      <c r="I1721" s="6">
        <v>15</v>
      </c>
      <c r="J1721" s="6">
        <v>15</v>
      </c>
      <c r="K1721" s="6">
        <v>18.635802000000002</v>
      </c>
      <c r="L1721" s="6">
        <v>18.195121</v>
      </c>
      <c r="M1721" s="6">
        <v>17.625368000000002</v>
      </c>
      <c r="N1721" s="6">
        <v>19.181818</v>
      </c>
      <c r="O1721" s="6">
        <v>19.119288999999998</v>
      </c>
      <c r="P1721" s="6">
        <v>18.784502</v>
      </c>
      <c r="Q1721" s="6">
        <v>19.181818</v>
      </c>
      <c r="R1721" s="6">
        <v>19.101835999999999</v>
      </c>
      <c r="S1721" s="6">
        <v>18.763134000000001</v>
      </c>
      <c r="T1721" s="6">
        <v>19.181818</v>
      </c>
      <c r="U1721" s="6">
        <v>19.101835999999999</v>
      </c>
      <c r="V1721" s="6">
        <v>18.763134000000001</v>
      </c>
    </row>
    <row r="1722" spans="2:22">
      <c r="B1722" s="6">
        <v>32730</v>
      </c>
      <c r="C1722" s="6" t="s">
        <v>671</v>
      </c>
      <c r="D1722" s="6">
        <v>20906</v>
      </c>
      <c r="E1722" s="6" t="s">
        <v>48</v>
      </c>
      <c r="F1722" s="6" t="s">
        <v>49</v>
      </c>
      <c r="G1722" s="6" t="s">
        <v>1296</v>
      </c>
      <c r="H1722" s="6">
        <v>17</v>
      </c>
      <c r="I1722" s="6">
        <v>17</v>
      </c>
      <c r="J1722" s="6">
        <v>17</v>
      </c>
      <c r="K1722" s="6">
        <v>16.992394999999998</v>
      </c>
      <c r="L1722" s="6">
        <v>16.951830000000001</v>
      </c>
      <c r="M1722" s="6">
        <v>17.405908</v>
      </c>
      <c r="N1722" s="6">
        <v>17.016705999999999</v>
      </c>
      <c r="O1722" s="6">
        <v>16.954350000000002</v>
      </c>
      <c r="P1722" s="6">
        <v>17.537869000000001</v>
      </c>
      <c r="Q1722" s="6">
        <v>17.016335999999999</v>
      </c>
      <c r="R1722" s="6">
        <v>16.958155999999999</v>
      </c>
      <c r="S1722" s="6">
        <v>17.538882000000001</v>
      </c>
      <c r="T1722" s="6">
        <v>17.016335999999999</v>
      </c>
      <c r="U1722" s="6">
        <v>16.958155999999999</v>
      </c>
      <c r="V1722" s="6">
        <v>17.538882000000001</v>
      </c>
    </row>
    <row r="1723" spans="2:22">
      <c r="B1723" s="6">
        <v>32731</v>
      </c>
      <c r="C1723" s="6" t="s">
        <v>536</v>
      </c>
      <c r="D1723" s="6">
        <v>20500</v>
      </c>
      <c r="E1723" s="6" t="s">
        <v>31</v>
      </c>
      <c r="F1723" s="6" t="s">
        <v>17</v>
      </c>
      <c r="G1723" s="6" t="s">
        <v>1294</v>
      </c>
      <c r="H1723" s="6">
        <v>0</v>
      </c>
      <c r="I1723" s="6">
        <v>25</v>
      </c>
      <c r="J1723" s="6">
        <v>25</v>
      </c>
      <c r="K1723" s="6">
        <v>26.179282000000001</v>
      </c>
      <c r="L1723" s="6">
        <v>26.186138</v>
      </c>
      <c r="M1723" s="6">
        <v>25.935728999999998</v>
      </c>
      <c r="N1723" s="6">
        <v>26.108958000000001</v>
      </c>
      <c r="O1723" s="6">
        <v>26.328648000000001</v>
      </c>
      <c r="P1723" s="6">
        <v>26.003786000000002</v>
      </c>
      <c r="Q1723" s="6">
        <v>26.101534000000001</v>
      </c>
      <c r="R1723" s="6">
        <v>26.316153</v>
      </c>
      <c r="S1723" s="6">
        <v>25.991613999999998</v>
      </c>
      <c r="T1723" s="6">
        <v>25.645997000000001</v>
      </c>
      <c r="U1723" s="6">
        <v>25.223958</v>
      </c>
      <c r="V1723" s="6">
        <v>24.770192999999999</v>
      </c>
    </row>
    <row r="1724" spans="2:22">
      <c r="B1724" s="6">
        <v>32731</v>
      </c>
      <c r="C1724" s="6" t="s">
        <v>536</v>
      </c>
      <c r="D1724" s="6">
        <v>20705</v>
      </c>
      <c r="E1724" s="6" t="s">
        <v>59</v>
      </c>
      <c r="F1724" s="6" t="s">
        <v>17</v>
      </c>
      <c r="G1724" s="6" t="s">
        <v>1294</v>
      </c>
      <c r="H1724" s="6">
        <v>0</v>
      </c>
      <c r="I1724" s="6">
        <v>30</v>
      </c>
      <c r="J1724" s="6">
        <v>30</v>
      </c>
      <c r="K1724" s="6">
        <v>30</v>
      </c>
      <c r="L1724" s="6">
        <v>30</v>
      </c>
      <c r="M1724" s="6">
        <v>30</v>
      </c>
      <c r="N1724" s="6">
        <v>30</v>
      </c>
      <c r="O1724" s="6">
        <v>30</v>
      </c>
      <c r="P1724" s="6">
        <v>30</v>
      </c>
      <c r="Q1724" s="6">
        <v>30</v>
      </c>
      <c r="R1724" s="6">
        <v>30</v>
      </c>
      <c r="S1724" s="6">
        <v>29.784172000000002</v>
      </c>
      <c r="T1724" s="6">
        <v>30</v>
      </c>
      <c r="U1724" s="6">
        <v>30</v>
      </c>
      <c r="V1724" s="6">
        <v>29.784172000000002</v>
      </c>
    </row>
    <row r="1725" spans="2:22">
      <c r="B1725" s="6">
        <v>32731</v>
      </c>
      <c r="C1725" s="6" t="s">
        <v>536</v>
      </c>
      <c r="D1725" s="6">
        <v>20902</v>
      </c>
      <c r="E1725" s="6" t="s">
        <v>53</v>
      </c>
      <c r="F1725" s="6" t="s">
        <v>13</v>
      </c>
      <c r="G1725" s="6" t="s">
        <v>14</v>
      </c>
      <c r="H1725" s="6">
        <v>0</v>
      </c>
      <c r="I1725" s="6">
        <v>15</v>
      </c>
      <c r="J1725" s="6">
        <v>15</v>
      </c>
      <c r="K1725" s="6">
        <v>18.635802000000002</v>
      </c>
      <c r="L1725" s="6">
        <v>18.195121</v>
      </c>
      <c r="M1725" s="6">
        <v>17.625368000000002</v>
      </c>
      <c r="N1725" s="6">
        <v>19.181818</v>
      </c>
      <c r="O1725" s="6">
        <v>19.119288999999998</v>
      </c>
      <c r="P1725" s="6">
        <v>18.784502</v>
      </c>
      <c r="Q1725" s="6">
        <v>19.181818</v>
      </c>
      <c r="R1725" s="6">
        <v>19.101835999999999</v>
      </c>
      <c r="S1725" s="6">
        <v>18.763134000000001</v>
      </c>
      <c r="T1725" s="6">
        <v>19.181818</v>
      </c>
      <c r="U1725" s="6">
        <v>19.101835999999999</v>
      </c>
      <c r="V1725" s="6">
        <v>18.763134000000001</v>
      </c>
    </row>
    <row r="1726" spans="2:22">
      <c r="B1726" s="6">
        <v>32731</v>
      </c>
      <c r="C1726" s="6" t="s">
        <v>536</v>
      </c>
      <c r="D1726" s="6">
        <v>20906</v>
      </c>
      <c r="E1726" s="6" t="s">
        <v>48</v>
      </c>
      <c r="F1726" s="6" t="s">
        <v>49</v>
      </c>
      <c r="G1726" s="6" t="s">
        <v>1296</v>
      </c>
      <c r="H1726" s="6">
        <v>0</v>
      </c>
      <c r="I1726" s="6">
        <v>17</v>
      </c>
      <c r="J1726" s="6">
        <v>17</v>
      </c>
      <c r="K1726" s="6">
        <v>16.992394999999998</v>
      </c>
      <c r="L1726" s="6">
        <v>16.951830000000001</v>
      </c>
      <c r="M1726" s="6">
        <v>17.405908</v>
      </c>
      <c r="N1726" s="6">
        <v>17.016705999999999</v>
      </c>
      <c r="O1726" s="6">
        <v>16.954350000000002</v>
      </c>
      <c r="P1726" s="6">
        <v>17.537869000000001</v>
      </c>
      <c r="Q1726" s="6">
        <v>17.016335999999999</v>
      </c>
      <c r="R1726" s="6">
        <v>16.958155999999999</v>
      </c>
      <c r="S1726" s="6">
        <v>17.538882000000001</v>
      </c>
      <c r="T1726" s="6">
        <v>17.016335999999999</v>
      </c>
      <c r="U1726" s="6">
        <v>16.958155999999999</v>
      </c>
      <c r="V1726" s="6">
        <v>17.538882000000001</v>
      </c>
    </row>
    <row r="1727" spans="2:22">
      <c r="B1727" s="6">
        <v>32732</v>
      </c>
      <c r="C1727" s="6" t="s">
        <v>1148</v>
      </c>
      <c r="D1727" s="6">
        <v>23500</v>
      </c>
      <c r="E1727" s="6" t="s">
        <v>37</v>
      </c>
      <c r="F1727" s="6" t="s">
        <v>1305</v>
      </c>
      <c r="G1727" s="6" t="s">
        <v>1306</v>
      </c>
      <c r="H1727" s="6">
        <v>10</v>
      </c>
      <c r="I1727" s="6">
        <v>10</v>
      </c>
      <c r="J1727" s="6">
        <v>10</v>
      </c>
      <c r="K1727" s="6">
        <v>10</v>
      </c>
      <c r="L1727" s="6">
        <v>10</v>
      </c>
      <c r="M1727" s="6">
        <v>10</v>
      </c>
      <c r="N1727" s="6">
        <v>10</v>
      </c>
      <c r="O1727" s="6">
        <v>10</v>
      </c>
      <c r="P1727" s="6">
        <v>10</v>
      </c>
      <c r="Q1727" s="6">
        <v>10</v>
      </c>
      <c r="R1727" s="6">
        <v>10</v>
      </c>
      <c r="S1727" s="6">
        <v>10</v>
      </c>
      <c r="T1727" s="6">
        <v>9.1111109999999993</v>
      </c>
      <c r="U1727" s="6">
        <v>7.5909089999999999</v>
      </c>
      <c r="V1727" s="6">
        <v>7.2666659999999998</v>
      </c>
    </row>
    <row r="1728" spans="2:22">
      <c r="B1728" s="6">
        <v>32733</v>
      </c>
      <c r="C1728" s="6" t="s">
        <v>1149</v>
      </c>
      <c r="D1728" s="6">
        <v>23500</v>
      </c>
      <c r="E1728" s="6" t="s">
        <v>37</v>
      </c>
      <c r="F1728" s="6" t="s">
        <v>1305</v>
      </c>
      <c r="G1728" s="6" t="s">
        <v>1306</v>
      </c>
      <c r="H1728" s="6">
        <v>10</v>
      </c>
      <c r="I1728" s="6">
        <v>10</v>
      </c>
      <c r="J1728" s="6">
        <v>10</v>
      </c>
      <c r="K1728" s="6">
        <v>10</v>
      </c>
      <c r="L1728" s="6">
        <v>10</v>
      </c>
      <c r="M1728" s="6">
        <v>10</v>
      </c>
      <c r="N1728" s="6">
        <v>10</v>
      </c>
      <c r="O1728" s="6">
        <v>10</v>
      </c>
      <c r="P1728" s="6">
        <v>10</v>
      </c>
      <c r="Q1728" s="6">
        <v>10</v>
      </c>
      <c r="R1728" s="6">
        <v>10</v>
      </c>
      <c r="S1728" s="6">
        <v>10</v>
      </c>
      <c r="T1728" s="6">
        <v>9.1111109999999993</v>
      </c>
      <c r="U1728" s="6">
        <v>7.5909089999999999</v>
      </c>
      <c r="V1728" s="6">
        <v>7.2666659999999998</v>
      </c>
    </row>
    <row r="1729" spans="2:22">
      <c r="B1729" s="6">
        <v>32734</v>
      </c>
      <c r="C1729" s="6" t="s">
        <v>1145</v>
      </c>
      <c r="D1729" s="6">
        <v>23500</v>
      </c>
      <c r="E1729" s="6" t="s">
        <v>37</v>
      </c>
      <c r="F1729" s="6" t="s">
        <v>1305</v>
      </c>
      <c r="G1729" s="6" t="s">
        <v>1306</v>
      </c>
      <c r="H1729" s="6">
        <v>10</v>
      </c>
      <c r="I1729" s="6">
        <v>10</v>
      </c>
      <c r="J1729" s="6">
        <v>10</v>
      </c>
      <c r="K1729" s="6">
        <v>10</v>
      </c>
      <c r="L1729" s="6">
        <v>10</v>
      </c>
      <c r="M1729" s="6">
        <v>10</v>
      </c>
      <c r="N1729" s="6">
        <v>10</v>
      </c>
      <c r="O1729" s="6">
        <v>10</v>
      </c>
      <c r="P1729" s="6">
        <v>10</v>
      </c>
      <c r="Q1729" s="6">
        <v>10</v>
      </c>
      <c r="R1729" s="6">
        <v>10</v>
      </c>
      <c r="S1729" s="6">
        <v>10</v>
      </c>
      <c r="T1729" s="6">
        <v>9.1111109999999993</v>
      </c>
      <c r="U1729" s="6">
        <v>7.5909089999999999</v>
      </c>
      <c r="V1729" s="6">
        <v>7.2666659999999998</v>
      </c>
    </row>
    <row r="1730" spans="2:22">
      <c r="B1730" s="6">
        <v>32736</v>
      </c>
      <c r="C1730" s="6" t="s">
        <v>735</v>
      </c>
      <c r="D1730" s="6">
        <v>20500</v>
      </c>
      <c r="E1730" s="6" t="s">
        <v>31</v>
      </c>
      <c r="F1730" s="6" t="s">
        <v>17</v>
      </c>
      <c r="G1730" s="6" t="s">
        <v>1294</v>
      </c>
      <c r="H1730" s="6">
        <v>0</v>
      </c>
      <c r="I1730" s="6">
        <v>27</v>
      </c>
      <c r="J1730" s="6">
        <v>27</v>
      </c>
      <c r="K1730" s="6">
        <v>26.046875</v>
      </c>
      <c r="L1730" s="6">
        <v>26.199541</v>
      </c>
      <c r="M1730" s="6">
        <v>26.109717</v>
      </c>
      <c r="N1730" s="6">
        <v>26.108958000000001</v>
      </c>
      <c r="O1730" s="6">
        <v>26.328648000000001</v>
      </c>
      <c r="P1730" s="6">
        <v>26.003786000000002</v>
      </c>
      <c r="Q1730" s="6">
        <v>26.101534000000001</v>
      </c>
      <c r="R1730" s="6">
        <v>26.316153</v>
      </c>
      <c r="S1730" s="6">
        <v>25.991613999999998</v>
      </c>
      <c r="T1730" s="6">
        <v>25.645997000000001</v>
      </c>
      <c r="U1730" s="6">
        <v>25.223958</v>
      </c>
      <c r="V1730" s="6">
        <v>24.770192999999999</v>
      </c>
    </row>
    <row r="1731" spans="2:22">
      <c r="B1731" s="6">
        <v>32736</v>
      </c>
      <c r="C1731" s="6" t="s">
        <v>735</v>
      </c>
      <c r="D1731" s="6">
        <v>20702</v>
      </c>
      <c r="E1731" s="6" t="s">
        <v>44</v>
      </c>
      <c r="F1731" s="6" t="s">
        <v>17</v>
      </c>
      <c r="G1731" s="6" t="s">
        <v>1294</v>
      </c>
      <c r="H1731" s="6">
        <v>0</v>
      </c>
      <c r="I1731" s="6">
        <v>35</v>
      </c>
      <c r="J1731" s="6">
        <v>35</v>
      </c>
      <c r="K1731" s="6">
        <v>34.851851000000003</v>
      </c>
      <c r="L1731" s="6">
        <v>34.933332999999998</v>
      </c>
      <c r="M1731" s="6">
        <v>34.897097000000002</v>
      </c>
      <c r="N1731" s="6">
        <v>34.893103000000004</v>
      </c>
      <c r="O1731" s="6">
        <v>34.949179999999998</v>
      </c>
      <c r="P1731" s="6">
        <v>34.926701000000001</v>
      </c>
      <c r="Q1731" s="6">
        <v>34.894556999999999</v>
      </c>
      <c r="R1731" s="6">
        <v>34.950949000000001</v>
      </c>
      <c r="S1731" s="6">
        <v>34.883485</v>
      </c>
      <c r="T1731" s="6">
        <v>34.894556999999999</v>
      </c>
      <c r="U1731" s="6">
        <v>34.950949000000001</v>
      </c>
      <c r="V1731" s="6">
        <v>34.883485</v>
      </c>
    </row>
    <row r="1732" spans="2:22">
      <c r="B1732" s="6">
        <v>32736</v>
      </c>
      <c r="C1732" s="6" t="s">
        <v>735</v>
      </c>
      <c r="D1732" s="6">
        <v>20902</v>
      </c>
      <c r="E1732" s="6" t="s">
        <v>53</v>
      </c>
      <c r="F1732" s="6" t="s">
        <v>13</v>
      </c>
      <c r="G1732" s="6" t="s">
        <v>14</v>
      </c>
      <c r="H1732" s="6">
        <v>0</v>
      </c>
      <c r="I1732" s="6">
        <v>20</v>
      </c>
      <c r="J1732" s="6">
        <v>20</v>
      </c>
      <c r="K1732" s="6">
        <v>18.622046999999998</v>
      </c>
      <c r="L1732" s="6">
        <v>18.557046</v>
      </c>
      <c r="M1732" s="6">
        <v>18.643459</v>
      </c>
      <c r="N1732" s="6">
        <v>19.181818</v>
      </c>
      <c r="O1732" s="6">
        <v>19.119288999999998</v>
      </c>
      <c r="P1732" s="6">
        <v>18.784502</v>
      </c>
      <c r="Q1732" s="6">
        <v>19.181818</v>
      </c>
      <c r="R1732" s="6">
        <v>19.101835999999999</v>
      </c>
      <c r="S1732" s="6">
        <v>18.763134000000001</v>
      </c>
      <c r="T1732" s="6">
        <v>19.181818</v>
      </c>
      <c r="U1732" s="6">
        <v>19.101835999999999</v>
      </c>
      <c r="V1732" s="6">
        <v>18.763134000000001</v>
      </c>
    </row>
    <row r="1733" spans="2:22">
      <c r="B1733" s="6">
        <v>32736</v>
      </c>
      <c r="C1733" s="6" t="s">
        <v>735</v>
      </c>
      <c r="D1733" s="6">
        <v>20906</v>
      </c>
      <c r="E1733" s="6" t="s">
        <v>48</v>
      </c>
      <c r="F1733" s="6" t="s">
        <v>49</v>
      </c>
      <c r="G1733" s="6" t="s">
        <v>1296</v>
      </c>
      <c r="H1733" s="6">
        <v>0</v>
      </c>
      <c r="I1733" s="6">
        <v>17</v>
      </c>
      <c r="J1733" s="6">
        <v>17</v>
      </c>
      <c r="K1733" s="6">
        <v>17.229590999999999</v>
      </c>
      <c r="L1733" s="6">
        <v>17.052391</v>
      </c>
      <c r="M1733" s="6">
        <v>17.431988</v>
      </c>
      <c r="N1733" s="6">
        <v>17.016705999999999</v>
      </c>
      <c r="O1733" s="6">
        <v>16.954350000000002</v>
      </c>
      <c r="P1733" s="6">
        <v>17.537869000000001</v>
      </c>
      <c r="Q1733" s="6">
        <v>17.016335999999999</v>
      </c>
      <c r="R1733" s="6">
        <v>16.958155999999999</v>
      </c>
      <c r="S1733" s="6">
        <v>17.538882000000001</v>
      </c>
      <c r="T1733" s="6">
        <v>17.016335999999999</v>
      </c>
      <c r="U1733" s="6">
        <v>16.958155999999999</v>
      </c>
      <c r="V1733" s="6">
        <v>17.538882000000001</v>
      </c>
    </row>
    <row r="1734" spans="2:22">
      <c r="B1734" s="6">
        <v>32737</v>
      </c>
      <c r="C1734" s="6" t="s">
        <v>738</v>
      </c>
      <c r="D1734" s="6">
        <v>20500</v>
      </c>
      <c r="E1734" s="6" t="s">
        <v>31</v>
      </c>
      <c r="F1734" s="6" t="s">
        <v>17</v>
      </c>
      <c r="G1734" s="6" t="s">
        <v>1294</v>
      </c>
      <c r="H1734" s="6">
        <v>0</v>
      </c>
      <c r="I1734" s="6">
        <v>27</v>
      </c>
      <c r="J1734" s="6">
        <v>27</v>
      </c>
      <c r="K1734" s="6">
        <v>26.046875</v>
      </c>
      <c r="L1734" s="6">
        <v>26.199541</v>
      </c>
      <c r="M1734" s="6">
        <v>26.109717</v>
      </c>
      <c r="N1734" s="6">
        <v>26.108958000000001</v>
      </c>
      <c r="O1734" s="6">
        <v>26.328648000000001</v>
      </c>
      <c r="P1734" s="6">
        <v>26.003786000000002</v>
      </c>
      <c r="Q1734" s="6">
        <v>26.101534000000001</v>
      </c>
      <c r="R1734" s="6">
        <v>26.316153</v>
      </c>
      <c r="S1734" s="6">
        <v>25.991613999999998</v>
      </c>
      <c r="T1734" s="6">
        <v>25.645997000000001</v>
      </c>
      <c r="U1734" s="6">
        <v>25.223958</v>
      </c>
      <c r="V1734" s="6">
        <v>24.770192999999999</v>
      </c>
    </row>
    <row r="1735" spans="2:22">
      <c r="B1735" s="6">
        <v>32737</v>
      </c>
      <c r="C1735" s="6" t="s">
        <v>738</v>
      </c>
      <c r="D1735" s="6">
        <v>20702</v>
      </c>
      <c r="E1735" s="6" t="s">
        <v>44</v>
      </c>
      <c r="F1735" s="6" t="s">
        <v>17</v>
      </c>
      <c r="G1735" s="6" t="s">
        <v>1294</v>
      </c>
      <c r="H1735" s="6">
        <v>0</v>
      </c>
      <c r="I1735" s="6">
        <v>35</v>
      </c>
      <c r="J1735" s="6">
        <v>35</v>
      </c>
      <c r="K1735" s="6">
        <v>34.851851000000003</v>
      </c>
      <c r="L1735" s="6">
        <v>34.933332999999998</v>
      </c>
      <c r="M1735" s="6">
        <v>34.897097000000002</v>
      </c>
      <c r="N1735" s="6">
        <v>34.893103000000004</v>
      </c>
      <c r="O1735" s="6">
        <v>34.949179999999998</v>
      </c>
      <c r="P1735" s="6">
        <v>34.926701000000001</v>
      </c>
      <c r="Q1735" s="6">
        <v>34.894556999999999</v>
      </c>
      <c r="R1735" s="6">
        <v>34.950949000000001</v>
      </c>
      <c r="S1735" s="6">
        <v>34.883485</v>
      </c>
      <c r="T1735" s="6">
        <v>34.894556999999999</v>
      </c>
      <c r="U1735" s="6">
        <v>34.950949000000001</v>
      </c>
      <c r="V1735" s="6">
        <v>34.883485</v>
      </c>
    </row>
    <row r="1736" spans="2:22">
      <c r="B1736" s="6">
        <v>32737</v>
      </c>
      <c r="C1736" s="6" t="s">
        <v>738</v>
      </c>
      <c r="D1736" s="6">
        <v>20902</v>
      </c>
      <c r="E1736" s="6" t="s">
        <v>53</v>
      </c>
      <c r="F1736" s="6" t="s">
        <v>13</v>
      </c>
      <c r="G1736" s="6" t="s">
        <v>14</v>
      </c>
      <c r="H1736" s="6">
        <v>0</v>
      </c>
      <c r="I1736" s="6">
        <v>20</v>
      </c>
      <c r="J1736" s="6">
        <v>20</v>
      </c>
      <c r="K1736" s="6">
        <v>18.622046999999998</v>
      </c>
      <c r="L1736" s="6">
        <v>18.557046</v>
      </c>
      <c r="M1736" s="6">
        <v>18.643459</v>
      </c>
      <c r="N1736" s="6">
        <v>19.181818</v>
      </c>
      <c r="O1736" s="6">
        <v>19.119288999999998</v>
      </c>
      <c r="P1736" s="6">
        <v>18.784502</v>
      </c>
      <c r="Q1736" s="6">
        <v>19.181818</v>
      </c>
      <c r="R1736" s="6">
        <v>19.101835999999999</v>
      </c>
      <c r="S1736" s="6">
        <v>18.763134000000001</v>
      </c>
      <c r="T1736" s="6">
        <v>19.181818</v>
      </c>
      <c r="U1736" s="6">
        <v>19.101835999999999</v>
      </c>
      <c r="V1736" s="6">
        <v>18.763134000000001</v>
      </c>
    </row>
    <row r="1737" spans="2:22">
      <c r="B1737" s="6">
        <v>32737</v>
      </c>
      <c r="C1737" s="6" t="s">
        <v>738</v>
      </c>
      <c r="D1737" s="6">
        <v>20906</v>
      </c>
      <c r="E1737" s="6" t="s">
        <v>48</v>
      </c>
      <c r="F1737" s="6" t="s">
        <v>49</v>
      </c>
      <c r="G1737" s="6" t="s">
        <v>1296</v>
      </c>
      <c r="H1737" s="6">
        <v>0</v>
      </c>
      <c r="I1737" s="6">
        <v>15</v>
      </c>
      <c r="J1737" s="6">
        <v>15</v>
      </c>
      <c r="K1737" s="6">
        <v>17.229590999999999</v>
      </c>
      <c r="L1737" s="6">
        <v>17.052391</v>
      </c>
      <c r="M1737" s="6">
        <v>17.431988</v>
      </c>
      <c r="N1737" s="6">
        <v>17.016705999999999</v>
      </c>
      <c r="O1737" s="6">
        <v>16.954350000000002</v>
      </c>
      <c r="P1737" s="6">
        <v>17.537869000000001</v>
      </c>
      <c r="Q1737" s="6">
        <v>17.016335999999999</v>
      </c>
      <c r="R1737" s="6">
        <v>16.958155999999999</v>
      </c>
      <c r="S1737" s="6">
        <v>17.538882000000001</v>
      </c>
      <c r="T1737" s="6">
        <v>17.016335999999999</v>
      </c>
      <c r="U1737" s="6">
        <v>16.958155999999999</v>
      </c>
      <c r="V1737" s="6">
        <v>17.538882000000001</v>
      </c>
    </row>
    <row r="1738" spans="2:22">
      <c r="B1738" s="6">
        <v>32739</v>
      </c>
      <c r="C1738" s="6" t="s">
        <v>912</v>
      </c>
      <c r="D1738" s="6">
        <v>12400</v>
      </c>
      <c r="E1738" s="6" t="s">
        <v>217</v>
      </c>
      <c r="F1738" s="6" t="s">
        <v>16</v>
      </c>
      <c r="G1738" s="6" t="s">
        <v>1295</v>
      </c>
      <c r="H1738" s="6">
        <v>10</v>
      </c>
      <c r="I1738" s="6">
        <v>10</v>
      </c>
      <c r="J1738" s="6">
        <v>10</v>
      </c>
      <c r="K1738" s="6">
        <v>10</v>
      </c>
      <c r="L1738" s="6">
        <v>10</v>
      </c>
      <c r="M1738" s="6">
        <v>9.9817350000000005</v>
      </c>
      <c r="N1738" s="6">
        <v>9.2387090000000001</v>
      </c>
      <c r="O1738" s="6">
        <v>8.7126429999999999</v>
      </c>
      <c r="P1738" s="6">
        <v>8.6856360000000006</v>
      </c>
      <c r="Q1738" s="6">
        <v>9.2387090000000001</v>
      </c>
      <c r="R1738" s="6">
        <v>8.7126429999999999</v>
      </c>
      <c r="S1738" s="6">
        <v>8.6856360000000006</v>
      </c>
      <c r="T1738" s="6">
        <v>8.8875729999999997</v>
      </c>
      <c r="U1738" s="6">
        <v>8.6089380000000002</v>
      </c>
      <c r="V1738" s="6">
        <v>8.6174140000000001</v>
      </c>
    </row>
    <row r="1739" spans="2:22">
      <c r="B1739" s="6">
        <v>32739</v>
      </c>
      <c r="C1739" s="6" t="s">
        <v>912</v>
      </c>
      <c r="D1739" s="6">
        <v>23311</v>
      </c>
      <c r="E1739" s="6" t="s">
        <v>221</v>
      </c>
      <c r="F1739" s="6" t="s">
        <v>16</v>
      </c>
      <c r="G1739" s="6" t="s">
        <v>1295</v>
      </c>
      <c r="H1739" s="6">
        <v>10</v>
      </c>
      <c r="I1739" s="6">
        <v>10</v>
      </c>
      <c r="J1739" s="6">
        <v>10</v>
      </c>
      <c r="K1739" s="6">
        <v>10</v>
      </c>
      <c r="L1739" s="6">
        <v>10</v>
      </c>
      <c r="M1739" s="6">
        <v>10</v>
      </c>
      <c r="N1739" s="6">
        <v>10.099009000000001</v>
      </c>
      <c r="O1739" s="6">
        <v>10.02364</v>
      </c>
      <c r="P1739" s="6">
        <v>10.011260999999999</v>
      </c>
      <c r="Q1739" s="6">
        <v>10.099009000000001</v>
      </c>
      <c r="R1739" s="6">
        <v>10.02364</v>
      </c>
      <c r="S1739" s="6">
        <v>10.011260999999999</v>
      </c>
      <c r="T1739" s="6">
        <v>10.099009000000001</v>
      </c>
      <c r="U1739" s="6">
        <v>10.02364</v>
      </c>
      <c r="V1739" s="6">
        <v>10.011260999999999</v>
      </c>
    </row>
    <row r="1740" spans="2:22">
      <c r="B1740" s="6">
        <v>32740</v>
      </c>
      <c r="C1740" s="6" t="s">
        <v>1167</v>
      </c>
      <c r="D1740" s="6">
        <v>25000</v>
      </c>
      <c r="E1740" s="6" t="s">
        <v>1226</v>
      </c>
      <c r="F1740" s="6" t="s">
        <v>16</v>
      </c>
      <c r="G1740" s="6" t="s">
        <v>1295</v>
      </c>
      <c r="H1740" s="6">
        <v>0</v>
      </c>
      <c r="I1740" s="6">
        <v>20</v>
      </c>
      <c r="J1740" s="6">
        <v>20</v>
      </c>
      <c r="K1740" s="6">
        <v>13.076923000000001</v>
      </c>
      <c r="L1740" s="6">
        <v>14.533333000000001</v>
      </c>
      <c r="M1740" s="6">
        <v>15.393442</v>
      </c>
      <c r="N1740" s="6">
        <v>13.076923000000001</v>
      </c>
      <c r="O1740" s="6">
        <v>14.533333000000001</v>
      </c>
      <c r="P1740" s="6">
        <v>15.139533999999999</v>
      </c>
      <c r="Q1740" s="6">
        <v>13.076923000000001</v>
      </c>
      <c r="R1740" s="6">
        <v>14.533333000000001</v>
      </c>
      <c r="S1740" s="6">
        <v>15.139533999999999</v>
      </c>
      <c r="T1740" s="6">
        <v>13.076923000000001</v>
      </c>
      <c r="U1740" s="6">
        <v>14.533333000000001</v>
      </c>
      <c r="V1740" s="6">
        <v>15.139533999999999</v>
      </c>
    </row>
    <row r="1741" spans="2:22">
      <c r="B1741" s="6">
        <v>32741</v>
      </c>
      <c r="C1741" s="6" t="s">
        <v>682</v>
      </c>
      <c r="D1741" s="6">
        <v>20500</v>
      </c>
      <c r="E1741" s="6" t="s">
        <v>31</v>
      </c>
      <c r="F1741" s="6" t="s">
        <v>17</v>
      </c>
      <c r="G1741" s="6" t="s">
        <v>1294</v>
      </c>
      <c r="H1741" s="6">
        <v>27</v>
      </c>
      <c r="I1741" s="6">
        <v>27</v>
      </c>
      <c r="J1741" s="6">
        <v>27</v>
      </c>
      <c r="K1741" s="6">
        <v>26.093993999999999</v>
      </c>
      <c r="L1741" s="6">
        <v>26.469746000000001</v>
      </c>
      <c r="M1741" s="6">
        <v>26.000619</v>
      </c>
      <c r="N1741" s="6">
        <v>26.108958000000001</v>
      </c>
      <c r="O1741" s="6">
        <v>26.328648000000001</v>
      </c>
      <c r="P1741" s="6">
        <v>26.003786000000002</v>
      </c>
      <c r="Q1741" s="6">
        <v>26.101534000000001</v>
      </c>
      <c r="R1741" s="6">
        <v>26.316153</v>
      </c>
      <c r="S1741" s="6">
        <v>25.991613999999998</v>
      </c>
      <c r="T1741" s="6">
        <v>25.645997000000001</v>
      </c>
      <c r="U1741" s="6">
        <v>25.223958</v>
      </c>
      <c r="V1741" s="6">
        <v>24.770192999999999</v>
      </c>
    </row>
    <row r="1742" spans="2:22">
      <c r="B1742" s="6">
        <v>32741</v>
      </c>
      <c r="C1742" s="6" t="s">
        <v>682</v>
      </c>
      <c r="D1742" s="6">
        <v>20702</v>
      </c>
      <c r="E1742" s="6" t="s">
        <v>44</v>
      </c>
      <c r="F1742" s="6" t="s">
        <v>17</v>
      </c>
      <c r="G1742" s="6" t="s">
        <v>1294</v>
      </c>
      <c r="H1742" s="6">
        <v>35</v>
      </c>
      <c r="I1742" s="6">
        <v>35</v>
      </c>
      <c r="J1742" s="6">
        <v>35</v>
      </c>
      <c r="K1742" s="6">
        <v>35</v>
      </c>
      <c r="L1742" s="6">
        <v>35</v>
      </c>
      <c r="M1742" s="6">
        <v>35</v>
      </c>
      <c r="N1742" s="6">
        <v>34.893103000000004</v>
      </c>
      <c r="O1742" s="6">
        <v>34.949179999999998</v>
      </c>
      <c r="P1742" s="6">
        <v>34.926701000000001</v>
      </c>
      <c r="Q1742" s="6">
        <v>34.894556999999999</v>
      </c>
      <c r="R1742" s="6">
        <v>34.950949000000001</v>
      </c>
      <c r="S1742" s="6">
        <v>34.883485</v>
      </c>
      <c r="T1742" s="6">
        <v>34.894556999999999</v>
      </c>
      <c r="U1742" s="6">
        <v>34.950949000000001</v>
      </c>
      <c r="V1742" s="6">
        <v>34.883485</v>
      </c>
    </row>
    <row r="1743" spans="2:22">
      <c r="B1743" s="6">
        <v>32741</v>
      </c>
      <c r="C1743" s="6" t="s">
        <v>682</v>
      </c>
      <c r="D1743" s="6">
        <v>20902</v>
      </c>
      <c r="E1743" s="6" t="s">
        <v>53</v>
      </c>
      <c r="F1743" s="6" t="s">
        <v>16</v>
      </c>
      <c r="G1743" s="6" t="s">
        <v>1295</v>
      </c>
      <c r="H1743" s="6">
        <v>0</v>
      </c>
      <c r="I1743" s="6">
        <v>30</v>
      </c>
      <c r="J1743" s="6">
        <v>30</v>
      </c>
      <c r="K1743" s="6">
        <v>27.235294</v>
      </c>
      <c r="L1743" s="6">
        <v>26.730157999999999</v>
      </c>
      <c r="M1743" s="6">
        <v>28.302752000000002</v>
      </c>
      <c r="N1743" s="6">
        <v>27.102803000000002</v>
      </c>
      <c r="O1743" s="6">
        <v>26.100322999999999</v>
      </c>
      <c r="P1743" s="6">
        <v>27.578899</v>
      </c>
      <c r="Q1743" s="6">
        <v>27.102803000000002</v>
      </c>
      <c r="R1743" s="6">
        <v>26.100322999999999</v>
      </c>
      <c r="S1743" s="6">
        <v>27.558453</v>
      </c>
      <c r="T1743" s="6">
        <v>26.737159999999999</v>
      </c>
      <c r="U1743" s="6">
        <v>25.752351000000001</v>
      </c>
      <c r="V1743" s="6">
        <v>27.323633000000001</v>
      </c>
    </row>
    <row r="1744" spans="2:22">
      <c r="B1744" s="6">
        <v>32741</v>
      </c>
      <c r="C1744" s="6" t="s">
        <v>682</v>
      </c>
      <c r="D1744" s="6">
        <v>20902</v>
      </c>
      <c r="E1744" s="6" t="s">
        <v>53</v>
      </c>
      <c r="F1744" s="6" t="s">
        <v>13</v>
      </c>
      <c r="G1744" s="6" t="s">
        <v>14</v>
      </c>
      <c r="H1744" s="6">
        <v>20</v>
      </c>
      <c r="I1744" s="6">
        <v>20</v>
      </c>
      <c r="J1744" s="6">
        <v>20</v>
      </c>
      <c r="K1744" s="6">
        <v>19.956309999999998</v>
      </c>
      <c r="L1744" s="6">
        <v>19.965827000000001</v>
      </c>
      <c r="M1744" s="6">
        <v>19.613216000000001</v>
      </c>
      <c r="N1744" s="6">
        <v>19.181818</v>
      </c>
      <c r="O1744" s="6">
        <v>19.119288999999998</v>
      </c>
      <c r="P1744" s="6">
        <v>18.784502</v>
      </c>
      <c r="Q1744" s="6">
        <v>19.181818</v>
      </c>
      <c r="R1744" s="6">
        <v>19.101835999999999</v>
      </c>
      <c r="S1744" s="6">
        <v>18.763134000000001</v>
      </c>
      <c r="T1744" s="6">
        <v>19.181818</v>
      </c>
      <c r="U1744" s="6">
        <v>19.101835999999999</v>
      </c>
      <c r="V1744" s="6">
        <v>18.763134000000001</v>
      </c>
    </row>
    <row r="1745" spans="2:22">
      <c r="B1745" s="6">
        <v>32741</v>
      </c>
      <c r="C1745" s="6" t="s">
        <v>682</v>
      </c>
      <c r="D1745" s="6">
        <v>20906</v>
      </c>
      <c r="E1745" s="6" t="s">
        <v>48</v>
      </c>
      <c r="F1745" s="6" t="s">
        <v>49</v>
      </c>
      <c r="G1745" s="6" t="s">
        <v>1296</v>
      </c>
      <c r="H1745" s="6">
        <v>15</v>
      </c>
      <c r="I1745" s="6">
        <v>15.285714</v>
      </c>
      <c r="J1745" s="6">
        <v>15.285714</v>
      </c>
      <c r="K1745" s="6">
        <v>16.923482</v>
      </c>
      <c r="L1745" s="6">
        <v>16.908185</v>
      </c>
      <c r="M1745" s="6">
        <v>17.652851999999999</v>
      </c>
      <c r="N1745" s="6">
        <v>17.016705999999999</v>
      </c>
      <c r="O1745" s="6">
        <v>16.954350000000002</v>
      </c>
      <c r="P1745" s="6">
        <v>17.537869000000001</v>
      </c>
      <c r="Q1745" s="6">
        <v>17.016335999999999</v>
      </c>
      <c r="R1745" s="6">
        <v>16.958155999999999</v>
      </c>
      <c r="S1745" s="6">
        <v>17.538882000000001</v>
      </c>
      <c r="T1745" s="6">
        <v>17.016335999999999</v>
      </c>
      <c r="U1745" s="6">
        <v>16.958155999999999</v>
      </c>
      <c r="V1745" s="6">
        <v>17.538882000000001</v>
      </c>
    </row>
    <row r="1746" spans="2:22">
      <c r="B1746" s="6">
        <v>32742</v>
      </c>
      <c r="C1746" s="6" t="s">
        <v>721</v>
      </c>
      <c r="D1746" s="6">
        <v>20500</v>
      </c>
      <c r="E1746" s="6" t="s">
        <v>31</v>
      </c>
      <c r="F1746" s="6" t="s">
        <v>17</v>
      </c>
      <c r="G1746" s="6" t="s">
        <v>1294</v>
      </c>
      <c r="H1746" s="6">
        <v>0</v>
      </c>
      <c r="I1746" s="6">
        <v>27</v>
      </c>
      <c r="J1746" s="6">
        <v>27</v>
      </c>
      <c r="K1746" s="6">
        <v>26.046875</v>
      </c>
      <c r="L1746" s="6">
        <v>26.199541</v>
      </c>
      <c r="M1746" s="6">
        <v>26.109717</v>
      </c>
      <c r="N1746" s="6">
        <v>26.108958000000001</v>
      </c>
      <c r="O1746" s="6">
        <v>26.328648000000001</v>
      </c>
      <c r="P1746" s="6">
        <v>26.003786000000002</v>
      </c>
      <c r="Q1746" s="6">
        <v>26.101534000000001</v>
      </c>
      <c r="R1746" s="6">
        <v>26.316153</v>
      </c>
      <c r="S1746" s="6">
        <v>25.991613999999998</v>
      </c>
      <c r="T1746" s="6">
        <v>25.645997000000001</v>
      </c>
      <c r="U1746" s="6">
        <v>25.223958</v>
      </c>
      <c r="V1746" s="6">
        <v>24.770192999999999</v>
      </c>
    </row>
    <row r="1747" spans="2:22">
      <c r="B1747" s="6">
        <v>32742</v>
      </c>
      <c r="C1747" s="6" t="s">
        <v>721</v>
      </c>
      <c r="D1747" s="6">
        <v>20702</v>
      </c>
      <c r="E1747" s="6" t="s">
        <v>44</v>
      </c>
      <c r="F1747" s="6" t="s">
        <v>17</v>
      </c>
      <c r="G1747" s="6" t="s">
        <v>1294</v>
      </c>
      <c r="H1747" s="6">
        <v>0</v>
      </c>
      <c r="I1747" s="6">
        <v>35</v>
      </c>
      <c r="J1747" s="6">
        <v>35</v>
      </c>
      <c r="K1747" s="6">
        <v>34.851851000000003</v>
      </c>
      <c r="L1747" s="6">
        <v>34.933332999999998</v>
      </c>
      <c r="M1747" s="6">
        <v>34.897097000000002</v>
      </c>
      <c r="N1747" s="6">
        <v>34.893103000000004</v>
      </c>
      <c r="O1747" s="6">
        <v>34.949179999999998</v>
      </c>
      <c r="P1747" s="6">
        <v>34.926701000000001</v>
      </c>
      <c r="Q1747" s="6">
        <v>34.894556999999999</v>
      </c>
      <c r="R1747" s="6">
        <v>34.950949000000001</v>
      </c>
      <c r="S1747" s="6">
        <v>34.883485</v>
      </c>
      <c r="T1747" s="6">
        <v>34.894556999999999</v>
      </c>
      <c r="U1747" s="6">
        <v>34.950949000000001</v>
      </c>
      <c r="V1747" s="6">
        <v>34.883485</v>
      </c>
    </row>
    <row r="1748" spans="2:22">
      <c r="B1748" s="6">
        <v>32742</v>
      </c>
      <c r="C1748" s="6" t="s">
        <v>721</v>
      </c>
      <c r="D1748" s="6">
        <v>20902</v>
      </c>
      <c r="E1748" s="6" t="s">
        <v>53</v>
      </c>
      <c r="F1748" s="6" t="s">
        <v>13</v>
      </c>
      <c r="G1748" s="6" t="s">
        <v>14</v>
      </c>
      <c r="H1748" s="6">
        <v>0</v>
      </c>
      <c r="I1748" s="6">
        <v>20</v>
      </c>
      <c r="J1748" s="6">
        <v>20</v>
      </c>
      <c r="K1748" s="6">
        <v>18.622046999999998</v>
      </c>
      <c r="L1748" s="6">
        <v>18.557046</v>
      </c>
      <c r="M1748" s="6">
        <v>18.643459</v>
      </c>
      <c r="N1748" s="6">
        <v>19.181818</v>
      </c>
      <c r="O1748" s="6">
        <v>19.119288999999998</v>
      </c>
      <c r="P1748" s="6">
        <v>18.784502</v>
      </c>
      <c r="Q1748" s="6">
        <v>19.181818</v>
      </c>
      <c r="R1748" s="6">
        <v>19.101835999999999</v>
      </c>
      <c r="S1748" s="6">
        <v>18.763134000000001</v>
      </c>
      <c r="T1748" s="6">
        <v>19.181818</v>
      </c>
      <c r="U1748" s="6">
        <v>19.101835999999999</v>
      </c>
      <c r="V1748" s="6">
        <v>18.763134000000001</v>
      </c>
    </row>
    <row r="1749" spans="2:22">
      <c r="B1749" s="6">
        <v>32742</v>
      </c>
      <c r="C1749" s="6" t="s">
        <v>721</v>
      </c>
      <c r="D1749" s="6">
        <v>20906</v>
      </c>
      <c r="E1749" s="6" t="s">
        <v>48</v>
      </c>
      <c r="F1749" s="6" t="s">
        <v>49</v>
      </c>
      <c r="G1749" s="6" t="s">
        <v>1296</v>
      </c>
      <c r="H1749" s="6">
        <v>0</v>
      </c>
      <c r="I1749" s="6">
        <v>17</v>
      </c>
      <c r="J1749" s="6">
        <v>17</v>
      </c>
      <c r="K1749" s="6">
        <v>17.229590999999999</v>
      </c>
      <c r="L1749" s="6">
        <v>17.052391</v>
      </c>
      <c r="M1749" s="6">
        <v>17.431988</v>
      </c>
      <c r="N1749" s="6">
        <v>17.016705999999999</v>
      </c>
      <c r="O1749" s="6">
        <v>16.954350000000002</v>
      </c>
      <c r="P1749" s="6">
        <v>17.537869000000001</v>
      </c>
      <c r="Q1749" s="6">
        <v>17.016335999999999</v>
      </c>
      <c r="R1749" s="6">
        <v>16.958155999999999</v>
      </c>
      <c r="S1749" s="6">
        <v>17.538882000000001</v>
      </c>
      <c r="T1749" s="6">
        <v>17.016335999999999</v>
      </c>
      <c r="U1749" s="6">
        <v>16.958155999999999</v>
      </c>
      <c r="V1749" s="6">
        <v>17.538882000000001</v>
      </c>
    </row>
    <row r="1750" spans="2:22">
      <c r="B1750" s="6">
        <v>32743</v>
      </c>
      <c r="C1750" s="6" t="s">
        <v>489</v>
      </c>
      <c r="D1750" s="6">
        <v>20500</v>
      </c>
      <c r="E1750" s="6" t="s">
        <v>31</v>
      </c>
      <c r="F1750" s="6" t="s">
        <v>17</v>
      </c>
      <c r="G1750" s="6" t="s">
        <v>1294</v>
      </c>
      <c r="H1750" s="6">
        <v>0</v>
      </c>
      <c r="I1750" s="6">
        <v>27</v>
      </c>
      <c r="J1750" s="6">
        <v>27</v>
      </c>
      <c r="K1750" s="6">
        <v>26.179282000000001</v>
      </c>
      <c r="L1750" s="6">
        <v>26.186138</v>
      </c>
      <c r="M1750" s="6">
        <v>25.935728999999998</v>
      </c>
      <c r="N1750" s="6">
        <v>26.108958000000001</v>
      </c>
      <c r="O1750" s="6">
        <v>26.328648000000001</v>
      </c>
      <c r="P1750" s="6">
        <v>26.003786000000002</v>
      </c>
      <c r="Q1750" s="6">
        <v>26.101534000000001</v>
      </c>
      <c r="R1750" s="6">
        <v>26.316153</v>
      </c>
      <c r="S1750" s="6">
        <v>25.991613999999998</v>
      </c>
      <c r="T1750" s="6">
        <v>25.645997000000001</v>
      </c>
      <c r="U1750" s="6">
        <v>25.223958</v>
      </c>
      <c r="V1750" s="6">
        <v>24.770192999999999</v>
      </c>
    </row>
    <row r="1751" spans="2:22">
      <c r="B1751" s="6">
        <v>32743</v>
      </c>
      <c r="C1751" s="6" t="s">
        <v>489</v>
      </c>
      <c r="D1751" s="6">
        <v>20702</v>
      </c>
      <c r="E1751" s="6" t="s">
        <v>44</v>
      </c>
      <c r="F1751" s="6" t="s">
        <v>17</v>
      </c>
      <c r="G1751" s="6" t="s">
        <v>1294</v>
      </c>
      <c r="H1751" s="6">
        <v>0</v>
      </c>
      <c r="I1751" s="6">
        <v>35</v>
      </c>
      <c r="J1751" s="6">
        <v>35</v>
      </c>
      <c r="K1751" s="6">
        <v>34.902597</v>
      </c>
      <c r="L1751" s="6">
        <v>34.946427999999997</v>
      </c>
      <c r="M1751" s="6">
        <v>34.934041999999998</v>
      </c>
      <c r="N1751" s="6">
        <v>34.893103000000004</v>
      </c>
      <c r="O1751" s="6">
        <v>34.949179999999998</v>
      </c>
      <c r="P1751" s="6">
        <v>34.926701000000001</v>
      </c>
      <c r="Q1751" s="6">
        <v>34.894556999999999</v>
      </c>
      <c r="R1751" s="6">
        <v>34.950949000000001</v>
      </c>
      <c r="S1751" s="6">
        <v>34.883485</v>
      </c>
      <c r="T1751" s="6">
        <v>34.894556999999999</v>
      </c>
      <c r="U1751" s="6">
        <v>34.950949000000001</v>
      </c>
      <c r="V1751" s="6">
        <v>34.883485</v>
      </c>
    </row>
    <row r="1752" spans="2:22">
      <c r="B1752" s="6">
        <v>32743</v>
      </c>
      <c r="C1752" s="6" t="s">
        <v>489</v>
      </c>
      <c r="D1752" s="6">
        <v>20902</v>
      </c>
      <c r="E1752" s="6" t="s">
        <v>53</v>
      </c>
      <c r="F1752" s="6" t="s">
        <v>16</v>
      </c>
      <c r="G1752" s="6" t="s">
        <v>1295</v>
      </c>
      <c r="H1752" s="6">
        <v>0</v>
      </c>
      <c r="I1752" s="6">
        <v>30</v>
      </c>
      <c r="J1752" s="6">
        <v>30</v>
      </c>
      <c r="K1752" s="6">
        <v>27.111111000000001</v>
      </c>
      <c r="L1752" s="6">
        <v>25.059170999999999</v>
      </c>
      <c r="M1752" s="6">
        <v>26.5625</v>
      </c>
      <c r="N1752" s="6">
        <v>27.102803000000002</v>
      </c>
      <c r="O1752" s="6">
        <v>26.100322999999999</v>
      </c>
      <c r="P1752" s="6">
        <v>27.578899</v>
      </c>
      <c r="Q1752" s="6">
        <v>27.102803000000002</v>
      </c>
      <c r="R1752" s="6">
        <v>26.100322999999999</v>
      </c>
      <c r="S1752" s="6">
        <v>27.558453</v>
      </c>
      <c r="T1752" s="6">
        <v>26.737159999999999</v>
      </c>
      <c r="U1752" s="6">
        <v>25.752351000000001</v>
      </c>
      <c r="V1752" s="6">
        <v>27.323633000000001</v>
      </c>
    </row>
    <row r="1753" spans="2:22">
      <c r="B1753" s="6">
        <v>32743</v>
      </c>
      <c r="C1753" s="6" t="s">
        <v>489</v>
      </c>
      <c r="D1753" s="6">
        <v>20902</v>
      </c>
      <c r="E1753" s="6" t="s">
        <v>53</v>
      </c>
      <c r="F1753" s="6" t="s">
        <v>13</v>
      </c>
      <c r="G1753" s="6" t="s">
        <v>14</v>
      </c>
      <c r="H1753" s="6">
        <v>0</v>
      </c>
      <c r="I1753" s="6">
        <v>20</v>
      </c>
      <c r="J1753" s="6">
        <v>20</v>
      </c>
      <c r="K1753" s="6">
        <v>18.635802000000002</v>
      </c>
      <c r="L1753" s="6">
        <v>18.195121</v>
      </c>
      <c r="M1753" s="6">
        <v>17.625368000000002</v>
      </c>
      <c r="N1753" s="6">
        <v>19.181818</v>
      </c>
      <c r="O1753" s="6">
        <v>19.119288999999998</v>
      </c>
      <c r="P1753" s="6">
        <v>18.784502</v>
      </c>
      <c r="Q1753" s="6">
        <v>19.181818</v>
      </c>
      <c r="R1753" s="6">
        <v>19.101835999999999</v>
      </c>
      <c r="S1753" s="6">
        <v>18.763134000000001</v>
      </c>
      <c r="T1753" s="6">
        <v>19.181818</v>
      </c>
      <c r="U1753" s="6">
        <v>19.101835999999999</v>
      </c>
      <c r="V1753" s="6">
        <v>18.763134000000001</v>
      </c>
    </row>
    <row r="1754" spans="2:22">
      <c r="B1754" s="6">
        <v>32743</v>
      </c>
      <c r="C1754" s="6" t="s">
        <v>489</v>
      </c>
      <c r="D1754" s="6">
        <v>20906</v>
      </c>
      <c r="E1754" s="6" t="s">
        <v>48</v>
      </c>
      <c r="F1754" s="6" t="s">
        <v>49</v>
      </c>
      <c r="G1754" s="6" t="s">
        <v>1296</v>
      </c>
      <c r="H1754" s="6">
        <v>15</v>
      </c>
      <c r="I1754" s="6">
        <v>15</v>
      </c>
      <c r="J1754" s="6">
        <v>15</v>
      </c>
      <c r="K1754" s="6">
        <v>16.992394999999998</v>
      </c>
      <c r="L1754" s="6">
        <v>16.951830000000001</v>
      </c>
      <c r="M1754" s="6">
        <v>17.405908</v>
      </c>
      <c r="N1754" s="6">
        <v>17.016705999999999</v>
      </c>
      <c r="O1754" s="6">
        <v>16.954350000000002</v>
      </c>
      <c r="P1754" s="6">
        <v>17.537869000000001</v>
      </c>
      <c r="Q1754" s="6">
        <v>17.016335999999999</v>
      </c>
      <c r="R1754" s="6">
        <v>16.958155999999999</v>
      </c>
      <c r="S1754" s="6">
        <v>17.538882000000001</v>
      </c>
      <c r="T1754" s="6">
        <v>17.016335999999999</v>
      </c>
      <c r="U1754" s="6">
        <v>16.958155999999999</v>
      </c>
      <c r="V1754" s="6">
        <v>17.538882000000001</v>
      </c>
    </row>
    <row r="1755" spans="2:22">
      <c r="B1755" s="6">
        <v>32744</v>
      </c>
      <c r="C1755" s="6" t="s">
        <v>1206</v>
      </c>
      <c r="D1755" s="6">
        <v>20500</v>
      </c>
      <c r="E1755" s="6" t="s">
        <v>31</v>
      </c>
      <c r="F1755" s="6" t="s">
        <v>16</v>
      </c>
      <c r="G1755" s="6" t="s">
        <v>1295</v>
      </c>
      <c r="H1755" s="6">
        <v>0</v>
      </c>
      <c r="I1755" s="6">
        <v>10</v>
      </c>
      <c r="J1755" s="6">
        <v>10</v>
      </c>
      <c r="K1755" s="6">
        <v>0</v>
      </c>
      <c r="L1755" s="6">
        <v>10</v>
      </c>
      <c r="M1755" s="6">
        <v>10</v>
      </c>
      <c r="N1755" s="6">
        <v>0</v>
      </c>
      <c r="O1755" s="6">
        <v>10</v>
      </c>
      <c r="P1755" s="6">
        <v>10</v>
      </c>
      <c r="Q1755" s="6">
        <v>0</v>
      </c>
      <c r="R1755" s="6">
        <v>10</v>
      </c>
      <c r="S1755" s="6">
        <v>10</v>
      </c>
      <c r="T1755" s="6">
        <v>0</v>
      </c>
      <c r="U1755" s="6">
        <v>10</v>
      </c>
      <c r="V1755" s="6">
        <v>10</v>
      </c>
    </row>
    <row r="1756" spans="2:22">
      <c r="B1756" s="6">
        <v>32744</v>
      </c>
      <c r="C1756" s="6" t="s">
        <v>1206</v>
      </c>
      <c r="D1756" s="6">
        <v>21000</v>
      </c>
      <c r="E1756" s="6" t="s">
        <v>276</v>
      </c>
      <c r="F1756" s="6" t="s">
        <v>73</v>
      </c>
      <c r="G1756" s="6" t="s">
        <v>1299</v>
      </c>
      <c r="H1756" s="6">
        <v>0</v>
      </c>
      <c r="I1756" s="6">
        <v>15</v>
      </c>
      <c r="J1756" s="6">
        <v>15</v>
      </c>
      <c r="K1756" s="6">
        <v>0</v>
      </c>
      <c r="L1756" s="6">
        <v>15</v>
      </c>
      <c r="M1756" s="6">
        <v>15</v>
      </c>
      <c r="N1756" s="6">
        <v>15</v>
      </c>
      <c r="O1756" s="6">
        <v>15</v>
      </c>
      <c r="P1756" s="6">
        <v>15</v>
      </c>
      <c r="Q1756" s="6">
        <v>15</v>
      </c>
      <c r="R1756" s="6">
        <v>15</v>
      </c>
      <c r="S1756" s="6">
        <v>15</v>
      </c>
      <c r="T1756" s="6">
        <v>15</v>
      </c>
      <c r="U1756" s="6">
        <v>15</v>
      </c>
      <c r="V1756" s="6">
        <v>15</v>
      </c>
    </row>
    <row r="1757" spans="2:22">
      <c r="B1757" s="6">
        <v>32744</v>
      </c>
      <c r="C1757" s="6" t="s">
        <v>1206</v>
      </c>
      <c r="D1757" s="6">
        <v>80018</v>
      </c>
      <c r="E1757" s="6" t="s">
        <v>1240</v>
      </c>
      <c r="F1757" s="6" t="s">
        <v>73</v>
      </c>
      <c r="G1757" s="6" t="s">
        <v>1299</v>
      </c>
      <c r="H1757" s="6">
        <v>0</v>
      </c>
      <c r="I1757" s="6">
        <v>1</v>
      </c>
      <c r="J1757" s="6">
        <v>1</v>
      </c>
      <c r="K1757" s="6">
        <v>0</v>
      </c>
      <c r="L1757" s="6">
        <v>1</v>
      </c>
      <c r="M1757" s="6">
        <v>1</v>
      </c>
      <c r="N1757" s="6">
        <v>0</v>
      </c>
      <c r="O1757" s="6">
        <v>1</v>
      </c>
      <c r="P1757" s="6">
        <v>1</v>
      </c>
      <c r="Q1757" s="6">
        <v>0</v>
      </c>
      <c r="R1757" s="6">
        <v>1</v>
      </c>
      <c r="S1757" s="6">
        <v>1</v>
      </c>
      <c r="T1757" s="6">
        <v>0</v>
      </c>
      <c r="U1757" s="6">
        <v>1</v>
      </c>
      <c r="V1757" s="6">
        <v>1</v>
      </c>
    </row>
    <row r="1758" spans="2:22">
      <c r="B1758" s="6">
        <v>32744</v>
      </c>
      <c r="C1758" s="6" t="s">
        <v>1206</v>
      </c>
      <c r="D1758" s="6">
        <v>80019</v>
      </c>
      <c r="E1758" s="6" t="s">
        <v>1241</v>
      </c>
      <c r="F1758" s="6" t="s">
        <v>73</v>
      </c>
      <c r="G1758" s="6" t="s">
        <v>1299</v>
      </c>
      <c r="H1758" s="6">
        <v>0</v>
      </c>
      <c r="I1758" s="6">
        <v>1</v>
      </c>
      <c r="J1758" s="6">
        <v>1</v>
      </c>
      <c r="K1758" s="6">
        <v>0</v>
      </c>
      <c r="L1758" s="6">
        <v>1</v>
      </c>
      <c r="M1758" s="6">
        <v>1</v>
      </c>
      <c r="N1758" s="6">
        <v>0</v>
      </c>
      <c r="O1758" s="6">
        <v>1</v>
      </c>
      <c r="P1758" s="6">
        <v>1</v>
      </c>
      <c r="Q1758" s="6">
        <v>0</v>
      </c>
      <c r="R1758" s="6">
        <v>1</v>
      </c>
      <c r="S1758" s="6">
        <v>1</v>
      </c>
      <c r="T1758" s="6">
        <v>0</v>
      </c>
      <c r="U1758" s="6">
        <v>1</v>
      </c>
      <c r="V1758" s="6">
        <v>1</v>
      </c>
    </row>
    <row r="1759" spans="2:22">
      <c r="B1759" s="6">
        <v>32745</v>
      </c>
      <c r="C1759" s="6" t="s">
        <v>552</v>
      </c>
      <c r="D1759" s="6">
        <v>12400</v>
      </c>
      <c r="E1759" s="6" t="s">
        <v>217</v>
      </c>
      <c r="F1759" s="6" t="s">
        <v>16</v>
      </c>
      <c r="G1759" s="6" t="s">
        <v>1295</v>
      </c>
      <c r="H1759" s="6">
        <v>10</v>
      </c>
      <c r="I1759" s="6">
        <v>10</v>
      </c>
      <c r="J1759" s="6">
        <v>10</v>
      </c>
      <c r="K1759" s="6">
        <v>13.375</v>
      </c>
      <c r="L1759" s="6">
        <v>10.9375</v>
      </c>
      <c r="M1759" s="6">
        <v>9.2653060000000007</v>
      </c>
      <c r="N1759" s="6">
        <v>9.2387090000000001</v>
      </c>
      <c r="O1759" s="6">
        <v>8.7126429999999999</v>
      </c>
      <c r="P1759" s="6">
        <v>8.6856360000000006</v>
      </c>
      <c r="Q1759" s="6">
        <v>9.2387090000000001</v>
      </c>
      <c r="R1759" s="6">
        <v>8.7126429999999999</v>
      </c>
      <c r="S1759" s="6">
        <v>8.6856360000000006</v>
      </c>
      <c r="T1759" s="6">
        <v>8.8875729999999997</v>
      </c>
      <c r="U1759" s="6">
        <v>8.6089380000000002</v>
      </c>
      <c r="V1759" s="6">
        <v>8.6174140000000001</v>
      </c>
    </row>
    <row r="1760" spans="2:22">
      <c r="B1760" s="6">
        <v>32745</v>
      </c>
      <c r="C1760" s="6" t="s">
        <v>552</v>
      </c>
      <c r="D1760" s="6">
        <v>20904</v>
      </c>
      <c r="E1760" s="6" t="s">
        <v>156</v>
      </c>
      <c r="F1760" s="6" t="s">
        <v>16</v>
      </c>
      <c r="G1760" s="6" t="s">
        <v>1295</v>
      </c>
      <c r="H1760" s="6">
        <v>10</v>
      </c>
      <c r="I1760" s="6">
        <v>10</v>
      </c>
      <c r="J1760" s="6">
        <v>10</v>
      </c>
      <c r="K1760" s="6">
        <v>10</v>
      </c>
      <c r="L1760" s="6">
        <v>10</v>
      </c>
      <c r="M1760" s="6">
        <v>11.173913000000001</v>
      </c>
      <c r="N1760" s="6">
        <v>14.736841999999999</v>
      </c>
      <c r="O1760" s="6">
        <v>14.21875</v>
      </c>
      <c r="P1760" s="6">
        <v>13.268817</v>
      </c>
      <c r="Q1760" s="6">
        <v>14.736841999999999</v>
      </c>
      <c r="R1760" s="6">
        <v>14.21875</v>
      </c>
      <c r="S1760" s="6">
        <v>13.268817</v>
      </c>
      <c r="T1760" s="6">
        <v>14.736841999999999</v>
      </c>
      <c r="U1760" s="6">
        <v>14.21875</v>
      </c>
      <c r="V1760" s="6">
        <v>13.268817</v>
      </c>
    </row>
    <row r="1761" spans="2:22">
      <c r="B1761" s="6">
        <v>32745</v>
      </c>
      <c r="C1761" s="6" t="s">
        <v>552</v>
      </c>
      <c r="D1761" s="6">
        <v>20904</v>
      </c>
      <c r="E1761" s="6" t="s">
        <v>156</v>
      </c>
      <c r="F1761" s="6" t="s">
        <v>16</v>
      </c>
      <c r="G1761" s="6" t="s">
        <v>1295</v>
      </c>
      <c r="H1761" s="6">
        <v>10</v>
      </c>
      <c r="I1761" s="6">
        <v>10</v>
      </c>
      <c r="J1761" s="6">
        <v>10</v>
      </c>
      <c r="K1761" s="6">
        <v>10</v>
      </c>
      <c r="L1761" s="6">
        <v>10</v>
      </c>
      <c r="M1761" s="6">
        <v>11.173913000000001</v>
      </c>
      <c r="N1761" s="6">
        <v>14.736841999999999</v>
      </c>
      <c r="O1761" s="6">
        <v>14.21875</v>
      </c>
      <c r="P1761" s="6">
        <v>13.268817</v>
      </c>
      <c r="Q1761" s="6">
        <v>14.736841999999999</v>
      </c>
      <c r="R1761" s="6">
        <v>14.21875</v>
      </c>
      <c r="S1761" s="6">
        <v>13.268817</v>
      </c>
      <c r="T1761" s="6">
        <v>14.736841999999999</v>
      </c>
      <c r="U1761" s="6">
        <v>14.21875</v>
      </c>
      <c r="V1761" s="6">
        <v>13.268817</v>
      </c>
    </row>
    <row r="1762" spans="2:22">
      <c r="B1762" s="6">
        <v>32745</v>
      </c>
      <c r="C1762" s="6" t="s">
        <v>552</v>
      </c>
      <c r="D1762" s="6">
        <v>23311</v>
      </c>
      <c r="E1762" s="6" t="s">
        <v>221</v>
      </c>
      <c r="F1762" s="6" t="s">
        <v>16</v>
      </c>
      <c r="G1762" s="6" t="s">
        <v>1295</v>
      </c>
      <c r="H1762" s="6">
        <v>10</v>
      </c>
      <c r="I1762" s="6">
        <v>10</v>
      </c>
      <c r="J1762" s="6">
        <v>10</v>
      </c>
      <c r="K1762" s="6">
        <v>10</v>
      </c>
      <c r="L1762" s="6">
        <v>10</v>
      </c>
      <c r="M1762" s="6">
        <v>10</v>
      </c>
      <c r="N1762" s="6">
        <v>10.099009000000001</v>
      </c>
      <c r="O1762" s="6">
        <v>10.02364</v>
      </c>
      <c r="P1762" s="6">
        <v>10.011260999999999</v>
      </c>
      <c r="Q1762" s="6">
        <v>10.099009000000001</v>
      </c>
      <c r="R1762" s="6">
        <v>10.02364</v>
      </c>
      <c r="S1762" s="6">
        <v>10.011260999999999</v>
      </c>
      <c r="T1762" s="6">
        <v>10.099009000000001</v>
      </c>
      <c r="U1762" s="6">
        <v>10.02364</v>
      </c>
      <c r="V1762" s="6">
        <v>10.011260999999999</v>
      </c>
    </row>
    <row r="1763" spans="2:22">
      <c r="B1763" s="6">
        <v>32746</v>
      </c>
      <c r="C1763" s="6" t="s">
        <v>331</v>
      </c>
      <c r="D1763" s="6">
        <v>12400</v>
      </c>
      <c r="E1763" s="6" t="s">
        <v>217</v>
      </c>
      <c r="F1763" s="6" t="s">
        <v>16</v>
      </c>
      <c r="G1763" s="6" t="s">
        <v>1295</v>
      </c>
      <c r="H1763" s="6">
        <v>10</v>
      </c>
      <c r="I1763" s="6">
        <v>10</v>
      </c>
      <c r="J1763" s="6">
        <v>10</v>
      </c>
      <c r="K1763" s="6">
        <v>13.375</v>
      </c>
      <c r="L1763" s="6">
        <v>10.9375</v>
      </c>
      <c r="M1763" s="6">
        <v>9.2653060000000007</v>
      </c>
      <c r="N1763" s="6">
        <v>9.2387090000000001</v>
      </c>
      <c r="O1763" s="6">
        <v>8.7126429999999999</v>
      </c>
      <c r="P1763" s="6">
        <v>8.6856360000000006</v>
      </c>
      <c r="Q1763" s="6">
        <v>9.2387090000000001</v>
      </c>
      <c r="R1763" s="6">
        <v>8.7126429999999999</v>
      </c>
      <c r="S1763" s="6">
        <v>8.6856360000000006</v>
      </c>
      <c r="T1763" s="6">
        <v>8.8875729999999997</v>
      </c>
      <c r="U1763" s="6">
        <v>8.6089380000000002</v>
      </c>
      <c r="V1763" s="6">
        <v>8.6174140000000001</v>
      </c>
    </row>
    <row r="1764" spans="2:22">
      <c r="B1764" s="6">
        <v>32746</v>
      </c>
      <c r="C1764" s="6" t="s">
        <v>331</v>
      </c>
      <c r="D1764" s="6">
        <v>20920</v>
      </c>
      <c r="E1764" s="6" t="s">
        <v>231</v>
      </c>
      <c r="F1764" s="6" t="s">
        <v>16</v>
      </c>
      <c r="G1764" s="6" t="s">
        <v>1295</v>
      </c>
      <c r="H1764" s="6">
        <v>10</v>
      </c>
      <c r="I1764" s="6">
        <v>10</v>
      </c>
      <c r="J1764" s="6">
        <v>10</v>
      </c>
      <c r="K1764" s="6">
        <v>8.1999999999999993</v>
      </c>
      <c r="L1764" s="6">
        <v>8</v>
      </c>
      <c r="M1764" s="6">
        <v>7.2068960000000004</v>
      </c>
      <c r="N1764" s="6">
        <v>8.1999999999999993</v>
      </c>
      <c r="O1764" s="6">
        <v>8.0909089999999999</v>
      </c>
      <c r="P1764" s="6">
        <v>7.923076</v>
      </c>
      <c r="Q1764" s="6">
        <v>8.1999999999999993</v>
      </c>
      <c r="R1764" s="6">
        <v>8.0909089999999999</v>
      </c>
      <c r="S1764" s="6">
        <v>7.923076</v>
      </c>
      <c r="T1764" s="6">
        <v>8.1999999999999993</v>
      </c>
      <c r="U1764" s="6">
        <v>8.0909089999999999</v>
      </c>
      <c r="V1764" s="6">
        <v>7.923076</v>
      </c>
    </row>
    <row r="1765" spans="2:22">
      <c r="B1765" s="6">
        <v>32746</v>
      </c>
      <c r="C1765" s="6" t="s">
        <v>331</v>
      </c>
      <c r="D1765" s="6">
        <v>23311</v>
      </c>
      <c r="E1765" s="6" t="s">
        <v>221</v>
      </c>
      <c r="F1765" s="6" t="s">
        <v>16</v>
      </c>
      <c r="G1765" s="6" t="s">
        <v>1295</v>
      </c>
      <c r="H1765" s="6">
        <v>10</v>
      </c>
      <c r="I1765" s="6">
        <v>10</v>
      </c>
      <c r="J1765" s="6">
        <v>10</v>
      </c>
      <c r="K1765" s="6">
        <v>10</v>
      </c>
      <c r="L1765" s="6">
        <v>10</v>
      </c>
      <c r="M1765" s="6">
        <v>10</v>
      </c>
      <c r="N1765" s="6">
        <v>10.099009000000001</v>
      </c>
      <c r="O1765" s="6">
        <v>10.02364</v>
      </c>
      <c r="P1765" s="6">
        <v>10.011260999999999</v>
      </c>
      <c r="Q1765" s="6">
        <v>10.099009000000001</v>
      </c>
      <c r="R1765" s="6">
        <v>10.02364</v>
      </c>
      <c r="S1765" s="6">
        <v>10.011260999999999</v>
      </c>
      <c r="T1765" s="6">
        <v>10.099009000000001</v>
      </c>
      <c r="U1765" s="6">
        <v>10.02364</v>
      </c>
      <c r="V1765" s="6">
        <v>10.011260999999999</v>
      </c>
    </row>
    <row r="1766" spans="2:22">
      <c r="B1766" s="6">
        <v>32746</v>
      </c>
      <c r="C1766" s="6" t="s">
        <v>331</v>
      </c>
      <c r="D1766" s="6">
        <v>23315</v>
      </c>
      <c r="E1766" s="6" t="s">
        <v>246</v>
      </c>
      <c r="F1766" s="6" t="s">
        <v>16</v>
      </c>
      <c r="G1766" s="6" t="s">
        <v>1295</v>
      </c>
      <c r="H1766" s="6">
        <v>10</v>
      </c>
      <c r="I1766" s="6">
        <v>10</v>
      </c>
      <c r="J1766" s="6">
        <v>10</v>
      </c>
      <c r="K1766" s="6">
        <v>10</v>
      </c>
      <c r="L1766" s="6">
        <v>10</v>
      </c>
      <c r="M1766" s="6">
        <v>9.625</v>
      </c>
      <c r="N1766" s="6">
        <v>10</v>
      </c>
      <c r="O1766" s="6">
        <v>10</v>
      </c>
      <c r="P1766" s="6">
        <v>9.6571420000000003</v>
      </c>
      <c r="Q1766" s="6">
        <v>10</v>
      </c>
      <c r="R1766" s="6">
        <v>10</v>
      </c>
      <c r="S1766" s="6">
        <v>9.6571420000000003</v>
      </c>
      <c r="T1766" s="6">
        <v>10</v>
      </c>
      <c r="U1766" s="6">
        <v>10</v>
      </c>
      <c r="V1766" s="6">
        <v>9.6571420000000003</v>
      </c>
    </row>
    <row r="1767" spans="2:22">
      <c r="B1767" s="6">
        <v>32747</v>
      </c>
      <c r="C1767" s="6" t="s">
        <v>1181</v>
      </c>
      <c r="D1767" s="6">
        <v>25000</v>
      </c>
      <c r="E1767" s="6" t="s">
        <v>1226</v>
      </c>
      <c r="F1767" s="6" t="s">
        <v>16</v>
      </c>
      <c r="G1767" s="6" t="s">
        <v>1295</v>
      </c>
      <c r="H1767" s="6">
        <v>20</v>
      </c>
      <c r="I1767" s="6">
        <v>20</v>
      </c>
      <c r="J1767" s="6">
        <v>20</v>
      </c>
      <c r="K1767" s="6">
        <v>13.076923000000001</v>
      </c>
      <c r="L1767" s="6">
        <v>14.533333000000001</v>
      </c>
      <c r="M1767" s="6">
        <v>15.393442</v>
      </c>
      <c r="N1767" s="6">
        <v>13.076923000000001</v>
      </c>
      <c r="O1767" s="6">
        <v>14.533333000000001</v>
      </c>
      <c r="P1767" s="6">
        <v>15.139533999999999</v>
      </c>
      <c r="Q1767" s="6">
        <v>13.076923000000001</v>
      </c>
      <c r="R1767" s="6">
        <v>14.533333000000001</v>
      </c>
      <c r="S1767" s="6">
        <v>15.139533999999999</v>
      </c>
      <c r="T1767" s="6">
        <v>13.076923000000001</v>
      </c>
      <c r="U1767" s="6">
        <v>14.533333000000001</v>
      </c>
      <c r="V1767" s="6">
        <v>15.139533999999999</v>
      </c>
    </row>
    <row r="1768" spans="2:22">
      <c r="B1768" s="6">
        <v>32747</v>
      </c>
      <c r="C1768" s="6" t="s">
        <v>1181</v>
      </c>
      <c r="D1768" s="6">
        <v>25006</v>
      </c>
      <c r="E1768" s="6" t="s">
        <v>1235</v>
      </c>
      <c r="F1768" s="6" t="s">
        <v>38</v>
      </c>
      <c r="G1768" s="6" t="s">
        <v>1302</v>
      </c>
      <c r="H1768" s="6">
        <v>25</v>
      </c>
      <c r="I1768" s="6">
        <v>25</v>
      </c>
      <c r="J1768" s="6">
        <v>25</v>
      </c>
      <c r="K1768" s="6">
        <v>23</v>
      </c>
      <c r="L1768" s="6">
        <v>21</v>
      </c>
      <c r="M1768" s="6">
        <v>17.291665999999999</v>
      </c>
      <c r="N1768" s="6">
        <v>23</v>
      </c>
      <c r="O1768" s="6">
        <v>21</v>
      </c>
      <c r="P1768" s="6">
        <v>17.291665999999999</v>
      </c>
      <c r="Q1768" s="6">
        <v>23</v>
      </c>
      <c r="R1768" s="6">
        <v>21</v>
      </c>
      <c r="S1768" s="6">
        <v>17.291665999999999</v>
      </c>
      <c r="T1768" s="6">
        <v>23</v>
      </c>
      <c r="U1768" s="6">
        <v>21</v>
      </c>
      <c r="V1768" s="6">
        <v>17.291665999999999</v>
      </c>
    </row>
    <row r="1769" spans="2:22">
      <c r="B1769" s="6">
        <v>32747</v>
      </c>
      <c r="C1769" s="6" t="s">
        <v>1181</v>
      </c>
      <c r="D1769" s="6">
        <v>80013</v>
      </c>
      <c r="E1769" s="6" t="s">
        <v>250</v>
      </c>
      <c r="F1769" s="6" t="s">
        <v>16</v>
      </c>
      <c r="G1769" s="6" t="s">
        <v>1295</v>
      </c>
      <c r="H1769" s="6">
        <v>15</v>
      </c>
      <c r="I1769" s="6">
        <v>15</v>
      </c>
      <c r="J1769" s="6">
        <v>15</v>
      </c>
      <c r="K1769" s="6">
        <v>12</v>
      </c>
      <c r="L1769" s="6">
        <v>12</v>
      </c>
      <c r="M1769" s="6">
        <v>12</v>
      </c>
      <c r="N1769" s="6">
        <v>12</v>
      </c>
      <c r="O1769" s="6">
        <v>12</v>
      </c>
      <c r="P1769" s="6">
        <v>12</v>
      </c>
      <c r="Q1769" s="6">
        <v>12</v>
      </c>
      <c r="R1769" s="6">
        <v>12</v>
      </c>
      <c r="S1769" s="6">
        <v>12</v>
      </c>
      <c r="T1769" s="6">
        <v>12</v>
      </c>
      <c r="U1769" s="6">
        <v>12</v>
      </c>
      <c r="V1769" s="6">
        <v>12</v>
      </c>
    </row>
    <row r="1770" spans="2:22">
      <c r="B1770" s="6">
        <v>32748</v>
      </c>
      <c r="C1770" s="6" t="s">
        <v>1188</v>
      </c>
      <c r="D1770" s="6">
        <v>25000</v>
      </c>
      <c r="E1770" s="6" t="s">
        <v>1226</v>
      </c>
      <c r="F1770" s="6" t="s">
        <v>16</v>
      </c>
      <c r="G1770" s="6" t="s">
        <v>1295</v>
      </c>
      <c r="H1770" s="6">
        <v>10</v>
      </c>
      <c r="I1770" s="6">
        <v>10</v>
      </c>
      <c r="J1770" s="6">
        <v>10</v>
      </c>
      <c r="K1770" s="6">
        <v>13.076923000000001</v>
      </c>
      <c r="L1770" s="6">
        <v>14.533333000000001</v>
      </c>
      <c r="M1770" s="6">
        <v>15.393442</v>
      </c>
      <c r="N1770" s="6">
        <v>13.076923000000001</v>
      </c>
      <c r="O1770" s="6">
        <v>14.533333000000001</v>
      </c>
      <c r="P1770" s="6">
        <v>15.139533999999999</v>
      </c>
      <c r="Q1770" s="6">
        <v>13.076923000000001</v>
      </c>
      <c r="R1770" s="6">
        <v>14.533333000000001</v>
      </c>
      <c r="S1770" s="6">
        <v>15.139533999999999</v>
      </c>
      <c r="T1770" s="6">
        <v>13.076923000000001</v>
      </c>
      <c r="U1770" s="6">
        <v>14.533333000000001</v>
      </c>
      <c r="V1770" s="6">
        <v>15.139533999999999</v>
      </c>
    </row>
    <row r="1771" spans="2:22">
      <c r="B1771" s="6">
        <v>32748</v>
      </c>
      <c r="C1771" s="6" t="s">
        <v>1188</v>
      </c>
      <c r="D1771" s="6">
        <v>25000</v>
      </c>
      <c r="E1771" s="6" t="s">
        <v>1226</v>
      </c>
      <c r="F1771" s="6" t="s">
        <v>16</v>
      </c>
      <c r="G1771" s="6" t="s">
        <v>1295</v>
      </c>
      <c r="H1771" s="6">
        <v>10</v>
      </c>
      <c r="I1771" s="6">
        <v>10</v>
      </c>
      <c r="J1771" s="6">
        <v>10</v>
      </c>
      <c r="K1771" s="6">
        <v>13.076923000000001</v>
      </c>
      <c r="L1771" s="6">
        <v>14.533333000000001</v>
      </c>
      <c r="M1771" s="6">
        <v>15.393442</v>
      </c>
      <c r="N1771" s="6">
        <v>13.076923000000001</v>
      </c>
      <c r="O1771" s="6">
        <v>14.533333000000001</v>
      </c>
      <c r="P1771" s="6">
        <v>15.139533999999999</v>
      </c>
      <c r="Q1771" s="6">
        <v>13.076923000000001</v>
      </c>
      <c r="R1771" s="6">
        <v>14.533333000000001</v>
      </c>
      <c r="S1771" s="6">
        <v>15.139533999999999</v>
      </c>
      <c r="T1771" s="6">
        <v>13.076923000000001</v>
      </c>
      <c r="U1771" s="6">
        <v>14.533333000000001</v>
      </c>
      <c r="V1771" s="6">
        <v>15.139533999999999</v>
      </c>
    </row>
    <row r="1772" spans="2:22">
      <c r="B1772" s="6">
        <v>32748</v>
      </c>
      <c r="C1772" s="6" t="s">
        <v>1188</v>
      </c>
      <c r="D1772" s="6">
        <v>80013</v>
      </c>
      <c r="E1772" s="6" t="s">
        <v>250</v>
      </c>
      <c r="F1772" s="6" t="s">
        <v>16</v>
      </c>
      <c r="G1772" s="6" t="s">
        <v>1295</v>
      </c>
      <c r="H1772" s="6">
        <v>10</v>
      </c>
      <c r="I1772" s="6">
        <v>10</v>
      </c>
      <c r="J1772" s="6">
        <v>10</v>
      </c>
      <c r="K1772" s="6">
        <v>12</v>
      </c>
      <c r="L1772" s="6">
        <v>12</v>
      </c>
      <c r="M1772" s="6">
        <v>12</v>
      </c>
      <c r="N1772" s="6">
        <v>12</v>
      </c>
      <c r="O1772" s="6">
        <v>12</v>
      </c>
      <c r="P1772" s="6">
        <v>12</v>
      </c>
      <c r="Q1772" s="6">
        <v>12</v>
      </c>
      <c r="R1772" s="6">
        <v>12</v>
      </c>
      <c r="S1772" s="6">
        <v>12</v>
      </c>
      <c r="T1772" s="6">
        <v>12</v>
      </c>
      <c r="U1772" s="6">
        <v>12</v>
      </c>
      <c r="V1772" s="6">
        <v>12</v>
      </c>
    </row>
    <row r="1773" spans="2:22">
      <c r="B1773" s="6">
        <v>32750</v>
      </c>
      <c r="C1773" s="6" t="s">
        <v>1130</v>
      </c>
      <c r="D1773" s="6">
        <v>20706</v>
      </c>
      <c r="E1773" s="6" t="s">
        <v>52</v>
      </c>
      <c r="F1773" s="6" t="s">
        <v>17</v>
      </c>
      <c r="G1773" s="6" t="s">
        <v>1294</v>
      </c>
      <c r="H1773" s="6">
        <v>20</v>
      </c>
      <c r="I1773" s="6">
        <v>20</v>
      </c>
      <c r="J1773" s="6">
        <v>20</v>
      </c>
      <c r="K1773" s="6">
        <v>20</v>
      </c>
      <c r="L1773" s="6">
        <v>20</v>
      </c>
      <c r="M1773" s="6">
        <v>20</v>
      </c>
      <c r="N1773" s="6">
        <v>20</v>
      </c>
      <c r="O1773" s="6">
        <v>20</v>
      </c>
      <c r="P1773" s="6">
        <v>20</v>
      </c>
      <c r="Q1773" s="6">
        <v>20</v>
      </c>
      <c r="R1773" s="6">
        <v>20</v>
      </c>
      <c r="S1773" s="6">
        <v>20</v>
      </c>
      <c r="T1773" s="6">
        <v>39.867787999999997</v>
      </c>
      <c r="U1773" s="6">
        <v>39.928649</v>
      </c>
      <c r="V1773" s="6">
        <v>39.945453999999998</v>
      </c>
    </row>
    <row r="1774" spans="2:22">
      <c r="B1774" s="6">
        <v>32750</v>
      </c>
      <c r="C1774" s="6" t="s">
        <v>1130</v>
      </c>
      <c r="D1774" s="6">
        <v>20712</v>
      </c>
      <c r="E1774" s="6" t="s">
        <v>1231</v>
      </c>
      <c r="F1774" s="6" t="s">
        <v>16</v>
      </c>
      <c r="G1774" s="6" t="s">
        <v>1295</v>
      </c>
      <c r="H1774" s="6">
        <v>10</v>
      </c>
      <c r="I1774" s="6">
        <v>10</v>
      </c>
      <c r="J1774" s="6">
        <v>10</v>
      </c>
      <c r="K1774" s="6">
        <v>10</v>
      </c>
      <c r="L1774" s="6">
        <v>10</v>
      </c>
      <c r="M1774" s="6">
        <v>10</v>
      </c>
      <c r="N1774" s="6">
        <v>10</v>
      </c>
      <c r="O1774" s="6">
        <v>10</v>
      </c>
      <c r="P1774" s="6">
        <v>10</v>
      </c>
      <c r="Q1774" s="6">
        <v>10</v>
      </c>
      <c r="R1774" s="6">
        <v>10</v>
      </c>
      <c r="S1774" s="6">
        <v>10</v>
      </c>
      <c r="T1774" s="6">
        <v>10</v>
      </c>
      <c r="U1774" s="6">
        <v>10</v>
      </c>
      <c r="V1774" s="6">
        <v>10</v>
      </c>
    </row>
    <row r="1775" spans="2:22">
      <c r="B1775" s="6">
        <v>32751</v>
      </c>
      <c r="C1775" s="6" t="s">
        <v>1063</v>
      </c>
      <c r="D1775" s="6">
        <v>20712</v>
      </c>
      <c r="E1775" s="6" t="s">
        <v>1231</v>
      </c>
      <c r="F1775" s="6" t="s">
        <v>16</v>
      </c>
      <c r="G1775" s="6" t="s">
        <v>1295</v>
      </c>
      <c r="H1775" s="6">
        <v>10</v>
      </c>
      <c r="I1775" s="6">
        <v>10</v>
      </c>
      <c r="J1775" s="6">
        <v>10</v>
      </c>
      <c r="K1775" s="6">
        <v>10</v>
      </c>
      <c r="L1775" s="6">
        <v>10</v>
      </c>
      <c r="M1775" s="6">
        <v>10</v>
      </c>
      <c r="N1775" s="6">
        <v>10</v>
      </c>
      <c r="O1775" s="6">
        <v>10</v>
      </c>
      <c r="P1775" s="6">
        <v>10</v>
      </c>
      <c r="Q1775" s="6">
        <v>10</v>
      </c>
      <c r="R1775" s="6">
        <v>10</v>
      </c>
      <c r="S1775" s="6">
        <v>10</v>
      </c>
      <c r="T1775" s="6">
        <v>10</v>
      </c>
      <c r="U1775" s="6">
        <v>10</v>
      </c>
      <c r="V1775" s="6">
        <v>10</v>
      </c>
    </row>
    <row r="1776" spans="2:22">
      <c r="B1776" s="6">
        <v>32752</v>
      </c>
      <c r="C1776" s="6" t="s">
        <v>1116</v>
      </c>
      <c r="D1776" s="6">
        <v>20500</v>
      </c>
      <c r="E1776" s="6" t="s">
        <v>31</v>
      </c>
      <c r="F1776" s="6" t="s">
        <v>17</v>
      </c>
      <c r="G1776" s="6" t="s">
        <v>1294</v>
      </c>
      <c r="H1776" s="6">
        <v>25</v>
      </c>
      <c r="I1776" s="6">
        <v>25</v>
      </c>
      <c r="J1776" s="6">
        <v>25</v>
      </c>
      <c r="K1776" s="6">
        <v>26.179282000000001</v>
      </c>
      <c r="L1776" s="6">
        <v>26.186138</v>
      </c>
      <c r="M1776" s="6">
        <v>25.935728999999998</v>
      </c>
      <c r="N1776" s="6">
        <v>26.108958000000001</v>
      </c>
      <c r="O1776" s="6">
        <v>26.328648000000001</v>
      </c>
      <c r="P1776" s="6">
        <v>26.003786000000002</v>
      </c>
      <c r="Q1776" s="6">
        <v>26.101534000000001</v>
      </c>
      <c r="R1776" s="6">
        <v>26.316153</v>
      </c>
      <c r="S1776" s="6">
        <v>25.991613999999998</v>
      </c>
      <c r="T1776" s="6">
        <v>25.645997000000001</v>
      </c>
      <c r="U1776" s="6">
        <v>25.223958</v>
      </c>
      <c r="V1776" s="6">
        <v>24.770192999999999</v>
      </c>
    </row>
    <row r="1777" spans="2:22">
      <c r="B1777" s="6">
        <v>32752</v>
      </c>
      <c r="C1777" s="6" t="s">
        <v>1116</v>
      </c>
      <c r="D1777" s="6">
        <v>20706</v>
      </c>
      <c r="E1777" s="6" t="s">
        <v>52</v>
      </c>
      <c r="F1777" s="6" t="s">
        <v>17</v>
      </c>
      <c r="G1777" s="6" t="s">
        <v>1294</v>
      </c>
      <c r="H1777" s="6">
        <v>40</v>
      </c>
      <c r="I1777" s="6">
        <v>40</v>
      </c>
      <c r="J1777" s="6">
        <v>40</v>
      </c>
      <c r="K1777" s="6">
        <v>40</v>
      </c>
      <c r="L1777" s="6">
        <v>40</v>
      </c>
      <c r="M1777" s="6">
        <v>39.931505999999999</v>
      </c>
      <c r="N1777" s="6">
        <v>39.962778999999998</v>
      </c>
      <c r="O1777" s="6">
        <v>39.971750999999998</v>
      </c>
      <c r="P1777" s="6">
        <v>39.969020999999998</v>
      </c>
      <c r="Q1777" s="6">
        <v>39.963768000000002</v>
      </c>
      <c r="R1777" s="6">
        <v>39.972496999999997</v>
      </c>
      <c r="S1777" s="6">
        <v>39.969659999999998</v>
      </c>
      <c r="T1777" s="6">
        <v>39.867787999999997</v>
      </c>
      <c r="U1777" s="6">
        <v>39.928649</v>
      </c>
      <c r="V1777" s="6">
        <v>39.945453999999998</v>
      </c>
    </row>
    <row r="1778" spans="2:22">
      <c r="B1778" s="6">
        <v>32752</v>
      </c>
      <c r="C1778" s="6" t="s">
        <v>1116</v>
      </c>
      <c r="D1778" s="6">
        <v>20902</v>
      </c>
      <c r="E1778" s="6" t="s">
        <v>53</v>
      </c>
      <c r="F1778" s="6" t="s">
        <v>13</v>
      </c>
      <c r="G1778" s="6" t="s">
        <v>14</v>
      </c>
      <c r="H1778" s="6">
        <v>15</v>
      </c>
      <c r="I1778" s="6">
        <v>15</v>
      </c>
      <c r="J1778" s="6">
        <v>15</v>
      </c>
      <c r="K1778" s="6">
        <v>18.635802000000002</v>
      </c>
      <c r="L1778" s="6">
        <v>18.195121</v>
      </c>
      <c r="M1778" s="6">
        <v>17.625368000000002</v>
      </c>
      <c r="N1778" s="6">
        <v>19.181818</v>
      </c>
      <c r="O1778" s="6">
        <v>19.119288999999998</v>
      </c>
      <c r="P1778" s="6">
        <v>18.784502</v>
      </c>
      <c r="Q1778" s="6">
        <v>19.181818</v>
      </c>
      <c r="R1778" s="6">
        <v>19.101835999999999</v>
      </c>
      <c r="S1778" s="6">
        <v>18.763134000000001</v>
      </c>
      <c r="T1778" s="6">
        <v>19.181818</v>
      </c>
      <c r="U1778" s="6">
        <v>19.101835999999999</v>
      </c>
      <c r="V1778" s="6">
        <v>18.763134000000001</v>
      </c>
    </row>
    <row r="1779" spans="2:22">
      <c r="B1779" s="6">
        <v>32752</v>
      </c>
      <c r="C1779" s="6" t="s">
        <v>1116</v>
      </c>
      <c r="D1779" s="6">
        <v>20906</v>
      </c>
      <c r="E1779" s="6" t="s">
        <v>48</v>
      </c>
      <c r="F1779" s="6" t="s">
        <v>49</v>
      </c>
      <c r="G1779" s="6" t="s">
        <v>1296</v>
      </c>
      <c r="H1779" s="6">
        <v>17</v>
      </c>
      <c r="I1779" s="6">
        <v>17</v>
      </c>
      <c r="J1779" s="6">
        <v>17</v>
      </c>
      <c r="K1779" s="6">
        <v>16.992394999999998</v>
      </c>
      <c r="L1779" s="6">
        <v>16.951830000000001</v>
      </c>
      <c r="M1779" s="6">
        <v>17.405908</v>
      </c>
      <c r="N1779" s="6">
        <v>17.016705999999999</v>
      </c>
      <c r="O1779" s="6">
        <v>16.954350000000002</v>
      </c>
      <c r="P1779" s="6">
        <v>17.537869000000001</v>
      </c>
      <c r="Q1779" s="6">
        <v>17.016335999999999</v>
      </c>
      <c r="R1779" s="6">
        <v>16.958155999999999</v>
      </c>
      <c r="S1779" s="6">
        <v>17.538882000000001</v>
      </c>
      <c r="T1779" s="6">
        <v>17.016335999999999</v>
      </c>
      <c r="U1779" s="6">
        <v>16.958155999999999</v>
      </c>
      <c r="V1779" s="6">
        <v>17.538882000000001</v>
      </c>
    </row>
    <row r="1780" spans="2:22">
      <c r="B1780" s="6">
        <v>32754</v>
      </c>
      <c r="C1780" s="6" t="s">
        <v>1142</v>
      </c>
      <c r="D1780" s="6">
        <v>20500</v>
      </c>
      <c r="E1780" s="6" t="s">
        <v>31</v>
      </c>
      <c r="F1780" s="6" t="s">
        <v>17</v>
      </c>
      <c r="G1780" s="6" t="s">
        <v>1294</v>
      </c>
      <c r="H1780" s="6">
        <v>27</v>
      </c>
      <c r="I1780" s="6">
        <v>27</v>
      </c>
      <c r="J1780" s="6">
        <v>27</v>
      </c>
      <c r="K1780" s="6">
        <v>26.179282000000001</v>
      </c>
      <c r="L1780" s="6">
        <v>26.186138</v>
      </c>
      <c r="M1780" s="6">
        <v>25.935728999999998</v>
      </c>
      <c r="N1780" s="6">
        <v>26.108958000000001</v>
      </c>
      <c r="O1780" s="6">
        <v>26.328648000000001</v>
      </c>
      <c r="P1780" s="6">
        <v>26.003786000000002</v>
      </c>
      <c r="Q1780" s="6">
        <v>26.101534000000001</v>
      </c>
      <c r="R1780" s="6">
        <v>26.316153</v>
      </c>
      <c r="S1780" s="6">
        <v>25.991613999999998</v>
      </c>
      <c r="T1780" s="6">
        <v>25.645997000000001</v>
      </c>
      <c r="U1780" s="6">
        <v>25.223958</v>
      </c>
      <c r="V1780" s="6">
        <v>24.770192999999999</v>
      </c>
    </row>
    <row r="1781" spans="2:22">
      <c r="B1781" s="6">
        <v>32754</v>
      </c>
      <c r="C1781" s="6" t="s">
        <v>1142</v>
      </c>
      <c r="D1781" s="6">
        <v>20702</v>
      </c>
      <c r="E1781" s="6" t="s">
        <v>44</v>
      </c>
      <c r="F1781" s="6" t="s">
        <v>17</v>
      </c>
      <c r="G1781" s="6" t="s">
        <v>1294</v>
      </c>
      <c r="H1781" s="6">
        <v>35</v>
      </c>
      <c r="I1781" s="6">
        <v>35</v>
      </c>
      <c r="J1781" s="6">
        <v>35</v>
      </c>
      <c r="K1781" s="6">
        <v>34.902597</v>
      </c>
      <c r="L1781" s="6">
        <v>34.946427999999997</v>
      </c>
      <c r="M1781" s="6">
        <v>34.934041999999998</v>
      </c>
      <c r="N1781" s="6">
        <v>34.893103000000004</v>
      </c>
      <c r="O1781" s="6">
        <v>34.949179999999998</v>
      </c>
      <c r="P1781" s="6">
        <v>34.926701000000001</v>
      </c>
      <c r="Q1781" s="6">
        <v>34.894556999999999</v>
      </c>
      <c r="R1781" s="6">
        <v>34.950949000000001</v>
      </c>
      <c r="S1781" s="6">
        <v>34.883485</v>
      </c>
      <c r="T1781" s="6">
        <v>34.894556999999999</v>
      </c>
      <c r="U1781" s="6">
        <v>34.950949000000001</v>
      </c>
      <c r="V1781" s="6">
        <v>34.883485</v>
      </c>
    </row>
    <row r="1782" spans="2:22">
      <c r="B1782" s="6">
        <v>32754</v>
      </c>
      <c r="C1782" s="6" t="s">
        <v>1142</v>
      </c>
      <c r="D1782" s="6">
        <v>20902</v>
      </c>
      <c r="E1782" s="6" t="s">
        <v>53</v>
      </c>
      <c r="F1782" s="6" t="s">
        <v>16</v>
      </c>
      <c r="G1782" s="6" t="s">
        <v>1295</v>
      </c>
      <c r="H1782" s="6">
        <v>20</v>
      </c>
      <c r="I1782" s="6">
        <v>20</v>
      </c>
      <c r="J1782" s="6">
        <v>20</v>
      </c>
      <c r="K1782" s="6">
        <v>27.111111000000001</v>
      </c>
      <c r="L1782" s="6">
        <v>25.059170999999999</v>
      </c>
      <c r="M1782" s="6">
        <v>26.5625</v>
      </c>
      <c r="N1782" s="6">
        <v>27.102803000000002</v>
      </c>
      <c r="O1782" s="6">
        <v>26.100322999999999</v>
      </c>
      <c r="P1782" s="6">
        <v>27.578899</v>
      </c>
      <c r="Q1782" s="6">
        <v>27.102803000000002</v>
      </c>
      <c r="R1782" s="6">
        <v>26.100322999999999</v>
      </c>
      <c r="S1782" s="6">
        <v>27.558453</v>
      </c>
      <c r="T1782" s="6">
        <v>26.737159999999999</v>
      </c>
      <c r="U1782" s="6">
        <v>25.752351000000001</v>
      </c>
      <c r="V1782" s="6">
        <v>27.323633000000001</v>
      </c>
    </row>
    <row r="1783" spans="2:22">
      <c r="B1783" s="6">
        <v>32754</v>
      </c>
      <c r="C1783" s="6" t="s">
        <v>1142</v>
      </c>
      <c r="D1783" s="6">
        <v>20906</v>
      </c>
      <c r="E1783" s="6" t="s">
        <v>48</v>
      </c>
      <c r="F1783" s="6" t="s">
        <v>49</v>
      </c>
      <c r="G1783" s="6" t="s">
        <v>1296</v>
      </c>
      <c r="H1783" s="6">
        <v>17</v>
      </c>
      <c r="I1783" s="6">
        <v>17</v>
      </c>
      <c r="J1783" s="6">
        <v>17</v>
      </c>
      <c r="K1783" s="6">
        <v>16.992394999999998</v>
      </c>
      <c r="L1783" s="6">
        <v>16.951830000000001</v>
      </c>
      <c r="M1783" s="6">
        <v>17.405908</v>
      </c>
      <c r="N1783" s="6">
        <v>17.016705999999999</v>
      </c>
      <c r="O1783" s="6">
        <v>16.954350000000002</v>
      </c>
      <c r="P1783" s="6">
        <v>17.537869000000001</v>
      </c>
      <c r="Q1783" s="6">
        <v>17.016335999999999</v>
      </c>
      <c r="R1783" s="6">
        <v>16.958155999999999</v>
      </c>
      <c r="S1783" s="6">
        <v>17.538882000000001</v>
      </c>
      <c r="T1783" s="6">
        <v>17.016335999999999</v>
      </c>
      <c r="U1783" s="6">
        <v>16.958155999999999</v>
      </c>
      <c r="V1783" s="6">
        <v>17.538882000000001</v>
      </c>
    </row>
    <row r="1784" spans="2:22">
      <c r="B1784" s="6">
        <v>32755</v>
      </c>
      <c r="C1784" s="6" t="s">
        <v>1182</v>
      </c>
      <c r="D1784" s="6">
        <v>12300</v>
      </c>
      <c r="E1784" s="6" t="s">
        <v>1223</v>
      </c>
      <c r="F1784" s="6" t="s">
        <v>38</v>
      </c>
      <c r="G1784" s="6" t="s">
        <v>1302</v>
      </c>
      <c r="H1784" s="6">
        <v>10</v>
      </c>
      <c r="I1784" s="6">
        <v>10</v>
      </c>
      <c r="J1784" s="6">
        <v>10</v>
      </c>
      <c r="K1784" s="6">
        <v>10</v>
      </c>
      <c r="L1784" s="6">
        <v>10</v>
      </c>
      <c r="M1784" s="6">
        <v>10</v>
      </c>
      <c r="N1784" s="6">
        <v>10</v>
      </c>
      <c r="O1784" s="6">
        <v>10</v>
      </c>
      <c r="P1784" s="6">
        <v>10</v>
      </c>
      <c r="Q1784" s="6">
        <v>10</v>
      </c>
      <c r="R1784" s="6">
        <v>10</v>
      </c>
      <c r="S1784" s="6">
        <v>10</v>
      </c>
      <c r="T1784" s="6">
        <v>10</v>
      </c>
      <c r="U1784" s="6">
        <v>10</v>
      </c>
      <c r="V1784" s="6">
        <v>10</v>
      </c>
    </row>
    <row r="1785" spans="2:22">
      <c r="B1785" s="6">
        <v>32755</v>
      </c>
      <c r="C1785" s="6" t="s">
        <v>1182</v>
      </c>
      <c r="D1785" s="6">
        <v>25000</v>
      </c>
      <c r="E1785" s="6" t="s">
        <v>1226</v>
      </c>
      <c r="F1785" s="6" t="s">
        <v>16</v>
      </c>
      <c r="G1785" s="6" t="s">
        <v>1295</v>
      </c>
      <c r="H1785" s="6">
        <v>20</v>
      </c>
      <c r="I1785" s="6">
        <v>20</v>
      </c>
      <c r="J1785" s="6">
        <v>20</v>
      </c>
      <c r="K1785" s="6">
        <v>13.076923000000001</v>
      </c>
      <c r="L1785" s="6">
        <v>14.533333000000001</v>
      </c>
      <c r="M1785" s="6">
        <v>15.393442</v>
      </c>
      <c r="N1785" s="6">
        <v>13.076923000000001</v>
      </c>
      <c r="O1785" s="6">
        <v>14.533333000000001</v>
      </c>
      <c r="P1785" s="6">
        <v>15.139533999999999</v>
      </c>
      <c r="Q1785" s="6">
        <v>13.076923000000001</v>
      </c>
      <c r="R1785" s="6">
        <v>14.533333000000001</v>
      </c>
      <c r="S1785" s="6">
        <v>15.139533999999999</v>
      </c>
      <c r="T1785" s="6">
        <v>13.076923000000001</v>
      </c>
      <c r="U1785" s="6">
        <v>14.533333000000001</v>
      </c>
      <c r="V1785" s="6">
        <v>15.139533999999999</v>
      </c>
    </row>
    <row r="1786" spans="2:22">
      <c r="B1786" s="6">
        <v>32755</v>
      </c>
      <c r="C1786" s="6" t="s">
        <v>1182</v>
      </c>
      <c r="D1786" s="6">
        <v>25006</v>
      </c>
      <c r="E1786" s="6" t="s">
        <v>1235</v>
      </c>
      <c r="F1786" s="6" t="s">
        <v>38</v>
      </c>
      <c r="G1786" s="6" t="s">
        <v>1302</v>
      </c>
      <c r="H1786" s="6">
        <v>25</v>
      </c>
      <c r="I1786" s="6">
        <v>25</v>
      </c>
      <c r="J1786" s="6">
        <v>25</v>
      </c>
      <c r="K1786" s="6">
        <v>23</v>
      </c>
      <c r="L1786" s="6">
        <v>21</v>
      </c>
      <c r="M1786" s="6">
        <v>17.291665999999999</v>
      </c>
      <c r="N1786" s="6">
        <v>23</v>
      </c>
      <c r="O1786" s="6">
        <v>21</v>
      </c>
      <c r="P1786" s="6">
        <v>17.291665999999999</v>
      </c>
      <c r="Q1786" s="6">
        <v>23</v>
      </c>
      <c r="R1786" s="6">
        <v>21</v>
      </c>
      <c r="S1786" s="6">
        <v>17.291665999999999</v>
      </c>
      <c r="T1786" s="6">
        <v>23</v>
      </c>
      <c r="U1786" s="6">
        <v>21</v>
      </c>
      <c r="V1786" s="6">
        <v>17.291665999999999</v>
      </c>
    </row>
    <row r="1787" spans="2:22">
      <c r="B1787" s="6">
        <v>32755</v>
      </c>
      <c r="C1787" s="6" t="s">
        <v>1182</v>
      </c>
      <c r="D1787" s="6">
        <v>80013</v>
      </c>
      <c r="E1787" s="6" t="s">
        <v>250</v>
      </c>
      <c r="F1787" s="6" t="s">
        <v>16</v>
      </c>
      <c r="G1787" s="6" t="s">
        <v>1295</v>
      </c>
      <c r="H1787" s="6">
        <v>15</v>
      </c>
      <c r="I1787" s="6">
        <v>15</v>
      </c>
      <c r="J1787" s="6">
        <v>15</v>
      </c>
      <c r="K1787" s="6">
        <v>12</v>
      </c>
      <c r="L1787" s="6">
        <v>12</v>
      </c>
      <c r="M1787" s="6">
        <v>12</v>
      </c>
      <c r="N1787" s="6">
        <v>12</v>
      </c>
      <c r="O1787" s="6">
        <v>12</v>
      </c>
      <c r="P1787" s="6">
        <v>12</v>
      </c>
      <c r="Q1787" s="6">
        <v>12</v>
      </c>
      <c r="R1787" s="6">
        <v>12</v>
      </c>
      <c r="S1787" s="6">
        <v>12</v>
      </c>
      <c r="T1787" s="6">
        <v>12</v>
      </c>
      <c r="U1787" s="6">
        <v>12</v>
      </c>
      <c r="V1787" s="6">
        <v>12</v>
      </c>
    </row>
    <row r="1788" spans="2:22">
      <c r="B1788" s="6">
        <v>32756</v>
      </c>
      <c r="C1788" s="6" t="s">
        <v>1100</v>
      </c>
      <c r="D1788" s="6">
        <v>20500</v>
      </c>
      <c r="E1788" s="6" t="s">
        <v>31</v>
      </c>
      <c r="F1788" s="6" t="s">
        <v>17</v>
      </c>
      <c r="G1788" s="6" t="s">
        <v>1294</v>
      </c>
      <c r="H1788" s="6">
        <v>27</v>
      </c>
      <c r="I1788" s="6">
        <v>27</v>
      </c>
      <c r="J1788" s="6">
        <v>27</v>
      </c>
      <c r="K1788" s="6">
        <v>26.046875</v>
      </c>
      <c r="L1788" s="6">
        <v>26.199541</v>
      </c>
      <c r="M1788" s="6">
        <v>26.109717</v>
      </c>
      <c r="N1788" s="6">
        <v>26.108958000000001</v>
      </c>
      <c r="O1788" s="6">
        <v>26.328648000000001</v>
      </c>
      <c r="P1788" s="6">
        <v>26.003786000000002</v>
      </c>
      <c r="Q1788" s="6">
        <v>26.101534000000001</v>
      </c>
      <c r="R1788" s="6">
        <v>26.316153</v>
      </c>
      <c r="S1788" s="6">
        <v>25.991613999999998</v>
      </c>
      <c r="T1788" s="6">
        <v>25.645997000000001</v>
      </c>
      <c r="U1788" s="6">
        <v>25.223958</v>
      </c>
      <c r="V1788" s="6">
        <v>24.770192999999999</v>
      </c>
    </row>
    <row r="1789" spans="2:22">
      <c r="B1789" s="6">
        <v>32756</v>
      </c>
      <c r="C1789" s="6" t="s">
        <v>1100</v>
      </c>
      <c r="D1789" s="6">
        <v>20702</v>
      </c>
      <c r="E1789" s="6" t="s">
        <v>44</v>
      </c>
      <c r="F1789" s="6" t="s">
        <v>17</v>
      </c>
      <c r="G1789" s="6" t="s">
        <v>1294</v>
      </c>
      <c r="H1789" s="6">
        <v>35</v>
      </c>
      <c r="I1789" s="6">
        <v>35</v>
      </c>
      <c r="J1789" s="6">
        <v>35</v>
      </c>
      <c r="K1789" s="6">
        <v>34.851851000000003</v>
      </c>
      <c r="L1789" s="6">
        <v>34.933332999999998</v>
      </c>
      <c r="M1789" s="6">
        <v>34.897097000000002</v>
      </c>
      <c r="N1789" s="6">
        <v>34.893103000000004</v>
      </c>
      <c r="O1789" s="6">
        <v>34.949179999999998</v>
      </c>
      <c r="P1789" s="6">
        <v>34.926701000000001</v>
      </c>
      <c r="Q1789" s="6">
        <v>34.894556999999999</v>
      </c>
      <c r="R1789" s="6">
        <v>34.950949000000001</v>
      </c>
      <c r="S1789" s="6">
        <v>34.883485</v>
      </c>
      <c r="T1789" s="6">
        <v>34.894556999999999</v>
      </c>
      <c r="U1789" s="6">
        <v>34.950949000000001</v>
      </c>
      <c r="V1789" s="6">
        <v>34.883485</v>
      </c>
    </row>
    <row r="1790" spans="2:22">
      <c r="B1790" s="6">
        <v>32756</v>
      </c>
      <c r="C1790" s="6" t="s">
        <v>1100</v>
      </c>
      <c r="D1790" s="6">
        <v>20902</v>
      </c>
      <c r="E1790" s="6" t="s">
        <v>53</v>
      </c>
      <c r="F1790" s="6" t="s">
        <v>13</v>
      </c>
      <c r="G1790" s="6" t="s">
        <v>14</v>
      </c>
      <c r="H1790" s="6">
        <v>15</v>
      </c>
      <c r="I1790" s="6">
        <v>15</v>
      </c>
      <c r="J1790" s="6">
        <v>15</v>
      </c>
      <c r="K1790" s="6">
        <v>18.622046999999998</v>
      </c>
      <c r="L1790" s="6">
        <v>18.557046</v>
      </c>
      <c r="M1790" s="6">
        <v>18.643459</v>
      </c>
      <c r="N1790" s="6">
        <v>19.181818</v>
      </c>
      <c r="O1790" s="6">
        <v>19.119288999999998</v>
      </c>
      <c r="P1790" s="6">
        <v>18.784502</v>
      </c>
      <c r="Q1790" s="6">
        <v>19.181818</v>
      </c>
      <c r="R1790" s="6">
        <v>19.101835999999999</v>
      </c>
      <c r="S1790" s="6">
        <v>18.763134000000001</v>
      </c>
      <c r="T1790" s="6">
        <v>19.181818</v>
      </c>
      <c r="U1790" s="6">
        <v>19.101835999999999</v>
      </c>
      <c r="V1790" s="6">
        <v>18.763134000000001</v>
      </c>
    </row>
    <row r="1791" spans="2:22">
      <c r="B1791" s="6">
        <v>32756</v>
      </c>
      <c r="C1791" s="6" t="s">
        <v>1100</v>
      </c>
      <c r="D1791" s="6">
        <v>20906</v>
      </c>
      <c r="E1791" s="6" t="s">
        <v>48</v>
      </c>
      <c r="F1791" s="6" t="s">
        <v>49</v>
      </c>
      <c r="G1791" s="6" t="s">
        <v>1296</v>
      </c>
      <c r="H1791" s="6">
        <v>17</v>
      </c>
      <c r="I1791" s="6">
        <v>17</v>
      </c>
      <c r="J1791" s="6">
        <v>17</v>
      </c>
      <c r="K1791" s="6">
        <v>17.229590999999999</v>
      </c>
      <c r="L1791" s="6">
        <v>17.052391</v>
      </c>
      <c r="M1791" s="6">
        <v>17.431988</v>
      </c>
      <c r="N1791" s="6">
        <v>17.016705999999999</v>
      </c>
      <c r="O1791" s="6">
        <v>16.954350000000002</v>
      </c>
      <c r="P1791" s="6">
        <v>17.537869000000001</v>
      </c>
      <c r="Q1791" s="6">
        <v>17.016335999999999</v>
      </c>
      <c r="R1791" s="6">
        <v>16.958155999999999</v>
      </c>
      <c r="S1791" s="6">
        <v>17.538882000000001</v>
      </c>
      <c r="T1791" s="6">
        <v>17.016335999999999</v>
      </c>
      <c r="U1791" s="6">
        <v>16.958155999999999</v>
      </c>
      <c r="V1791" s="6">
        <v>17.538882000000001</v>
      </c>
    </row>
    <row r="1792" spans="2:22">
      <c r="B1792" s="6">
        <v>32758</v>
      </c>
      <c r="C1792" s="6" t="s">
        <v>1141</v>
      </c>
      <c r="D1792" s="6">
        <v>20500</v>
      </c>
      <c r="E1792" s="6" t="s">
        <v>31</v>
      </c>
      <c r="F1792" s="6" t="s">
        <v>17</v>
      </c>
      <c r="G1792" s="6" t="s">
        <v>1294</v>
      </c>
      <c r="H1792" s="6">
        <v>27</v>
      </c>
      <c r="I1792" s="6">
        <v>27</v>
      </c>
      <c r="J1792" s="6">
        <v>27</v>
      </c>
      <c r="K1792" s="6">
        <v>26.046875</v>
      </c>
      <c r="L1792" s="6">
        <v>26.199541</v>
      </c>
      <c r="M1792" s="6">
        <v>26.109717</v>
      </c>
      <c r="N1792" s="6">
        <v>26.108958000000001</v>
      </c>
      <c r="O1792" s="6">
        <v>26.328648000000001</v>
      </c>
      <c r="P1792" s="6">
        <v>26.003786000000002</v>
      </c>
      <c r="Q1792" s="6">
        <v>26.101534000000001</v>
      </c>
      <c r="R1792" s="6">
        <v>26.316153</v>
      </c>
      <c r="S1792" s="6">
        <v>25.991613999999998</v>
      </c>
      <c r="T1792" s="6">
        <v>25.645997000000001</v>
      </c>
      <c r="U1792" s="6">
        <v>25.223958</v>
      </c>
      <c r="V1792" s="6">
        <v>24.770192999999999</v>
      </c>
    </row>
    <row r="1793" spans="2:22">
      <c r="B1793" s="6">
        <v>32758</v>
      </c>
      <c r="C1793" s="6" t="s">
        <v>1141</v>
      </c>
      <c r="D1793" s="6">
        <v>20702</v>
      </c>
      <c r="E1793" s="6" t="s">
        <v>44</v>
      </c>
      <c r="F1793" s="6" t="s">
        <v>17</v>
      </c>
      <c r="G1793" s="6" t="s">
        <v>1294</v>
      </c>
      <c r="H1793" s="6">
        <v>35</v>
      </c>
      <c r="I1793" s="6">
        <v>35</v>
      </c>
      <c r="J1793" s="6">
        <v>35</v>
      </c>
      <c r="K1793" s="6">
        <v>34.851851000000003</v>
      </c>
      <c r="L1793" s="6">
        <v>34.933332999999998</v>
      </c>
      <c r="M1793" s="6">
        <v>34.897097000000002</v>
      </c>
      <c r="N1793" s="6">
        <v>34.893103000000004</v>
      </c>
      <c r="O1793" s="6">
        <v>34.949179999999998</v>
      </c>
      <c r="P1793" s="6">
        <v>34.926701000000001</v>
      </c>
      <c r="Q1793" s="6">
        <v>34.894556999999999</v>
      </c>
      <c r="R1793" s="6">
        <v>34.950949000000001</v>
      </c>
      <c r="S1793" s="6">
        <v>34.883485</v>
      </c>
      <c r="T1793" s="6">
        <v>34.894556999999999</v>
      </c>
      <c r="U1793" s="6">
        <v>34.950949000000001</v>
      </c>
      <c r="V1793" s="6">
        <v>34.883485</v>
      </c>
    </row>
    <row r="1794" spans="2:22">
      <c r="B1794" s="6">
        <v>32758</v>
      </c>
      <c r="C1794" s="6" t="s">
        <v>1141</v>
      </c>
      <c r="D1794" s="6">
        <v>20902</v>
      </c>
      <c r="E1794" s="6" t="s">
        <v>53</v>
      </c>
      <c r="F1794" s="6" t="s">
        <v>13</v>
      </c>
      <c r="G1794" s="6" t="s">
        <v>14</v>
      </c>
      <c r="H1794" s="6">
        <v>20</v>
      </c>
      <c r="I1794" s="6">
        <v>20</v>
      </c>
      <c r="J1794" s="6">
        <v>20</v>
      </c>
      <c r="K1794" s="6">
        <v>18.622046999999998</v>
      </c>
      <c r="L1794" s="6">
        <v>18.557046</v>
      </c>
      <c r="M1794" s="6">
        <v>18.643459</v>
      </c>
      <c r="N1794" s="6">
        <v>19.181818</v>
      </c>
      <c r="O1794" s="6">
        <v>19.119288999999998</v>
      </c>
      <c r="P1794" s="6">
        <v>18.784502</v>
      </c>
      <c r="Q1794" s="6">
        <v>19.181818</v>
      </c>
      <c r="R1794" s="6">
        <v>19.101835999999999</v>
      </c>
      <c r="S1794" s="6">
        <v>18.763134000000001</v>
      </c>
      <c r="T1794" s="6">
        <v>19.181818</v>
      </c>
      <c r="U1794" s="6">
        <v>19.101835999999999</v>
      </c>
      <c r="V1794" s="6">
        <v>18.763134000000001</v>
      </c>
    </row>
    <row r="1795" spans="2:22">
      <c r="B1795" s="6">
        <v>32758</v>
      </c>
      <c r="C1795" s="6" t="s">
        <v>1141</v>
      </c>
      <c r="D1795" s="6">
        <v>20906</v>
      </c>
      <c r="E1795" s="6" t="s">
        <v>48</v>
      </c>
      <c r="F1795" s="6" t="s">
        <v>49</v>
      </c>
      <c r="G1795" s="6" t="s">
        <v>1296</v>
      </c>
      <c r="H1795" s="6">
        <v>17</v>
      </c>
      <c r="I1795" s="6">
        <v>17</v>
      </c>
      <c r="J1795" s="6">
        <v>17</v>
      </c>
      <c r="K1795" s="6">
        <v>17.229590999999999</v>
      </c>
      <c r="L1795" s="6">
        <v>17.052391</v>
      </c>
      <c r="M1795" s="6">
        <v>17.431988</v>
      </c>
      <c r="N1795" s="6">
        <v>17.016705999999999</v>
      </c>
      <c r="O1795" s="6">
        <v>16.954350000000002</v>
      </c>
      <c r="P1795" s="6">
        <v>17.537869000000001</v>
      </c>
      <c r="Q1795" s="6">
        <v>17.016335999999999</v>
      </c>
      <c r="R1795" s="6">
        <v>16.958155999999999</v>
      </c>
      <c r="S1795" s="6">
        <v>17.538882000000001</v>
      </c>
      <c r="T1795" s="6">
        <v>17.016335999999999</v>
      </c>
      <c r="U1795" s="6">
        <v>16.958155999999999</v>
      </c>
      <c r="V1795" s="6">
        <v>17.538882000000001</v>
      </c>
    </row>
    <row r="1796" spans="2:22">
      <c r="B1796" s="6">
        <v>32760</v>
      </c>
      <c r="C1796" s="6" t="s">
        <v>1047</v>
      </c>
      <c r="D1796" s="6">
        <v>20500</v>
      </c>
      <c r="E1796" s="6" t="s">
        <v>31</v>
      </c>
      <c r="F1796" s="6" t="s">
        <v>17</v>
      </c>
      <c r="G1796" s="6" t="s">
        <v>1294</v>
      </c>
      <c r="H1796" s="6">
        <v>27</v>
      </c>
      <c r="I1796" s="6">
        <v>27</v>
      </c>
      <c r="J1796" s="6">
        <v>27</v>
      </c>
      <c r="K1796" s="6">
        <v>26.046875</v>
      </c>
      <c r="L1796" s="6">
        <v>26.199541</v>
      </c>
      <c r="M1796" s="6">
        <v>26.109717</v>
      </c>
      <c r="N1796" s="6">
        <v>26.108958000000001</v>
      </c>
      <c r="O1796" s="6">
        <v>26.328648000000001</v>
      </c>
      <c r="P1796" s="6">
        <v>26.003786000000002</v>
      </c>
      <c r="Q1796" s="6">
        <v>26.101534000000001</v>
      </c>
      <c r="R1796" s="6">
        <v>26.316153</v>
      </c>
      <c r="S1796" s="6">
        <v>25.991613999999998</v>
      </c>
      <c r="T1796" s="6">
        <v>25.645997000000001</v>
      </c>
      <c r="U1796" s="6">
        <v>25.223958</v>
      </c>
      <c r="V1796" s="6">
        <v>24.770192999999999</v>
      </c>
    </row>
    <row r="1797" spans="2:22">
      <c r="B1797" s="6">
        <v>32760</v>
      </c>
      <c r="C1797" s="6" t="s">
        <v>1047</v>
      </c>
      <c r="D1797" s="6">
        <v>20702</v>
      </c>
      <c r="E1797" s="6" t="s">
        <v>44</v>
      </c>
      <c r="F1797" s="6" t="s">
        <v>17</v>
      </c>
      <c r="G1797" s="6" t="s">
        <v>1294</v>
      </c>
      <c r="H1797" s="6">
        <v>35</v>
      </c>
      <c r="I1797" s="6">
        <v>35</v>
      </c>
      <c r="J1797" s="6">
        <v>35</v>
      </c>
      <c r="K1797" s="6">
        <v>34.851851000000003</v>
      </c>
      <c r="L1797" s="6">
        <v>34.933332999999998</v>
      </c>
      <c r="M1797" s="6">
        <v>34.897097000000002</v>
      </c>
      <c r="N1797" s="6">
        <v>34.893103000000004</v>
      </c>
      <c r="O1797" s="6">
        <v>34.949179999999998</v>
      </c>
      <c r="P1797" s="6">
        <v>34.926701000000001</v>
      </c>
      <c r="Q1797" s="6">
        <v>34.894556999999999</v>
      </c>
      <c r="R1797" s="6">
        <v>34.950949000000001</v>
      </c>
      <c r="S1797" s="6">
        <v>34.883485</v>
      </c>
      <c r="T1797" s="6">
        <v>34.894556999999999</v>
      </c>
      <c r="U1797" s="6">
        <v>34.950949000000001</v>
      </c>
      <c r="V1797" s="6">
        <v>34.883485</v>
      </c>
    </row>
    <row r="1798" spans="2:22">
      <c r="B1798" s="6">
        <v>32760</v>
      </c>
      <c r="C1798" s="6" t="s">
        <v>1047</v>
      </c>
      <c r="D1798" s="6">
        <v>20902</v>
      </c>
      <c r="E1798" s="6" t="s">
        <v>53</v>
      </c>
      <c r="F1798" s="6" t="s">
        <v>13</v>
      </c>
      <c r="G1798" s="6" t="s">
        <v>14</v>
      </c>
      <c r="H1798" s="6">
        <v>20</v>
      </c>
      <c r="I1798" s="6">
        <v>20</v>
      </c>
      <c r="J1798" s="6">
        <v>20</v>
      </c>
      <c r="K1798" s="6">
        <v>18.622046999999998</v>
      </c>
      <c r="L1798" s="6">
        <v>18.557046</v>
      </c>
      <c r="M1798" s="6">
        <v>18.643459</v>
      </c>
      <c r="N1798" s="6">
        <v>19.181818</v>
      </c>
      <c r="O1798" s="6">
        <v>19.119288999999998</v>
      </c>
      <c r="P1798" s="6">
        <v>18.784502</v>
      </c>
      <c r="Q1798" s="6">
        <v>19.181818</v>
      </c>
      <c r="R1798" s="6">
        <v>19.101835999999999</v>
      </c>
      <c r="S1798" s="6">
        <v>18.763134000000001</v>
      </c>
      <c r="T1798" s="6">
        <v>19.181818</v>
      </c>
      <c r="U1798" s="6">
        <v>19.101835999999999</v>
      </c>
      <c r="V1798" s="6">
        <v>18.763134000000001</v>
      </c>
    </row>
    <row r="1799" spans="2:22">
      <c r="B1799" s="6">
        <v>32760</v>
      </c>
      <c r="C1799" s="6" t="s">
        <v>1047</v>
      </c>
      <c r="D1799" s="6">
        <v>20906</v>
      </c>
      <c r="E1799" s="6" t="s">
        <v>48</v>
      </c>
      <c r="F1799" s="6" t="s">
        <v>49</v>
      </c>
      <c r="G1799" s="6" t="s">
        <v>1296</v>
      </c>
      <c r="H1799" s="6">
        <v>17</v>
      </c>
      <c r="I1799" s="6">
        <v>17</v>
      </c>
      <c r="J1799" s="6">
        <v>17</v>
      </c>
      <c r="K1799" s="6">
        <v>17.229590999999999</v>
      </c>
      <c r="L1799" s="6">
        <v>17.052391</v>
      </c>
      <c r="M1799" s="6">
        <v>17.431988</v>
      </c>
      <c r="N1799" s="6">
        <v>17.016705999999999</v>
      </c>
      <c r="O1799" s="6">
        <v>16.954350000000002</v>
      </c>
      <c r="P1799" s="6">
        <v>17.537869000000001</v>
      </c>
      <c r="Q1799" s="6">
        <v>17.016335999999999</v>
      </c>
      <c r="R1799" s="6">
        <v>16.958155999999999</v>
      </c>
      <c r="S1799" s="6">
        <v>17.538882000000001</v>
      </c>
      <c r="T1799" s="6">
        <v>17.016335999999999</v>
      </c>
      <c r="U1799" s="6">
        <v>16.958155999999999</v>
      </c>
      <c r="V1799" s="6">
        <v>17.538882000000001</v>
      </c>
    </row>
    <row r="1800" spans="2:22">
      <c r="B1800" s="6">
        <v>32762</v>
      </c>
      <c r="C1800" s="6" t="s">
        <v>1081</v>
      </c>
      <c r="D1800" s="6">
        <v>20500</v>
      </c>
      <c r="E1800" s="6" t="s">
        <v>31</v>
      </c>
      <c r="F1800" s="6" t="s">
        <v>17</v>
      </c>
      <c r="G1800" s="6" t="s">
        <v>1294</v>
      </c>
      <c r="H1800" s="6">
        <v>27</v>
      </c>
      <c r="I1800" s="6">
        <v>27</v>
      </c>
      <c r="J1800" s="6">
        <v>27</v>
      </c>
      <c r="K1800" s="6">
        <v>26.179282000000001</v>
      </c>
      <c r="L1800" s="6">
        <v>26.186138</v>
      </c>
      <c r="M1800" s="6">
        <v>25.935728999999998</v>
      </c>
      <c r="N1800" s="6">
        <v>26.108958000000001</v>
      </c>
      <c r="O1800" s="6">
        <v>26.328648000000001</v>
      </c>
      <c r="P1800" s="6">
        <v>26.003786000000002</v>
      </c>
      <c r="Q1800" s="6">
        <v>26.101534000000001</v>
      </c>
      <c r="R1800" s="6">
        <v>26.316153</v>
      </c>
      <c r="S1800" s="6">
        <v>25.991613999999998</v>
      </c>
      <c r="T1800" s="6">
        <v>25.645997000000001</v>
      </c>
      <c r="U1800" s="6">
        <v>25.223958</v>
      </c>
      <c r="V1800" s="6">
        <v>24.770192999999999</v>
      </c>
    </row>
    <row r="1801" spans="2:22">
      <c r="B1801" s="6">
        <v>32762</v>
      </c>
      <c r="C1801" s="6" t="s">
        <v>1081</v>
      </c>
      <c r="D1801" s="6">
        <v>20702</v>
      </c>
      <c r="E1801" s="6" t="s">
        <v>44</v>
      </c>
      <c r="F1801" s="6" t="s">
        <v>17</v>
      </c>
      <c r="G1801" s="6" t="s">
        <v>1294</v>
      </c>
      <c r="H1801" s="6">
        <v>35</v>
      </c>
      <c r="I1801" s="6">
        <v>35</v>
      </c>
      <c r="J1801" s="6">
        <v>35</v>
      </c>
      <c r="K1801" s="6">
        <v>34.902597</v>
      </c>
      <c r="L1801" s="6">
        <v>34.946427999999997</v>
      </c>
      <c r="M1801" s="6">
        <v>34.934041999999998</v>
      </c>
      <c r="N1801" s="6">
        <v>34.893103000000004</v>
      </c>
      <c r="O1801" s="6">
        <v>34.949179999999998</v>
      </c>
      <c r="P1801" s="6">
        <v>34.926701000000001</v>
      </c>
      <c r="Q1801" s="6">
        <v>34.894556999999999</v>
      </c>
      <c r="R1801" s="6">
        <v>34.950949000000001</v>
      </c>
      <c r="S1801" s="6">
        <v>34.883485</v>
      </c>
      <c r="T1801" s="6">
        <v>34.894556999999999</v>
      </c>
      <c r="U1801" s="6">
        <v>34.950949000000001</v>
      </c>
      <c r="V1801" s="6">
        <v>34.883485</v>
      </c>
    </row>
    <row r="1802" spans="2:22">
      <c r="B1802" s="6">
        <v>32762</v>
      </c>
      <c r="C1802" s="6" t="s">
        <v>1081</v>
      </c>
      <c r="D1802" s="6">
        <v>20902</v>
      </c>
      <c r="E1802" s="6" t="s">
        <v>53</v>
      </c>
      <c r="F1802" s="6" t="s">
        <v>13</v>
      </c>
      <c r="G1802" s="6" t="s">
        <v>14</v>
      </c>
      <c r="H1802" s="6">
        <v>20</v>
      </c>
      <c r="I1802" s="6">
        <v>20</v>
      </c>
      <c r="J1802" s="6">
        <v>20</v>
      </c>
      <c r="K1802" s="6">
        <v>18.635802000000002</v>
      </c>
      <c r="L1802" s="6">
        <v>18.195121</v>
      </c>
      <c r="M1802" s="6">
        <v>17.625368000000002</v>
      </c>
      <c r="N1802" s="6">
        <v>19.181818</v>
      </c>
      <c r="O1802" s="6">
        <v>19.119288999999998</v>
      </c>
      <c r="P1802" s="6">
        <v>18.784502</v>
      </c>
      <c r="Q1802" s="6">
        <v>19.181818</v>
      </c>
      <c r="R1802" s="6">
        <v>19.101835999999999</v>
      </c>
      <c r="S1802" s="6">
        <v>18.763134000000001</v>
      </c>
      <c r="T1802" s="6">
        <v>19.181818</v>
      </c>
      <c r="U1802" s="6">
        <v>19.101835999999999</v>
      </c>
      <c r="V1802" s="6">
        <v>18.763134000000001</v>
      </c>
    </row>
    <row r="1803" spans="2:22">
      <c r="B1803" s="6">
        <v>32762</v>
      </c>
      <c r="C1803" s="6" t="s">
        <v>1081</v>
      </c>
      <c r="D1803" s="6">
        <v>20906</v>
      </c>
      <c r="E1803" s="6" t="s">
        <v>48</v>
      </c>
      <c r="F1803" s="6" t="s">
        <v>49</v>
      </c>
      <c r="G1803" s="6" t="s">
        <v>1296</v>
      </c>
      <c r="H1803" s="6">
        <v>15.25</v>
      </c>
      <c r="I1803" s="6">
        <v>15.25</v>
      </c>
      <c r="J1803" s="6">
        <v>15.25</v>
      </c>
      <c r="K1803" s="6">
        <v>16.992394999999998</v>
      </c>
      <c r="L1803" s="6">
        <v>16.951830000000001</v>
      </c>
      <c r="M1803" s="6">
        <v>17.405908</v>
      </c>
      <c r="N1803" s="6">
        <v>17.016705999999999</v>
      </c>
      <c r="O1803" s="6">
        <v>16.954350000000002</v>
      </c>
      <c r="P1803" s="6">
        <v>17.537869000000001</v>
      </c>
      <c r="Q1803" s="6">
        <v>17.016335999999999</v>
      </c>
      <c r="R1803" s="6">
        <v>16.958155999999999</v>
      </c>
      <c r="S1803" s="6">
        <v>17.538882000000001</v>
      </c>
      <c r="T1803" s="6">
        <v>17.016335999999999</v>
      </c>
      <c r="U1803" s="6">
        <v>16.958155999999999</v>
      </c>
      <c r="V1803" s="6">
        <v>17.538882000000001</v>
      </c>
    </row>
    <row r="1804" spans="2:22">
      <c r="B1804" s="6">
        <v>32763</v>
      </c>
      <c r="C1804" s="6" t="s">
        <v>1090</v>
      </c>
      <c r="D1804" s="6">
        <v>20601</v>
      </c>
      <c r="E1804" s="6" t="s">
        <v>43</v>
      </c>
      <c r="F1804" s="6" t="s">
        <v>13</v>
      </c>
      <c r="G1804" s="6" t="s">
        <v>14</v>
      </c>
      <c r="H1804" s="6">
        <v>15</v>
      </c>
      <c r="I1804" s="6">
        <v>15</v>
      </c>
      <c r="J1804" s="6">
        <v>15</v>
      </c>
      <c r="K1804" s="6">
        <v>15</v>
      </c>
      <c r="L1804" s="6">
        <v>15</v>
      </c>
      <c r="M1804" s="6">
        <v>15</v>
      </c>
      <c r="N1804" s="6">
        <v>19.047619000000001</v>
      </c>
      <c r="O1804" s="6">
        <v>18.378378000000001</v>
      </c>
      <c r="P1804" s="6">
        <v>18.8</v>
      </c>
      <c r="Q1804" s="6">
        <v>19.047619000000001</v>
      </c>
      <c r="R1804" s="6">
        <v>18.378378000000001</v>
      </c>
      <c r="S1804" s="6">
        <v>18.8</v>
      </c>
      <c r="T1804" s="6">
        <v>19.047619000000001</v>
      </c>
      <c r="U1804" s="6">
        <v>18.378378000000001</v>
      </c>
      <c r="V1804" s="6">
        <v>18.8</v>
      </c>
    </row>
    <row r="1805" spans="2:22">
      <c r="B1805" s="6">
        <v>32763</v>
      </c>
      <c r="C1805" s="6" t="s">
        <v>1090</v>
      </c>
      <c r="D1805" s="6">
        <v>20702</v>
      </c>
      <c r="E1805" s="6" t="s">
        <v>44</v>
      </c>
      <c r="F1805" s="6" t="s">
        <v>17</v>
      </c>
      <c r="G1805" s="6" t="s">
        <v>1294</v>
      </c>
      <c r="H1805" s="6">
        <v>35</v>
      </c>
      <c r="I1805" s="6">
        <v>35</v>
      </c>
      <c r="J1805" s="6">
        <v>35</v>
      </c>
      <c r="K1805" s="6">
        <v>35</v>
      </c>
      <c r="L1805" s="6">
        <v>35</v>
      </c>
      <c r="M1805" s="6">
        <v>35</v>
      </c>
      <c r="N1805" s="6">
        <v>35</v>
      </c>
      <c r="O1805" s="6">
        <v>35</v>
      </c>
      <c r="P1805" s="6">
        <v>33.5</v>
      </c>
      <c r="Q1805" s="6">
        <v>34.894556999999999</v>
      </c>
      <c r="R1805" s="6">
        <v>34.950949000000001</v>
      </c>
      <c r="S1805" s="6">
        <v>34.883485</v>
      </c>
      <c r="T1805" s="6">
        <v>34.894556999999999</v>
      </c>
      <c r="U1805" s="6">
        <v>34.950949000000001</v>
      </c>
      <c r="V1805" s="6">
        <v>34.883485</v>
      </c>
    </row>
    <row r="1806" spans="2:22">
      <c r="B1806" s="6">
        <v>32763</v>
      </c>
      <c r="C1806" s="6" t="s">
        <v>1090</v>
      </c>
      <c r="D1806" s="6">
        <v>23100</v>
      </c>
      <c r="E1806" s="6" t="s">
        <v>54</v>
      </c>
      <c r="F1806" s="6" t="s">
        <v>16</v>
      </c>
      <c r="G1806" s="6" t="s">
        <v>1295</v>
      </c>
      <c r="H1806" s="6">
        <v>20</v>
      </c>
      <c r="I1806" s="6">
        <v>20</v>
      </c>
      <c r="J1806" s="6">
        <v>20</v>
      </c>
      <c r="K1806" s="6">
        <v>20</v>
      </c>
      <c r="L1806" s="6">
        <v>20</v>
      </c>
      <c r="M1806" s="6">
        <v>20</v>
      </c>
      <c r="N1806" s="6">
        <v>20</v>
      </c>
      <c r="O1806" s="6">
        <v>20</v>
      </c>
      <c r="P1806" s="6">
        <v>20</v>
      </c>
      <c r="Q1806" s="6">
        <v>17.533783</v>
      </c>
      <c r="R1806" s="6">
        <v>16.700679999999998</v>
      </c>
      <c r="S1806" s="6">
        <v>17.127882</v>
      </c>
      <c r="T1806" s="6">
        <v>17.533783</v>
      </c>
      <c r="U1806" s="6">
        <v>16.700679999999998</v>
      </c>
      <c r="V1806" s="6">
        <v>17.127882</v>
      </c>
    </row>
    <row r="1807" spans="2:22">
      <c r="B1807" s="6">
        <v>32764</v>
      </c>
      <c r="C1807" s="6" t="s">
        <v>1091</v>
      </c>
      <c r="D1807" s="6">
        <v>20601</v>
      </c>
      <c r="E1807" s="6" t="s">
        <v>43</v>
      </c>
      <c r="F1807" s="6" t="s">
        <v>13</v>
      </c>
      <c r="G1807" s="6" t="s">
        <v>14</v>
      </c>
      <c r="H1807" s="6">
        <v>15</v>
      </c>
      <c r="I1807" s="6">
        <v>15</v>
      </c>
      <c r="J1807" s="6">
        <v>15</v>
      </c>
      <c r="K1807" s="6">
        <v>15</v>
      </c>
      <c r="L1807" s="6">
        <v>15</v>
      </c>
      <c r="M1807" s="6">
        <v>15</v>
      </c>
      <c r="N1807" s="6">
        <v>19.047619000000001</v>
      </c>
      <c r="O1807" s="6">
        <v>18.378378000000001</v>
      </c>
      <c r="P1807" s="6">
        <v>18.8</v>
      </c>
      <c r="Q1807" s="6">
        <v>19.047619000000001</v>
      </c>
      <c r="R1807" s="6">
        <v>18.378378000000001</v>
      </c>
      <c r="S1807" s="6">
        <v>18.8</v>
      </c>
      <c r="T1807" s="6">
        <v>19.047619000000001</v>
      </c>
      <c r="U1807" s="6">
        <v>18.378378000000001</v>
      </c>
      <c r="V1807" s="6">
        <v>18.8</v>
      </c>
    </row>
    <row r="1808" spans="2:22">
      <c r="B1808" s="6">
        <v>32764</v>
      </c>
      <c r="C1808" s="6" t="s">
        <v>1091</v>
      </c>
      <c r="D1808" s="6">
        <v>20702</v>
      </c>
      <c r="E1808" s="6" t="s">
        <v>44</v>
      </c>
      <c r="F1808" s="6" t="s">
        <v>17</v>
      </c>
      <c r="G1808" s="6" t="s">
        <v>1294</v>
      </c>
      <c r="H1808" s="6">
        <v>35</v>
      </c>
      <c r="I1808" s="6">
        <v>35</v>
      </c>
      <c r="J1808" s="6">
        <v>35</v>
      </c>
      <c r="K1808" s="6">
        <v>35</v>
      </c>
      <c r="L1808" s="6">
        <v>35</v>
      </c>
      <c r="M1808" s="6">
        <v>35</v>
      </c>
      <c r="N1808" s="6">
        <v>35</v>
      </c>
      <c r="O1808" s="6">
        <v>35</v>
      </c>
      <c r="P1808" s="6">
        <v>33.5</v>
      </c>
      <c r="Q1808" s="6">
        <v>34.894556999999999</v>
      </c>
      <c r="R1808" s="6">
        <v>34.950949000000001</v>
      </c>
      <c r="S1808" s="6">
        <v>34.883485</v>
      </c>
      <c r="T1808" s="6">
        <v>34.894556999999999</v>
      </c>
      <c r="U1808" s="6">
        <v>34.950949000000001</v>
      </c>
      <c r="V1808" s="6">
        <v>34.883485</v>
      </c>
    </row>
    <row r="1809" spans="2:22">
      <c r="B1809" s="6">
        <v>32764</v>
      </c>
      <c r="C1809" s="6" t="s">
        <v>1091</v>
      </c>
      <c r="D1809" s="6">
        <v>23100</v>
      </c>
      <c r="E1809" s="6" t="s">
        <v>54</v>
      </c>
      <c r="F1809" s="6" t="s">
        <v>16</v>
      </c>
      <c r="G1809" s="6" t="s">
        <v>1295</v>
      </c>
      <c r="H1809" s="6">
        <v>20</v>
      </c>
      <c r="I1809" s="6">
        <v>20</v>
      </c>
      <c r="J1809" s="6">
        <v>20</v>
      </c>
      <c r="K1809" s="6">
        <v>20</v>
      </c>
      <c r="L1809" s="6">
        <v>20</v>
      </c>
      <c r="M1809" s="6">
        <v>20</v>
      </c>
      <c r="N1809" s="6">
        <v>20</v>
      </c>
      <c r="O1809" s="6">
        <v>20</v>
      </c>
      <c r="P1809" s="6">
        <v>20</v>
      </c>
      <c r="Q1809" s="6">
        <v>17.533783</v>
      </c>
      <c r="R1809" s="6">
        <v>16.700679999999998</v>
      </c>
      <c r="S1809" s="6">
        <v>17.127882</v>
      </c>
      <c r="T1809" s="6">
        <v>17.533783</v>
      </c>
      <c r="U1809" s="6">
        <v>16.700679999999998</v>
      </c>
      <c r="V1809" s="6">
        <v>17.127882</v>
      </c>
    </row>
    <row r="1810" spans="2:22">
      <c r="B1810" s="6">
        <v>32241</v>
      </c>
      <c r="C1810" s="6" t="s">
        <v>1113</v>
      </c>
      <c r="D1810" s="6">
        <v>20706</v>
      </c>
      <c r="E1810" s="6" t="s">
        <v>52</v>
      </c>
      <c r="F1810" s="6" t="s">
        <v>16</v>
      </c>
      <c r="G1810" s="6" t="s">
        <v>1295</v>
      </c>
      <c r="H1810" s="6" t="s">
        <v>1147</v>
      </c>
      <c r="I1810" s="6" t="s">
        <v>1147</v>
      </c>
      <c r="J1810" s="6" t="s">
        <v>1147</v>
      </c>
      <c r="K1810" s="6">
        <v>0</v>
      </c>
      <c r="L1810" s="6">
        <v>0</v>
      </c>
      <c r="M1810" s="6">
        <v>0</v>
      </c>
      <c r="N1810" s="6">
        <v>0</v>
      </c>
      <c r="O1810" s="6">
        <v>0</v>
      </c>
      <c r="P1810" s="6">
        <v>0</v>
      </c>
      <c r="Q1810" s="6">
        <v>0</v>
      </c>
      <c r="R1810" s="6">
        <v>0</v>
      </c>
      <c r="S1810" s="6">
        <v>0</v>
      </c>
      <c r="T1810" s="6">
        <v>0</v>
      </c>
      <c r="U1810" s="6">
        <v>0</v>
      </c>
      <c r="V1810" s="6">
        <v>0</v>
      </c>
    </row>
    <row r="1811" spans="2:22">
      <c r="B1811" s="6">
        <v>31803</v>
      </c>
      <c r="C1811" s="6" t="s">
        <v>1101</v>
      </c>
      <c r="D1811" s="6">
        <v>20500</v>
      </c>
      <c r="E1811" s="6" t="s">
        <v>31</v>
      </c>
      <c r="F1811" s="6" t="s">
        <v>17</v>
      </c>
      <c r="G1811" s="6" t="s">
        <v>1294</v>
      </c>
      <c r="H1811" s="6" t="s">
        <v>1147</v>
      </c>
      <c r="I1811" s="6" t="s">
        <v>1147</v>
      </c>
      <c r="J1811" s="6" t="s">
        <v>1147</v>
      </c>
      <c r="K1811" s="6">
        <v>0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0</v>
      </c>
      <c r="T1811" s="6">
        <v>0</v>
      </c>
      <c r="U1811" s="6">
        <v>0</v>
      </c>
      <c r="V1811" s="6">
        <v>0</v>
      </c>
    </row>
    <row r="1812" spans="2:22">
      <c r="B1812" s="6">
        <v>32595</v>
      </c>
      <c r="C1812" s="6" t="s">
        <v>1069</v>
      </c>
      <c r="D1812" s="6">
        <v>20500</v>
      </c>
      <c r="E1812" s="6" t="s">
        <v>31</v>
      </c>
      <c r="F1812" s="6" t="s">
        <v>16</v>
      </c>
      <c r="G1812" s="6" t="s">
        <v>1295</v>
      </c>
      <c r="H1812" s="6" t="s">
        <v>1147</v>
      </c>
      <c r="I1812" s="6" t="s">
        <v>1147</v>
      </c>
      <c r="J1812" s="6" t="s">
        <v>1147</v>
      </c>
      <c r="K1812" s="6">
        <v>0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0</v>
      </c>
      <c r="T1812" s="6">
        <v>0</v>
      </c>
      <c r="U1812" s="6">
        <v>0</v>
      </c>
      <c r="V1812" s="6">
        <v>0</v>
      </c>
    </row>
    <row r="1813" spans="2:22">
      <c r="B1813" s="6">
        <v>32595</v>
      </c>
      <c r="C1813" s="6" t="s">
        <v>1069</v>
      </c>
      <c r="D1813" s="6">
        <v>20902</v>
      </c>
      <c r="E1813" s="6" t="s">
        <v>53</v>
      </c>
      <c r="F1813" s="6" t="s">
        <v>16</v>
      </c>
      <c r="G1813" s="6" t="s">
        <v>1295</v>
      </c>
      <c r="H1813" s="6" t="s">
        <v>1147</v>
      </c>
      <c r="I1813" s="6" t="s">
        <v>1147</v>
      </c>
      <c r="J1813" s="6" t="s">
        <v>1147</v>
      </c>
      <c r="K1813" s="6">
        <v>0</v>
      </c>
      <c r="L1813" s="6">
        <v>0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0</v>
      </c>
      <c r="T1813" s="6">
        <v>0</v>
      </c>
      <c r="U1813" s="6">
        <v>0</v>
      </c>
      <c r="V1813" s="6">
        <v>0</v>
      </c>
    </row>
    <row r="1814" spans="2:22">
      <c r="B1814" s="6">
        <v>32600</v>
      </c>
      <c r="C1814" s="6" t="s">
        <v>1121</v>
      </c>
      <c r="D1814" s="6">
        <v>20500</v>
      </c>
      <c r="E1814" s="6" t="s">
        <v>31</v>
      </c>
      <c r="F1814" s="6" t="s">
        <v>49</v>
      </c>
      <c r="G1814" s="6" t="s">
        <v>1296</v>
      </c>
      <c r="H1814" s="6" t="s">
        <v>1147</v>
      </c>
      <c r="I1814" s="6" t="s">
        <v>1147</v>
      </c>
      <c r="J1814" s="6" t="s">
        <v>1147</v>
      </c>
      <c r="K1814" s="6">
        <v>0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0</v>
      </c>
      <c r="R1814" s="6">
        <v>0</v>
      </c>
      <c r="S1814" s="6">
        <v>0</v>
      </c>
      <c r="T1814" s="6">
        <v>0</v>
      </c>
      <c r="U1814" s="6">
        <v>0</v>
      </c>
      <c r="V1814" s="6">
        <v>0</v>
      </c>
    </row>
    <row r="1815" spans="2:22">
      <c r="B1815" s="6">
        <v>31899</v>
      </c>
      <c r="C1815" s="6" t="s">
        <v>1103</v>
      </c>
      <c r="D1815" s="6">
        <v>23100</v>
      </c>
      <c r="E1815" s="6" t="s">
        <v>54</v>
      </c>
      <c r="F1815" s="6" t="s">
        <v>16</v>
      </c>
      <c r="G1815" s="6" t="s">
        <v>1295</v>
      </c>
      <c r="H1815" s="6" t="s">
        <v>1147</v>
      </c>
      <c r="I1815" s="6" t="s">
        <v>1147</v>
      </c>
      <c r="J1815" s="6" t="s">
        <v>1147</v>
      </c>
      <c r="K1815" s="6">
        <v>0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0</v>
      </c>
      <c r="T1815" s="6">
        <v>0</v>
      </c>
      <c r="U1815" s="6">
        <v>0</v>
      </c>
      <c r="V1815" s="6">
        <v>0</v>
      </c>
    </row>
    <row r="1816" spans="2:22">
      <c r="B1816" s="6">
        <v>31803</v>
      </c>
      <c r="C1816" s="6" t="s">
        <v>1101</v>
      </c>
      <c r="D1816" s="6">
        <v>20706</v>
      </c>
      <c r="E1816" s="6" t="s">
        <v>52</v>
      </c>
      <c r="F1816" s="6" t="s">
        <v>17</v>
      </c>
      <c r="G1816" s="6" t="s">
        <v>1294</v>
      </c>
      <c r="H1816" s="6" t="s">
        <v>1147</v>
      </c>
      <c r="I1816" s="6" t="s">
        <v>1147</v>
      </c>
      <c r="J1816" s="6" t="s">
        <v>1147</v>
      </c>
      <c r="K1816" s="6">
        <v>0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0</v>
      </c>
      <c r="R1816" s="6">
        <v>0</v>
      </c>
      <c r="S1816" s="6">
        <v>0</v>
      </c>
      <c r="T1816" s="6">
        <v>0</v>
      </c>
      <c r="U1816" s="6">
        <v>0</v>
      </c>
      <c r="V1816" s="6">
        <v>0</v>
      </c>
    </row>
    <row r="1817" spans="2:22">
      <c r="B1817" s="6">
        <v>32599</v>
      </c>
      <c r="C1817" s="6" t="s">
        <v>1053</v>
      </c>
      <c r="D1817" s="6">
        <v>20902</v>
      </c>
      <c r="E1817" s="6" t="s">
        <v>53</v>
      </c>
      <c r="F1817" s="6" t="s">
        <v>13</v>
      </c>
      <c r="G1817" s="6" t="s">
        <v>14</v>
      </c>
      <c r="H1817" s="6" t="s">
        <v>1147</v>
      </c>
      <c r="I1817" s="6" t="s">
        <v>1147</v>
      </c>
      <c r="J1817" s="6" t="s">
        <v>1147</v>
      </c>
      <c r="K1817" s="6">
        <v>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0</v>
      </c>
      <c r="T1817" s="6">
        <v>0</v>
      </c>
      <c r="U1817" s="6">
        <v>0</v>
      </c>
      <c r="V1817" s="6">
        <v>0</v>
      </c>
    </row>
    <row r="1818" spans="2:22">
      <c r="B1818" s="6">
        <v>32598</v>
      </c>
      <c r="C1818" s="6" t="s">
        <v>1107</v>
      </c>
      <c r="D1818" s="6">
        <v>20500</v>
      </c>
      <c r="E1818" s="6" t="s">
        <v>31</v>
      </c>
      <c r="F1818" s="6" t="s">
        <v>17</v>
      </c>
      <c r="G1818" s="6" t="s">
        <v>1294</v>
      </c>
      <c r="H1818" s="6" t="s">
        <v>1147</v>
      </c>
      <c r="I1818" s="6" t="s">
        <v>1147</v>
      </c>
      <c r="J1818" s="6" t="s">
        <v>1147</v>
      </c>
      <c r="K1818" s="6">
        <v>0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0</v>
      </c>
      <c r="T1818" s="6">
        <v>0</v>
      </c>
      <c r="U1818" s="6">
        <v>0</v>
      </c>
      <c r="V1818" s="6">
        <v>0</v>
      </c>
    </row>
    <row r="1819" spans="2:22">
      <c r="B1819" s="6">
        <v>32240</v>
      </c>
      <c r="C1819" s="6" t="s">
        <v>1058</v>
      </c>
      <c r="D1819" s="6">
        <v>20706</v>
      </c>
      <c r="E1819" s="6" t="s">
        <v>52</v>
      </c>
      <c r="F1819" s="6" t="s">
        <v>16</v>
      </c>
      <c r="G1819" s="6" t="s">
        <v>1295</v>
      </c>
      <c r="H1819" s="6" t="s">
        <v>1147</v>
      </c>
      <c r="I1819" s="6" t="s">
        <v>1147</v>
      </c>
      <c r="J1819" s="6" t="s">
        <v>1147</v>
      </c>
      <c r="K1819" s="6">
        <v>0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0</v>
      </c>
      <c r="T1819" s="6">
        <v>0</v>
      </c>
      <c r="U1819" s="6">
        <v>0</v>
      </c>
      <c r="V1819" s="6">
        <v>0</v>
      </c>
    </row>
    <row r="1820" spans="2:22">
      <c r="B1820" s="6">
        <v>32600</v>
      </c>
      <c r="C1820" s="6" t="s">
        <v>1121</v>
      </c>
      <c r="D1820" s="6">
        <v>20702</v>
      </c>
      <c r="E1820" s="6" t="s">
        <v>44</v>
      </c>
      <c r="F1820" s="6" t="s">
        <v>17</v>
      </c>
      <c r="G1820" s="6" t="s">
        <v>1294</v>
      </c>
      <c r="H1820" s="6" t="s">
        <v>1147</v>
      </c>
      <c r="I1820" s="6" t="s">
        <v>1147</v>
      </c>
      <c r="J1820" s="6" t="s">
        <v>1147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</row>
    <row r="1821" spans="2:22">
      <c r="B1821" s="6">
        <v>32600</v>
      </c>
      <c r="C1821" s="6" t="s">
        <v>1121</v>
      </c>
      <c r="D1821" s="6">
        <v>20902</v>
      </c>
      <c r="E1821" s="6" t="s">
        <v>53</v>
      </c>
      <c r="F1821" s="6" t="s">
        <v>13</v>
      </c>
      <c r="G1821" s="6" t="s">
        <v>14</v>
      </c>
      <c r="H1821" s="6" t="s">
        <v>1147</v>
      </c>
      <c r="I1821" s="6" t="s">
        <v>1147</v>
      </c>
      <c r="J1821" s="6" t="s">
        <v>1147</v>
      </c>
      <c r="K1821" s="6">
        <v>0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0</v>
      </c>
      <c r="R1821" s="6">
        <v>0</v>
      </c>
      <c r="S1821" s="6">
        <v>0</v>
      </c>
      <c r="T1821" s="6">
        <v>0</v>
      </c>
      <c r="U1821" s="6">
        <v>0</v>
      </c>
      <c r="V1821" s="6">
        <v>0</v>
      </c>
    </row>
    <row r="1822" spans="2:22">
      <c r="B1822" s="6">
        <v>32597</v>
      </c>
      <c r="C1822" s="6" t="s">
        <v>1070</v>
      </c>
      <c r="D1822" s="6">
        <v>20906</v>
      </c>
      <c r="E1822" s="6" t="s">
        <v>48</v>
      </c>
      <c r="F1822" s="6" t="s">
        <v>49</v>
      </c>
      <c r="G1822" s="6" t="s">
        <v>1296</v>
      </c>
      <c r="H1822" s="6" t="s">
        <v>1147</v>
      </c>
      <c r="I1822" s="6" t="s">
        <v>1147</v>
      </c>
      <c r="J1822" s="6" t="s">
        <v>1147</v>
      </c>
      <c r="K1822" s="6">
        <v>0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0</v>
      </c>
      <c r="R1822" s="6">
        <v>0</v>
      </c>
      <c r="S1822" s="6">
        <v>0</v>
      </c>
      <c r="T1822" s="6">
        <v>0</v>
      </c>
      <c r="U1822" s="6">
        <v>0</v>
      </c>
      <c r="V1822" s="6">
        <v>0</v>
      </c>
    </row>
    <row r="1823" spans="2:22">
      <c r="B1823" s="6">
        <v>32597</v>
      </c>
      <c r="C1823" s="6" t="s">
        <v>1070</v>
      </c>
      <c r="D1823" s="6">
        <v>20902</v>
      </c>
      <c r="E1823" s="6" t="s">
        <v>53</v>
      </c>
      <c r="F1823" s="6" t="s">
        <v>13</v>
      </c>
      <c r="G1823" s="6" t="s">
        <v>14</v>
      </c>
      <c r="H1823" s="6" t="s">
        <v>1147</v>
      </c>
      <c r="I1823" s="6" t="s">
        <v>1147</v>
      </c>
      <c r="J1823" s="6" t="s">
        <v>1147</v>
      </c>
      <c r="K1823" s="6">
        <v>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0</v>
      </c>
      <c r="T1823" s="6">
        <v>0</v>
      </c>
      <c r="U1823" s="6">
        <v>0</v>
      </c>
      <c r="V1823" s="6">
        <v>0</v>
      </c>
    </row>
    <row r="1824" spans="2:22">
      <c r="B1824" s="6">
        <v>32251</v>
      </c>
      <c r="C1824" s="6" t="s">
        <v>1015</v>
      </c>
      <c r="D1824" s="6">
        <v>23311</v>
      </c>
      <c r="E1824" s="6" t="s">
        <v>221</v>
      </c>
      <c r="F1824" s="6" t="s">
        <v>16</v>
      </c>
      <c r="G1824" s="6" t="s">
        <v>1295</v>
      </c>
      <c r="H1824" s="6" t="s">
        <v>1147</v>
      </c>
      <c r="I1824" s="6" t="s">
        <v>1147</v>
      </c>
      <c r="J1824" s="6" t="s">
        <v>1147</v>
      </c>
      <c r="K1824" s="6">
        <v>0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0</v>
      </c>
      <c r="T1824" s="6">
        <v>0</v>
      </c>
      <c r="U1824" s="6">
        <v>0</v>
      </c>
      <c r="V1824" s="6">
        <v>0</v>
      </c>
    </row>
    <row r="1825" spans="2:22">
      <c r="B1825" s="6">
        <v>32018</v>
      </c>
      <c r="C1825" s="6" t="s">
        <v>145</v>
      </c>
      <c r="D1825" s="6">
        <v>20902</v>
      </c>
      <c r="E1825" s="6" t="s">
        <v>53</v>
      </c>
      <c r="F1825" s="6" t="s">
        <v>16</v>
      </c>
      <c r="G1825" s="6" t="s">
        <v>1295</v>
      </c>
      <c r="H1825" s="6" t="s">
        <v>1147</v>
      </c>
      <c r="I1825" s="6" t="s">
        <v>1147</v>
      </c>
      <c r="J1825" s="6" t="s">
        <v>1147</v>
      </c>
      <c r="K1825" s="6">
        <v>0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0</v>
      </c>
      <c r="T1825" s="6">
        <v>0</v>
      </c>
      <c r="U1825" s="6">
        <v>0</v>
      </c>
      <c r="V1825" s="6">
        <v>0</v>
      </c>
    </row>
    <row r="1826" spans="2:22">
      <c r="B1826" s="6">
        <v>32499</v>
      </c>
      <c r="C1826" s="6" t="s">
        <v>1016</v>
      </c>
      <c r="D1826" s="6">
        <v>23315</v>
      </c>
      <c r="E1826" s="6" t="s">
        <v>246</v>
      </c>
      <c r="F1826" s="6" t="s">
        <v>16</v>
      </c>
      <c r="G1826" s="6" t="s">
        <v>1295</v>
      </c>
      <c r="H1826" s="6" t="s">
        <v>1147</v>
      </c>
      <c r="I1826" s="6" t="s">
        <v>1147</v>
      </c>
      <c r="J1826" s="6" t="s">
        <v>1147</v>
      </c>
      <c r="K1826" s="6">
        <v>0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0</v>
      </c>
      <c r="R1826" s="6">
        <v>0</v>
      </c>
      <c r="S1826" s="6">
        <v>0</v>
      </c>
      <c r="T1826" s="6">
        <v>0</v>
      </c>
      <c r="U1826" s="6">
        <v>0</v>
      </c>
      <c r="V1826" s="6">
        <v>0</v>
      </c>
    </row>
    <row r="1827" spans="2:22">
      <c r="B1827" s="6">
        <v>25277</v>
      </c>
      <c r="C1827" s="6" t="s">
        <v>60</v>
      </c>
      <c r="D1827" s="6">
        <v>20700</v>
      </c>
      <c r="E1827" s="6" t="s">
        <v>15</v>
      </c>
      <c r="F1827" s="6" t="s">
        <v>16</v>
      </c>
      <c r="G1827" s="6" t="s">
        <v>1295</v>
      </c>
      <c r="H1827" s="6" t="s">
        <v>1147</v>
      </c>
      <c r="I1827" s="6" t="s">
        <v>1147</v>
      </c>
      <c r="J1827" s="6" t="s">
        <v>1147</v>
      </c>
      <c r="K1827" s="6">
        <v>0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0</v>
      </c>
      <c r="R1827" s="6">
        <v>0</v>
      </c>
      <c r="S1827" s="6">
        <v>0</v>
      </c>
      <c r="T1827" s="6">
        <v>0</v>
      </c>
      <c r="U1827" s="6">
        <v>0</v>
      </c>
      <c r="V1827" s="6">
        <v>0</v>
      </c>
    </row>
    <row r="1828" spans="2:22">
      <c r="B1828" s="6">
        <v>32251</v>
      </c>
      <c r="C1828" s="6" t="s">
        <v>1015</v>
      </c>
      <c r="D1828" s="6">
        <v>20904</v>
      </c>
      <c r="E1828" s="6" t="s">
        <v>156</v>
      </c>
      <c r="F1828" s="6" t="s">
        <v>16</v>
      </c>
      <c r="G1828" s="6" t="s">
        <v>1295</v>
      </c>
      <c r="H1828" s="6" t="s">
        <v>1147</v>
      </c>
      <c r="I1828" s="6" t="s">
        <v>1147</v>
      </c>
      <c r="J1828" s="6" t="s">
        <v>1147</v>
      </c>
      <c r="K1828" s="6">
        <v>0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0</v>
      </c>
      <c r="R1828" s="6">
        <v>0</v>
      </c>
      <c r="S1828" s="6">
        <v>0</v>
      </c>
      <c r="T1828" s="6">
        <v>0</v>
      </c>
      <c r="U1828" s="6">
        <v>0</v>
      </c>
      <c r="V1828" s="6">
        <v>0</v>
      </c>
    </row>
    <row r="1829" spans="2:22">
      <c r="B1829" s="6">
        <v>31691</v>
      </c>
      <c r="C1829" s="6" t="s">
        <v>1157</v>
      </c>
      <c r="D1829" s="6">
        <v>23500</v>
      </c>
      <c r="E1829" s="6" t="s">
        <v>37</v>
      </c>
      <c r="F1829" s="6" t="s">
        <v>38</v>
      </c>
      <c r="G1829" s="6" t="s">
        <v>1302</v>
      </c>
      <c r="H1829" s="6" t="s">
        <v>1147</v>
      </c>
      <c r="I1829" s="6" t="s">
        <v>1147</v>
      </c>
      <c r="J1829" s="6" t="s">
        <v>1147</v>
      </c>
      <c r="K1829" s="6">
        <v>0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0</v>
      </c>
      <c r="R1829" s="6">
        <v>0</v>
      </c>
      <c r="S1829" s="6">
        <v>0</v>
      </c>
      <c r="T1829" s="6">
        <v>0</v>
      </c>
      <c r="U1829" s="6">
        <v>0</v>
      </c>
      <c r="V1829" s="6">
        <v>0</v>
      </c>
    </row>
    <row r="1830" spans="2:22">
      <c r="B1830" s="6">
        <v>31803</v>
      </c>
      <c r="C1830" s="6" t="s">
        <v>1101</v>
      </c>
      <c r="D1830" s="6">
        <v>20906</v>
      </c>
      <c r="E1830" s="6" t="s">
        <v>48</v>
      </c>
      <c r="F1830" s="6" t="s">
        <v>49</v>
      </c>
      <c r="G1830" s="6" t="s">
        <v>1296</v>
      </c>
      <c r="H1830" s="6" t="s">
        <v>1147</v>
      </c>
      <c r="I1830" s="6" t="s">
        <v>1147</v>
      </c>
      <c r="J1830" s="6" t="s">
        <v>1147</v>
      </c>
      <c r="K1830" s="6">
        <v>0</v>
      </c>
      <c r="L1830" s="6">
        <v>0</v>
      </c>
      <c r="M1830" s="6">
        <v>0</v>
      </c>
      <c r="N1830" s="6">
        <v>0</v>
      </c>
      <c r="O1830" s="6">
        <v>0</v>
      </c>
      <c r="P1830" s="6">
        <v>0</v>
      </c>
      <c r="Q1830" s="6">
        <v>0</v>
      </c>
      <c r="R1830" s="6">
        <v>0</v>
      </c>
      <c r="S1830" s="6">
        <v>0</v>
      </c>
      <c r="T1830" s="6">
        <v>0</v>
      </c>
      <c r="U1830" s="6">
        <v>0</v>
      </c>
      <c r="V1830" s="6">
        <v>0</v>
      </c>
    </row>
    <row r="1831" spans="2:22">
      <c r="B1831" s="6">
        <v>32577</v>
      </c>
      <c r="C1831" s="6" t="s">
        <v>1153</v>
      </c>
      <c r="D1831" s="6">
        <v>21502</v>
      </c>
      <c r="E1831" s="6" t="s">
        <v>1221</v>
      </c>
      <c r="F1831" s="6" t="s">
        <v>1305</v>
      </c>
      <c r="G1831" s="6" t="s">
        <v>1306</v>
      </c>
      <c r="H1831" s="6" t="s">
        <v>1147</v>
      </c>
      <c r="I1831" s="6" t="s">
        <v>1147</v>
      </c>
      <c r="J1831" s="6" t="s">
        <v>1147</v>
      </c>
      <c r="K1831" s="6">
        <v>0</v>
      </c>
      <c r="L1831" s="6">
        <v>0</v>
      </c>
      <c r="M1831" s="6">
        <v>0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0</v>
      </c>
      <c r="T1831" s="6">
        <v>0</v>
      </c>
      <c r="U1831" s="6">
        <v>0</v>
      </c>
      <c r="V1831" s="6">
        <v>0</v>
      </c>
    </row>
    <row r="1832" spans="2:22">
      <c r="B1832" s="6">
        <v>31803</v>
      </c>
      <c r="C1832" s="6" t="s">
        <v>1101</v>
      </c>
      <c r="D1832" s="6">
        <v>20902</v>
      </c>
      <c r="E1832" s="6" t="s">
        <v>53</v>
      </c>
      <c r="F1832" s="6" t="s">
        <v>13</v>
      </c>
      <c r="G1832" s="6" t="s">
        <v>14</v>
      </c>
      <c r="H1832" s="6" t="s">
        <v>1147</v>
      </c>
      <c r="I1832" s="6" t="s">
        <v>1147</v>
      </c>
      <c r="J1832" s="6" t="s">
        <v>1147</v>
      </c>
      <c r="K1832" s="6">
        <v>0</v>
      </c>
      <c r="L1832" s="6">
        <v>0</v>
      </c>
      <c r="M1832" s="6">
        <v>0</v>
      </c>
      <c r="N1832" s="6">
        <v>0</v>
      </c>
      <c r="O1832" s="6">
        <v>0</v>
      </c>
      <c r="P1832" s="6">
        <v>0</v>
      </c>
      <c r="Q1832" s="6">
        <v>0</v>
      </c>
      <c r="R1832" s="6">
        <v>0</v>
      </c>
      <c r="S1832" s="6">
        <v>0</v>
      </c>
      <c r="T1832" s="6">
        <v>0</v>
      </c>
      <c r="U1832" s="6">
        <v>0</v>
      </c>
      <c r="V1832" s="6">
        <v>0</v>
      </c>
    </row>
    <row r="1833" spans="2:22">
      <c r="B1833" s="6">
        <v>32598</v>
      </c>
      <c r="C1833" s="6" t="s">
        <v>1107</v>
      </c>
      <c r="D1833" s="6">
        <v>20702</v>
      </c>
      <c r="E1833" s="6" t="s">
        <v>44</v>
      </c>
      <c r="F1833" s="6" t="s">
        <v>17</v>
      </c>
      <c r="G1833" s="6" t="s">
        <v>1294</v>
      </c>
      <c r="H1833" s="6" t="s">
        <v>1147</v>
      </c>
      <c r="I1833" s="6" t="s">
        <v>1147</v>
      </c>
      <c r="J1833" s="6" t="s">
        <v>1147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0</v>
      </c>
      <c r="R1833" s="6">
        <v>0</v>
      </c>
      <c r="S1833" s="6">
        <v>0</v>
      </c>
      <c r="T1833" s="6">
        <v>0</v>
      </c>
      <c r="U1833" s="6">
        <v>0</v>
      </c>
      <c r="V1833" s="6">
        <v>0</v>
      </c>
    </row>
    <row r="1834" spans="2:22">
      <c r="B1834" s="6">
        <v>32599</v>
      </c>
      <c r="C1834" s="6" t="s">
        <v>1053</v>
      </c>
      <c r="D1834" s="6">
        <v>20906</v>
      </c>
      <c r="E1834" s="6" t="s">
        <v>48</v>
      </c>
      <c r="F1834" s="6" t="s">
        <v>49</v>
      </c>
      <c r="G1834" s="6" t="s">
        <v>1296</v>
      </c>
      <c r="H1834" s="6" t="s">
        <v>1147</v>
      </c>
      <c r="I1834" s="6" t="s">
        <v>1147</v>
      </c>
      <c r="J1834" s="6" t="s">
        <v>1147</v>
      </c>
      <c r="K1834" s="6">
        <v>0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0</v>
      </c>
      <c r="R1834" s="6">
        <v>0</v>
      </c>
      <c r="S1834" s="6">
        <v>0</v>
      </c>
      <c r="T1834" s="6">
        <v>0</v>
      </c>
      <c r="U1834" s="6">
        <v>0</v>
      </c>
      <c r="V1834" s="6">
        <v>0</v>
      </c>
    </row>
    <row r="1835" spans="2:22">
      <c r="B1835" s="6">
        <v>32573</v>
      </c>
      <c r="C1835" s="6" t="s">
        <v>1191</v>
      </c>
      <c r="D1835" s="6">
        <v>23314</v>
      </c>
      <c r="E1835" s="6" t="s">
        <v>1233</v>
      </c>
      <c r="F1835" s="6" t="s">
        <v>73</v>
      </c>
      <c r="G1835" s="6" t="s">
        <v>1299</v>
      </c>
      <c r="H1835" s="6" t="s">
        <v>1147</v>
      </c>
      <c r="I1835" s="6" t="s">
        <v>1147</v>
      </c>
      <c r="J1835" s="6" t="s">
        <v>1147</v>
      </c>
      <c r="K1835" s="6">
        <v>0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0</v>
      </c>
      <c r="R1835" s="6">
        <v>0</v>
      </c>
      <c r="S1835" s="6">
        <v>0</v>
      </c>
      <c r="T1835" s="6">
        <v>0</v>
      </c>
      <c r="U1835" s="6">
        <v>0</v>
      </c>
      <c r="V1835" s="6">
        <v>0</v>
      </c>
    </row>
    <row r="1836" spans="2:22">
      <c r="B1836" s="6">
        <v>31914</v>
      </c>
      <c r="C1836" s="6" t="s">
        <v>1135</v>
      </c>
      <c r="D1836" s="6">
        <v>20706</v>
      </c>
      <c r="E1836" s="6" t="s">
        <v>52</v>
      </c>
      <c r="F1836" s="6" t="s">
        <v>17</v>
      </c>
      <c r="G1836" s="6" t="s">
        <v>1294</v>
      </c>
      <c r="H1836" s="6" t="s">
        <v>1147</v>
      </c>
      <c r="I1836" s="6" t="s">
        <v>1147</v>
      </c>
      <c r="J1836" s="6" t="s">
        <v>1147</v>
      </c>
      <c r="K1836" s="6">
        <v>0</v>
      </c>
      <c r="L1836" s="6">
        <v>0</v>
      </c>
      <c r="M1836" s="6">
        <v>0</v>
      </c>
      <c r="N1836" s="6">
        <v>0</v>
      </c>
      <c r="O1836" s="6">
        <v>0</v>
      </c>
      <c r="P1836" s="6">
        <v>0</v>
      </c>
      <c r="Q1836" s="6">
        <v>0</v>
      </c>
      <c r="R1836" s="6">
        <v>0</v>
      </c>
      <c r="S1836" s="6">
        <v>0</v>
      </c>
      <c r="T1836" s="6">
        <v>0</v>
      </c>
      <c r="U1836" s="6">
        <v>0</v>
      </c>
      <c r="V1836" s="6">
        <v>0</v>
      </c>
    </row>
    <row r="1837" spans="2:22">
      <c r="B1837" s="6">
        <v>32461</v>
      </c>
      <c r="C1837" s="6" t="s">
        <v>192</v>
      </c>
      <c r="D1837" s="6">
        <v>20902</v>
      </c>
      <c r="E1837" s="6" t="s">
        <v>53</v>
      </c>
      <c r="F1837" s="6" t="s">
        <v>16</v>
      </c>
      <c r="G1837" s="6" t="s">
        <v>1295</v>
      </c>
      <c r="H1837" s="6" t="s">
        <v>1147</v>
      </c>
      <c r="I1837" s="6" t="s">
        <v>1147</v>
      </c>
      <c r="J1837" s="6" t="s">
        <v>1147</v>
      </c>
      <c r="K1837" s="6">
        <v>0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0</v>
      </c>
      <c r="R1837" s="6">
        <v>0</v>
      </c>
      <c r="S1837" s="6">
        <v>0</v>
      </c>
      <c r="T1837" s="6">
        <v>0</v>
      </c>
      <c r="U1837" s="6">
        <v>0</v>
      </c>
      <c r="V1837" s="6">
        <v>0</v>
      </c>
    </row>
    <row r="1838" spans="2:22">
      <c r="B1838" s="6">
        <v>32598</v>
      </c>
      <c r="C1838" s="6" t="s">
        <v>1107</v>
      </c>
      <c r="D1838" s="6">
        <v>20902</v>
      </c>
      <c r="E1838" s="6" t="s">
        <v>53</v>
      </c>
      <c r="F1838" s="6" t="s">
        <v>13</v>
      </c>
      <c r="G1838" s="6" t="s">
        <v>14</v>
      </c>
      <c r="H1838" s="6" t="s">
        <v>1147</v>
      </c>
      <c r="I1838" s="6" t="s">
        <v>1147</v>
      </c>
      <c r="J1838" s="6" t="s">
        <v>1147</v>
      </c>
      <c r="K1838" s="6">
        <v>0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0</v>
      </c>
      <c r="R1838" s="6">
        <v>0</v>
      </c>
      <c r="S1838" s="6">
        <v>0</v>
      </c>
      <c r="T1838" s="6">
        <v>0</v>
      </c>
      <c r="U1838" s="6">
        <v>0</v>
      </c>
      <c r="V1838" s="6">
        <v>0</v>
      </c>
    </row>
    <row r="1839" spans="2:22">
      <c r="B1839" s="6">
        <v>32581</v>
      </c>
      <c r="C1839" s="6" t="s">
        <v>1210</v>
      </c>
      <c r="D1839" s="6">
        <v>21400</v>
      </c>
      <c r="E1839" s="6" t="s">
        <v>1220</v>
      </c>
      <c r="F1839" s="6" t="s">
        <v>73</v>
      </c>
      <c r="G1839" s="6" t="s">
        <v>1299</v>
      </c>
      <c r="H1839" s="6" t="s">
        <v>1147</v>
      </c>
      <c r="I1839" s="6" t="s">
        <v>1147</v>
      </c>
      <c r="J1839" s="6" t="s">
        <v>1147</v>
      </c>
      <c r="K1839" s="6">
        <v>0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0</v>
      </c>
      <c r="R1839" s="6">
        <v>0</v>
      </c>
      <c r="S1839" s="6">
        <v>0</v>
      </c>
      <c r="T1839" s="6">
        <v>0</v>
      </c>
      <c r="U1839" s="6">
        <v>0</v>
      </c>
      <c r="V1839" s="6">
        <v>0</v>
      </c>
    </row>
    <row r="1840" spans="2:22">
      <c r="B1840" s="6">
        <v>31709</v>
      </c>
      <c r="C1840" s="6" t="s">
        <v>126</v>
      </c>
      <c r="D1840" s="6">
        <v>20902</v>
      </c>
      <c r="E1840" s="6" t="s">
        <v>53</v>
      </c>
      <c r="F1840" s="6" t="s">
        <v>16</v>
      </c>
      <c r="G1840" s="6" t="s">
        <v>1295</v>
      </c>
      <c r="H1840" s="6" t="s">
        <v>1147</v>
      </c>
      <c r="I1840" s="6" t="s">
        <v>1147</v>
      </c>
      <c r="J1840" s="6" t="s">
        <v>1147</v>
      </c>
      <c r="K1840" s="6">
        <v>0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0</v>
      </c>
      <c r="R1840" s="6">
        <v>0</v>
      </c>
      <c r="S1840" s="6">
        <v>0</v>
      </c>
      <c r="T1840" s="6">
        <v>0</v>
      </c>
      <c r="U1840" s="6">
        <v>0</v>
      </c>
      <c r="V1840" s="6">
        <v>0</v>
      </c>
    </row>
    <row r="1841" spans="2:22">
      <c r="B1841" s="6">
        <v>32597</v>
      </c>
      <c r="C1841" s="6" t="s">
        <v>1070</v>
      </c>
      <c r="D1841" s="6">
        <v>20702</v>
      </c>
      <c r="E1841" s="6" t="s">
        <v>44</v>
      </c>
      <c r="F1841" s="6" t="s">
        <v>17</v>
      </c>
      <c r="G1841" s="6" t="s">
        <v>1294</v>
      </c>
      <c r="H1841" s="6" t="s">
        <v>1147</v>
      </c>
      <c r="I1841" s="6" t="s">
        <v>1147</v>
      </c>
      <c r="J1841" s="6" t="s">
        <v>1147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</row>
    <row r="1842" spans="2:22">
      <c r="B1842" s="6">
        <v>30568</v>
      </c>
      <c r="C1842" s="6" t="s">
        <v>97</v>
      </c>
      <c r="D1842" s="6">
        <v>20902</v>
      </c>
      <c r="E1842" s="6" t="s">
        <v>53</v>
      </c>
      <c r="F1842" s="6" t="s">
        <v>13</v>
      </c>
      <c r="G1842" s="6" t="s">
        <v>14</v>
      </c>
      <c r="H1842" s="6" t="s">
        <v>1147</v>
      </c>
      <c r="I1842" s="6" t="s">
        <v>1147</v>
      </c>
      <c r="J1842" s="6" t="s">
        <v>1147</v>
      </c>
      <c r="K1842" s="6">
        <v>0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</row>
    <row r="1843" spans="2:22">
      <c r="B1843" s="6">
        <v>32601</v>
      </c>
      <c r="C1843" s="6" t="s">
        <v>1108</v>
      </c>
      <c r="D1843" s="6">
        <v>20902</v>
      </c>
      <c r="E1843" s="6" t="s">
        <v>53</v>
      </c>
      <c r="F1843" s="6" t="s">
        <v>13</v>
      </c>
      <c r="G1843" s="6" t="s">
        <v>14</v>
      </c>
      <c r="H1843" s="6" t="s">
        <v>1147</v>
      </c>
      <c r="I1843" s="6" t="s">
        <v>1147</v>
      </c>
      <c r="J1843" s="6" t="s">
        <v>1147</v>
      </c>
      <c r="K1843" s="6">
        <v>0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0</v>
      </c>
      <c r="R1843" s="6">
        <v>0</v>
      </c>
      <c r="S1843" s="6">
        <v>0</v>
      </c>
      <c r="T1843" s="6">
        <v>0</v>
      </c>
      <c r="U1843" s="6">
        <v>0</v>
      </c>
      <c r="V1843" s="6">
        <v>0</v>
      </c>
    </row>
    <row r="1844" spans="2:22">
      <c r="B1844" s="6">
        <v>32601</v>
      </c>
      <c r="C1844" s="6" t="s">
        <v>1108</v>
      </c>
      <c r="D1844" s="6">
        <v>20906</v>
      </c>
      <c r="E1844" s="6" t="s">
        <v>48</v>
      </c>
      <c r="F1844" s="6" t="s">
        <v>49</v>
      </c>
      <c r="G1844" s="6" t="s">
        <v>1296</v>
      </c>
      <c r="H1844" s="6" t="s">
        <v>1147</v>
      </c>
      <c r="I1844" s="6" t="s">
        <v>1147</v>
      </c>
      <c r="J1844" s="6" t="s">
        <v>1147</v>
      </c>
      <c r="K1844" s="6">
        <v>0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0</v>
      </c>
      <c r="T1844" s="6">
        <v>0</v>
      </c>
      <c r="U1844" s="6">
        <v>0</v>
      </c>
      <c r="V1844" s="6">
        <v>0</v>
      </c>
    </row>
    <row r="1845" spans="2:22">
      <c r="B1845" s="6">
        <v>32490</v>
      </c>
      <c r="C1845" s="6" t="s">
        <v>1176</v>
      </c>
      <c r="D1845" s="6">
        <v>20712</v>
      </c>
      <c r="E1845" s="6" t="s">
        <v>1231</v>
      </c>
      <c r="F1845" s="6" t="s">
        <v>16</v>
      </c>
      <c r="G1845" s="6" t="s">
        <v>1295</v>
      </c>
      <c r="H1845" s="6" t="s">
        <v>1147</v>
      </c>
      <c r="I1845" s="6" t="s">
        <v>1147</v>
      </c>
      <c r="J1845" s="6" t="s">
        <v>1147</v>
      </c>
      <c r="K1845" s="6">
        <v>0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0</v>
      </c>
      <c r="T1845" s="6">
        <v>0</v>
      </c>
      <c r="U1845" s="6">
        <v>0</v>
      </c>
      <c r="V1845" s="6">
        <v>0</v>
      </c>
    </row>
    <row r="1846" spans="2:22">
      <c r="B1846" s="6">
        <v>32490</v>
      </c>
      <c r="C1846" s="6" t="s">
        <v>1176</v>
      </c>
      <c r="D1846" s="6">
        <v>20712</v>
      </c>
      <c r="E1846" s="6" t="s">
        <v>1231</v>
      </c>
      <c r="F1846" s="6" t="s">
        <v>16</v>
      </c>
      <c r="G1846" s="6" t="s">
        <v>1295</v>
      </c>
      <c r="H1846" s="6" t="s">
        <v>1147</v>
      </c>
      <c r="I1846" s="6" t="s">
        <v>1147</v>
      </c>
      <c r="J1846" s="6" t="s">
        <v>1147</v>
      </c>
      <c r="K1846" s="6">
        <v>0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6">
        <v>0</v>
      </c>
      <c r="T1846" s="6">
        <v>0</v>
      </c>
      <c r="U1846" s="6">
        <v>0</v>
      </c>
      <c r="V1846" s="6">
        <v>0</v>
      </c>
    </row>
    <row r="1847" spans="2:22">
      <c r="B1847" s="6">
        <v>32599</v>
      </c>
      <c r="C1847" s="6" t="s">
        <v>1053</v>
      </c>
      <c r="D1847" s="6">
        <v>20500</v>
      </c>
      <c r="E1847" s="6" t="s">
        <v>31</v>
      </c>
      <c r="F1847" s="6" t="s">
        <v>17</v>
      </c>
      <c r="G1847" s="6" t="s">
        <v>1294</v>
      </c>
      <c r="H1847" s="6" t="s">
        <v>1147</v>
      </c>
      <c r="I1847" s="6" t="s">
        <v>1147</v>
      </c>
      <c r="J1847" s="6" t="s">
        <v>1147</v>
      </c>
      <c r="K1847" s="6">
        <v>0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0</v>
      </c>
      <c r="T1847" s="6">
        <v>0</v>
      </c>
      <c r="U1847" s="6">
        <v>0</v>
      </c>
      <c r="V1847" s="6">
        <v>0</v>
      </c>
    </row>
    <row r="1848" spans="2:22">
      <c r="B1848" s="6">
        <v>32598</v>
      </c>
      <c r="C1848" s="6" t="s">
        <v>1107</v>
      </c>
      <c r="D1848" s="6">
        <v>20906</v>
      </c>
      <c r="E1848" s="6" t="s">
        <v>48</v>
      </c>
      <c r="F1848" s="6" t="s">
        <v>49</v>
      </c>
      <c r="G1848" s="6" t="s">
        <v>1296</v>
      </c>
      <c r="H1848" s="6" t="s">
        <v>1147</v>
      </c>
      <c r="I1848" s="6" t="s">
        <v>1147</v>
      </c>
      <c r="J1848" s="6" t="s">
        <v>1147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</row>
    <row r="1849" spans="2:22">
      <c r="B1849" s="6">
        <v>32242</v>
      </c>
      <c r="C1849" s="6" t="s">
        <v>1079</v>
      </c>
      <c r="D1849" s="6">
        <v>20706</v>
      </c>
      <c r="E1849" s="6" t="s">
        <v>52</v>
      </c>
      <c r="F1849" s="6" t="s">
        <v>16</v>
      </c>
      <c r="G1849" s="6" t="s">
        <v>1295</v>
      </c>
      <c r="H1849" s="6" t="s">
        <v>1147</v>
      </c>
      <c r="I1849" s="6" t="s">
        <v>1147</v>
      </c>
      <c r="J1849" s="6" t="s">
        <v>1147</v>
      </c>
      <c r="K1849" s="6">
        <v>0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0</v>
      </c>
      <c r="R1849" s="6">
        <v>0</v>
      </c>
      <c r="S1849" s="6">
        <v>0</v>
      </c>
      <c r="T1849" s="6">
        <v>0</v>
      </c>
      <c r="U1849" s="6">
        <v>0</v>
      </c>
      <c r="V1849" s="6">
        <v>0</v>
      </c>
    </row>
    <row r="1850" spans="2:22">
      <c r="B1850" s="6">
        <v>31898</v>
      </c>
      <c r="C1850" s="6" t="s">
        <v>55</v>
      </c>
      <c r="D1850" s="6">
        <v>23100</v>
      </c>
      <c r="E1850" s="6" t="s">
        <v>54</v>
      </c>
      <c r="F1850" s="6" t="s">
        <v>16</v>
      </c>
      <c r="G1850" s="6" t="s">
        <v>1295</v>
      </c>
      <c r="H1850" s="6" t="s">
        <v>1147</v>
      </c>
      <c r="I1850" s="6" t="s">
        <v>1147</v>
      </c>
      <c r="J1850" s="6" t="s">
        <v>1147</v>
      </c>
      <c r="K1850" s="6">
        <v>0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0</v>
      </c>
      <c r="T1850" s="6">
        <v>0</v>
      </c>
      <c r="U1850" s="6">
        <v>0</v>
      </c>
      <c r="V1850" s="6">
        <v>0</v>
      </c>
    </row>
    <row r="1851" spans="2:22">
      <c r="B1851" s="6">
        <v>32573</v>
      </c>
      <c r="C1851" s="6" t="s">
        <v>1191</v>
      </c>
      <c r="D1851" s="6">
        <v>20500</v>
      </c>
      <c r="E1851" s="6" t="s">
        <v>31</v>
      </c>
      <c r="F1851" s="6" t="s">
        <v>73</v>
      </c>
      <c r="G1851" s="6" t="s">
        <v>1299</v>
      </c>
      <c r="H1851" s="6" t="s">
        <v>1147</v>
      </c>
      <c r="I1851" s="6" t="s">
        <v>1147</v>
      </c>
      <c r="J1851" s="6" t="s">
        <v>1147</v>
      </c>
      <c r="K1851" s="6">
        <v>0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0</v>
      </c>
      <c r="R1851" s="6">
        <v>0</v>
      </c>
      <c r="S1851" s="6">
        <v>0</v>
      </c>
      <c r="T1851" s="6">
        <v>0</v>
      </c>
      <c r="U1851" s="6">
        <v>0</v>
      </c>
      <c r="V1851" s="6">
        <v>0</v>
      </c>
    </row>
    <row r="1852" spans="2:22">
      <c r="B1852" s="6">
        <v>32573</v>
      </c>
      <c r="C1852" s="6" t="s">
        <v>1191</v>
      </c>
      <c r="D1852" s="6">
        <v>20500</v>
      </c>
      <c r="E1852" s="6" t="s">
        <v>31</v>
      </c>
      <c r="F1852" s="6" t="s">
        <v>73</v>
      </c>
      <c r="G1852" s="6" t="s">
        <v>1299</v>
      </c>
      <c r="H1852" s="6" t="s">
        <v>1147</v>
      </c>
      <c r="I1852" s="6" t="s">
        <v>1147</v>
      </c>
      <c r="J1852" s="6" t="s">
        <v>1147</v>
      </c>
      <c r="K1852" s="6">
        <v>0</v>
      </c>
      <c r="L1852" s="6">
        <v>0</v>
      </c>
      <c r="M1852" s="6">
        <v>0</v>
      </c>
      <c r="N1852" s="6">
        <v>0</v>
      </c>
      <c r="O1852" s="6">
        <v>0</v>
      </c>
      <c r="P1852" s="6">
        <v>0</v>
      </c>
      <c r="Q1852" s="6">
        <v>0</v>
      </c>
      <c r="R1852" s="6">
        <v>0</v>
      </c>
      <c r="S1852" s="6">
        <v>0</v>
      </c>
      <c r="T1852" s="6">
        <v>0</v>
      </c>
      <c r="U1852" s="6">
        <v>0</v>
      </c>
      <c r="V1852" s="6">
        <v>0</v>
      </c>
    </row>
    <row r="1853" spans="2:22">
      <c r="B1853" s="6">
        <v>32573</v>
      </c>
      <c r="C1853" s="6" t="s">
        <v>1191</v>
      </c>
      <c r="D1853" s="6">
        <v>20500</v>
      </c>
      <c r="E1853" s="6" t="s">
        <v>31</v>
      </c>
      <c r="F1853" s="6" t="s">
        <v>73</v>
      </c>
      <c r="G1853" s="6" t="s">
        <v>1299</v>
      </c>
      <c r="H1853" s="6" t="s">
        <v>1147</v>
      </c>
      <c r="I1853" s="6" t="s">
        <v>1147</v>
      </c>
      <c r="J1853" s="6" t="s">
        <v>1147</v>
      </c>
      <c r="K1853" s="6">
        <v>0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0</v>
      </c>
      <c r="T1853" s="6">
        <v>0</v>
      </c>
      <c r="U1853" s="6">
        <v>0</v>
      </c>
      <c r="V1853" s="6">
        <v>0</v>
      </c>
    </row>
    <row r="1854" spans="2:22">
      <c r="B1854" s="6">
        <v>32599</v>
      </c>
      <c r="C1854" s="6" t="s">
        <v>1053</v>
      </c>
      <c r="D1854" s="6">
        <v>20702</v>
      </c>
      <c r="E1854" s="6" t="s">
        <v>44</v>
      </c>
      <c r="F1854" s="6" t="s">
        <v>17</v>
      </c>
      <c r="G1854" s="6" t="s">
        <v>1294</v>
      </c>
      <c r="H1854" s="6" t="s">
        <v>1147</v>
      </c>
      <c r="I1854" s="6" t="s">
        <v>1147</v>
      </c>
      <c r="J1854" s="6" t="s">
        <v>1147</v>
      </c>
      <c r="K1854" s="6">
        <v>0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0</v>
      </c>
      <c r="T1854" s="6">
        <v>0</v>
      </c>
      <c r="U1854" s="6">
        <v>0</v>
      </c>
      <c r="V1854" s="6">
        <v>0</v>
      </c>
    </row>
    <row r="1855" spans="2:22">
      <c r="B1855" s="6">
        <v>32597</v>
      </c>
      <c r="C1855" s="6" t="s">
        <v>1070</v>
      </c>
      <c r="D1855" s="6">
        <v>20500</v>
      </c>
      <c r="E1855" s="6" t="s">
        <v>31</v>
      </c>
      <c r="F1855" s="6" t="s">
        <v>17</v>
      </c>
      <c r="G1855" s="6" t="s">
        <v>1294</v>
      </c>
      <c r="H1855" s="6" t="s">
        <v>1147</v>
      </c>
      <c r="I1855" s="6" t="s">
        <v>1147</v>
      </c>
      <c r="J1855" s="6" t="s">
        <v>1147</v>
      </c>
      <c r="K1855" s="6">
        <v>0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0</v>
      </c>
      <c r="R1855" s="6">
        <v>0</v>
      </c>
      <c r="S1855" s="6">
        <v>0</v>
      </c>
      <c r="T1855" s="6">
        <v>0</v>
      </c>
      <c r="U1855" s="6">
        <v>0</v>
      </c>
      <c r="V1855" s="6">
        <v>0</v>
      </c>
    </row>
    <row r="1856" spans="2:22">
      <c r="B1856" s="6">
        <v>32238</v>
      </c>
      <c r="C1856" s="6" t="s">
        <v>1089</v>
      </c>
      <c r="D1856" s="6">
        <v>20706</v>
      </c>
      <c r="E1856" s="6" t="s">
        <v>52</v>
      </c>
      <c r="F1856" s="6" t="s">
        <v>16</v>
      </c>
      <c r="G1856" s="6" t="s">
        <v>1295</v>
      </c>
      <c r="H1856" s="6" t="s">
        <v>1147</v>
      </c>
      <c r="I1856" s="6" t="s">
        <v>1147</v>
      </c>
      <c r="J1856" s="6" t="s">
        <v>1147</v>
      </c>
      <c r="K1856" s="6">
        <v>0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0</v>
      </c>
      <c r="R1856" s="6">
        <v>0</v>
      </c>
      <c r="S1856" s="6">
        <v>0</v>
      </c>
      <c r="T1856" s="6">
        <v>0</v>
      </c>
      <c r="U1856" s="6">
        <v>0</v>
      </c>
      <c r="V1856" s="6">
        <v>0</v>
      </c>
    </row>
    <row r="1857" spans="2:22">
      <c r="B1857" s="6">
        <v>32251</v>
      </c>
      <c r="C1857" s="6" t="s">
        <v>1015</v>
      </c>
      <c r="D1857" s="6">
        <v>12400</v>
      </c>
      <c r="E1857" s="6" t="s">
        <v>217</v>
      </c>
      <c r="F1857" s="6" t="s">
        <v>16</v>
      </c>
      <c r="G1857" s="6" t="s">
        <v>1295</v>
      </c>
      <c r="H1857" s="6" t="s">
        <v>1147</v>
      </c>
      <c r="I1857" s="6" t="s">
        <v>1147</v>
      </c>
      <c r="J1857" s="6" t="s">
        <v>1147</v>
      </c>
      <c r="K1857" s="6">
        <v>0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0</v>
      </c>
      <c r="R1857" s="6">
        <v>0</v>
      </c>
      <c r="S1857" s="6">
        <v>0</v>
      </c>
      <c r="T1857" s="6">
        <v>0</v>
      </c>
      <c r="U1857" s="6">
        <v>0</v>
      </c>
      <c r="V1857" s="6">
        <v>0</v>
      </c>
    </row>
    <row r="1858" spans="2:22">
      <c r="B1858" s="6">
        <v>31691</v>
      </c>
      <c r="C1858" s="6" t="s">
        <v>1157</v>
      </c>
      <c r="D1858" s="6">
        <v>21000</v>
      </c>
      <c r="E1858" s="6" t="s">
        <v>276</v>
      </c>
      <c r="F1858" s="6" t="s">
        <v>38</v>
      </c>
      <c r="G1858" s="6" t="s">
        <v>1302</v>
      </c>
      <c r="H1858" s="6" t="s">
        <v>1147</v>
      </c>
      <c r="I1858" s="6" t="s">
        <v>1147</v>
      </c>
      <c r="J1858" s="6" t="s">
        <v>1147</v>
      </c>
      <c r="K1858" s="6">
        <v>0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0</v>
      </c>
      <c r="R1858" s="6">
        <v>0</v>
      </c>
      <c r="S1858" s="6">
        <v>0</v>
      </c>
      <c r="T1858" s="6">
        <v>0</v>
      </c>
      <c r="U1858" s="6">
        <v>0</v>
      </c>
      <c r="V1858" s="6">
        <v>0</v>
      </c>
    </row>
    <row r="1859" spans="2:22">
      <c r="B1859" s="6">
        <v>32601</v>
      </c>
      <c r="C1859" s="6" t="s">
        <v>1108</v>
      </c>
      <c r="D1859" s="6">
        <v>20702</v>
      </c>
      <c r="E1859" s="6" t="s">
        <v>44</v>
      </c>
      <c r="F1859" s="6" t="s">
        <v>17</v>
      </c>
      <c r="G1859" s="6" t="s">
        <v>1294</v>
      </c>
      <c r="H1859" s="6" t="s">
        <v>1147</v>
      </c>
      <c r="I1859" s="6" t="s">
        <v>1147</v>
      </c>
      <c r="J1859" s="6" t="s">
        <v>1147</v>
      </c>
      <c r="K1859" s="6">
        <v>0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0</v>
      </c>
      <c r="T1859" s="6">
        <v>0</v>
      </c>
      <c r="U1859" s="6">
        <v>0</v>
      </c>
      <c r="V1859" s="6">
        <v>0</v>
      </c>
    </row>
    <row r="1860" spans="2:22">
      <c r="B1860" s="6">
        <v>32444</v>
      </c>
      <c r="C1860" s="6" t="s">
        <v>1168</v>
      </c>
      <c r="D1860" s="6">
        <v>25006</v>
      </c>
      <c r="E1860" s="6" t="s">
        <v>1235</v>
      </c>
      <c r="F1860" s="6" t="s">
        <v>38</v>
      </c>
      <c r="G1860" s="6" t="s">
        <v>1302</v>
      </c>
      <c r="H1860" s="6" t="s">
        <v>1147</v>
      </c>
      <c r="I1860" s="6" t="s">
        <v>1147</v>
      </c>
      <c r="J1860" s="6" t="s">
        <v>1147</v>
      </c>
      <c r="K1860" s="6">
        <v>0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0</v>
      </c>
      <c r="T1860" s="6">
        <v>0</v>
      </c>
      <c r="U1860" s="6">
        <v>0</v>
      </c>
      <c r="V1860" s="6">
        <v>0</v>
      </c>
    </row>
    <row r="1861" spans="2:22">
      <c r="B1861" s="6">
        <v>32353</v>
      </c>
      <c r="C1861" s="6" t="s">
        <v>1156</v>
      </c>
      <c r="D1861" s="6">
        <v>23500</v>
      </c>
      <c r="E1861" s="6" t="s">
        <v>37</v>
      </c>
      <c r="F1861" s="6" t="s">
        <v>38</v>
      </c>
      <c r="G1861" s="6" t="s">
        <v>1302</v>
      </c>
      <c r="H1861" s="6" t="s">
        <v>1147</v>
      </c>
      <c r="I1861" s="6" t="s">
        <v>1147</v>
      </c>
      <c r="J1861" s="6" t="s">
        <v>1147</v>
      </c>
      <c r="K1861" s="6">
        <v>0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0</v>
      </c>
      <c r="T1861" s="6">
        <v>0</v>
      </c>
      <c r="U1861" s="6">
        <v>0</v>
      </c>
      <c r="V1861" s="6">
        <v>0</v>
      </c>
    </row>
    <row r="1862" spans="2:22">
      <c r="B1862" s="6">
        <v>32601</v>
      </c>
      <c r="C1862" s="6" t="s">
        <v>1108</v>
      </c>
      <c r="D1862" s="6">
        <v>20500</v>
      </c>
      <c r="E1862" s="6" t="s">
        <v>31</v>
      </c>
      <c r="F1862" s="6" t="s">
        <v>17</v>
      </c>
      <c r="G1862" s="6" t="s">
        <v>1294</v>
      </c>
      <c r="H1862" s="6" t="s">
        <v>1147</v>
      </c>
      <c r="I1862" s="6" t="s">
        <v>1147</v>
      </c>
      <c r="J1862" s="6" t="s">
        <v>1147</v>
      </c>
      <c r="K1862" s="6">
        <v>0</v>
      </c>
      <c r="L1862" s="6">
        <v>0</v>
      </c>
      <c r="M1862" s="6">
        <v>0</v>
      </c>
      <c r="N1862" s="6">
        <v>0</v>
      </c>
      <c r="O1862" s="6">
        <v>0</v>
      </c>
      <c r="P1862" s="6">
        <v>0</v>
      </c>
      <c r="Q1862" s="6">
        <v>0</v>
      </c>
      <c r="R1862" s="6">
        <v>0</v>
      </c>
      <c r="S1862" s="6">
        <v>0</v>
      </c>
      <c r="T1862" s="6">
        <v>0</v>
      </c>
      <c r="U1862" s="6">
        <v>0</v>
      </c>
      <c r="V1862" s="6">
        <v>0</v>
      </c>
    </row>
    <row r="1863" spans="2:22">
      <c r="B1863" s="6">
        <v>30151</v>
      </c>
      <c r="C1863" s="6" t="s">
        <v>78</v>
      </c>
      <c r="D1863" s="6">
        <v>20906</v>
      </c>
      <c r="E1863" s="6" t="s">
        <v>48</v>
      </c>
      <c r="F1863" s="6" t="s">
        <v>1300</v>
      </c>
      <c r="G1863" s="6" t="s">
        <v>1301</v>
      </c>
      <c r="H1863" s="6" t="s">
        <v>1147</v>
      </c>
      <c r="I1863" s="6" t="s">
        <v>1147</v>
      </c>
      <c r="J1863" s="6" t="s">
        <v>1147</v>
      </c>
      <c r="K1863" s="6">
        <v>0</v>
      </c>
      <c r="L1863" s="6">
        <v>0</v>
      </c>
      <c r="M1863" s="6">
        <v>0</v>
      </c>
      <c r="N1863" s="6">
        <v>0</v>
      </c>
      <c r="O1863" s="6">
        <v>0</v>
      </c>
      <c r="P1863" s="6">
        <v>0</v>
      </c>
      <c r="Q1863" s="6">
        <v>0</v>
      </c>
      <c r="R1863" s="6">
        <v>0</v>
      </c>
      <c r="S1863" s="6">
        <v>0</v>
      </c>
      <c r="T1863" s="6">
        <v>0</v>
      </c>
      <c r="U1863" s="6">
        <v>0</v>
      </c>
      <c r="V1863" s="6">
        <v>0</v>
      </c>
    </row>
    <row r="1864" spans="2:22">
      <c r="B1864" s="6">
        <v>32600</v>
      </c>
      <c r="C1864" s="6" t="s">
        <v>1121</v>
      </c>
      <c r="D1864" s="6">
        <v>20906</v>
      </c>
      <c r="E1864" s="6" t="s">
        <v>48</v>
      </c>
      <c r="F1864" s="6" t="s">
        <v>49</v>
      </c>
      <c r="G1864" s="6" t="s">
        <v>1296</v>
      </c>
      <c r="H1864" s="6" t="s">
        <v>1147</v>
      </c>
      <c r="I1864" s="6" t="s">
        <v>1147</v>
      </c>
      <c r="J1864" s="6" t="s">
        <v>1147</v>
      </c>
      <c r="K1864" s="6">
        <v>0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0</v>
      </c>
      <c r="R1864" s="6">
        <v>0</v>
      </c>
      <c r="S1864" s="6">
        <v>0</v>
      </c>
      <c r="T1864" s="6">
        <v>0</v>
      </c>
      <c r="U1864" s="6">
        <v>0</v>
      </c>
      <c r="V1864" s="6">
        <v>0</v>
      </c>
    </row>
  </sheetData>
  <mergeCells count="6">
    <mergeCell ref="H1:V1"/>
    <mergeCell ref="H2:J2"/>
    <mergeCell ref="K2:M2"/>
    <mergeCell ref="N2:P2"/>
    <mergeCell ref="Q2:S2"/>
    <mergeCell ref="T2:V2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/>
  </sheetPr>
  <dimension ref="A1:G965"/>
  <sheetViews>
    <sheetView workbookViewId="0">
      <selection activeCell="O24" sqref="O24"/>
    </sheetView>
  </sheetViews>
  <sheetFormatPr defaultColWidth="6.375" defaultRowHeight="12"/>
  <cols>
    <col min="1" max="1" width="11" style="5" bestFit="1" customWidth="1"/>
    <col min="2" max="2" width="9.125" style="5" customWidth="1"/>
    <col min="3" max="3" width="17.875" style="5" customWidth="1"/>
    <col min="4" max="4" width="10.75" style="5" customWidth="1"/>
    <col min="5" max="6" width="10.25" style="5" customWidth="1"/>
    <col min="7" max="7" width="12.125" style="5" customWidth="1"/>
    <col min="8" max="16384" width="6.375" style="5"/>
  </cols>
  <sheetData>
    <row r="1" spans="1:7">
      <c r="B1" s="6"/>
      <c r="C1" s="6"/>
      <c r="D1" s="6"/>
      <c r="E1" s="6"/>
    </row>
    <row r="2" spans="1:7">
      <c r="B2" s="6"/>
      <c r="C2" s="6"/>
      <c r="D2" s="6"/>
      <c r="E2" s="6"/>
    </row>
    <row r="3" spans="1:7" ht="12" hidden="1" customHeight="1">
      <c r="B3" s="7"/>
      <c r="C3" s="7"/>
      <c r="D3" s="7"/>
      <c r="E3" s="7"/>
    </row>
    <row r="4" spans="1:7">
      <c r="A4" s="10" t="s">
        <v>291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1314</v>
      </c>
      <c r="G4" s="3" t="s">
        <v>1315</v>
      </c>
    </row>
    <row r="5" spans="1:7" ht="12" hidden="1" customHeight="1">
      <c r="A5" s="10"/>
      <c r="B5" s="9"/>
      <c r="C5" s="9"/>
      <c r="D5" s="9"/>
      <c r="E5" s="9"/>
      <c r="F5" s="9"/>
      <c r="G5" s="9"/>
    </row>
    <row r="6" spans="1:7">
      <c r="A6" s="10" t="s">
        <v>290</v>
      </c>
      <c r="B6" s="34" t="s">
        <v>1245</v>
      </c>
      <c r="C6" s="34" t="s">
        <v>1246</v>
      </c>
      <c r="D6" s="34" t="s">
        <v>1215</v>
      </c>
      <c r="E6" s="34" t="s">
        <v>1216</v>
      </c>
      <c r="F6" s="34" t="s">
        <v>1316</v>
      </c>
      <c r="G6" s="34" t="s">
        <v>1317</v>
      </c>
    </row>
    <row r="7" spans="1:7">
      <c r="A7" s="36" t="s">
        <v>292</v>
      </c>
      <c r="B7" s="6">
        <v>25003</v>
      </c>
      <c r="C7" s="6" t="s">
        <v>1030</v>
      </c>
      <c r="D7" s="6">
        <v>20300</v>
      </c>
      <c r="E7" s="6" t="s">
        <v>12</v>
      </c>
      <c r="F7" s="6" t="s">
        <v>1318</v>
      </c>
      <c r="G7" s="6"/>
    </row>
    <row r="8" spans="1:7">
      <c r="B8" s="6">
        <v>25008</v>
      </c>
      <c r="C8" s="6" t="s">
        <v>1039</v>
      </c>
      <c r="D8" s="6">
        <v>20300</v>
      </c>
      <c r="E8" s="6" t="s">
        <v>12</v>
      </c>
      <c r="F8" s="6" t="s">
        <v>1319</v>
      </c>
      <c r="G8" s="6"/>
    </row>
    <row r="9" spans="1:7">
      <c r="B9" s="6">
        <v>25026</v>
      </c>
      <c r="C9" s="6" t="s">
        <v>11</v>
      </c>
      <c r="D9" s="6">
        <v>20300</v>
      </c>
      <c r="E9" s="6" t="s">
        <v>12</v>
      </c>
      <c r="F9" s="6" t="s">
        <v>826</v>
      </c>
      <c r="G9" s="6"/>
    </row>
    <row r="10" spans="1:7">
      <c r="B10" s="6">
        <v>25026</v>
      </c>
      <c r="C10" s="6" t="s">
        <v>11</v>
      </c>
      <c r="D10" s="6">
        <v>20700</v>
      </c>
      <c r="E10" s="6" t="s">
        <v>15</v>
      </c>
      <c r="F10" s="6" t="s">
        <v>432</v>
      </c>
      <c r="G10" s="6" t="s">
        <v>1320</v>
      </c>
    </row>
    <row r="11" spans="1:7">
      <c r="B11" s="6">
        <v>25029</v>
      </c>
      <c r="C11" s="6" t="s">
        <v>18</v>
      </c>
      <c r="D11" s="6">
        <v>20300</v>
      </c>
      <c r="E11" s="6" t="s">
        <v>12</v>
      </c>
      <c r="F11" s="6" t="s">
        <v>869</v>
      </c>
      <c r="G11" s="6"/>
    </row>
    <row r="12" spans="1:7">
      <c r="B12" s="6">
        <v>25029</v>
      </c>
      <c r="C12" s="6" t="s">
        <v>18</v>
      </c>
      <c r="D12" s="6">
        <v>20700</v>
      </c>
      <c r="E12" s="6" t="s">
        <v>15</v>
      </c>
      <c r="F12" s="6" t="s">
        <v>1320</v>
      </c>
      <c r="G12" s="6" t="s">
        <v>432</v>
      </c>
    </row>
    <row r="13" spans="1:7">
      <c r="B13" s="6">
        <v>25030</v>
      </c>
      <c r="C13" s="6" t="s">
        <v>19</v>
      </c>
      <c r="D13" s="6">
        <v>20300</v>
      </c>
      <c r="E13" s="6" t="s">
        <v>12</v>
      </c>
      <c r="F13" s="6" t="s">
        <v>877</v>
      </c>
      <c r="G13" s="6"/>
    </row>
    <row r="14" spans="1:7">
      <c r="B14" s="6">
        <v>25030</v>
      </c>
      <c r="C14" s="6" t="s">
        <v>19</v>
      </c>
      <c r="D14" s="6">
        <v>20700</v>
      </c>
      <c r="E14" s="6" t="s">
        <v>15</v>
      </c>
      <c r="F14" s="6" t="s">
        <v>432</v>
      </c>
      <c r="G14" s="6" t="s">
        <v>808</v>
      </c>
    </row>
    <row r="15" spans="1:7">
      <c r="B15" s="6">
        <v>25032</v>
      </c>
      <c r="C15" s="6" t="s">
        <v>20</v>
      </c>
      <c r="D15" s="6">
        <v>20300</v>
      </c>
      <c r="E15" s="6" t="s">
        <v>12</v>
      </c>
      <c r="F15" s="6" t="s">
        <v>794</v>
      </c>
      <c r="G15" s="6"/>
    </row>
    <row r="16" spans="1:7">
      <c r="B16" s="6">
        <v>25032</v>
      </c>
      <c r="C16" s="6" t="s">
        <v>20</v>
      </c>
      <c r="D16" s="6">
        <v>20700</v>
      </c>
      <c r="E16" s="6" t="s">
        <v>15</v>
      </c>
      <c r="F16" s="6" t="s">
        <v>432</v>
      </c>
      <c r="G16" s="6" t="s">
        <v>808</v>
      </c>
    </row>
    <row r="17" spans="2:7">
      <c r="B17" s="6">
        <v>25033</v>
      </c>
      <c r="C17" s="6" t="s">
        <v>21</v>
      </c>
      <c r="D17" s="6">
        <v>20300</v>
      </c>
      <c r="E17" s="6" t="s">
        <v>12</v>
      </c>
      <c r="F17" s="6" t="s">
        <v>829</v>
      </c>
      <c r="G17" s="6" t="s">
        <v>1321</v>
      </c>
    </row>
    <row r="18" spans="2:7">
      <c r="B18" s="6">
        <v>25033</v>
      </c>
      <c r="C18" s="6" t="s">
        <v>21</v>
      </c>
      <c r="D18" s="6">
        <v>20700</v>
      </c>
      <c r="E18" s="6" t="s">
        <v>15</v>
      </c>
      <c r="F18" s="6" t="s">
        <v>1320</v>
      </c>
      <c r="G18" s="6" t="s">
        <v>432</v>
      </c>
    </row>
    <row r="19" spans="2:7">
      <c r="B19" s="6">
        <v>25034</v>
      </c>
      <c r="C19" s="6" t="s">
        <v>1031</v>
      </c>
      <c r="D19" s="6">
        <v>20300</v>
      </c>
      <c r="E19" s="6" t="s">
        <v>12</v>
      </c>
      <c r="F19" s="6" t="s">
        <v>1322</v>
      </c>
      <c r="G19" s="6"/>
    </row>
    <row r="20" spans="2:7">
      <c r="B20" s="6">
        <v>25034</v>
      </c>
      <c r="C20" s="6" t="s">
        <v>1031</v>
      </c>
      <c r="D20" s="6">
        <v>20700</v>
      </c>
      <c r="E20" s="6" t="s">
        <v>15</v>
      </c>
      <c r="F20" s="6" t="s">
        <v>432</v>
      </c>
      <c r="G20" s="6"/>
    </row>
    <row r="21" spans="2:7">
      <c r="B21" s="6">
        <v>25035</v>
      </c>
      <c r="C21" s="6" t="s">
        <v>22</v>
      </c>
      <c r="D21" s="6">
        <v>20300</v>
      </c>
      <c r="E21" s="6" t="s">
        <v>12</v>
      </c>
      <c r="F21" s="6" t="s">
        <v>880</v>
      </c>
      <c r="G21" s="6"/>
    </row>
    <row r="22" spans="2:7">
      <c r="B22" s="6">
        <v>25035</v>
      </c>
      <c r="C22" s="6" t="s">
        <v>22</v>
      </c>
      <c r="D22" s="6">
        <v>20700</v>
      </c>
      <c r="E22" s="6" t="s">
        <v>15</v>
      </c>
      <c r="F22" s="6" t="s">
        <v>432</v>
      </c>
      <c r="G22" s="6" t="s">
        <v>1320</v>
      </c>
    </row>
    <row r="23" spans="2:7">
      <c r="B23" s="6">
        <v>25036</v>
      </c>
      <c r="C23" s="6" t="s">
        <v>23</v>
      </c>
      <c r="D23" s="6">
        <v>20300</v>
      </c>
      <c r="E23" s="6" t="s">
        <v>12</v>
      </c>
      <c r="F23" s="6" t="s">
        <v>799</v>
      </c>
      <c r="G23" s="6"/>
    </row>
    <row r="24" spans="2:7">
      <c r="B24" s="6">
        <v>25036</v>
      </c>
      <c r="C24" s="6" t="s">
        <v>23</v>
      </c>
      <c r="D24" s="6">
        <v>20700</v>
      </c>
      <c r="E24" s="6" t="s">
        <v>15</v>
      </c>
      <c r="F24" s="6" t="s">
        <v>432</v>
      </c>
      <c r="G24" s="6"/>
    </row>
    <row r="25" spans="2:7">
      <c r="B25" s="6">
        <v>25037</v>
      </c>
      <c r="C25" s="6" t="s">
        <v>24</v>
      </c>
      <c r="D25" s="6">
        <v>20300</v>
      </c>
      <c r="E25" s="6" t="s">
        <v>12</v>
      </c>
      <c r="F25" s="6" t="s">
        <v>838</v>
      </c>
      <c r="G25" s="6"/>
    </row>
    <row r="26" spans="2:7">
      <c r="B26" s="6">
        <v>25037</v>
      </c>
      <c r="C26" s="6" t="s">
        <v>24</v>
      </c>
      <c r="D26" s="6">
        <v>20700</v>
      </c>
      <c r="E26" s="6" t="s">
        <v>15</v>
      </c>
      <c r="F26" s="6" t="s">
        <v>432</v>
      </c>
      <c r="G26" s="6"/>
    </row>
    <row r="27" spans="2:7">
      <c r="B27" s="6">
        <v>25038</v>
      </c>
      <c r="C27" s="6" t="s">
        <v>864</v>
      </c>
      <c r="D27" s="6">
        <v>20300</v>
      </c>
      <c r="E27" s="6" t="s">
        <v>12</v>
      </c>
      <c r="F27" s="6" t="s">
        <v>865</v>
      </c>
      <c r="G27" s="6"/>
    </row>
    <row r="28" spans="2:7">
      <c r="B28" s="6">
        <v>25096</v>
      </c>
      <c r="C28" s="6" t="s">
        <v>1037</v>
      </c>
      <c r="D28" s="6">
        <v>20400</v>
      </c>
      <c r="E28" s="6" t="s">
        <v>34</v>
      </c>
      <c r="F28" s="6" t="s">
        <v>1323</v>
      </c>
      <c r="G28" s="6"/>
    </row>
    <row r="29" spans="2:7">
      <c r="B29" s="6">
        <v>25096</v>
      </c>
      <c r="C29" s="6" t="s">
        <v>1037</v>
      </c>
      <c r="D29" s="6">
        <v>20500</v>
      </c>
      <c r="E29" s="6" t="s">
        <v>31</v>
      </c>
      <c r="F29" s="6" t="s">
        <v>1324</v>
      </c>
      <c r="G29" s="6"/>
    </row>
    <row r="30" spans="2:7">
      <c r="B30" s="6">
        <v>25096</v>
      </c>
      <c r="C30" s="6" t="s">
        <v>1037</v>
      </c>
      <c r="D30" s="6">
        <v>20700</v>
      </c>
      <c r="E30" s="6" t="s">
        <v>15</v>
      </c>
      <c r="F30" s="6" t="s">
        <v>432</v>
      </c>
      <c r="G30" s="6"/>
    </row>
    <row r="31" spans="2:7">
      <c r="B31" s="6">
        <v>25115</v>
      </c>
      <c r="C31" s="6" t="s">
        <v>1082</v>
      </c>
      <c r="D31" s="6">
        <v>20400</v>
      </c>
      <c r="E31" s="6" t="s">
        <v>34</v>
      </c>
      <c r="F31" s="6" t="s">
        <v>1325</v>
      </c>
      <c r="G31" s="6"/>
    </row>
    <row r="32" spans="2:7">
      <c r="B32" s="6">
        <v>25115</v>
      </c>
      <c r="C32" s="6" t="s">
        <v>1082</v>
      </c>
      <c r="D32" s="6">
        <v>20500</v>
      </c>
      <c r="E32" s="6" t="s">
        <v>31</v>
      </c>
      <c r="F32" s="6" t="s">
        <v>1326</v>
      </c>
      <c r="G32" s="6"/>
    </row>
    <row r="33" spans="2:7">
      <c r="B33" s="6">
        <v>25118</v>
      </c>
      <c r="C33" s="6" t="s">
        <v>1034</v>
      </c>
      <c r="D33" s="6">
        <v>20400</v>
      </c>
      <c r="E33" s="6" t="s">
        <v>34</v>
      </c>
      <c r="F33" s="6" t="s">
        <v>1327</v>
      </c>
      <c r="G33" s="6"/>
    </row>
    <row r="34" spans="2:7">
      <c r="B34" s="6">
        <v>25118</v>
      </c>
      <c r="C34" s="6" t="s">
        <v>1034</v>
      </c>
      <c r="D34" s="6">
        <v>20500</v>
      </c>
      <c r="E34" s="6" t="s">
        <v>31</v>
      </c>
      <c r="F34" s="6" t="s">
        <v>1326</v>
      </c>
      <c r="G34" s="6"/>
    </row>
    <row r="35" spans="2:7">
      <c r="B35" s="6">
        <v>25166</v>
      </c>
      <c r="C35" s="6" t="s">
        <v>1094</v>
      </c>
      <c r="D35" s="6">
        <v>20400</v>
      </c>
      <c r="E35" s="6" t="s">
        <v>34</v>
      </c>
      <c r="F35" s="6" t="s">
        <v>1328</v>
      </c>
      <c r="G35" s="6"/>
    </row>
    <row r="36" spans="2:7">
      <c r="B36" s="6">
        <v>25181</v>
      </c>
      <c r="C36" s="6" t="s">
        <v>777</v>
      </c>
      <c r="D36" s="6">
        <v>20500</v>
      </c>
      <c r="E36" s="6" t="s">
        <v>31</v>
      </c>
      <c r="F36" s="6" t="s">
        <v>779</v>
      </c>
      <c r="G36" s="6"/>
    </row>
    <row r="37" spans="2:7">
      <c r="B37" s="6">
        <v>25181</v>
      </c>
      <c r="C37" s="6" t="s">
        <v>777</v>
      </c>
      <c r="D37" s="6">
        <v>20600</v>
      </c>
      <c r="E37" s="6" t="s">
        <v>32</v>
      </c>
      <c r="F37" s="6" t="s">
        <v>778</v>
      </c>
      <c r="G37" s="6"/>
    </row>
    <row r="38" spans="2:7">
      <c r="B38" s="6">
        <v>25181</v>
      </c>
      <c r="C38" s="6" t="s">
        <v>777</v>
      </c>
      <c r="D38" s="6">
        <v>20700</v>
      </c>
      <c r="E38" s="6" t="s">
        <v>15</v>
      </c>
      <c r="F38" s="6" t="s">
        <v>432</v>
      </c>
      <c r="G38" s="6"/>
    </row>
    <row r="39" spans="2:7">
      <c r="B39" s="6">
        <v>25207</v>
      </c>
      <c r="C39" s="6" t="s">
        <v>1062</v>
      </c>
      <c r="D39" s="6">
        <v>20400</v>
      </c>
      <c r="E39" s="6" t="s">
        <v>34</v>
      </c>
      <c r="F39" s="6" t="s">
        <v>1329</v>
      </c>
      <c r="G39" s="6"/>
    </row>
    <row r="40" spans="2:7">
      <c r="B40" s="6">
        <v>25277</v>
      </c>
      <c r="C40" s="6" t="s">
        <v>60</v>
      </c>
      <c r="D40" s="6">
        <v>23100</v>
      </c>
      <c r="E40" s="6" t="s">
        <v>54</v>
      </c>
      <c r="F40" s="6" t="s">
        <v>486</v>
      </c>
      <c r="G40" s="6"/>
    </row>
    <row r="41" spans="2:7">
      <c r="B41" s="6">
        <v>25278</v>
      </c>
      <c r="C41" s="6" t="s">
        <v>61</v>
      </c>
      <c r="D41" s="6">
        <v>20700</v>
      </c>
      <c r="E41" s="6" t="s">
        <v>15</v>
      </c>
      <c r="F41" s="6" t="s">
        <v>432</v>
      </c>
      <c r="G41" s="6" t="s">
        <v>1320</v>
      </c>
    </row>
    <row r="42" spans="2:7">
      <c r="B42" s="6">
        <v>25278</v>
      </c>
      <c r="C42" s="6" t="s">
        <v>61</v>
      </c>
      <c r="D42" s="6">
        <v>23100</v>
      </c>
      <c r="E42" s="6" t="s">
        <v>54</v>
      </c>
      <c r="F42" s="6" t="s">
        <v>542</v>
      </c>
      <c r="G42" s="6" t="s">
        <v>486</v>
      </c>
    </row>
    <row r="43" spans="2:7">
      <c r="B43" s="6">
        <v>25279</v>
      </c>
      <c r="C43" s="6" t="s">
        <v>62</v>
      </c>
      <c r="D43" s="6">
        <v>23200</v>
      </c>
      <c r="E43" s="6" t="s">
        <v>63</v>
      </c>
      <c r="F43" s="6" t="s">
        <v>486</v>
      </c>
      <c r="G43" s="6"/>
    </row>
    <row r="44" spans="2:7">
      <c r="B44" s="6">
        <v>25280</v>
      </c>
      <c r="C44" s="6" t="s">
        <v>64</v>
      </c>
      <c r="D44" s="6">
        <v>23100</v>
      </c>
      <c r="E44" s="6" t="s">
        <v>54</v>
      </c>
      <c r="F44" s="6" t="s">
        <v>1330</v>
      </c>
      <c r="G44" s="6" t="s">
        <v>486</v>
      </c>
    </row>
    <row r="45" spans="2:7">
      <c r="B45" s="6">
        <v>25280</v>
      </c>
      <c r="C45" s="6" t="s">
        <v>64</v>
      </c>
      <c r="D45" s="6">
        <v>23200</v>
      </c>
      <c r="E45" s="6" t="s">
        <v>63</v>
      </c>
      <c r="F45" s="6" t="s">
        <v>486</v>
      </c>
      <c r="G45" s="6"/>
    </row>
    <row r="46" spans="2:7">
      <c r="B46" s="6">
        <v>25299</v>
      </c>
      <c r="C46" s="6" t="s">
        <v>1057</v>
      </c>
      <c r="D46" s="6">
        <v>20300</v>
      </c>
      <c r="E46" s="6" t="s">
        <v>12</v>
      </c>
      <c r="F46" s="6" t="s">
        <v>1331</v>
      </c>
      <c r="G46" s="6"/>
    </row>
    <row r="47" spans="2:7">
      <c r="B47" s="6">
        <v>25299</v>
      </c>
      <c r="C47" s="6" t="s">
        <v>1057</v>
      </c>
      <c r="D47" s="6">
        <v>20700</v>
      </c>
      <c r="E47" s="6" t="s">
        <v>15</v>
      </c>
      <c r="F47" s="6" t="s">
        <v>432</v>
      </c>
      <c r="G47" s="6"/>
    </row>
    <row r="48" spans="2:7">
      <c r="B48" s="6">
        <v>25435</v>
      </c>
      <c r="C48" s="6" t="s">
        <v>1033</v>
      </c>
      <c r="D48" s="6">
        <v>20300</v>
      </c>
      <c r="E48" s="6" t="s">
        <v>12</v>
      </c>
      <c r="F48" s="6" t="s">
        <v>1332</v>
      </c>
      <c r="G48" s="6"/>
    </row>
    <row r="49" spans="2:7">
      <c r="B49" s="6">
        <v>25435</v>
      </c>
      <c r="C49" s="6" t="s">
        <v>1033</v>
      </c>
      <c r="D49" s="6">
        <v>20700</v>
      </c>
      <c r="E49" s="6" t="s">
        <v>15</v>
      </c>
      <c r="F49" s="6" t="s">
        <v>1320</v>
      </c>
      <c r="G49" s="6"/>
    </row>
    <row r="50" spans="2:7">
      <c r="B50" s="6">
        <v>25439</v>
      </c>
      <c r="C50" s="6" t="s">
        <v>1061</v>
      </c>
      <c r="D50" s="6">
        <v>20400</v>
      </c>
      <c r="E50" s="6" t="s">
        <v>34</v>
      </c>
      <c r="F50" s="6" t="s">
        <v>1333</v>
      </c>
      <c r="G50" s="6"/>
    </row>
    <row r="51" spans="2:7">
      <c r="B51" s="6">
        <v>25439</v>
      </c>
      <c r="C51" s="6" t="s">
        <v>1061</v>
      </c>
      <c r="D51" s="6">
        <v>20500</v>
      </c>
      <c r="E51" s="6" t="s">
        <v>31</v>
      </c>
      <c r="F51" s="6" t="s">
        <v>1326</v>
      </c>
      <c r="G51" s="6"/>
    </row>
    <row r="52" spans="2:7">
      <c r="B52" s="6">
        <v>25439</v>
      </c>
      <c r="C52" s="6" t="s">
        <v>1061</v>
      </c>
      <c r="D52" s="6">
        <v>20700</v>
      </c>
      <c r="E52" s="6" t="s">
        <v>15</v>
      </c>
      <c r="F52" s="6" t="s">
        <v>1320</v>
      </c>
      <c r="G52" s="6"/>
    </row>
    <row r="53" spans="2:7">
      <c r="B53" s="6">
        <v>25441</v>
      </c>
      <c r="C53" s="6" t="s">
        <v>1029</v>
      </c>
      <c r="D53" s="6">
        <v>20300</v>
      </c>
      <c r="E53" s="6" t="s">
        <v>12</v>
      </c>
      <c r="F53" s="6" t="s">
        <v>1334</v>
      </c>
      <c r="G53" s="6"/>
    </row>
    <row r="54" spans="2:7">
      <c r="B54" s="6">
        <v>25441</v>
      </c>
      <c r="C54" s="6" t="s">
        <v>1029</v>
      </c>
      <c r="D54" s="6">
        <v>20700</v>
      </c>
      <c r="E54" s="6" t="s">
        <v>15</v>
      </c>
      <c r="F54" s="6" t="s">
        <v>1320</v>
      </c>
      <c r="G54" s="6"/>
    </row>
    <row r="55" spans="2:7">
      <c r="B55" s="6">
        <v>25442</v>
      </c>
      <c r="C55" s="6" t="s">
        <v>1032</v>
      </c>
      <c r="D55" s="6">
        <v>20400</v>
      </c>
      <c r="E55" s="6" t="s">
        <v>34</v>
      </c>
      <c r="F55" s="6" t="s">
        <v>1335</v>
      </c>
      <c r="G55" s="6"/>
    </row>
    <row r="56" spans="2:7">
      <c r="B56" s="6">
        <v>25442</v>
      </c>
      <c r="C56" s="6" t="s">
        <v>1032</v>
      </c>
      <c r="D56" s="6">
        <v>20500</v>
      </c>
      <c r="E56" s="6" t="s">
        <v>31</v>
      </c>
      <c r="F56" s="6" t="s">
        <v>1326</v>
      </c>
      <c r="G56" s="6"/>
    </row>
    <row r="57" spans="2:7">
      <c r="B57" s="6">
        <v>25495</v>
      </c>
      <c r="C57" s="6" t="s">
        <v>66</v>
      </c>
      <c r="D57" s="6">
        <v>20700</v>
      </c>
      <c r="E57" s="6" t="s">
        <v>15</v>
      </c>
      <c r="F57" s="6" t="s">
        <v>432</v>
      </c>
      <c r="G57" s="6" t="s">
        <v>808</v>
      </c>
    </row>
    <row r="58" spans="2:7">
      <c r="B58" s="6">
        <v>26030</v>
      </c>
      <c r="C58" s="6" t="s">
        <v>1040</v>
      </c>
      <c r="D58" s="6">
        <v>20300</v>
      </c>
      <c r="E58" s="6" t="s">
        <v>12</v>
      </c>
      <c r="F58" s="6" t="s">
        <v>1336</v>
      </c>
      <c r="G58" s="6"/>
    </row>
    <row r="59" spans="2:7">
      <c r="B59" s="6">
        <v>26030</v>
      </c>
      <c r="C59" s="6" t="s">
        <v>1040</v>
      </c>
      <c r="D59" s="6">
        <v>20700</v>
      </c>
      <c r="E59" s="6" t="s">
        <v>15</v>
      </c>
      <c r="F59" s="6" t="s">
        <v>1320</v>
      </c>
      <c r="G59" s="6"/>
    </row>
    <row r="60" spans="2:7">
      <c r="B60" s="6">
        <v>26193</v>
      </c>
      <c r="C60" s="6" t="s">
        <v>35</v>
      </c>
      <c r="D60" s="6">
        <v>20500</v>
      </c>
      <c r="E60" s="6" t="s">
        <v>31</v>
      </c>
      <c r="F60" s="6" t="s">
        <v>570</v>
      </c>
      <c r="G60" s="6"/>
    </row>
    <row r="61" spans="2:7">
      <c r="B61" s="6">
        <v>26299</v>
      </c>
      <c r="C61" s="6" t="s">
        <v>1095</v>
      </c>
      <c r="D61" s="6">
        <v>20300</v>
      </c>
      <c r="E61" s="6" t="s">
        <v>12</v>
      </c>
      <c r="F61" s="6" t="s">
        <v>1337</v>
      </c>
      <c r="G61" s="6"/>
    </row>
    <row r="62" spans="2:7">
      <c r="B62" s="6">
        <v>26300</v>
      </c>
      <c r="C62" s="6" t="s">
        <v>1036</v>
      </c>
      <c r="D62" s="6">
        <v>20300</v>
      </c>
      <c r="E62" s="6" t="s">
        <v>12</v>
      </c>
      <c r="F62" s="6" t="s">
        <v>1338</v>
      </c>
      <c r="G62" s="6"/>
    </row>
    <row r="63" spans="2:7">
      <c r="B63" s="6">
        <v>26301</v>
      </c>
      <c r="C63" s="6" t="s">
        <v>1038</v>
      </c>
      <c r="D63" s="6">
        <v>20300</v>
      </c>
      <c r="E63" s="6" t="s">
        <v>12</v>
      </c>
      <c r="F63" s="6" t="s">
        <v>1339</v>
      </c>
      <c r="G63" s="6"/>
    </row>
    <row r="64" spans="2:7">
      <c r="B64" s="6">
        <v>26301</v>
      </c>
      <c r="C64" s="6" t="s">
        <v>1038</v>
      </c>
      <c r="D64" s="6">
        <v>20700</v>
      </c>
      <c r="E64" s="6" t="s">
        <v>15</v>
      </c>
      <c r="F64" s="6" t="s">
        <v>432</v>
      </c>
      <c r="G64" s="6"/>
    </row>
    <row r="65" spans="2:7">
      <c r="B65" s="6">
        <v>26572</v>
      </c>
      <c r="C65" s="6" t="s">
        <v>67</v>
      </c>
      <c r="D65" s="6">
        <v>20700</v>
      </c>
      <c r="E65" s="6" t="s">
        <v>15</v>
      </c>
      <c r="F65" s="6" t="s">
        <v>432</v>
      </c>
      <c r="G65" s="6"/>
    </row>
    <row r="66" spans="2:7">
      <c r="B66" s="6">
        <v>26572</v>
      </c>
      <c r="C66" s="6" t="s">
        <v>67</v>
      </c>
      <c r="D66" s="6">
        <v>23100</v>
      </c>
      <c r="E66" s="6" t="s">
        <v>54</v>
      </c>
      <c r="F66" s="6" t="s">
        <v>486</v>
      </c>
      <c r="G66" s="6"/>
    </row>
    <row r="67" spans="2:7">
      <c r="B67" s="6">
        <v>27217</v>
      </c>
      <c r="C67" s="6" t="s">
        <v>25</v>
      </c>
      <c r="D67" s="6">
        <v>20300</v>
      </c>
      <c r="E67" s="6" t="s">
        <v>12</v>
      </c>
      <c r="F67" s="6" t="s">
        <v>807</v>
      </c>
      <c r="G67" s="6"/>
    </row>
    <row r="68" spans="2:7">
      <c r="B68" s="6">
        <v>27217</v>
      </c>
      <c r="C68" s="6" t="s">
        <v>25</v>
      </c>
      <c r="D68" s="6">
        <v>20700</v>
      </c>
      <c r="E68" s="6" t="s">
        <v>15</v>
      </c>
      <c r="F68" s="6" t="s">
        <v>808</v>
      </c>
      <c r="G68" s="6"/>
    </row>
    <row r="69" spans="2:7">
      <c r="B69" s="6">
        <v>28065</v>
      </c>
      <c r="C69" s="6" t="s">
        <v>1042</v>
      </c>
      <c r="D69" s="6">
        <v>20300</v>
      </c>
      <c r="E69" s="6" t="s">
        <v>12</v>
      </c>
      <c r="F69" s="6" t="s">
        <v>1340</v>
      </c>
      <c r="G69" s="6"/>
    </row>
    <row r="70" spans="2:7">
      <c r="B70" s="6">
        <v>28065</v>
      </c>
      <c r="C70" s="6" t="s">
        <v>1042</v>
      </c>
      <c r="D70" s="6">
        <v>20700</v>
      </c>
      <c r="E70" s="6" t="s">
        <v>15</v>
      </c>
      <c r="F70" s="6" t="s">
        <v>1320</v>
      </c>
      <c r="G70" s="6"/>
    </row>
    <row r="71" spans="2:7">
      <c r="B71" s="6">
        <v>28308</v>
      </c>
      <c r="C71" s="6" t="s">
        <v>1041</v>
      </c>
      <c r="D71" s="6">
        <v>20400</v>
      </c>
      <c r="E71" s="6" t="s">
        <v>34</v>
      </c>
      <c r="F71" s="6" t="s">
        <v>1341</v>
      </c>
      <c r="G71" s="6"/>
    </row>
    <row r="72" spans="2:7">
      <c r="B72" s="6">
        <v>28308</v>
      </c>
      <c r="C72" s="6" t="s">
        <v>1041</v>
      </c>
      <c r="D72" s="6">
        <v>20500</v>
      </c>
      <c r="E72" s="6" t="s">
        <v>31</v>
      </c>
      <c r="F72" s="6" t="s">
        <v>1326</v>
      </c>
      <c r="G72" s="6"/>
    </row>
    <row r="73" spans="2:7">
      <c r="B73" s="6">
        <v>28731</v>
      </c>
      <c r="C73" s="6" t="s">
        <v>30</v>
      </c>
      <c r="D73" s="6">
        <v>20500</v>
      </c>
      <c r="E73" s="6" t="s">
        <v>31</v>
      </c>
      <c r="F73" s="6" t="s">
        <v>326</v>
      </c>
      <c r="G73" s="6"/>
    </row>
    <row r="74" spans="2:7">
      <c r="B74" s="6">
        <v>28731</v>
      </c>
      <c r="C74" s="6" t="s">
        <v>30</v>
      </c>
      <c r="D74" s="6">
        <v>20600</v>
      </c>
      <c r="E74" s="6" t="s">
        <v>32</v>
      </c>
      <c r="F74" s="6" t="s">
        <v>326</v>
      </c>
      <c r="G74" s="6"/>
    </row>
    <row r="75" spans="2:7">
      <c r="B75" s="6">
        <v>28731</v>
      </c>
      <c r="C75" s="6" t="s">
        <v>30</v>
      </c>
      <c r="D75" s="6">
        <v>20700</v>
      </c>
      <c r="E75" s="6" t="s">
        <v>15</v>
      </c>
      <c r="F75" s="6" t="s">
        <v>432</v>
      </c>
      <c r="G75" s="6"/>
    </row>
    <row r="76" spans="2:7">
      <c r="B76" s="6">
        <v>28732</v>
      </c>
      <c r="C76" s="6" t="s">
        <v>33</v>
      </c>
      <c r="D76" s="6">
        <v>20500</v>
      </c>
      <c r="E76" s="6" t="s">
        <v>31</v>
      </c>
      <c r="F76" s="6" t="s">
        <v>326</v>
      </c>
      <c r="G76" s="6"/>
    </row>
    <row r="77" spans="2:7">
      <c r="B77" s="6">
        <v>28732</v>
      </c>
      <c r="C77" s="6" t="s">
        <v>33</v>
      </c>
      <c r="D77" s="6">
        <v>20700</v>
      </c>
      <c r="E77" s="6" t="s">
        <v>15</v>
      </c>
      <c r="F77" s="6" t="s">
        <v>432</v>
      </c>
      <c r="G77" s="6" t="s">
        <v>808</v>
      </c>
    </row>
    <row r="78" spans="2:7">
      <c r="B78" s="6">
        <v>29059</v>
      </c>
      <c r="C78" s="6" t="s">
        <v>68</v>
      </c>
      <c r="D78" s="6">
        <v>20700</v>
      </c>
      <c r="E78" s="6" t="s">
        <v>15</v>
      </c>
      <c r="F78" s="6" t="s">
        <v>432</v>
      </c>
      <c r="G78" s="6" t="s">
        <v>808</v>
      </c>
    </row>
    <row r="79" spans="2:7">
      <c r="B79" s="6">
        <v>29059</v>
      </c>
      <c r="C79" s="6" t="s">
        <v>68</v>
      </c>
      <c r="D79" s="6">
        <v>23100</v>
      </c>
      <c r="E79" s="6" t="s">
        <v>54</v>
      </c>
      <c r="F79" s="6" t="s">
        <v>885</v>
      </c>
      <c r="G79" s="6"/>
    </row>
    <row r="80" spans="2:7">
      <c r="B80" s="6">
        <v>30026</v>
      </c>
      <c r="C80" s="6" t="s">
        <v>75</v>
      </c>
      <c r="D80" s="6">
        <v>20500</v>
      </c>
      <c r="E80" s="6" t="s">
        <v>31</v>
      </c>
      <c r="F80" s="6" t="s">
        <v>326</v>
      </c>
      <c r="G80" s="6"/>
    </row>
    <row r="81" spans="2:7">
      <c r="B81" s="6">
        <v>30026</v>
      </c>
      <c r="C81" s="6" t="s">
        <v>75</v>
      </c>
      <c r="D81" s="6">
        <v>20702</v>
      </c>
      <c r="E81" s="6" t="s">
        <v>44</v>
      </c>
      <c r="F81" s="6" t="s">
        <v>381</v>
      </c>
      <c r="G81" s="6"/>
    </row>
    <row r="82" spans="2:7">
      <c r="B82" s="6">
        <v>30026</v>
      </c>
      <c r="C82" s="6" t="s">
        <v>75</v>
      </c>
      <c r="D82" s="6">
        <v>20902</v>
      </c>
      <c r="E82" s="6" t="s">
        <v>53</v>
      </c>
      <c r="F82" s="6" t="s">
        <v>623</v>
      </c>
      <c r="G82" s="6" t="s">
        <v>1342</v>
      </c>
    </row>
    <row r="83" spans="2:7">
      <c r="B83" s="6">
        <v>30027</v>
      </c>
      <c r="C83" s="6" t="s">
        <v>76</v>
      </c>
      <c r="D83" s="6">
        <v>20500</v>
      </c>
      <c r="E83" s="6" t="s">
        <v>31</v>
      </c>
      <c r="F83" s="6" t="s">
        <v>326</v>
      </c>
      <c r="G83" s="6"/>
    </row>
    <row r="84" spans="2:7">
      <c r="B84" s="6">
        <v>30027</v>
      </c>
      <c r="C84" s="6" t="s">
        <v>76</v>
      </c>
      <c r="D84" s="6">
        <v>20702</v>
      </c>
      <c r="E84" s="6" t="s">
        <v>44</v>
      </c>
      <c r="F84" s="6" t="s">
        <v>381</v>
      </c>
      <c r="G84" s="6"/>
    </row>
    <row r="85" spans="2:7">
      <c r="B85" s="6">
        <v>30027</v>
      </c>
      <c r="C85" s="6" t="s">
        <v>76</v>
      </c>
      <c r="D85" s="6">
        <v>20902</v>
      </c>
      <c r="E85" s="6" t="s">
        <v>53</v>
      </c>
      <c r="F85" s="6" t="s">
        <v>472</v>
      </c>
      <c r="G85" s="6"/>
    </row>
    <row r="86" spans="2:7">
      <c r="B86" s="6">
        <v>30063</v>
      </c>
      <c r="C86" s="6" t="s">
        <v>1083</v>
      </c>
      <c r="D86" s="6">
        <v>20300</v>
      </c>
      <c r="E86" s="6" t="s">
        <v>12</v>
      </c>
      <c r="F86" s="6" t="s">
        <v>321</v>
      </c>
      <c r="G86" s="6" t="s">
        <v>469</v>
      </c>
    </row>
    <row r="87" spans="2:7">
      <c r="B87" s="6">
        <v>30063</v>
      </c>
      <c r="C87" s="6" t="s">
        <v>1083</v>
      </c>
      <c r="D87" s="6">
        <v>20700</v>
      </c>
      <c r="E87" s="6" t="s">
        <v>15</v>
      </c>
      <c r="F87" s="6" t="s">
        <v>808</v>
      </c>
      <c r="G87" s="6"/>
    </row>
    <row r="88" spans="2:7">
      <c r="B88" s="6">
        <v>30148</v>
      </c>
      <c r="C88" s="6" t="s">
        <v>45</v>
      </c>
      <c r="D88" s="6">
        <v>20601</v>
      </c>
      <c r="E88" s="6" t="s">
        <v>43</v>
      </c>
      <c r="F88" s="6" t="s">
        <v>617</v>
      </c>
      <c r="G88" s="6"/>
    </row>
    <row r="89" spans="2:7">
      <c r="B89" s="6">
        <v>30148</v>
      </c>
      <c r="C89" s="6" t="s">
        <v>45</v>
      </c>
      <c r="D89" s="6">
        <v>20702</v>
      </c>
      <c r="E89" s="6" t="s">
        <v>44</v>
      </c>
      <c r="F89" s="6" t="s">
        <v>381</v>
      </c>
      <c r="G89" s="6"/>
    </row>
    <row r="90" spans="2:7">
      <c r="B90" s="6">
        <v>30150</v>
      </c>
      <c r="C90" s="6" t="s">
        <v>77</v>
      </c>
      <c r="D90" s="6">
        <v>20500</v>
      </c>
      <c r="E90" s="6" t="s">
        <v>31</v>
      </c>
      <c r="F90" s="6" t="s">
        <v>326</v>
      </c>
      <c r="G90" s="6" t="s">
        <v>350</v>
      </c>
    </row>
    <row r="91" spans="2:7">
      <c r="B91" s="6">
        <v>30150</v>
      </c>
      <c r="C91" s="6" t="s">
        <v>77</v>
      </c>
      <c r="D91" s="6">
        <v>20706</v>
      </c>
      <c r="E91" s="6" t="s">
        <v>52</v>
      </c>
      <c r="F91" s="6" t="s">
        <v>432</v>
      </c>
      <c r="G91" s="6" t="s">
        <v>410</v>
      </c>
    </row>
    <row r="92" spans="2:7">
      <c r="B92" s="6">
        <v>30150</v>
      </c>
      <c r="C92" s="6" t="s">
        <v>77</v>
      </c>
      <c r="D92" s="6">
        <v>20902</v>
      </c>
      <c r="E92" s="6" t="s">
        <v>53</v>
      </c>
      <c r="F92" s="6" t="s">
        <v>1343</v>
      </c>
      <c r="G92" s="6" t="s">
        <v>686</v>
      </c>
    </row>
    <row r="93" spans="2:7">
      <c r="B93" s="6">
        <v>30151</v>
      </c>
      <c r="C93" s="6" t="s">
        <v>78</v>
      </c>
      <c r="D93" s="6">
        <v>20500</v>
      </c>
      <c r="E93" s="6" t="s">
        <v>31</v>
      </c>
      <c r="F93" s="6" t="s">
        <v>350</v>
      </c>
      <c r="G93" s="6"/>
    </row>
    <row r="94" spans="2:7">
      <c r="B94" s="6">
        <v>30151</v>
      </c>
      <c r="C94" s="6" t="s">
        <v>78</v>
      </c>
      <c r="D94" s="6">
        <v>20706</v>
      </c>
      <c r="E94" s="6" t="s">
        <v>52</v>
      </c>
      <c r="F94" s="6" t="s">
        <v>432</v>
      </c>
      <c r="G94" s="6"/>
    </row>
    <row r="95" spans="2:7">
      <c r="B95" s="6">
        <v>30151</v>
      </c>
      <c r="C95" s="6" t="s">
        <v>78</v>
      </c>
      <c r="D95" s="6">
        <v>20902</v>
      </c>
      <c r="E95" s="6" t="s">
        <v>53</v>
      </c>
      <c r="F95" s="6" t="s">
        <v>677</v>
      </c>
      <c r="G95" s="6"/>
    </row>
    <row r="96" spans="2:7">
      <c r="B96" s="6">
        <v>30152</v>
      </c>
      <c r="C96" s="6" t="s">
        <v>79</v>
      </c>
      <c r="D96" s="6">
        <v>20500</v>
      </c>
      <c r="E96" s="6" t="s">
        <v>31</v>
      </c>
      <c r="F96" s="6" t="s">
        <v>350</v>
      </c>
      <c r="G96" s="6" t="s">
        <v>326</v>
      </c>
    </row>
    <row r="97" spans="2:7">
      <c r="B97" s="6">
        <v>30152</v>
      </c>
      <c r="C97" s="6" t="s">
        <v>79</v>
      </c>
      <c r="D97" s="6">
        <v>20706</v>
      </c>
      <c r="E97" s="6" t="s">
        <v>52</v>
      </c>
      <c r="F97" s="6" t="s">
        <v>432</v>
      </c>
      <c r="G97" s="6"/>
    </row>
    <row r="98" spans="2:7">
      <c r="B98" s="6">
        <v>30152</v>
      </c>
      <c r="C98" s="6" t="s">
        <v>79</v>
      </c>
      <c r="D98" s="6">
        <v>20902</v>
      </c>
      <c r="E98" s="6" t="s">
        <v>53</v>
      </c>
      <c r="F98" s="6" t="s">
        <v>1344</v>
      </c>
      <c r="G98" s="6" t="s">
        <v>456</v>
      </c>
    </row>
    <row r="99" spans="2:7">
      <c r="B99" s="6">
        <v>30233</v>
      </c>
      <c r="C99" s="6" t="s">
        <v>80</v>
      </c>
      <c r="D99" s="6">
        <v>20500</v>
      </c>
      <c r="E99" s="6" t="s">
        <v>31</v>
      </c>
      <c r="F99" s="6" t="s">
        <v>350</v>
      </c>
      <c r="G99" s="6"/>
    </row>
    <row r="100" spans="2:7">
      <c r="B100" s="6">
        <v>30233</v>
      </c>
      <c r="C100" s="6" t="s">
        <v>80</v>
      </c>
      <c r="D100" s="6">
        <v>20702</v>
      </c>
      <c r="E100" s="6" t="s">
        <v>44</v>
      </c>
      <c r="F100" s="6" t="s">
        <v>381</v>
      </c>
      <c r="G100" s="6" t="s">
        <v>347</v>
      </c>
    </row>
    <row r="101" spans="2:7">
      <c r="B101" s="6">
        <v>30233</v>
      </c>
      <c r="C101" s="6" t="s">
        <v>80</v>
      </c>
      <c r="D101" s="6">
        <v>20902</v>
      </c>
      <c r="E101" s="6" t="s">
        <v>53</v>
      </c>
      <c r="F101" s="6" t="s">
        <v>530</v>
      </c>
      <c r="G101" s="6"/>
    </row>
    <row r="102" spans="2:7">
      <c r="B102" s="6">
        <v>30234</v>
      </c>
      <c r="C102" s="6" t="s">
        <v>81</v>
      </c>
      <c r="D102" s="6">
        <v>20500</v>
      </c>
      <c r="E102" s="6" t="s">
        <v>31</v>
      </c>
      <c r="F102" s="6" t="s">
        <v>350</v>
      </c>
      <c r="G102" s="6"/>
    </row>
    <row r="103" spans="2:7">
      <c r="B103" s="6">
        <v>30234</v>
      </c>
      <c r="C103" s="6" t="s">
        <v>81</v>
      </c>
      <c r="D103" s="6">
        <v>20902</v>
      </c>
      <c r="E103" s="6" t="s">
        <v>53</v>
      </c>
      <c r="F103" s="6" t="s">
        <v>542</v>
      </c>
      <c r="G103" s="6"/>
    </row>
    <row r="104" spans="2:7">
      <c r="B104" s="6">
        <v>30235</v>
      </c>
      <c r="C104" s="6" t="s">
        <v>82</v>
      </c>
      <c r="D104" s="6">
        <v>20500</v>
      </c>
      <c r="E104" s="6" t="s">
        <v>31</v>
      </c>
      <c r="F104" s="6" t="s">
        <v>350</v>
      </c>
      <c r="G104" s="6"/>
    </row>
    <row r="105" spans="2:7">
      <c r="B105" s="6">
        <v>30235</v>
      </c>
      <c r="C105" s="6" t="s">
        <v>82</v>
      </c>
      <c r="D105" s="6">
        <v>20902</v>
      </c>
      <c r="E105" s="6" t="s">
        <v>53</v>
      </c>
      <c r="F105" s="6" t="s">
        <v>577</v>
      </c>
      <c r="G105" s="6"/>
    </row>
    <row r="106" spans="2:7">
      <c r="B106" s="6">
        <v>30260</v>
      </c>
      <c r="C106" s="6" t="s">
        <v>83</v>
      </c>
      <c r="D106" s="6">
        <v>20500</v>
      </c>
      <c r="E106" s="6" t="s">
        <v>31</v>
      </c>
      <c r="F106" s="6" t="s">
        <v>326</v>
      </c>
      <c r="G106" s="6" t="s">
        <v>350</v>
      </c>
    </row>
    <row r="107" spans="2:7">
      <c r="B107" s="6">
        <v>30260</v>
      </c>
      <c r="C107" s="6" t="s">
        <v>83</v>
      </c>
      <c r="D107" s="6">
        <v>20702</v>
      </c>
      <c r="E107" s="6" t="s">
        <v>44</v>
      </c>
      <c r="F107" s="6" t="s">
        <v>381</v>
      </c>
      <c r="G107" s="6" t="s">
        <v>347</v>
      </c>
    </row>
    <row r="108" spans="2:7">
      <c r="B108" s="6">
        <v>30260</v>
      </c>
      <c r="C108" s="6" t="s">
        <v>83</v>
      </c>
      <c r="D108" s="6">
        <v>20902</v>
      </c>
      <c r="E108" s="6" t="s">
        <v>53</v>
      </c>
      <c r="F108" s="6" t="s">
        <v>424</v>
      </c>
      <c r="G108" s="6"/>
    </row>
    <row r="109" spans="2:7">
      <c r="B109" s="6">
        <v>30261</v>
      </c>
      <c r="C109" s="6" t="s">
        <v>84</v>
      </c>
      <c r="D109" s="6">
        <v>20500</v>
      </c>
      <c r="E109" s="6" t="s">
        <v>31</v>
      </c>
      <c r="F109" s="6" t="s">
        <v>350</v>
      </c>
      <c r="G109" s="6"/>
    </row>
    <row r="110" spans="2:7">
      <c r="B110" s="6">
        <v>30261</v>
      </c>
      <c r="C110" s="6" t="s">
        <v>84</v>
      </c>
      <c r="D110" s="6">
        <v>20702</v>
      </c>
      <c r="E110" s="6" t="s">
        <v>44</v>
      </c>
      <c r="F110" s="6" t="s">
        <v>381</v>
      </c>
      <c r="G110" s="6"/>
    </row>
    <row r="111" spans="2:7">
      <c r="B111" s="6">
        <v>30261</v>
      </c>
      <c r="C111" s="6" t="s">
        <v>84</v>
      </c>
      <c r="D111" s="6">
        <v>20902</v>
      </c>
      <c r="E111" s="6" t="s">
        <v>53</v>
      </c>
      <c r="F111" s="6" t="s">
        <v>590</v>
      </c>
      <c r="G111" s="6"/>
    </row>
    <row r="112" spans="2:7">
      <c r="B112" s="6">
        <v>30262</v>
      </c>
      <c r="C112" s="6" t="s">
        <v>85</v>
      </c>
      <c r="D112" s="6">
        <v>20500</v>
      </c>
      <c r="E112" s="6" t="s">
        <v>31</v>
      </c>
      <c r="F112" s="6" t="s">
        <v>350</v>
      </c>
      <c r="G112" s="6"/>
    </row>
    <row r="113" spans="2:7">
      <c r="B113" s="6">
        <v>30262</v>
      </c>
      <c r="C113" s="6" t="s">
        <v>85</v>
      </c>
      <c r="D113" s="6">
        <v>20702</v>
      </c>
      <c r="E113" s="6" t="s">
        <v>44</v>
      </c>
      <c r="F113" s="6" t="s">
        <v>381</v>
      </c>
      <c r="G113" s="6"/>
    </row>
    <row r="114" spans="2:7">
      <c r="B114" s="6">
        <v>30262</v>
      </c>
      <c r="C114" s="6" t="s">
        <v>85</v>
      </c>
      <c r="D114" s="6">
        <v>20902</v>
      </c>
      <c r="E114" s="6" t="s">
        <v>53</v>
      </c>
      <c r="F114" s="6" t="s">
        <v>411</v>
      </c>
      <c r="G114" s="6" t="s">
        <v>1345</v>
      </c>
    </row>
    <row r="115" spans="2:7">
      <c r="B115" s="6">
        <v>30311</v>
      </c>
      <c r="C115" s="6" t="s">
        <v>86</v>
      </c>
      <c r="D115" s="6">
        <v>20500</v>
      </c>
      <c r="E115" s="6" t="s">
        <v>31</v>
      </c>
      <c r="F115" s="6" t="s">
        <v>326</v>
      </c>
      <c r="G115" s="6" t="s">
        <v>423</v>
      </c>
    </row>
    <row r="116" spans="2:7">
      <c r="B116" s="6">
        <v>30311</v>
      </c>
      <c r="C116" s="6" t="s">
        <v>86</v>
      </c>
      <c r="D116" s="6">
        <v>20706</v>
      </c>
      <c r="E116" s="6" t="s">
        <v>52</v>
      </c>
      <c r="F116" s="6" t="s">
        <v>432</v>
      </c>
      <c r="G116" s="6"/>
    </row>
    <row r="117" spans="2:7">
      <c r="B117" s="6">
        <v>30311</v>
      </c>
      <c r="C117" s="6" t="s">
        <v>86</v>
      </c>
      <c r="D117" s="6">
        <v>20902</v>
      </c>
      <c r="E117" s="6" t="s">
        <v>53</v>
      </c>
      <c r="F117" s="6" t="s">
        <v>549</v>
      </c>
      <c r="G117" s="6"/>
    </row>
    <row r="118" spans="2:7">
      <c r="B118" s="6">
        <v>30376</v>
      </c>
      <c r="C118" s="6" t="s">
        <v>1076</v>
      </c>
      <c r="D118" s="6">
        <v>20702</v>
      </c>
      <c r="E118" s="6" t="s">
        <v>44</v>
      </c>
      <c r="F118" s="6" t="s">
        <v>347</v>
      </c>
      <c r="G118" s="6"/>
    </row>
    <row r="119" spans="2:7">
      <c r="B119" s="6">
        <v>30376</v>
      </c>
      <c r="C119" s="6" t="s">
        <v>1076</v>
      </c>
      <c r="D119" s="6">
        <v>20902</v>
      </c>
      <c r="E119" s="6" t="s">
        <v>53</v>
      </c>
      <c r="F119" s="6" t="s">
        <v>1346</v>
      </c>
      <c r="G119" s="6"/>
    </row>
    <row r="120" spans="2:7">
      <c r="B120" s="6">
        <v>30458</v>
      </c>
      <c r="C120" s="6" t="s">
        <v>87</v>
      </c>
      <c r="D120" s="6">
        <v>20500</v>
      </c>
      <c r="E120" s="6" t="s">
        <v>31</v>
      </c>
      <c r="F120" s="6" t="s">
        <v>1347</v>
      </c>
      <c r="G120" s="6" t="s">
        <v>326</v>
      </c>
    </row>
    <row r="121" spans="2:7">
      <c r="B121" s="6">
        <v>30458</v>
      </c>
      <c r="C121" s="6" t="s">
        <v>87</v>
      </c>
      <c r="D121" s="6">
        <v>20706</v>
      </c>
      <c r="E121" s="6" t="s">
        <v>52</v>
      </c>
      <c r="F121" s="6" t="s">
        <v>432</v>
      </c>
      <c r="G121" s="6" t="s">
        <v>410</v>
      </c>
    </row>
    <row r="122" spans="2:7">
      <c r="B122" s="6">
        <v>30458</v>
      </c>
      <c r="C122" s="6" t="s">
        <v>87</v>
      </c>
      <c r="D122" s="6">
        <v>20902</v>
      </c>
      <c r="E122" s="6" t="s">
        <v>53</v>
      </c>
      <c r="F122" s="6" t="s">
        <v>1348</v>
      </c>
      <c r="G122" s="6" t="s">
        <v>770</v>
      </c>
    </row>
    <row r="123" spans="2:7">
      <c r="B123" s="6">
        <v>30459</v>
      </c>
      <c r="C123" s="6" t="s">
        <v>88</v>
      </c>
      <c r="D123" s="6">
        <v>20500</v>
      </c>
      <c r="E123" s="6" t="s">
        <v>31</v>
      </c>
      <c r="F123" s="6" t="s">
        <v>350</v>
      </c>
      <c r="G123" s="6"/>
    </row>
    <row r="124" spans="2:7">
      <c r="B124" s="6">
        <v>30459</v>
      </c>
      <c r="C124" s="6" t="s">
        <v>88</v>
      </c>
      <c r="D124" s="6">
        <v>20706</v>
      </c>
      <c r="E124" s="6" t="s">
        <v>52</v>
      </c>
      <c r="F124" s="6" t="s">
        <v>432</v>
      </c>
      <c r="G124" s="6" t="s">
        <v>410</v>
      </c>
    </row>
    <row r="125" spans="2:7">
      <c r="B125" s="6">
        <v>30459</v>
      </c>
      <c r="C125" s="6" t="s">
        <v>88</v>
      </c>
      <c r="D125" s="6">
        <v>20902</v>
      </c>
      <c r="E125" s="6" t="s">
        <v>53</v>
      </c>
      <c r="F125" s="6" t="s">
        <v>538</v>
      </c>
      <c r="G125" s="6"/>
    </row>
    <row r="126" spans="2:7">
      <c r="B126" s="6">
        <v>30460</v>
      </c>
      <c r="C126" s="6" t="s">
        <v>89</v>
      </c>
      <c r="D126" s="6">
        <v>20500</v>
      </c>
      <c r="E126" s="6" t="s">
        <v>31</v>
      </c>
      <c r="F126" s="6" t="s">
        <v>326</v>
      </c>
      <c r="G126" s="6" t="s">
        <v>350</v>
      </c>
    </row>
    <row r="127" spans="2:7">
      <c r="B127" s="6">
        <v>30460</v>
      </c>
      <c r="C127" s="6" t="s">
        <v>89</v>
      </c>
      <c r="D127" s="6">
        <v>20706</v>
      </c>
      <c r="E127" s="6" t="s">
        <v>52</v>
      </c>
      <c r="F127" s="6" t="s">
        <v>432</v>
      </c>
      <c r="G127" s="6" t="s">
        <v>410</v>
      </c>
    </row>
    <row r="128" spans="2:7">
      <c r="B128" s="6">
        <v>30460</v>
      </c>
      <c r="C128" s="6" t="s">
        <v>89</v>
      </c>
      <c r="D128" s="6">
        <v>20902</v>
      </c>
      <c r="E128" s="6" t="s">
        <v>53</v>
      </c>
      <c r="F128" s="6" t="s">
        <v>1349</v>
      </c>
      <c r="G128" s="6" t="s">
        <v>761</v>
      </c>
    </row>
    <row r="129" spans="2:7">
      <c r="B129" s="6">
        <v>30461</v>
      </c>
      <c r="C129" s="6" t="s">
        <v>90</v>
      </c>
      <c r="D129" s="6">
        <v>20500</v>
      </c>
      <c r="E129" s="6" t="s">
        <v>31</v>
      </c>
      <c r="F129" s="6" t="s">
        <v>326</v>
      </c>
      <c r="G129" s="6" t="s">
        <v>350</v>
      </c>
    </row>
    <row r="130" spans="2:7">
      <c r="B130" s="6">
        <v>30461</v>
      </c>
      <c r="C130" s="6" t="s">
        <v>90</v>
      </c>
      <c r="D130" s="6">
        <v>20702</v>
      </c>
      <c r="E130" s="6" t="s">
        <v>44</v>
      </c>
      <c r="F130" s="6" t="s">
        <v>381</v>
      </c>
      <c r="G130" s="6"/>
    </row>
    <row r="131" spans="2:7">
      <c r="B131" s="6">
        <v>30461</v>
      </c>
      <c r="C131" s="6" t="s">
        <v>90</v>
      </c>
      <c r="D131" s="6">
        <v>20902</v>
      </c>
      <c r="E131" s="6" t="s">
        <v>53</v>
      </c>
      <c r="F131" s="6" t="s">
        <v>1350</v>
      </c>
      <c r="G131" s="6" t="s">
        <v>518</v>
      </c>
    </row>
    <row r="132" spans="2:7">
      <c r="B132" s="6">
        <v>30462</v>
      </c>
      <c r="C132" s="6" t="s">
        <v>91</v>
      </c>
      <c r="D132" s="6">
        <v>20500</v>
      </c>
      <c r="E132" s="6" t="s">
        <v>31</v>
      </c>
      <c r="F132" s="6" t="s">
        <v>326</v>
      </c>
      <c r="G132" s="6" t="s">
        <v>350</v>
      </c>
    </row>
    <row r="133" spans="2:7">
      <c r="B133" s="6">
        <v>30462</v>
      </c>
      <c r="C133" s="6" t="s">
        <v>91</v>
      </c>
      <c r="D133" s="6">
        <v>20702</v>
      </c>
      <c r="E133" s="6" t="s">
        <v>44</v>
      </c>
      <c r="F133" s="6" t="s">
        <v>381</v>
      </c>
      <c r="G133" s="6"/>
    </row>
    <row r="134" spans="2:7">
      <c r="B134" s="6">
        <v>30462</v>
      </c>
      <c r="C134" s="6" t="s">
        <v>91</v>
      </c>
      <c r="D134" s="6">
        <v>20902</v>
      </c>
      <c r="E134" s="6" t="s">
        <v>53</v>
      </c>
      <c r="F134" s="6" t="s">
        <v>1351</v>
      </c>
      <c r="G134" s="6" t="s">
        <v>578</v>
      </c>
    </row>
    <row r="135" spans="2:7">
      <c r="B135" s="6">
        <v>30463</v>
      </c>
      <c r="C135" s="6" t="s">
        <v>92</v>
      </c>
      <c r="D135" s="6">
        <v>20500</v>
      </c>
      <c r="E135" s="6" t="s">
        <v>31</v>
      </c>
      <c r="F135" s="6" t="s">
        <v>350</v>
      </c>
      <c r="G135" s="6"/>
    </row>
    <row r="136" spans="2:7">
      <c r="B136" s="6">
        <v>30463</v>
      </c>
      <c r="C136" s="6" t="s">
        <v>92</v>
      </c>
      <c r="D136" s="6">
        <v>20702</v>
      </c>
      <c r="E136" s="6" t="s">
        <v>44</v>
      </c>
      <c r="F136" s="6" t="s">
        <v>381</v>
      </c>
      <c r="G136" s="6"/>
    </row>
    <row r="137" spans="2:7">
      <c r="B137" s="6">
        <v>30463</v>
      </c>
      <c r="C137" s="6" t="s">
        <v>92</v>
      </c>
      <c r="D137" s="6">
        <v>20902</v>
      </c>
      <c r="E137" s="6" t="s">
        <v>53</v>
      </c>
      <c r="F137" s="6" t="s">
        <v>544</v>
      </c>
      <c r="G137" s="6"/>
    </row>
    <row r="138" spans="2:7">
      <c r="B138" s="6">
        <v>30464</v>
      </c>
      <c r="C138" s="6" t="s">
        <v>93</v>
      </c>
      <c r="D138" s="6">
        <v>20500</v>
      </c>
      <c r="E138" s="6" t="s">
        <v>31</v>
      </c>
      <c r="F138" s="6" t="s">
        <v>326</v>
      </c>
      <c r="G138" s="6" t="s">
        <v>350</v>
      </c>
    </row>
    <row r="139" spans="2:7">
      <c r="B139" s="6">
        <v>30464</v>
      </c>
      <c r="C139" s="6" t="s">
        <v>93</v>
      </c>
      <c r="D139" s="6">
        <v>20702</v>
      </c>
      <c r="E139" s="6" t="s">
        <v>44</v>
      </c>
      <c r="F139" s="6" t="s">
        <v>381</v>
      </c>
      <c r="G139" s="6" t="s">
        <v>347</v>
      </c>
    </row>
    <row r="140" spans="2:7">
      <c r="B140" s="6">
        <v>30464</v>
      </c>
      <c r="C140" s="6" t="s">
        <v>93</v>
      </c>
      <c r="D140" s="6">
        <v>20902</v>
      </c>
      <c r="E140" s="6" t="s">
        <v>53</v>
      </c>
      <c r="F140" s="6" t="s">
        <v>451</v>
      </c>
      <c r="G140" s="6"/>
    </row>
    <row r="141" spans="2:7">
      <c r="B141" s="6">
        <v>30465</v>
      </c>
      <c r="C141" s="6" t="s">
        <v>94</v>
      </c>
      <c r="D141" s="6">
        <v>20500</v>
      </c>
      <c r="E141" s="6" t="s">
        <v>31</v>
      </c>
      <c r="F141" s="6" t="s">
        <v>326</v>
      </c>
      <c r="G141" s="6" t="s">
        <v>423</v>
      </c>
    </row>
    <row r="142" spans="2:7">
      <c r="B142" s="6">
        <v>30465</v>
      </c>
      <c r="C142" s="6" t="s">
        <v>94</v>
      </c>
      <c r="D142" s="6">
        <v>20702</v>
      </c>
      <c r="E142" s="6" t="s">
        <v>44</v>
      </c>
      <c r="F142" s="6" t="s">
        <v>381</v>
      </c>
      <c r="G142" s="6" t="s">
        <v>347</v>
      </c>
    </row>
    <row r="143" spans="2:7">
      <c r="B143" s="6">
        <v>30465</v>
      </c>
      <c r="C143" s="6" t="s">
        <v>94</v>
      </c>
      <c r="D143" s="6">
        <v>20902</v>
      </c>
      <c r="E143" s="6" t="s">
        <v>53</v>
      </c>
      <c r="F143" s="6" t="s">
        <v>597</v>
      </c>
      <c r="G143" s="6"/>
    </row>
    <row r="144" spans="2:7">
      <c r="B144" s="6">
        <v>30466</v>
      </c>
      <c r="C144" s="6" t="s">
        <v>95</v>
      </c>
      <c r="D144" s="6">
        <v>20702</v>
      </c>
      <c r="E144" s="6" t="s">
        <v>44</v>
      </c>
      <c r="F144" s="6" t="s">
        <v>381</v>
      </c>
      <c r="G144" s="6"/>
    </row>
    <row r="145" spans="2:7">
      <c r="B145" s="6">
        <v>30466</v>
      </c>
      <c r="C145" s="6" t="s">
        <v>95</v>
      </c>
      <c r="D145" s="6">
        <v>20902</v>
      </c>
      <c r="E145" s="6" t="s">
        <v>53</v>
      </c>
      <c r="F145" s="6" t="s">
        <v>1352</v>
      </c>
      <c r="G145" s="6" t="s">
        <v>1353</v>
      </c>
    </row>
    <row r="146" spans="2:7">
      <c r="B146" s="6">
        <v>30566</v>
      </c>
      <c r="C146" s="6" t="s">
        <v>388</v>
      </c>
      <c r="D146" s="6">
        <v>20902</v>
      </c>
      <c r="E146" s="6" t="s">
        <v>53</v>
      </c>
      <c r="F146" s="6" t="s">
        <v>381</v>
      </c>
      <c r="G146" s="6" t="s">
        <v>1354</v>
      </c>
    </row>
    <row r="147" spans="2:7">
      <c r="B147" s="6">
        <v>30567</v>
      </c>
      <c r="C147" s="6" t="s">
        <v>96</v>
      </c>
      <c r="D147" s="6">
        <v>20500</v>
      </c>
      <c r="E147" s="6" t="s">
        <v>31</v>
      </c>
      <c r="F147" s="6" t="s">
        <v>423</v>
      </c>
      <c r="G147" s="6"/>
    </row>
    <row r="148" spans="2:7">
      <c r="B148" s="6">
        <v>30567</v>
      </c>
      <c r="C148" s="6" t="s">
        <v>96</v>
      </c>
      <c r="D148" s="6">
        <v>20902</v>
      </c>
      <c r="E148" s="6" t="s">
        <v>53</v>
      </c>
      <c r="F148" s="6" t="s">
        <v>850</v>
      </c>
      <c r="G148" s="6"/>
    </row>
    <row r="149" spans="2:7">
      <c r="B149" s="6">
        <v>30568</v>
      </c>
      <c r="C149" s="6" t="s">
        <v>97</v>
      </c>
      <c r="D149" s="6">
        <v>20902</v>
      </c>
      <c r="E149" s="6" t="s">
        <v>53</v>
      </c>
      <c r="F149" s="6" t="s">
        <v>387</v>
      </c>
      <c r="G149" s="6"/>
    </row>
    <row r="150" spans="2:7">
      <c r="B150" s="6">
        <v>30740</v>
      </c>
      <c r="C150" s="6" t="s">
        <v>98</v>
      </c>
      <c r="D150" s="6">
        <v>20902</v>
      </c>
      <c r="E150" s="6" t="s">
        <v>53</v>
      </c>
      <c r="F150" s="6" t="s">
        <v>394</v>
      </c>
      <c r="G150" s="6"/>
    </row>
    <row r="151" spans="2:7">
      <c r="B151" s="6">
        <v>30741</v>
      </c>
      <c r="C151" s="6" t="s">
        <v>1092</v>
      </c>
      <c r="D151" s="6">
        <v>20500</v>
      </c>
      <c r="E151" s="6" t="s">
        <v>31</v>
      </c>
      <c r="F151" s="6" t="s">
        <v>326</v>
      </c>
      <c r="G151" s="6"/>
    </row>
    <row r="152" spans="2:7">
      <c r="B152" s="6">
        <v>30741</v>
      </c>
      <c r="C152" s="6" t="s">
        <v>1092</v>
      </c>
      <c r="D152" s="6">
        <v>20702</v>
      </c>
      <c r="E152" s="6" t="s">
        <v>44</v>
      </c>
      <c r="F152" s="6" t="s">
        <v>347</v>
      </c>
      <c r="G152" s="6"/>
    </row>
    <row r="153" spans="2:7">
      <c r="B153" s="6">
        <v>30741</v>
      </c>
      <c r="C153" s="6" t="s">
        <v>1092</v>
      </c>
      <c r="D153" s="6">
        <v>20902</v>
      </c>
      <c r="E153" s="6" t="s">
        <v>53</v>
      </c>
      <c r="F153" s="6" t="s">
        <v>1355</v>
      </c>
      <c r="G153" s="6" t="s">
        <v>423</v>
      </c>
    </row>
    <row r="154" spans="2:7">
      <c r="B154" s="6">
        <v>30742</v>
      </c>
      <c r="C154" s="6" t="s">
        <v>99</v>
      </c>
      <c r="D154" s="6">
        <v>20702</v>
      </c>
      <c r="E154" s="6" t="s">
        <v>44</v>
      </c>
      <c r="F154" s="6" t="s">
        <v>347</v>
      </c>
      <c r="G154" s="6"/>
    </row>
    <row r="155" spans="2:7">
      <c r="B155" s="6">
        <v>30742</v>
      </c>
      <c r="C155" s="6" t="s">
        <v>99</v>
      </c>
      <c r="D155" s="6">
        <v>20902</v>
      </c>
      <c r="E155" s="6" t="s">
        <v>53</v>
      </c>
      <c r="F155" s="6" t="s">
        <v>385</v>
      </c>
      <c r="G155" s="6"/>
    </row>
    <row r="156" spans="2:7">
      <c r="B156" s="6">
        <v>30847</v>
      </c>
      <c r="C156" s="6" t="s">
        <v>100</v>
      </c>
      <c r="D156" s="6">
        <v>20500</v>
      </c>
      <c r="E156" s="6" t="s">
        <v>31</v>
      </c>
      <c r="F156" s="6" t="s">
        <v>326</v>
      </c>
      <c r="G156" s="6"/>
    </row>
    <row r="157" spans="2:7">
      <c r="B157" s="6">
        <v>30847</v>
      </c>
      <c r="C157" s="6" t="s">
        <v>100</v>
      </c>
      <c r="D157" s="6">
        <v>20902</v>
      </c>
      <c r="E157" s="6" t="s">
        <v>53</v>
      </c>
      <c r="F157" s="6" t="s">
        <v>783</v>
      </c>
      <c r="G157" s="6" t="s">
        <v>1356</v>
      </c>
    </row>
    <row r="158" spans="2:7">
      <c r="B158" s="6">
        <v>30863</v>
      </c>
      <c r="C158" s="6" t="s">
        <v>69</v>
      </c>
      <c r="D158" s="6">
        <v>23100</v>
      </c>
      <c r="E158" s="6" t="s">
        <v>54</v>
      </c>
      <c r="F158" s="6" t="s">
        <v>486</v>
      </c>
      <c r="G158" s="6"/>
    </row>
    <row r="159" spans="2:7">
      <c r="B159" s="6">
        <v>30863</v>
      </c>
      <c r="C159" s="6" t="s">
        <v>69</v>
      </c>
      <c r="D159" s="6">
        <v>23200</v>
      </c>
      <c r="E159" s="6" t="s">
        <v>63</v>
      </c>
      <c r="F159" s="6" t="s">
        <v>486</v>
      </c>
      <c r="G159" s="6"/>
    </row>
    <row r="160" spans="2:7">
      <c r="B160" s="6">
        <v>30888</v>
      </c>
      <c r="C160" s="6" t="s">
        <v>46</v>
      </c>
      <c r="D160" s="6">
        <v>20500</v>
      </c>
      <c r="E160" s="6" t="s">
        <v>31</v>
      </c>
      <c r="F160" s="6" t="s">
        <v>326</v>
      </c>
      <c r="G160" s="6"/>
    </row>
    <row r="161" spans="2:7">
      <c r="B161" s="6">
        <v>30888</v>
      </c>
      <c r="C161" s="6" t="s">
        <v>46</v>
      </c>
      <c r="D161" s="6">
        <v>20601</v>
      </c>
      <c r="E161" s="6" t="s">
        <v>43</v>
      </c>
      <c r="F161" s="6" t="s">
        <v>1357</v>
      </c>
      <c r="G161" s="6" t="s">
        <v>528</v>
      </c>
    </row>
    <row r="162" spans="2:7">
      <c r="B162" s="6">
        <v>30888</v>
      </c>
      <c r="C162" s="6" t="s">
        <v>46</v>
      </c>
      <c r="D162" s="6">
        <v>20704</v>
      </c>
      <c r="E162" s="6" t="s">
        <v>47</v>
      </c>
      <c r="F162" s="6" t="s">
        <v>529</v>
      </c>
      <c r="G162" s="6"/>
    </row>
    <row r="163" spans="2:7">
      <c r="B163" s="6">
        <v>31016</v>
      </c>
      <c r="C163" s="6" t="s">
        <v>101</v>
      </c>
      <c r="D163" s="6">
        <v>20902</v>
      </c>
      <c r="E163" s="6" t="s">
        <v>53</v>
      </c>
      <c r="F163" s="6" t="s">
        <v>618</v>
      </c>
      <c r="G163" s="6"/>
    </row>
    <row r="164" spans="2:7">
      <c r="B164" s="6">
        <v>31017</v>
      </c>
      <c r="C164" s="6" t="s">
        <v>102</v>
      </c>
      <c r="D164" s="6">
        <v>20902</v>
      </c>
      <c r="E164" s="6" t="s">
        <v>53</v>
      </c>
      <c r="F164" s="6" t="s">
        <v>567</v>
      </c>
      <c r="G164" s="6"/>
    </row>
    <row r="165" spans="2:7">
      <c r="B165" s="6">
        <v>31019</v>
      </c>
      <c r="C165" s="6" t="s">
        <v>103</v>
      </c>
      <c r="D165" s="6">
        <v>20500</v>
      </c>
      <c r="E165" s="6" t="s">
        <v>31</v>
      </c>
      <c r="F165" s="6" t="s">
        <v>423</v>
      </c>
      <c r="G165" s="6"/>
    </row>
    <row r="166" spans="2:7">
      <c r="B166" s="6">
        <v>31019</v>
      </c>
      <c r="C166" s="6" t="s">
        <v>103</v>
      </c>
      <c r="D166" s="6">
        <v>20702</v>
      </c>
      <c r="E166" s="6" t="s">
        <v>44</v>
      </c>
      <c r="F166" s="6" t="s">
        <v>381</v>
      </c>
      <c r="G166" s="6" t="s">
        <v>347</v>
      </c>
    </row>
    <row r="167" spans="2:7">
      <c r="B167" s="6">
        <v>31019</v>
      </c>
      <c r="C167" s="6" t="s">
        <v>103</v>
      </c>
      <c r="D167" s="6">
        <v>20902</v>
      </c>
      <c r="E167" s="6" t="s">
        <v>53</v>
      </c>
      <c r="F167" s="6" t="s">
        <v>1358</v>
      </c>
      <c r="G167" s="6" t="s">
        <v>806</v>
      </c>
    </row>
    <row r="168" spans="2:7">
      <c r="B168" s="6">
        <v>31020</v>
      </c>
      <c r="C168" s="6" t="s">
        <v>104</v>
      </c>
      <c r="D168" s="6">
        <v>20500</v>
      </c>
      <c r="E168" s="6" t="s">
        <v>31</v>
      </c>
      <c r="F168" s="6" t="s">
        <v>326</v>
      </c>
      <c r="G168" s="6" t="s">
        <v>423</v>
      </c>
    </row>
    <row r="169" spans="2:7">
      <c r="B169" s="6">
        <v>31020</v>
      </c>
      <c r="C169" s="6" t="s">
        <v>104</v>
      </c>
      <c r="D169" s="6">
        <v>20702</v>
      </c>
      <c r="E169" s="6" t="s">
        <v>44</v>
      </c>
      <c r="F169" s="6" t="s">
        <v>381</v>
      </c>
      <c r="G169" s="6" t="s">
        <v>347</v>
      </c>
    </row>
    <row r="170" spans="2:7">
      <c r="B170" s="6">
        <v>31020</v>
      </c>
      <c r="C170" s="6" t="s">
        <v>104</v>
      </c>
      <c r="D170" s="6">
        <v>20902</v>
      </c>
      <c r="E170" s="6" t="s">
        <v>53</v>
      </c>
      <c r="F170" s="6" t="s">
        <v>600</v>
      </c>
      <c r="G170" s="6"/>
    </row>
    <row r="171" spans="2:7">
      <c r="B171" s="6">
        <v>31021</v>
      </c>
      <c r="C171" s="6" t="s">
        <v>105</v>
      </c>
      <c r="D171" s="6">
        <v>20500</v>
      </c>
      <c r="E171" s="6" t="s">
        <v>31</v>
      </c>
      <c r="F171" s="6" t="s">
        <v>423</v>
      </c>
      <c r="G171" s="6"/>
    </row>
    <row r="172" spans="2:7">
      <c r="B172" s="6">
        <v>31021</v>
      </c>
      <c r="C172" s="6" t="s">
        <v>105</v>
      </c>
      <c r="D172" s="6">
        <v>20702</v>
      </c>
      <c r="E172" s="6" t="s">
        <v>44</v>
      </c>
      <c r="F172" s="6" t="s">
        <v>381</v>
      </c>
      <c r="G172" s="6" t="s">
        <v>347</v>
      </c>
    </row>
    <row r="173" spans="2:7">
      <c r="B173" s="6">
        <v>31021</v>
      </c>
      <c r="C173" s="6" t="s">
        <v>105</v>
      </c>
      <c r="D173" s="6">
        <v>20902</v>
      </c>
      <c r="E173" s="6" t="s">
        <v>53</v>
      </c>
      <c r="F173" s="6" t="s">
        <v>1359</v>
      </c>
      <c r="G173" s="6" t="s">
        <v>684</v>
      </c>
    </row>
    <row r="174" spans="2:7">
      <c r="B174" s="6">
        <v>31023</v>
      </c>
      <c r="C174" s="6" t="s">
        <v>106</v>
      </c>
      <c r="D174" s="6">
        <v>20500</v>
      </c>
      <c r="E174" s="6" t="s">
        <v>31</v>
      </c>
      <c r="F174" s="6" t="s">
        <v>423</v>
      </c>
      <c r="G174" s="6"/>
    </row>
    <row r="175" spans="2:7">
      <c r="B175" s="6">
        <v>31023</v>
      </c>
      <c r="C175" s="6" t="s">
        <v>106</v>
      </c>
      <c r="D175" s="6">
        <v>20702</v>
      </c>
      <c r="E175" s="6" t="s">
        <v>44</v>
      </c>
      <c r="F175" s="6" t="s">
        <v>381</v>
      </c>
      <c r="G175" s="6" t="s">
        <v>347</v>
      </c>
    </row>
    <row r="176" spans="2:7">
      <c r="B176" s="6">
        <v>31023</v>
      </c>
      <c r="C176" s="6" t="s">
        <v>106</v>
      </c>
      <c r="D176" s="6">
        <v>20902</v>
      </c>
      <c r="E176" s="6" t="s">
        <v>53</v>
      </c>
      <c r="F176" s="6" t="s">
        <v>390</v>
      </c>
      <c r="G176" s="6" t="s">
        <v>1360</v>
      </c>
    </row>
    <row r="177" spans="2:7">
      <c r="B177" s="6">
        <v>31024</v>
      </c>
      <c r="C177" s="6" t="s">
        <v>107</v>
      </c>
      <c r="D177" s="6">
        <v>20500</v>
      </c>
      <c r="E177" s="6" t="s">
        <v>31</v>
      </c>
      <c r="F177" s="6" t="s">
        <v>326</v>
      </c>
      <c r="G177" s="6" t="s">
        <v>423</v>
      </c>
    </row>
    <row r="178" spans="2:7">
      <c r="B178" s="6">
        <v>31024</v>
      </c>
      <c r="C178" s="6" t="s">
        <v>107</v>
      </c>
      <c r="D178" s="6">
        <v>20702</v>
      </c>
      <c r="E178" s="6" t="s">
        <v>44</v>
      </c>
      <c r="F178" s="6" t="s">
        <v>381</v>
      </c>
      <c r="G178" s="6" t="s">
        <v>347</v>
      </c>
    </row>
    <row r="179" spans="2:7">
      <c r="B179" s="6">
        <v>31024</v>
      </c>
      <c r="C179" s="6" t="s">
        <v>107</v>
      </c>
      <c r="D179" s="6">
        <v>20902</v>
      </c>
      <c r="E179" s="6" t="s">
        <v>53</v>
      </c>
      <c r="F179" s="6" t="s">
        <v>713</v>
      </c>
      <c r="G179" s="6"/>
    </row>
    <row r="180" spans="2:7">
      <c r="B180" s="6">
        <v>31025</v>
      </c>
      <c r="C180" s="6" t="s">
        <v>108</v>
      </c>
      <c r="D180" s="6">
        <v>20500</v>
      </c>
      <c r="E180" s="6" t="s">
        <v>31</v>
      </c>
      <c r="F180" s="6" t="s">
        <v>326</v>
      </c>
      <c r="G180" s="6" t="s">
        <v>423</v>
      </c>
    </row>
    <row r="181" spans="2:7">
      <c r="B181" s="6">
        <v>31025</v>
      </c>
      <c r="C181" s="6" t="s">
        <v>108</v>
      </c>
      <c r="D181" s="6">
        <v>20702</v>
      </c>
      <c r="E181" s="6" t="s">
        <v>44</v>
      </c>
      <c r="F181" s="6" t="s">
        <v>381</v>
      </c>
      <c r="G181" s="6" t="s">
        <v>347</v>
      </c>
    </row>
    <row r="182" spans="2:7">
      <c r="B182" s="6">
        <v>31025</v>
      </c>
      <c r="C182" s="6" t="s">
        <v>108</v>
      </c>
      <c r="D182" s="6">
        <v>20902</v>
      </c>
      <c r="E182" s="6" t="s">
        <v>53</v>
      </c>
      <c r="F182" s="6" t="s">
        <v>1361</v>
      </c>
      <c r="G182" s="6" t="s">
        <v>1362</v>
      </c>
    </row>
    <row r="183" spans="2:7">
      <c r="B183" s="6">
        <v>31026</v>
      </c>
      <c r="C183" s="6" t="s">
        <v>109</v>
      </c>
      <c r="D183" s="6">
        <v>20500</v>
      </c>
      <c r="E183" s="6" t="s">
        <v>31</v>
      </c>
      <c r="F183" s="6" t="s">
        <v>423</v>
      </c>
      <c r="G183" s="6"/>
    </row>
    <row r="184" spans="2:7">
      <c r="B184" s="6">
        <v>31026</v>
      </c>
      <c r="C184" s="6" t="s">
        <v>109</v>
      </c>
      <c r="D184" s="6">
        <v>20702</v>
      </c>
      <c r="E184" s="6" t="s">
        <v>44</v>
      </c>
      <c r="F184" s="6" t="s">
        <v>381</v>
      </c>
      <c r="G184" s="6"/>
    </row>
    <row r="185" spans="2:7">
      <c r="B185" s="6">
        <v>31026</v>
      </c>
      <c r="C185" s="6" t="s">
        <v>109</v>
      </c>
      <c r="D185" s="6">
        <v>20902</v>
      </c>
      <c r="E185" s="6" t="s">
        <v>53</v>
      </c>
      <c r="F185" s="6" t="s">
        <v>411</v>
      </c>
      <c r="G185" s="6" t="s">
        <v>1363</v>
      </c>
    </row>
    <row r="186" spans="2:7">
      <c r="B186" s="6">
        <v>31123</v>
      </c>
      <c r="C186" s="6" t="s">
        <v>50</v>
      </c>
      <c r="D186" s="6">
        <v>20500</v>
      </c>
      <c r="E186" s="6" t="s">
        <v>31</v>
      </c>
      <c r="F186" s="6" t="s">
        <v>326</v>
      </c>
      <c r="G186" s="6" t="s">
        <v>423</v>
      </c>
    </row>
    <row r="187" spans="2:7">
      <c r="B187" s="6">
        <v>31123</v>
      </c>
      <c r="C187" s="6" t="s">
        <v>50</v>
      </c>
      <c r="D187" s="6">
        <v>20601</v>
      </c>
      <c r="E187" s="6" t="s">
        <v>43</v>
      </c>
      <c r="F187" s="6" t="s">
        <v>1364</v>
      </c>
      <c r="G187" s="6" t="s">
        <v>803</v>
      </c>
    </row>
    <row r="188" spans="2:7">
      <c r="B188" s="6">
        <v>31123</v>
      </c>
      <c r="C188" s="6" t="s">
        <v>50</v>
      </c>
      <c r="D188" s="6">
        <v>20704</v>
      </c>
      <c r="E188" s="6" t="s">
        <v>47</v>
      </c>
      <c r="F188" s="6" t="s">
        <v>804</v>
      </c>
      <c r="G188" s="6"/>
    </row>
    <row r="189" spans="2:7">
      <c r="B189" s="6">
        <v>31216</v>
      </c>
      <c r="C189" s="6" t="s">
        <v>464</v>
      </c>
      <c r="D189" s="6">
        <v>20601</v>
      </c>
      <c r="E189" s="6" t="s">
        <v>43</v>
      </c>
      <c r="F189" s="6" t="s">
        <v>465</v>
      </c>
      <c r="G189" s="6"/>
    </row>
    <row r="190" spans="2:7">
      <c r="B190" s="6">
        <v>31217</v>
      </c>
      <c r="C190" s="6" t="s">
        <v>494</v>
      </c>
      <c r="D190" s="6">
        <v>20500</v>
      </c>
      <c r="E190" s="6" t="s">
        <v>31</v>
      </c>
      <c r="F190" s="6" t="s">
        <v>350</v>
      </c>
      <c r="G190" s="6"/>
    </row>
    <row r="191" spans="2:7">
      <c r="B191" s="6">
        <v>31217</v>
      </c>
      <c r="C191" s="6" t="s">
        <v>494</v>
      </c>
      <c r="D191" s="6">
        <v>20601</v>
      </c>
      <c r="E191" s="6" t="s">
        <v>43</v>
      </c>
      <c r="F191" s="6" t="s">
        <v>495</v>
      </c>
      <c r="G191" s="6"/>
    </row>
    <row r="192" spans="2:7">
      <c r="B192" s="6">
        <v>31243</v>
      </c>
      <c r="C192" s="6" t="s">
        <v>51</v>
      </c>
      <c r="D192" s="6">
        <v>20500</v>
      </c>
      <c r="E192" s="6" t="s">
        <v>31</v>
      </c>
      <c r="F192" s="6" t="s">
        <v>1347</v>
      </c>
      <c r="G192" s="6" t="s">
        <v>350</v>
      </c>
    </row>
    <row r="193" spans="2:7">
      <c r="B193" s="6">
        <v>31243</v>
      </c>
      <c r="C193" s="6" t="s">
        <v>51</v>
      </c>
      <c r="D193" s="6">
        <v>20601</v>
      </c>
      <c r="E193" s="6" t="s">
        <v>43</v>
      </c>
      <c r="F193" s="6" t="s">
        <v>1365</v>
      </c>
      <c r="G193" s="6" t="s">
        <v>571</v>
      </c>
    </row>
    <row r="194" spans="2:7">
      <c r="B194" s="6">
        <v>31243</v>
      </c>
      <c r="C194" s="6" t="s">
        <v>51</v>
      </c>
      <c r="D194" s="6">
        <v>20706</v>
      </c>
      <c r="E194" s="6" t="s">
        <v>52</v>
      </c>
      <c r="F194" s="6" t="s">
        <v>432</v>
      </c>
      <c r="G194" s="6" t="s">
        <v>410</v>
      </c>
    </row>
    <row r="195" spans="2:7">
      <c r="B195" s="6">
        <v>31244</v>
      </c>
      <c r="C195" s="6" t="s">
        <v>220</v>
      </c>
      <c r="D195" s="6">
        <v>20600</v>
      </c>
      <c r="E195" s="6" t="s">
        <v>32</v>
      </c>
      <c r="F195" s="6" t="s">
        <v>616</v>
      </c>
      <c r="G195" s="6"/>
    </row>
    <row r="196" spans="2:7">
      <c r="B196" s="6">
        <v>31332</v>
      </c>
      <c r="C196" s="6" t="s">
        <v>1019</v>
      </c>
      <c r="D196" s="6">
        <v>12400</v>
      </c>
      <c r="E196" s="6" t="s">
        <v>217</v>
      </c>
      <c r="F196" s="6" t="s">
        <v>1366</v>
      </c>
      <c r="G196" s="6"/>
    </row>
    <row r="197" spans="2:7">
      <c r="B197" s="6">
        <v>31361</v>
      </c>
      <c r="C197" s="6" t="s">
        <v>110</v>
      </c>
      <c r="D197" s="6">
        <v>20500</v>
      </c>
      <c r="E197" s="6" t="s">
        <v>31</v>
      </c>
      <c r="F197" s="6" t="s">
        <v>350</v>
      </c>
      <c r="G197" s="6" t="s">
        <v>326</v>
      </c>
    </row>
    <row r="198" spans="2:7">
      <c r="B198" s="6">
        <v>31361</v>
      </c>
      <c r="C198" s="6" t="s">
        <v>110</v>
      </c>
      <c r="D198" s="6">
        <v>20706</v>
      </c>
      <c r="E198" s="6" t="s">
        <v>52</v>
      </c>
      <c r="F198" s="6" t="s">
        <v>788</v>
      </c>
      <c r="G198" s="6" t="s">
        <v>432</v>
      </c>
    </row>
    <row r="199" spans="2:7">
      <c r="B199" s="6">
        <v>31361</v>
      </c>
      <c r="C199" s="6" t="s">
        <v>110</v>
      </c>
      <c r="D199" s="6">
        <v>20902</v>
      </c>
      <c r="E199" s="6" t="s">
        <v>53</v>
      </c>
      <c r="F199" s="6" t="s">
        <v>1367</v>
      </c>
      <c r="G199" s="6" t="s">
        <v>784</v>
      </c>
    </row>
    <row r="200" spans="2:7">
      <c r="B200" s="6">
        <v>31362</v>
      </c>
      <c r="C200" s="6" t="s">
        <v>111</v>
      </c>
      <c r="D200" s="6">
        <v>20500</v>
      </c>
      <c r="E200" s="6" t="s">
        <v>31</v>
      </c>
      <c r="F200" s="6" t="s">
        <v>326</v>
      </c>
      <c r="G200" s="6" t="s">
        <v>350</v>
      </c>
    </row>
    <row r="201" spans="2:7">
      <c r="B201" s="6">
        <v>31362</v>
      </c>
      <c r="C201" s="6" t="s">
        <v>111</v>
      </c>
      <c r="D201" s="6">
        <v>20702</v>
      </c>
      <c r="E201" s="6" t="s">
        <v>44</v>
      </c>
      <c r="F201" s="6" t="s">
        <v>381</v>
      </c>
      <c r="G201" s="6" t="s">
        <v>347</v>
      </c>
    </row>
    <row r="202" spans="2:7">
      <c r="B202" s="6">
        <v>31362</v>
      </c>
      <c r="C202" s="6" t="s">
        <v>111</v>
      </c>
      <c r="D202" s="6">
        <v>20902</v>
      </c>
      <c r="E202" s="6" t="s">
        <v>53</v>
      </c>
      <c r="F202" s="6" t="s">
        <v>478</v>
      </c>
      <c r="G202" s="6"/>
    </row>
    <row r="203" spans="2:7">
      <c r="B203" s="6">
        <v>31363</v>
      </c>
      <c r="C203" s="6" t="s">
        <v>112</v>
      </c>
      <c r="D203" s="6">
        <v>20500</v>
      </c>
      <c r="E203" s="6" t="s">
        <v>31</v>
      </c>
      <c r="F203" s="6" t="s">
        <v>350</v>
      </c>
      <c r="G203" s="6" t="s">
        <v>326</v>
      </c>
    </row>
    <row r="204" spans="2:7">
      <c r="B204" s="6">
        <v>31363</v>
      </c>
      <c r="C204" s="6" t="s">
        <v>112</v>
      </c>
      <c r="D204" s="6">
        <v>20702</v>
      </c>
      <c r="E204" s="6" t="s">
        <v>44</v>
      </c>
      <c r="F204" s="6" t="s">
        <v>347</v>
      </c>
      <c r="G204" s="6"/>
    </row>
    <row r="205" spans="2:7">
      <c r="B205" s="6">
        <v>31363</v>
      </c>
      <c r="C205" s="6" t="s">
        <v>112</v>
      </c>
      <c r="D205" s="6">
        <v>20902</v>
      </c>
      <c r="E205" s="6" t="s">
        <v>53</v>
      </c>
      <c r="F205" s="6" t="s">
        <v>1368</v>
      </c>
      <c r="G205" s="6" t="s">
        <v>344</v>
      </c>
    </row>
    <row r="206" spans="2:7">
      <c r="B206" s="6">
        <v>31380</v>
      </c>
      <c r="C206" s="6" t="s">
        <v>1096</v>
      </c>
      <c r="D206" s="6">
        <v>20902</v>
      </c>
      <c r="E206" s="6" t="s">
        <v>53</v>
      </c>
      <c r="F206" s="6" t="s">
        <v>1369</v>
      </c>
      <c r="G206" s="6" t="s">
        <v>1370</v>
      </c>
    </row>
    <row r="207" spans="2:7">
      <c r="B207" s="6">
        <v>31381</v>
      </c>
      <c r="C207" s="6" t="s">
        <v>113</v>
      </c>
      <c r="D207" s="6">
        <v>20500</v>
      </c>
      <c r="E207" s="6" t="s">
        <v>31</v>
      </c>
      <c r="F207" s="6" t="s">
        <v>326</v>
      </c>
      <c r="G207" s="6" t="s">
        <v>350</v>
      </c>
    </row>
    <row r="208" spans="2:7">
      <c r="B208" s="6">
        <v>31381</v>
      </c>
      <c r="C208" s="6" t="s">
        <v>113</v>
      </c>
      <c r="D208" s="6">
        <v>20706</v>
      </c>
      <c r="E208" s="6" t="s">
        <v>52</v>
      </c>
      <c r="F208" s="6" t="s">
        <v>731</v>
      </c>
      <c r="G208" s="6" t="s">
        <v>410</v>
      </c>
    </row>
    <row r="209" spans="2:7">
      <c r="B209" s="6">
        <v>31381</v>
      </c>
      <c r="C209" s="6" t="s">
        <v>113</v>
      </c>
      <c r="D209" s="6">
        <v>20902</v>
      </c>
      <c r="E209" s="6" t="s">
        <v>53</v>
      </c>
      <c r="F209" s="6" t="s">
        <v>731</v>
      </c>
      <c r="G209" s="6" t="s">
        <v>350</v>
      </c>
    </row>
    <row r="210" spans="2:7">
      <c r="B210" s="6">
        <v>31382</v>
      </c>
      <c r="C210" s="6" t="s">
        <v>114</v>
      </c>
      <c r="D210" s="6">
        <v>20500</v>
      </c>
      <c r="E210" s="6" t="s">
        <v>31</v>
      </c>
      <c r="F210" s="6" t="s">
        <v>350</v>
      </c>
      <c r="G210" s="6" t="s">
        <v>423</v>
      </c>
    </row>
    <row r="211" spans="2:7">
      <c r="B211" s="6">
        <v>31382</v>
      </c>
      <c r="C211" s="6" t="s">
        <v>114</v>
      </c>
      <c r="D211" s="6">
        <v>20706</v>
      </c>
      <c r="E211" s="6" t="s">
        <v>52</v>
      </c>
      <c r="F211" s="6" t="s">
        <v>410</v>
      </c>
      <c r="G211" s="6"/>
    </row>
    <row r="212" spans="2:7">
      <c r="B212" s="6">
        <v>31382</v>
      </c>
      <c r="C212" s="6" t="s">
        <v>114</v>
      </c>
      <c r="D212" s="6">
        <v>20902</v>
      </c>
      <c r="E212" s="6" t="s">
        <v>53</v>
      </c>
      <c r="F212" s="6" t="s">
        <v>504</v>
      </c>
      <c r="G212" s="6"/>
    </row>
    <row r="213" spans="2:7">
      <c r="B213" s="6">
        <v>31383</v>
      </c>
      <c r="C213" s="6" t="s">
        <v>115</v>
      </c>
      <c r="D213" s="6">
        <v>20500</v>
      </c>
      <c r="E213" s="6" t="s">
        <v>31</v>
      </c>
      <c r="F213" s="6" t="s">
        <v>1347</v>
      </c>
      <c r="G213" s="6" t="s">
        <v>326</v>
      </c>
    </row>
    <row r="214" spans="2:7">
      <c r="B214" s="6">
        <v>31383</v>
      </c>
      <c r="C214" s="6" t="s">
        <v>115</v>
      </c>
      <c r="D214" s="6">
        <v>20706</v>
      </c>
      <c r="E214" s="6" t="s">
        <v>52</v>
      </c>
      <c r="F214" s="6" t="s">
        <v>788</v>
      </c>
      <c r="G214" s="6" t="s">
        <v>432</v>
      </c>
    </row>
    <row r="215" spans="2:7">
      <c r="B215" s="6">
        <v>31383</v>
      </c>
      <c r="C215" s="6" t="s">
        <v>115</v>
      </c>
      <c r="D215" s="6">
        <v>20902</v>
      </c>
      <c r="E215" s="6" t="s">
        <v>53</v>
      </c>
      <c r="F215" s="6" t="s">
        <v>502</v>
      </c>
      <c r="G215" s="6" t="s">
        <v>1371</v>
      </c>
    </row>
    <row r="216" spans="2:7">
      <c r="B216" s="6">
        <v>31402</v>
      </c>
      <c r="C216" s="6" t="s">
        <v>116</v>
      </c>
      <c r="D216" s="6">
        <v>20902</v>
      </c>
      <c r="E216" s="6" t="s">
        <v>53</v>
      </c>
      <c r="F216" s="6" t="s">
        <v>831</v>
      </c>
      <c r="G216" s="6"/>
    </row>
    <row r="217" spans="2:7">
      <c r="B217" s="6">
        <v>31503</v>
      </c>
      <c r="C217" s="6" t="s">
        <v>117</v>
      </c>
      <c r="D217" s="6">
        <v>20500</v>
      </c>
      <c r="E217" s="6" t="s">
        <v>31</v>
      </c>
      <c r="F217" s="6" t="s">
        <v>326</v>
      </c>
      <c r="G217" s="6" t="s">
        <v>423</v>
      </c>
    </row>
    <row r="218" spans="2:7">
      <c r="B218" s="6">
        <v>31503</v>
      </c>
      <c r="C218" s="6" t="s">
        <v>117</v>
      </c>
      <c r="D218" s="6">
        <v>20706</v>
      </c>
      <c r="E218" s="6" t="s">
        <v>52</v>
      </c>
      <c r="F218" s="6" t="s">
        <v>432</v>
      </c>
      <c r="G218" s="6"/>
    </row>
    <row r="219" spans="2:7">
      <c r="B219" s="6">
        <v>31503</v>
      </c>
      <c r="C219" s="6" t="s">
        <v>117</v>
      </c>
      <c r="D219" s="6">
        <v>20902</v>
      </c>
      <c r="E219" s="6" t="s">
        <v>53</v>
      </c>
      <c r="F219" s="6" t="s">
        <v>1372</v>
      </c>
      <c r="G219" s="6" t="s">
        <v>522</v>
      </c>
    </row>
    <row r="220" spans="2:7">
      <c r="B220" s="6">
        <v>31504</v>
      </c>
      <c r="C220" s="6" t="s">
        <v>118</v>
      </c>
      <c r="D220" s="6">
        <v>20500</v>
      </c>
      <c r="E220" s="6" t="s">
        <v>31</v>
      </c>
      <c r="F220" s="6" t="s">
        <v>326</v>
      </c>
      <c r="G220" s="6"/>
    </row>
    <row r="221" spans="2:7">
      <c r="B221" s="6">
        <v>31504</v>
      </c>
      <c r="C221" s="6" t="s">
        <v>118</v>
      </c>
      <c r="D221" s="6">
        <v>20706</v>
      </c>
      <c r="E221" s="6" t="s">
        <v>52</v>
      </c>
      <c r="F221" s="6" t="s">
        <v>432</v>
      </c>
      <c r="G221" s="6"/>
    </row>
    <row r="222" spans="2:7">
      <c r="B222" s="6">
        <v>31504</v>
      </c>
      <c r="C222" s="6" t="s">
        <v>118</v>
      </c>
      <c r="D222" s="6">
        <v>20902</v>
      </c>
      <c r="E222" s="6" t="s">
        <v>53</v>
      </c>
      <c r="F222" s="6" t="s">
        <v>1373</v>
      </c>
      <c r="G222" s="6" t="s">
        <v>563</v>
      </c>
    </row>
    <row r="223" spans="2:7">
      <c r="B223" s="6">
        <v>31505</v>
      </c>
      <c r="C223" s="6" t="s">
        <v>119</v>
      </c>
      <c r="D223" s="6">
        <v>20500</v>
      </c>
      <c r="E223" s="6" t="s">
        <v>31</v>
      </c>
      <c r="F223" s="6" t="s">
        <v>326</v>
      </c>
      <c r="G223" s="6"/>
    </row>
    <row r="224" spans="2:7">
      <c r="B224" s="6">
        <v>31505</v>
      </c>
      <c r="C224" s="6" t="s">
        <v>119</v>
      </c>
      <c r="D224" s="6">
        <v>20706</v>
      </c>
      <c r="E224" s="6" t="s">
        <v>52</v>
      </c>
      <c r="F224" s="6" t="s">
        <v>432</v>
      </c>
      <c r="G224" s="6"/>
    </row>
    <row r="225" spans="2:7">
      <c r="B225" s="6">
        <v>31505</v>
      </c>
      <c r="C225" s="6" t="s">
        <v>119</v>
      </c>
      <c r="D225" s="6">
        <v>20902</v>
      </c>
      <c r="E225" s="6" t="s">
        <v>53</v>
      </c>
      <c r="F225" s="6" t="s">
        <v>608</v>
      </c>
      <c r="G225" s="6"/>
    </row>
    <row r="226" spans="2:7">
      <c r="B226" s="6">
        <v>31510</v>
      </c>
      <c r="C226" s="6" t="s">
        <v>1127</v>
      </c>
      <c r="D226" s="6">
        <v>20706</v>
      </c>
      <c r="E226" s="6" t="s">
        <v>52</v>
      </c>
      <c r="F226" s="6" t="s">
        <v>410</v>
      </c>
      <c r="G226" s="6"/>
    </row>
    <row r="227" spans="2:7">
      <c r="B227" s="6">
        <v>31510</v>
      </c>
      <c r="C227" s="6" t="s">
        <v>1127</v>
      </c>
      <c r="D227" s="6">
        <v>20902</v>
      </c>
      <c r="E227" s="6" t="s">
        <v>53</v>
      </c>
      <c r="F227" s="6" t="s">
        <v>1374</v>
      </c>
      <c r="G227" s="6"/>
    </row>
    <row r="228" spans="2:7">
      <c r="B228" s="6">
        <v>31534</v>
      </c>
      <c r="C228" s="6" t="s">
        <v>1023</v>
      </c>
      <c r="D228" s="6">
        <v>12400</v>
      </c>
      <c r="E228" s="6" t="s">
        <v>217</v>
      </c>
      <c r="F228" s="6" t="s">
        <v>848</v>
      </c>
      <c r="G228" s="6"/>
    </row>
    <row r="229" spans="2:7">
      <c r="B229" s="6">
        <v>31534</v>
      </c>
      <c r="C229" s="6" t="s">
        <v>1023</v>
      </c>
      <c r="D229" s="6">
        <v>23311</v>
      </c>
      <c r="E229" s="6" t="s">
        <v>221</v>
      </c>
      <c r="F229" s="6" t="s">
        <v>876</v>
      </c>
      <c r="G229" s="6"/>
    </row>
    <row r="230" spans="2:7">
      <c r="B230" s="6">
        <v>31539</v>
      </c>
      <c r="C230" s="6" t="s">
        <v>26</v>
      </c>
      <c r="D230" s="6">
        <v>20300</v>
      </c>
      <c r="E230" s="6" t="s">
        <v>12</v>
      </c>
      <c r="F230" s="6" t="s">
        <v>764</v>
      </c>
      <c r="G230" s="6"/>
    </row>
    <row r="231" spans="2:7">
      <c r="B231" s="6">
        <v>31539</v>
      </c>
      <c r="C231" s="6" t="s">
        <v>26</v>
      </c>
      <c r="D231" s="6">
        <v>20700</v>
      </c>
      <c r="E231" s="6" t="s">
        <v>15</v>
      </c>
      <c r="F231" s="6" t="s">
        <v>432</v>
      </c>
      <c r="G231" s="6" t="s">
        <v>808</v>
      </c>
    </row>
    <row r="232" spans="2:7">
      <c r="B232" s="6">
        <v>31540</v>
      </c>
      <c r="C232" s="6" t="s">
        <v>27</v>
      </c>
      <c r="D232" s="6">
        <v>20300</v>
      </c>
      <c r="E232" s="6" t="s">
        <v>12</v>
      </c>
      <c r="F232" s="6" t="s">
        <v>862</v>
      </c>
      <c r="G232" s="6"/>
    </row>
    <row r="233" spans="2:7">
      <c r="B233" s="6">
        <v>31540</v>
      </c>
      <c r="C233" s="6" t="s">
        <v>27</v>
      </c>
      <c r="D233" s="6">
        <v>20700</v>
      </c>
      <c r="E233" s="6" t="s">
        <v>15</v>
      </c>
      <c r="F233" s="6" t="s">
        <v>432</v>
      </c>
      <c r="G233" s="6" t="s">
        <v>808</v>
      </c>
    </row>
    <row r="234" spans="2:7">
      <c r="B234" s="6">
        <v>31541</v>
      </c>
      <c r="C234" s="6" t="s">
        <v>28</v>
      </c>
      <c r="D234" s="6">
        <v>20300</v>
      </c>
      <c r="E234" s="6" t="s">
        <v>12</v>
      </c>
      <c r="F234" s="6" t="s">
        <v>883</v>
      </c>
      <c r="G234" s="6"/>
    </row>
    <row r="235" spans="2:7">
      <c r="B235" s="6">
        <v>31541</v>
      </c>
      <c r="C235" s="6" t="s">
        <v>28</v>
      </c>
      <c r="D235" s="6">
        <v>20700</v>
      </c>
      <c r="E235" s="6" t="s">
        <v>15</v>
      </c>
      <c r="F235" s="6" t="s">
        <v>808</v>
      </c>
      <c r="G235" s="6"/>
    </row>
    <row r="236" spans="2:7">
      <c r="B236" s="6">
        <v>31567</v>
      </c>
      <c r="C236" s="6" t="s">
        <v>222</v>
      </c>
      <c r="D236" s="6">
        <v>12400</v>
      </c>
      <c r="E236" s="6" t="s">
        <v>217</v>
      </c>
      <c r="F236" s="6" t="s">
        <v>848</v>
      </c>
      <c r="G236" s="6"/>
    </row>
    <row r="237" spans="2:7">
      <c r="B237" s="6">
        <v>31591</v>
      </c>
      <c r="C237" s="6" t="s">
        <v>1048</v>
      </c>
      <c r="D237" s="6">
        <v>20902</v>
      </c>
      <c r="E237" s="6" t="s">
        <v>53</v>
      </c>
      <c r="F237" s="6" t="s">
        <v>1375</v>
      </c>
      <c r="G237" s="6"/>
    </row>
    <row r="238" spans="2:7">
      <c r="B238" s="6">
        <v>31600</v>
      </c>
      <c r="C238" s="6" t="s">
        <v>120</v>
      </c>
      <c r="D238" s="6">
        <v>20500</v>
      </c>
      <c r="E238" s="6" t="s">
        <v>31</v>
      </c>
      <c r="F238" s="6" t="s">
        <v>326</v>
      </c>
      <c r="G238" s="6"/>
    </row>
    <row r="239" spans="2:7">
      <c r="B239" s="6">
        <v>31600</v>
      </c>
      <c r="C239" s="6" t="s">
        <v>120</v>
      </c>
      <c r="D239" s="6">
        <v>20705</v>
      </c>
      <c r="E239" s="6" t="s">
        <v>59</v>
      </c>
      <c r="F239" s="6" t="s">
        <v>513</v>
      </c>
      <c r="G239" s="6" t="s">
        <v>497</v>
      </c>
    </row>
    <row r="240" spans="2:7">
      <c r="B240" s="6">
        <v>31600</v>
      </c>
      <c r="C240" s="6" t="s">
        <v>120</v>
      </c>
      <c r="D240" s="6">
        <v>20902</v>
      </c>
      <c r="E240" s="6" t="s">
        <v>53</v>
      </c>
      <c r="F240" s="6" t="s">
        <v>579</v>
      </c>
      <c r="G240" s="6"/>
    </row>
    <row r="241" spans="2:7">
      <c r="B241" s="6">
        <v>31601</v>
      </c>
      <c r="C241" s="6" t="s">
        <v>121</v>
      </c>
      <c r="D241" s="6">
        <v>20500</v>
      </c>
      <c r="E241" s="6" t="s">
        <v>31</v>
      </c>
      <c r="F241" s="6" t="s">
        <v>326</v>
      </c>
      <c r="G241" s="6"/>
    </row>
    <row r="242" spans="2:7">
      <c r="B242" s="6">
        <v>31601</v>
      </c>
      <c r="C242" s="6" t="s">
        <v>121</v>
      </c>
      <c r="D242" s="6">
        <v>20705</v>
      </c>
      <c r="E242" s="6" t="s">
        <v>59</v>
      </c>
      <c r="F242" s="6" t="s">
        <v>513</v>
      </c>
      <c r="G242" s="6" t="s">
        <v>497</v>
      </c>
    </row>
    <row r="243" spans="2:7">
      <c r="B243" s="6">
        <v>31601</v>
      </c>
      <c r="C243" s="6" t="s">
        <v>121</v>
      </c>
      <c r="D243" s="6">
        <v>20902</v>
      </c>
      <c r="E243" s="6" t="s">
        <v>53</v>
      </c>
      <c r="F243" s="6" t="s">
        <v>1376</v>
      </c>
      <c r="G243" s="6" t="s">
        <v>767</v>
      </c>
    </row>
    <row r="244" spans="2:7">
      <c r="B244" s="6">
        <v>31602</v>
      </c>
      <c r="C244" s="6" t="s">
        <v>122</v>
      </c>
      <c r="D244" s="6">
        <v>20500</v>
      </c>
      <c r="E244" s="6" t="s">
        <v>31</v>
      </c>
      <c r="F244" s="6" t="s">
        <v>326</v>
      </c>
      <c r="G244" s="6"/>
    </row>
    <row r="245" spans="2:7">
      <c r="B245" s="6">
        <v>31602</v>
      </c>
      <c r="C245" s="6" t="s">
        <v>122</v>
      </c>
      <c r="D245" s="6">
        <v>20705</v>
      </c>
      <c r="E245" s="6" t="s">
        <v>59</v>
      </c>
      <c r="F245" s="6" t="s">
        <v>513</v>
      </c>
      <c r="G245" s="6" t="s">
        <v>497</v>
      </c>
    </row>
    <row r="246" spans="2:7">
      <c r="B246" s="6">
        <v>31602</v>
      </c>
      <c r="C246" s="6" t="s">
        <v>122</v>
      </c>
      <c r="D246" s="6">
        <v>20902</v>
      </c>
      <c r="E246" s="6" t="s">
        <v>53</v>
      </c>
      <c r="F246" s="6" t="s">
        <v>733</v>
      </c>
      <c r="G246" s="6" t="s">
        <v>1377</v>
      </c>
    </row>
    <row r="247" spans="2:7">
      <c r="B247" s="6">
        <v>31651</v>
      </c>
      <c r="C247" s="6" t="s">
        <v>1128</v>
      </c>
      <c r="D247" s="6">
        <v>20500</v>
      </c>
      <c r="E247" s="6" t="s">
        <v>31</v>
      </c>
      <c r="F247" s="6" t="s">
        <v>326</v>
      </c>
      <c r="G247" s="6"/>
    </row>
    <row r="248" spans="2:7">
      <c r="B248" s="6">
        <v>31651</v>
      </c>
      <c r="C248" s="6" t="s">
        <v>1128</v>
      </c>
      <c r="D248" s="6">
        <v>20902</v>
      </c>
      <c r="E248" s="6" t="s">
        <v>53</v>
      </c>
      <c r="F248" s="6" t="s">
        <v>1378</v>
      </c>
      <c r="G248" s="6"/>
    </row>
    <row r="249" spans="2:7">
      <c r="B249" s="6">
        <v>31652</v>
      </c>
      <c r="C249" s="6" t="s">
        <v>123</v>
      </c>
      <c r="D249" s="6">
        <v>20706</v>
      </c>
      <c r="E249" s="6" t="s">
        <v>52</v>
      </c>
      <c r="F249" s="6" t="s">
        <v>432</v>
      </c>
      <c r="G249" s="6" t="s">
        <v>410</v>
      </c>
    </row>
    <row r="250" spans="2:7">
      <c r="B250" s="6">
        <v>31652</v>
      </c>
      <c r="C250" s="6" t="s">
        <v>123</v>
      </c>
      <c r="D250" s="6">
        <v>20902</v>
      </c>
      <c r="E250" s="6" t="s">
        <v>53</v>
      </c>
      <c r="F250" s="6" t="s">
        <v>510</v>
      </c>
      <c r="G250" s="6"/>
    </row>
    <row r="251" spans="2:7">
      <c r="B251" s="6">
        <v>31653</v>
      </c>
      <c r="C251" s="6" t="s">
        <v>124</v>
      </c>
      <c r="D251" s="6">
        <v>20500</v>
      </c>
      <c r="E251" s="6" t="s">
        <v>31</v>
      </c>
      <c r="F251" s="6" t="s">
        <v>326</v>
      </c>
      <c r="G251" s="6"/>
    </row>
    <row r="252" spans="2:7">
      <c r="B252" s="6">
        <v>31653</v>
      </c>
      <c r="C252" s="6" t="s">
        <v>124</v>
      </c>
      <c r="D252" s="6">
        <v>20705</v>
      </c>
      <c r="E252" s="6" t="s">
        <v>59</v>
      </c>
      <c r="F252" s="6" t="s">
        <v>513</v>
      </c>
      <c r="G252" s="6" t="s">
        <v>497</v>
      </c>
    </row>
    <row r="253" spans="2:7">
      <c r="B253" s="6">
        <v>31653</v>
      </c>
      <c r="C253" s="6" t="s">
        <v>124</v>
      </c>
      <c r="D253" s="6">
        <v>20902</v>
      </c>
      <c r="E253" s="6" t="s">
        <v>53</v>
      </c>
      <c r="F253" s="6" t="s">
        <v>512</v>
      </c>
      <c r="G253" s="6"/>
    </row>
    <row r="254" spans="2:7">
      <c r="B254" s="6">
        <v>31655</v>
      </c>
      <c r="C254" s="6" t="s">
        <v>223</v>
      </c>
      <c r="D254" s="6">
        <v>12400</v>
      </c>
      <c r="E254" s="6" t="s">
        <v>217</v>
      </c>
      <c r="F254" s="6" t="s">
        <v>888</v>
      </c>
      <c r="G254" s="6"/>
    </row>
    <row r="255" spans="2:7">
      <c r="B255" s="6">
        <v>31655</v>
      </c>
      <c r="C255" s="6" t="s">
        <v>223</v>
      </c>
      <c r="D255" s="6">
        <v>23311</v>
      </c>
      <c r="E255" s="6" t="s">
        <v>221</v>
      </c>
      <c r="F255" s="6" t="s">
        <v>876</v>
      </c>
      <c r="G255" s="6"/>
    </row>
    <row r="256" spans="2:7">
      <c r="B256" s="6">
        <v>31655</v>
      </c>
      <c r="C256" s="6" t="s">
        <v>223</v>
      </c>
      <c r="D256" s="6">
        <v>24000</v>
      </c>
      <c r="E256" s="6" t="s">
        <v>72</v>
      </c>
      <c r="F256" s="6" t="s">
        <v>1379</v>
      </c>
      <c r="G256" s="6"/>
    </row>
    <row r="257" spans="2:7">
      <c r="B257" s="6">
        <v>31686</v>
      </c>
      <c r="C257" s="6" t="s">
        <v>125</v>
      </c>
      <c r="D257" s="6">
        <v>20702</v>
      </c>
      <c r="E257" s="6" t="s">
        <v>44</v>
      </c>
      <c r="F257" s="6" t="s">
        <v>381</v>
      </c>
      <c r="G257" s="6" t="s">
        <v>347</v>
      </c>
    </row>
    <row r="258" spans="2:7">
      <c r="B258" s="6">
        <v>31686</v>
      </c>
      <c r="C258" s="6" t="s">
        <v>125</v>
      </c>
      <c r="D258" s="6">
        <v>20902</v>
      </c>
      <c r="E258" s="6" t="s">
        <v>53</v>
      </c>
      <c r="F258" s="6" t="s">
        <v>1380</v>
      </c>
      <c r="G258" s="6" t="s">
        <v>390</v>
      </c>
    </row>
    <row r="259" spans="2:7">
      <c r="B259" s="6">
        <v>31697</v>
      </c>
      <c r="C259" s="6" t="s">
        <v>1175</v>
      </c>
      <c r="D259" s="6">
        <v>21500</v>
      </c>
      <c r="E259" s="6" t="s">
        <v>1219</v>
      </c>
      <c r="F259" s="6" t="s">
        <v>1381</v>
      </c>
      <c r="G259" s="6" t="s">
        <v>1382</v>
      </c>
    </row>
    <row r="260" spans="2:7">
      <c r="B260" s="6">
        <v>31704</v>
      </c>
      <c r="C260" s="6" t="s">
        <v>225</v>
      </c>
      <c r="D260" s="6">
        <v>12400</v>
      </c>
      <c r="E260" s="6" t="s">
        <v>217</v>
      </c>
      <c r="F260" s="6" t="s">
        <v>882</v>
      </c>
      <c r="G260" s="6" t="s">
        <v>874</v>
      </c>
    </row>
    <row r="261" spans="2:7">
      <c r="B261" s="6">
        <v>31704</v>
      </c>
      <c r="C261" s="6" t="s">
        <v>225</v>
      </c>
      <c r="D261" s="6">
        <v>23311</v>
      </c>
      <c r="E261" s="6" t="s">
        <v>221</v>
      </c>
      <c r="F261" s="6" t="s">
        <v>915</v>
      </c>
      <c r="G261" s="6" t="s">
        <v>876</v>
      </c>
    </row>
    <row r="262" spans="2:7">
      <c r="B262" s="6">
        <v>31709</v>
      </c>
      <c r="C262" s="6" t="s">
        <v>126</v>
      </c>
      <c r="D262" s="6">
        <v>20500</v>
      </c>
      <c r="E262" s="6" t="s">
        <v>31</v>
      </c>
      <c r="F262" s="6" t="s">
        <v>326</v>
      </c>
      <c r="G262" s="6"/>
    </row>
    <row r="263" spans="2:7">
      <c r="B263" s="6">
        <v>31709</v>
      </c>
      <c r="C263" s="6" t="s">
        <v>126</v>
      </c>
      <c r="D263" s="6">
        <v>20705</v>
      </c>
      <c r="E263" s="6" t="s">
        <v>59</v>
      </c>
      <c r="F263" s="6" t="s">
        <v>513</v>
      </c>
      <c r="G263" s="6"/>
    </row>
    <row r="264" spans="2:7">
      <c r="B264" s="6">
        <v>31709</v>
      </c>
      <c r="C264" s="6" t="s">
        <v>126</v>
      </c>
      <c r="D264" s="6">
        <v>20902</v>
      </c>
      <c r="E264" s="6" t="s">
        <v>53</v>
      </c>
      <c r="F264" s="6" t="s">
        <v>1383</v>
      </c>
      <c r="G264" s="6" t="s">
        <v>805</v>
      </c>
    </row>
    <row r="265" spans="2:7">
      <c r="B265" s="6">
        <v>31722</v>
      </c>
      <c r="C265" s="6" t="s">
        <v>226</v>
      </c>
      <c r="D265" s="6">
        <v>12400</v>
      </c>
      <c r="E265" s="6" t="s">
        <v>217</v>
      </c>
      <c r="F265" s="6" t="s">
        <v>891</v>
      </c>
      <c r="G265" s="6" t="s">
        <v>1384</v>
      </c>
    </row>
    <row r="266" spans="2:7">
      <c r="B266" s="6">
        <v>31722</v>
      </c>
      <c r="C266" s="6" t="s">
        <v>226</v>
      </c>
      <c r="D266" s="6">
        <v>23311</v>
      </c>
      <c r="E266" s="6" t="s">
        <v>221</v>
      </c>
      <c r="F266" s="6" t="s">
        <v>876</v>
      </c>
      <c r="G266" s="6" t="s">
        <v>891</v>
      </c>
    </row>
    <row r="267" spans="2:7">
      <c r="B267" s="6">
        <v>31726</v>
      </c>
      <c r="C267" s="6" t="s">
        <v>127</v>
      </c>
      <c r="D267" s="6">
        <v>20500</v>
      </c>
      <c r="E267" s="6" t="s">
        <v>31</v>
      </c>
      <c r="F267" s="6" t="s">
        <v>423</v>
      </c>
      <c r="G267" s="6"/>
    </row>
    <row r="268" spans="2:7">
      <c r="B268" s="6">
        <v>31726</v>
      </c>
      <c r="C268" s="6" t="s">
        <v>127</v>
      </c>
      <c r="D268" s="6">
        <v>20902</v>
      </c>
      <c r="E268" s="6" t="s">
        <v>53</v>
      </c>
      <c r="F268" s="6" t="s">
        <v>541</v>
      </c>
      <c r="G268" s="6"/>
    </row>
    <row r="269" spans="2:7">
      <c r="B269" s="6">
        <v>31727</v>
      </c>
      <c r="C269" s="6" t="s">
        <v>128</v>
      </c>
      <c r="D269" s="6">
        <v>20902</v>
      </c>
      <c r="E269" s="6" t="s">
        <v>53</v>
      </c>
      <c r="F269" s="6" t="s">
        <v>615</v>
      </c>
      <c r="G269" s="6"/>
    </row>
    <row r="270" spans="2:7">
      <c r="B270" s="6">
        <v>31729</v>
      </c>
      <c r="C270" s="6" t="s">
        <v>227</v>
      </c>
      <c r="D270" s="6">
        <v>20700</v>
      </c>
      <c r="E270" s="6" t="s">
        <v>15</v>
      </c>
      <c r="F270" s="6" t="s">
        <v>432</v>
      </c>
      <c r="G270" s="6" t="s">
        <v>808</v>
      </c>
    </row>
    <row r="271" spans="2:7">
      <c r="B271" s="6">
        <v>31737</v>
      </c>
      <c r="C271" s="6" t="s">
        <v>129</v>
      </c>
      <c r="D271" s="6">
        <v>20500</v>
      </c>
      <c r="E271" s="6" t="s">
        <v>31</v>
      </c>
      <c r="F271" s="6" t="s">
        <v>326</v>
      </c>
      <c r="G271" s="6"/>
    </row>
    <row r="272" spans="2:7">
      <c r="B272" s="6">
        <v>31737</v>
      </c>
      <c r="C272" s="6" t="s">
        <v>129</v>
      </c>
      <c r="D272" s="6">
        <v>20702</v>
      </c>
      <c r="E272" s="6" t="s">
        <v>44</v>
      </c>
      <c r="F272" s="6" t="s">
        <v>381</v>
      </c>
      <c r="G272" s="6" t="s">
        <v>347</v>
      </c>
    </row>
    <row r="273" spans="2:7">
      <c r="B273" s="6">
        <v>31737</v>
      </c>
      <c r="C273" s="6" t="s">
        <v>129</v>
      </c>
      <c r="D273" s="6">
        <v>20902</v>
      </c>
      <c r="E273" s="6" t="s">
        <v>53</v>
      </c>
      <c r="F273" s="6" t="s">
        <v>664</v>
      </c>
      <c r="G273" s="6" t="s">
        <v>1385</v>
      </c>
    </row>
    <row r="274" spans="2:7">
      <c r="B274" s="6">
        <v>31738</v>
      </c>
      <c r="C274" s="6" t="s">
        <v>130</v>
      </c>
      <c r="D274" s="6">
        <v>20500</v>
      </c>
      <c r="E274" s="6" t="s">
        <v>31</v>
      </c>
      <c r="F274" s="6" t="s">
        <v>326</v>
      </c>
      <c r="G274" s="6"/>
    </row>
    <row r="275" spans="2:7">
      <c r="B275" s="6">
        <v>31738</v>
      </c>
      <c r="C275" s="6" t="s">
        <v>130</v>
      </c>
      <c r="D275" s="6">
        <v>20702</v>
      </c>
      <c r="E275" s="6" t="s">
        <v>44</v>
      </c>
      <c r="F275" s="6" t="s">
        <v>381</v>
      </c>
      <c r="G275" s="6" t="s">
        <v>347</v>
      </c>
    </row>
    <row r="276" spans="2:7">
      <c r="B276" s="6">
        <v>31738</v>
      </c>
      <c r="C276" s="6" t="s">
        <v>130</v>
      </c>
      <c r="D276" s="6">
        <v>20902</v>
      </c>
      <c r="E276" s="6" t="s">
        <v>53</v>
      </c>
      <c r="F276" s="6" t="s">
        <v>742</v>
      </c>
      <c r="G276" s="6" t="s">
        <v>1386</v>
      </c>
    </row>
    <row r="277" spans="2:7">
      <c r="B277" s="6">
        <v>31739</v>
      </c>
      <c r="C277" s="6" t="s">
        <v>131</v>
      </c>
      <c r="D277" s="6">
        <v>20500</v>
      </c>
      <c r="E277" s="6" t="s">
        <v>31</v>
      </c>
      <c r="F277" s="6" t="s">
        <v>326</v>
      </c>
      <c r="G277" s="6"/>
    </row>
    <row r="278" spans="2:7">
      <c r="B278" s="6">
        <v>31739</v>
      </c>
      <c r="C278" s="6" t="s">
        <v>131</v>
      </c>
      <c r="D278" s="6">
        <v>20702</v>
      </c>
      <c r="E278" s="6" t="s">
        <v>44</v>
      </c>
      <c r="F278" s="6" t="s">
        <v>381</v>
      </c>
      <c r="G278" s="6" t="s">
        <v>347</v>
      </c>
    </row>
    <row r="279" spans="2:7">
      <c r="B279" s="6">
        <v>31739</v>
      </c>
      <c r="C279" s="6" t="s">
        <v>131</v>
      </c>
      <c r="D279" s="6">
        <v>20902</v>
      </c>
      <c r="E279" s="6" t="s">
        <v>53</v>
      </c>
      <c r="F279" s="6" t="s">
        <v>1387</v>
      </c>
      <c r="G279" s="6" t="s">
        <v>1388</v>
      </c>
    </row>
    <row r="280" spans="2:7">
      <c r="B280" s="6">
        <v>31763</v>
      </c>
      <c r="C280" s="6" t="s">
        <v>1143</v>
      </c>
      <c r="D280" s="6">
        <v>21300</v>
      </c>
      <c r="E280" s="6" t="s">
        <v>1218</v>
      </c>
      <c r="F280" s="6" t="s">
        <v>1389</v>
      </c>
      <c r="G280" s="6" t="s">
        <v>1390</v>
      </c>
    </row>
    <row r="281" spans="2:7">
      <c r="B281" s="6">
        <v>31772</v>
      </c>
      <c r="C281" s="6" t="s">
        <v>213</v>
      </c>
      <c r="D281" s="6">
        <v>20710</v>
      </c>
      <c r="E281" s="6" t="s">
        <v>214</v>
      </c>
      <c r="F281" s="6" t="s">
        <v>851</v>
      </c>
      <c r="G281" s="6"/>
    </row>
    <row r="282" spans="2:7">
      <c r="B282" s="6">
        <v>31772</v>
      </c>
      <c r="C282" s="6" t="s">
        <v>213</v>
      </c>
      <c r="D282" s="6">
        <v>23100</v>
      </c>
      <c r="E282" s="6" t="s">
        <v>54</v>
      </c>
      <c r="F282" s="6" t="s">
        <v>330</v>
      </c>
      <c r="G282" s="6" t="s">
        <v>1391</v>
      </c>
    </row>
    <row r="283" spans="2:7">
      <c r="B283" s="6">
        <v>31773</v>
      </c>
      <c r="C283" s="6" t="s">
        <v>1392</v>
      </c>
      <c r="D283" s="6">
        <v>12400</v>
      </c>
      <c r="E283" s="6" t="s">
        <v>217</v>
      </c>
      <c r="F283" s="6" t="s">
        <v>1393</v>
      </c>
      <c r="G283" s="6"/>
    </row>
    <row r="284" spans="2:7">
      <c r="B284" s="6">
        <v>31773</v>
      </c>
      <c r="C284" s="6" t="s">
        <v>1392</v>
      </c>
      <c r="D284" s="6">
        <v>20500</v>
      </c>
      <c r="E284" s="6" t="s">
        <v>31</v>
      </c>
      <c r="F284" s="6" t="s">
        <v>1394</v>
      </c>
      <c r="G284" s="6"/>
    </row>
    <row r="285" spans="2:7">
      <c r="B285" s="6">
        <v>31773</v>
      </c>
      <c r="C285" s="6" t="s">
        <v>1392</v>
      </c>
      <c r="D285" s="6">
        <v>20902</v>
      </c>
      <c r="E285" s="6" t="s">
        <v>53</v>
      </c>
      <c r="F285" s="6" t="s">
        <v>1395</v>
      </c>
      <c r="G285" s="6"/>
    </row>
    <row r="286" spans="2:7">
      <c r="B286" s="6">
        <v>31792</v>
      </c>
      <c r="C286" s="6" t="s">
        <v>632</v>
      </c>
      <c r="D286" s="6">
        <v>20400</v>
      </c>
      <c r="E286" s="6" t="s">
        <v>34</v>
      </c>
      <c r="F286" s="6" t="s">
        <v>633</v>
      </c>
      <c r="G286" s="6"/>
    </row>
    <row r="287" spans="2:7">
      <c r="B287" s="6">
        <v>31792</v>
      </c>
      <c r="C287" s="6" t="s">
        <v>632</v>
      </c>
      <c r="D287" s="6">
        <v>20500</v>
      </c>
      <c r="E287" s="6" t="s">
        <v>31</v>
      </c>
      <c r="F287" s="6" t="s">
        <v>634</v>
      </c>
      <c r="G287" s="6"/>
    </row>
    <row r="288" spans="2:7">
      <c r="B288" s="6">
        <v>31798</v>
      </c>
      <c r="C288" s="6" t="s">
        <v>132</v>
      </c>
      <c r="D288" s="6">
        <v>20500</v>
      </c>
      <c r="E288" s="6" t="s">
        <v>31</v>
      </c>
      <c r="F288" s="6" t="s">
        <v>326</v>
      </c>
      <c r="G288" s="6"/>
    </row>
    <row r="289" spans="2:7">
      <c r="B289" s="6">
        <v>31798</v>
      </c>
      <c r="C289" s="6" t="s">
        <v>132</v>
      </c>
      <c r="D289" s="6">
        <v>20706</v>
      </c>
      <c r="E289" s="6" t="s">
        <v>52</v>
      </c>
      <c r="F289" s="6" t="s">
        <v>432</v>
      </c>
      <c r="G289" s="6" t="s">
        <v>410</v>
      </c>
    </row>
    <row r="290" spans="2:7">
      <c r="B290" s="6">
        <v>31798</v>
      </c>
      <c r="C290" s="6" t="s">
        <v>132</v>
      </c>
      <c r="D290" s="6">
        <v>20902</v>
      </c>
      <c r="E290" s="6" t="s">
        <v>53</v>
      </c>
      <c r="F290" s="6" t="s">
        <v>548</v>
      </c>
      <c r="G290" s="6"/>
    </row>
    <row r="291" spans="2:7">
      <c r="B291" s="6">
        <v>31799</v>
      </c>
      <c r="C291" s="6" t="s">
        <v>133</v>
      </c>
      <c r="D291" s="6">
        <v>20500</v>
      </c>
      <c r="E291" s="6" t="s">
        <v>31</v>
      </c>
      <c r="F291" s="6" t="s">
        <v>326</v>
      </c>
      <c r="G291" s="6"/>
    </row>
    <row r="292" spans="2:7">
      <c r="B292" s="6">
        <v>31799</v>
      </c>
      <c r="C292" s="6" t="s">
        <v>133</v>
      </c>
      <c r="D292" s="6">
        <v>20706</v>
      </c>
      <c r="E292" s="6" t="s">
        <v>52</v>
      </c>
      <c r="F292" s="6" t="s">
        <v>432</v>
      </c>
      <c r="G292" s="6"/>
    </row>
    <row r="293" spans="2:7">
      <c r="B293" s="6">
        <v>31799</v>
      </c>
      <c r="C293" s="6" t="s">
        <v>133</v>
      </c>
      <c r="D293" s="6">
        <v>20902</v>
      </c>
      <c r="E293" s="6" t="s">
        <v>53</v>
      </c>
      <c r="F293" s="6" t="s">
        <v>619</v>
      </c>
      <c r="G293" s="6"/>
    </row>
    <row r="294" spans="2:7">
      <c r="B294" s="6">
        <v>31800</v>
      </c>
      <c r="C294" s="6" t="s">
        <v>134</v>
      </c>
      <c r="D294" s="6">
        <v>20500</v>
      </c>
      <c r="E294" s="6" t="s">
        <v>31</v>
      </c>
      <c r="F294" s="6" t="s">
        <v>326</v>
      </c>
      <c r="G294" s="6"/>
    </row>
    <row r="295" spans="2:7">
      <c r="B295" s="6">
        <v>31800</v>
      </c>
      <c r="C295" s="6" t="s">
        <v>134</v>
      </c>
      <c r="D295" s="6">
        <v>20706</v>
      </c>
      <c r="E295" s="6" t="s">
        <v>52</v>
      </c>
      <c r="F295" s="6" t="s">
        <v>432</v>
      </c>
      <c r="G295" s="6" t="s">
        <v>410</v>
      </c>
    </row>
    <row r="296" spans="2:7">
      <c r="B296" s="6">
        <v>31800</v>
      </c>
      <c r="C296" s="6" t="s">
        <v>134</v>
      </c>
      <c r="D296" s="6">
        <v>20902</v>
      </c>
      <c r="E296" s="6" t="s">
        <v>53</v>
      </c>
      <c r="F296" s="6" t="s">
        <v>654</v>
      </c>
      <c r="G296" s="6"/>
    </row>
    <row r="297" spans="2:7">
      <c r="B297" s="6">
        <v>31801</v>
      </c>
      <c r="C297" s="6" t="s">
        <v>745</v>
      </c>
      <c r="D297" s="6">
        <v>20902</v>
      </c>
      <c r="E297" s="6" t="s">
        <v>53</v>
      </c>
      <c r="F297" s="6" t="s">
        <v>746</v>
      </c>
      <c r="G297" s="6"/>
    </row>
    <row r="298" spans="2:7">
      <c r="B298" s="6">
        <v>31802</v>
      </c>
      <c r="C298" s="6" t="s">
        <v>135</v>
      </c>
      <c r="D298" s="6">
        <v>20500</v>
      </c>
      <c r="E298" s="6" t="s">
        <v>31</v>
      </c>
      <c r="F298" s="6" t="s">
        <v>326</v>
      </c>
      <c r="G298" s="6"/>
    </row>
    <row r="299" spans="2:7">
      <c r="B299" s="6">
        <v>31802</v>
      </c>
      <c r="C299" s="6" t="s">
        <v>135</v>
      </c>
      <c r="D299" s="6">
        <v>20706</v>
      </c>
      <c r="E299" s="6" t="s">
        <v>52</v>
      </c>
      <c r="F299" s="6" t="s">
        <v>432</v>
      </c>
      <c r="G299" s="6"/>
    </row>
    <row r="300" spans="2:7">
      <c r="B300" s="6">
        <v>31802</v>
      </c>
      <c r="C300" s="6" t="s">
        <v>135</v>
      </c>
      <c r="D300" s="6">
        <v>20902</v>
      </c>
      <c r="E300" s="6" t="s">
        <v>53</v>
      </c>
      <c r="F300" s="6" t="s">
        <v>751</v>
      </c>
      <c r="G300" s="6"/>
    </row>
    <row r="301" spans="2:7">
      <c r="B301" s="6">
        <v>31804</v>
      </c>
      <c r="C301" s="6" t="s">
        <v>743</v>
      </c>
      <c r="D301" s="6">
        <v>20500</v>
      </c>
      <c r="E301" s="6" t="s">
        <v>31</v>
      </c>
      <c r="F301" s="6" t="s">
        <v>326</v>
      </c>
      <c r="G301" s="6"/>
    </row>
    <row r="302" spans="2:7">
      <c r="B302" s="6">
        <v>31804</v>
      </c>
      <c r="C302" s="6" t="s">
        <v>743</v>
      </c>
      <c r="D302" s="6">
        <v>20902</v>
      </c>
      <c r="E302" s="6" t="s">
        <v>53</v>
      </c>
      <c r="F302" s="6" t="s">
        <v>744</v>
      </c>
      <c r="G302" s="6"/>
    </row>
    <row r="303" spans="2:7">
      <c r="B303" s="6">
        <v>31809</v>
      </c>
      <c r="C303" s="6" t="s">
        <v>228</v>
      </c>
      <c r="D303" s="6">
        <v>12400</v>
      </c>
      <c r="E303" s="6" t="s">
        <v>217</v>
      </c>
      <c r="F303" s="6" t="s">
        <v>874</v>
      </c>
      <c r="G303" s="6"/>
    </row>
    <row r="304" spans="2:7">
      <c r="B304" s="6">
        <v>31809</v>
      </c>
      <c r="C304" s="6" t="s">
        <v>228</v>
      </c>
      <c r="D304" s="6">
        <v>20500</v>
      </c>
      <c r="E304" s="6" t="s">
        <v>31</v>
      </c>
      <c r="F304" s="6" t="s">
        <v>760</v>
      </c>
      <c r="G304" s="6"/>
    </row>
    <row r="305" spans="2:7">
      <c r="B305" s="6">
        <v>31809</v>
      </c>
      <c r="C305" s="6" t="s">
        <v>228</v>
      </c>
      <c r="D305" s="6">
        <v>20902</v>
      </c>
      <c r="E305" s="6" t="s">
        <v>53</v>
      </c>
      <c r="F305" s="6" t="s">
        <v>873</v>
      </c>
      <c r="G305" s="6"/>
    </row>
    <row r="306" spans="2:7">
      <c r="B306" s="6">
        <v>31849</v>
      </c>
      <c r="C306" s="6" t="s">
        <v>229</v>
      </c>
      <c r="D306" s="6">
        <v>12400</v>
      </c>
      <c r="E306" s="6" t="s">
        <v>217</v>
      </c>
      <c r="F306" s="6" t="s">
        <v>848</v>
      </c>
      <c r="G306" s="6"/>
    </row>
    <row r="307" spans="2:7">
      <c r="B307" s="6">
        <v>31849</v>
      </c>
      <c r="C307" s="6" t="s">
        <v>229</v>
      </c>
      <c r="D307" s="6">
        <v>20500</v>
      </c>
      <c r="E307" s="6" t="s">
        <v>31</v>
      </c>
      <c r="F307" s="6" t="s">
        <v>760</v>
      </c>
      <c r="G307" s="6"/>
    </row>
    <row r="308" spans="2:7">
      <c r="B308" s="6">
        <v>31849</v>
      </c>
      <c r="C308" s="6" t="s">
        <v>229</v>
      </c>
      <c r="D308" s="6">
        <v>20902</v>
      </c>
      <c r="E308" s="6" t="s">
        <v>53</v>
      </c>
      <c r="F308" s="6" t="s">
        <v>847</v>
      </c>
      <c r="G308" s="6"/>
    </row>
    <row r="309" spans="2:7">
      <c r="B309" s="6">
        <v>31864</v>
      </c>
      <c r="C309" s="6" t="s">
        <v>29</v>
      </c>
      <c r="D309" s="6">
        <v>20300</v>
      </c>
      <c r="E309" s="6" t="s">
        <v>12</v>
      </c>
      <c r="F309" s="6" t="s">
        <v>1396</v>
      </c>
      <c r="G309" s="6" t="s">
        <v>868</v>
      </c>
    </row>
    <row r="310" spans="2:7">
      <c r="B310" s="6">
        <v>31864</v>
      </c>
      <c r="C310" s="6" t="s">
        <v>29</v>
      </c>
      <c r="D310" s="6">
        <v>20700</v>
      </c>
      <c r="E310" s="6" t="s">
        <v>15</v>
      </c>
      <c r="F310" s="6" t="s">
        <v>808</v>
      </c>
      <c r="G310" s="6"/>
    </row>
    <row r="311" spans="2:7">
      <c r="B311" s="6">
        <v>31871</v>
      </c>
      <c r="C311" s="6" t="s">
        <v>136</v>
      </c>
      <c r="D311" s="6">
        <v>20500</v>
      </c>
      <c r="E311" s="6" t="s">
        <v>31</v>
      </c>
      <c r="F311" s="6" t="s">
        <v>326</v>
      </c>
      <c r="G311" s="6"/>
    </row>
    <row r="312" spans="2:7">
      <c r="B312" s="6">
        <v>31871</v>
      </c>
      <c r="C312" s="6" t="s">
        <v>136</v>
      </c>
      <c r="D312" s="6">
        <v>20702</v>
      </c>
      <c r="E312" s="6" t="s">
        <v>44</v>
      </c>
      <c r="F312" s="6" t="s">
        <v>381</v>
      </c>
      <c r="G312" s="6"/>
    </row>
    <row r="313" spans="2:7">
      <c r="B313" s="6">
        <v>31871</v>
      </c>
      <c r="C313" s="6" t="s">
        <v>136</v>
      </c>
      <c r="D313" s="6">
        <v>20902</v>
      </c>
      <c r="E313" s="6" t="s">
        <v>53</v>
      </c>
      <c r="F313" s="6" t="s">
        <v>673</v>
      </c>
      <c r="G313" s="6"/>
    </row>
    <row r="314" spans="2:7">
      <c r="B314" s="6">
        <v>31895</v>
      </c>
      <c r="C314" s="6" t="s">
        <v>1102</v>
      </c>
      <c r="D314" s="6">
        <v>20902</v>
      </c>
      <c r="E314" s="6" t="s">
        <v>53</v>
      </c>
      <c r="F314" s="6" t="s">
        <v>1397</v>
      </c>
      <c r="G314" s="6"/>
    </row>
    <row r="315" spans="2:7">
      <c r="B315" s="6">
        <v>31895</v>
      </c>
      <c r="C315" s="6" t="s">
        <v>1102</v>
      </c>
      <c r="D315" s="6">
        <v>23100</v>
      </c>
      <c r="E315" s="6" t="s">
        <v>54</v>
      </c>
      <c r="F315" s="6" t="s">
        <v>359</v>
      </c>
      <c r="G315" s="6"/>
    </row>
    <row r="316" spans="2:7">
      <c r="B316" s="6">
        <v>31896</v>
      </c>
      <c r="C316" s="6" t="s">
        <v>1093</v>
      </c>
      <c r="D316" s="6">
        <v>20902</v>
      </c>
      <c r="E316" s="6" t="s">
        <v>53</v>
      </c>
      <c r="F316" s="6" t="s">
        <v>1398</v>
      </c>
      <c r="G316" s="6"/>
    </row>
    <row r="317" spans="2:7">
      <c r="B317" s="6">
        <v>31896</v>
      </c>
      <c r="C317" s="6" t="s">
        <v>1093</v>
      </c>
      <c r="D317" s="6">
        <v>23100</v>
      </c>
      <c r="E317" s="6" t="s">
        <v>54</v>
      </c>
      <c r="F317" s="6" t="s">
        <v>359</v>
      </c>
      <c r="G317" s="6"/>
    </row>
    <row r="318" spans="2:7">
      <c r="B318" s="6">
        <v>31898</v>
      </c>
      <c r="C318" s="6" t="s">
        <v>55</v>
      </c>
      <c r="D318" s="6">
        <v>20702</v>
      </c>
      <c r="E318" s="6" t="s">
        <v>44</v>
      </c>
      <c r="F318" s="6" t="s">
        <v>347</v>
      </c>
      <c r="G318" s="6"/>
    </row>
    <row r="319" spans="2:7">
      <c r="B319" s="6">
        <v>31898</v>
      </c>
      <c r="C319" s="6" t="s">
        <v>55</v>
      </c>
      <c r="D319" s="6">
        <v>20902</v>
      </c>
      <c r="E319" s="6" t="s">
        <v>53</v>
      </c>
      <c r="F319" s="6" t="s">
        <v>709</v>
      </c>
      <c r="G319" s="6"/>
    </row>
    <row r="320" spans="2:7">
      <c r="B320" s="6">
        <v>31898</v>
      </c>
      <c r="C320" s="6" t="s">
        <v>55</v>
      </c>
      <c r="D320" s="6">
        <v>23100</v>
      </c>
      <c r="E320" s="6" t="s">
        <v>54</v>
      </c>
      <c r="F320" s="6" t="s">
        <v>359</v>
      </c>
      <c r="G320" s="6"/>
    </row>
    <row r="321" spans="2:7">
      <c r="B321" s="6">
        <v>31915</v>
      </c>
      <c r="C321" s="6" t="s">
        <v>856</v>
      </c>
      <c r="D321" s="6">
        <v>20600</v>
      </c>
      <c r="E321" s="6" t="s">
        <v>32</v>
      </c>
      <c r="F321" s="6" t="s">
        <v>329</v>
      </c>
      <c r="G321" s="6"/>
    </row>
    <row r="322" spans="2:7">
      <c r="B322" s="6">
        <v>31915</v>
      </c>
      <c r="C322" s="6" t="s">
        <v>856</v>
      </c>
      <c r="D322" s="6">
        <v>20601</v>
      </c>
      <c r="E322" s="6" t="s">
        <v>43</v>
      </c>
      <c r="F322" s="6" t="s">
        <v>857</v>
      </c>
      <c r="G322" s="6"/>
    </row>
    <row r="323" spans="2:7">
      <c r="B323" s="6">
        <v>31915</v>
      </c>
      <c r="C323" s="6" t="s">
        <v>856</v>
      </c>
      <c r="D323" s="6">
        <v>23100</v>
      </c>
      <c r="E323" s="6" t="s">
        <v>54</v>
      </c>
      <c r="F323" s="6" t="s">
        <v>359</v>
      </c>
      <c r="G323" s="6"/>
    </row>
    <row r="324" spans="2:7">
      <c r="B324" s="6">
        <v>31922</v>
      </c>
      <c r="C324" s="6" t="s">
        <v>137</v>
      </c>
      <c r="D324" s="6">
        <v>20902</v>
      </c>
      <c r="E324" s="6" t="s">
        <v>53</v>
      </c>
      <c r="F324" s="6" t="s">
        <v>371</v>
      </c>
      <c r="G324" s="6"/>
    </row>
    <row r="325" spans="2:7">
      <c r="B325" s="6">
        <v>31923</v>
      </c>
      <c r="C325" s="6" t="s">
        <v>1111</v>
      </c>
      <c r="D325" s="6">
        <v>20902</v>
      </c>
      <c r="E325" s="6" t="s">
        <v>53</v>
      </c>
      <c r="F325" s="6" t="s">
        <v>1399</v>
      </c>
      <c r="G325" s="6"/>
    </row>
    <row r="326" spans="2:7">
      <c r="B326" s="6">
        <v>31924</v>
      </c>
      <c r="C326" s="6" t="s">
        <v>1160</v>
      </c>
      <c r="D326" s="6">
        <v>21506</v>
      </c>
      <c r="E326" s="6" t="s">
        <v>1225</v>
      </c>
      <c r="F326" s="6" t="s">
        <v>1400</v>
      </c>
      <c r="G326" s="6"/>
    </row>
    <row r="327" spans="2:7">
      <c r="B327" s="6">
        <v>31925</v>
      </c>
      <c r="C327" s="6" t="s">
        <v>138</v>
      </c>
      <c r="D327" s="6">
        <v>20500</v>
      </c>
      <c r="E327" s="6" t="s">
        <v>31</v>
      </c>
      <c r="F327" s="6" t="s">
        <v>423</v>
      </c>
      <c r="G327" s="6"/>
    </row>
    <row r="328" spans="2:7">
      <c r="B328" s="6">
        <v>31925</v>
      </c>
      <c r="C328" s="6" t="s">
        <v>138</v>
      </c>
      <c r="D328" s="6">
        <v>20706</v>
      </c>
      <c r="E328" s="6" t="s">
        <v>52</v>
      </c>
      <c r="F328" s="6" t="s">
        <v>432</v>
      </c>
      <c r="G328" s="6"/>
    </row>
    <row r="329" spans="2:7">
      <c r="B329" s="6">
        <v>31925</v>
      </c>
      <c r="C329" s="6" t="s">
        <v>138</v>
      </c>
      <c r="D329" s="6">
        <v>20902</v>
      </c>
      <c r="E329" s="6" t="s">
        <v>53</v>
      </c>
      <c r="F329" s="6" t="s">
        <v>436</v>
      </c>
      <c r="G329" s="6"/>
    </row>
    <row r="330" spans="2:7">
      <c r="B330" s="6">
        <v>31930</v>
      </c>
      <c r="C330" s="6" t="s">
        <v>1055</v>
      </c>
      <c r="D330" s="6">
        <v>20500</v>
      </c>
      <c r="E330" s="6" t="s">
        <v>31</v>
      </c>
      <c r="F330" s="6" t="s">
        <v>423</v>
      </c>
      <c r="G330" s="6"/>
    </row>
    <row r="331" spans="2:7">
      <c r="B331" s="6">
        <v>31940</v>
      </c>
      <c r="C331" s="6" t="s">
        <v>230</v>
      </c>
      <c r="D331" s="6">
        <v>20500</v>
      </c>
      <c r="E331" s="6" t="s">
        <v>31</v>
      </c>
      <c r="F331" s="6" t="s">
        <v>321</v>
      </c>
      <c r="G331" s="6"/>
    </row>
    <row r="332" spans="2:7">
      <c r="B332" s="6">
        <v>31940</v>
      </c>
      <c r="C332" s="6" t="s">
        <v>230</v>
      </c>
      <c r="D332" s="6">
        <v>20920</v>
      </c>
      <c r="E332" s="6" t="s">
        <v>231</v>
      </c>
      <c r="F332" s="6" t="s">
        <v>362</v>
      </c>
      <c r="G332" s="6"/>
    </row>
    <row r="333" spans="2:7">
      <c r="B333" s="6">
        <v>31959</v>
      </c>
      <c r="C333" s="6" t="s">
        <v>70</v>
      </c>
      <c r="D333" s="6">
        <v>23100</v>
      </c>
      <c r="E333" s="6" t="s">
        <v>54</v>
      </c>
      <c r="F333" s="6" t="s">
        <v>359</v>
      </c>
      <c r="G333" s="6"/>
    </row>
    <row r="334" spans="2:7">
      <c r="B334" s="6">
        <v>31966</v>
      </c>
      <c r="C334" s="6" t="s">
        <v>233</v>
      </c>
      <c r="D334" s="6">
        <v>12400</v>
      </c>
      <c r="E334" s="6" t="s">
        <v>217</v>
      </c>
      <c r="F334" s="6" t="s">
        <v>469</v>
      </c>
      <c r="G334" s="6" t="s">
        <v>882</v>
      </c>
    </row>
    <row r="335" spans="2:7">
      <c r="B335" s="6">
        <v>31966</v>
      </c>
      <c r="C335" s="6" t="s">
        <v>233</v>
      </c>
      <c r="D335" s="6">
        <v>23311</v>
      </c>
      <c r="E335" s="6" t="s">
        <v>221</v>
      </c>
      <c r="F335" s="6" t="s">
        <v>876</v>
      </c>
      <c r="G335" s="6"/>
    </row>
    <row r="336" spans="2:7">
      <c r="B336" s="6">
        <v>31972</v>
      </c>
      <c r="C336" s="6" t="s">
        <v>1165</v>
      </c>
      <c r="D336" s="6">
        <v>20500</v>
      </c>
      <c r="E336" s="6" t="s">
        <v>31</v>
      </c>
      <c r="F336" s="6" t="s">
        <v>1401</v>
      </c>
      <c r="G336" s="6"/>
    </row>
    <row r="337" spans="2:7">
      <c r="B337" s="6">
        <v>31980</v>
      </c>
      <c r="C337" s="6" t="s">
        <v>56</v>
      </c>
      <c r="D337" s="6">
        <v>20500</v>
      </c>
      <c r="E337" s="6" t="s">
        <v>31</v>
      </c>
      <c r="F337" s="6" t="s">
        <v>326</v>
      </c>
      <c r="G337" s="6"/>
    </row>
    <row r="338" spans="2:7">
      <c r="B338" s="6">
        <v>31980</v>
      </c>
      <c r="C338" s="6" t="s">
        <v>56</v>
      </c>
      <c r="D338" s="6">
        <v>20702</v>
      </c>
      <c r="E338" s="6" t="s">
        <v>44</v>
      </c>
      <c r="F338" s="6" t="s">
        <v>381</v>
      </c>
      <c r="G338" s="6"/>
    </row>
    <row r="339" spans="2:7">
      <c r="B339" s="6">
        <v>31980</v>
      </c>
      <c r="C339" s="6" t="s">
        <v>56</v>
      </c>
      <c r="D339" s="6">
        <v>20902</v>
      </c>
      <c r="E339" s="6" t="s">
        <v>53</v>
      </c>
      <c r="F339" s="6" t="s">
        <v>509</v>
      </c>
      <c r="G339" s="6"/>
    </row>
    <row r="340" spans="2:7">
      <c r="B340" s="6">
        <v>31981</v>
      </c>
      <c r="C340" s="6" t="s">
        <v>57</v>
      </c>
      <c r="D340" s="6">
        <v>20902</v>
      </c>
      <c r="E340" s="6" t="s">
        <v>53</v>
      </c>
      <c r="F340" s="6" t="s">
        <v>361</v>
      </c>
      <c r="G340" s="6"/>
    </row>
    <row r="341" spans="2:7">
      <c r="B341" s="6">
        <v>31982</v>
      </c>
      <c r="C341" s="6" t="s">
        <v>1125</v>
      </c>
      <c r="D341" s="6">
        <v>23100</v>
      </c>
      <c r="E341" s="6" t="s">
        <v>54</v>
      </c>
      <c r="F341" s="6" t="s">
        <v>359</v>
      </c>
      <c r="G341" s="6"/>
    </row>
    <row r="342" spans="2:7">
      <c r="B342" s="6">
        <v>31984</v>
      </c>
      <c r="C342" s="6" t="s">
        <v>234</v>
      </c>
      <c r="D342" s="6">
        <v>12400</v>
      </c>
      <c r="E342" s="6" t="s">
        <v>217</v>
      </c>
      <c r="F342" s="6" t="s">
        <v>469</v>
      </c>
      <c r="G342" s="6"/>
    </row>
    <row r="343" spans="2:7">
      <c r="B343" s="6">
        <v>31984</v>
      </c>
      <c r="C343" s="6" t="s">
        <v>234</v>
      </c>
      <c r="D343" s="6">
        <v>20500</v>
      </c>
      <c r="E343" s="6" t="s">
        <v>31</v>
      </c>
      <c r="F343" s="6" t="s">
        <v>760</v>
      </c>
      <c r="G343" s="6"/>
    </row>
    <row r="344" spans="2:7">
      <c r="B344" s="6">
        <v>31984</v>
      </c>
      <c r="C344" s="6" t="s">
        <v>234</v>
      </c>
      <c r="D344" s="6">
        <v>20902</v>
      </c>
      <c r="E344" s="6" t="s">
        <v>53</v>
      </c>
      <c r="F344" s="6" t="s">
        <v>894</v>
      </c>
      <c r="G344" s="6"/>
    </row>
    <row r="345" spans="2:7">
      <c r="B345" s="6">
        <v>31985</v>
      </c>
      <c r="C345" s="6" t="s">
        <v>235</v>
      </c>
      <c r="D345" s="6">
        <v>12400</v>
      </c>
      <c r="E345" s="6" t="s">
        <v>217</v>
      </c>
      <c r="F345" s="6" t="s">
        <v>469</v>
      </c>
      <c r="G345" s="6" t="s">
        <v>370</v>
      </c>
    </row>
    <row r="346" spans="2:7">
      <c r="B346" s="6">
        <v>31985</v>
      </c>
      <c r="C346" s="6" t="s">
        <v>235</v>
      </c>
      <c r="D346" s="6">
        <v>20500</v>
      </c>
      <c r="E346" s="6" t="s">
        <v>31</v>
      </c>
      <c r="F346" s="6" t="s">
        <v>321</v>
      </c>
      <c r="G346" s="6"/>
    </row>
    <row r="347" spans="2:7">
      <c r="B347" s="6">
        <v>31985</v>
      </c>
      <c r="C347" s="6" t="s">
        <v>235</v>
      </c>
      <c r="D347" s="6">
        <v>20920</v>
      </c>
      <c r="E347" s="6" t="s">
        <v>231</v>
      </c>
      <c r="F347" s="6" t="s">
        <v>362</v>
      </c>
      <c r="G347" s="6"/>
    </row>
    <row r="348" spans="2:7">
      <c r="B348" s="6">
        <v>31994</v>
      </c>
      <c r="C348" s="6" t="s">
        <v>1099</v>
      </c>
      <c r="D348" s="6">
        <v>20500</v>
      </c>
      <c r="E348" s="6" t="s">
        <v>31</v>
      </c>
      <c r="F348" s="6" t="s">
        <v>326</v>
      </c>
      <c r="G348" s="6"/>
    </row>
    <row r="349" spans="2:7">
      <c r="B349" s="6">
        <v>31994</v>
      </c>
      <c r="C349" s="6" t="s">
        <v>1099</v>
      </c>
      <c r="D349" s="6">
        <v>20702</v>
      </c>
      <c r="E349" s="6" t="s">
        <v>44</v>
      </c>
      <c r="F349" s="6" t="s">
        <v>347</v>
      </c>
      <c r="G349" s="6"/>
    </row>
    <row r="350" spans="2:7">
      <c r="B350" s="6">
        <v>31994</v>
      </c>
      <c r="C350" s="6" t="s">
        <v>1099</v>
      </c>
      <c r="D350" s="6">
        <v>20902</v>
      </c>
      <c r="E350" s="6" t="s">
        <v>53</v>
      </c>
      <c r="F350" s="6" t="s">
        <v>1402</v>
      </c>
      <c r="G350" s="6"/>
    </row>
    <row r="351" spans="2:7">
      <c r="B351" s="6">
        <v>31995</v>
      </c>
      <c r="C351" s="6" t="s">
        <v>139</v>
      </c>
      <c r="D351" s="6">
        <v>20500</v>
      </c>
      <c r="E351" s="6" t="s">
        <v>31</v>
      </c>
      <c r="F351" s="6" t="s">
        <v>326</v>
      </c>
      <c r="G351" s="6"/>
    </row>
    <row r="352" spans="2:7">
      <c r="B352" s="6">
        <v>31995</v>
      </c>
      <c r="C352" s="6" t="s">
        <v>139</v>
      </c>
      <c r="D352" s="6">
        <v>20702</v>
      </c>
      <c r="E352" s="6" t="s">
        <v>44</v>
      </c>
      <c r="F352" s="6" t="s">
        <v>347</v>
      </c>
      <c r="G352" s="6"/>
    </row>
    <row r="353" spans="2:7">
      <c r="B353" s="6">
        <v>31995</v>
      </c>
      <c r="C353" s="6" t="s">
        <v>139</v>
      </c>
      <c r="D353" s="6">
        <v>20902</v>
      </c>
      <c r="E353" s="6" t="s">
        <v>53</v>
      </c>
      <c r="F353" s="6" t="s">
        <v>360</v>
      </c>
      <c r="G353" s="6"/>
    </row>
    <row r="354" spans="2:7">
      <c r="B354" s="6">
        <v>31996</v>
      </c>
      <c r="C354" s="6" t="s">
        <v>140</v>
      </c>
      <c r="D354" s="6">
        <v>20702</v>
      </c>
      <c r="E354" s="6" t="s">
        <v>44</v>
      </c>
      <c r="F354" s="6" t="s">
        <v>381</v>
      </c>
      <c r="G354" s="6"/>
    </row>
    <row r="355" spans="2:7">
      <c r="B355" s="6">
        <v>31996</v>
      </c>
      <c r="C355" s="6" t="s">
        <v>140</v>
      </c>
      <c r="D355" s="6">
        <v>20902</v>
      </c>
      <c r="E355" s="6" t="s">
        <v>53</v>
      </c>
      <c r="F355" s="6" t="s">
        <v>524</v>
      </c>
      <c r="G355" s="6"/>
    </row>
    <row r="356" spans="2:7">
      <c r="B356" s="6">
        <v>32000</v>
      </c>
      <c r="C356" s="6" t="s">
        <v>550</v>
      </c>
      <c r="D356" s="6">
        <v>20500</v>
      </c>
      <c r="E356" s="6" t="s">
        <v>31</v>
      </c>
      <c r="F356" s="6" t="s">
        <v>326</v>
      </c>
      <c r="G356" s="6"/>
    </row>
    <row r="357" spans="2:7">
      <c r="B357" s="6">
        <v>32000</v>
      </c>
      <c r="C357" s="6" t="s">
        <v>550</v>
      </c>
      <c r="D357" s="6">
        <v>20902</v>
      </c>
      <c r="E357" s="6" t="s">
        <v>53</v>
      </c>
      <c r="F357" s="6" t="s">
        <v>551</v>
      </c>
      <c r="G357" s="6"/>
    </row>
    <row r="358" spans="2:7">
      <c r="B358" s="6">
        <v>32001</v>
      </c>
      <c r="C358" s="6" t="s">
        <v>141</v>
      </c>
      <c r="D358" s="6">
        <v>20500</v>
      </c>
      <c r="E358" s="6" t="s">
        <v>31</v>
      </c>
      <c r="F358" s="6" t="s">
        <v>423</v>
      </c>
      <c r="G358" s="6"/>
    </row>
    <row r="359" spans="2:7">
      <c r="B359" s="6">
        <v>32001</v>
      </c>
      <c r="C359" s="6" t="s">
        <v>141</v>
      </c>
      <c r="D359" s="6">
        <v>20902</v>
      </c>
      <c r="E359" s="6" t="s">
        <v>53</v>
      </c>
      <c r="F359" s="6" t="s">
        <v>514</v>
      </c>
      <c r="G359" s="6"/>
    </row>
    <row r="360" spans="2:7">
      <c r="B360" s="6">
        <v>32002</v>
      </c>
      <c r="C360" s="6" t="s">
        <v>142</v>
      </c>
      <c r="D360" s="6">
        <v>20500</v>
      </c>
      <c r="E360" s="6" t="s">
        <v>31</v>
      </c>
      <c r="F360" s="6" t="s">
        <v>423</v>
      </c>
      <c r="G360" s="6"/>
    </row>
    <row r="361" spans="2:7">
      <c r="B361" s="6">
        <v>32002</v>
      </c>
      <c r="C361" s="6" t="s">
        <v>142</v>
      </c>
      <c r="D361" s="6">
        <v>20902</v>
      </c>
      <c r="E361" s="6" t="s">
        <v>53</v>
      </c>
      <c r="F361" s="6" t="s">
        <v>580</v>
      </c>
      <c r="G361" s="6"/>
    </row>
    <row r="362" spans="2:7">
      <c r="B362" s="6">
        <v>32016</v>
      </c>
      <c r="C362" s="6" t="s">
        <v>143</v>
      </c>
      <c r="D362" s="6">
        <v>20500</v>
      </c>
      <c r="E362" s="6" t="s">
        <v>31</v>
      </c>
      <c r="F362" s="6" t="s">
        <v>1347</v>
      </c>
      <c r="G362" s="6" t="s">
        <v>326</v>
      </c>
    </row>
    <row r="363" spans="2:7">
      <c r="B363" s="6">
        <v>32016</v>
      </c>
      <c r="C363" s="6" t="s">
        <v>143</v>
      </c>
      <c r="D363" s="6">
        <v>20706</v>
      </c>
      <c r="E363" s="6" t="s">
        <v>52</v>
      </c>
      <c r="F363" s="6" t="s">
        <v>432</v>
      </c>
      <c r="G363" s="6" t="s">
        <v>410</v>
      </c>
    </row>
    <row r="364" spans="2:7">
      <c r="B364" s="6">
        <v>32016</v>
      </c>
      <c r="C364" s="6" t="s">
        <v>143</v>
      </c>
      <c r="D364" s="6">
        <v>20902</v>
      </c>
      <c r="E364" s="6" t="s">
        <v>53</v>
      </c>
      <c r="F364" s="6" t="s">
        <v>1403</v>
      </c>
      <c r="G364" s="6" t="s">
        <v>1404</v>
      </c>
    </row>
    <row r="365" spans="2:7">
      <c r="B365" s="6">
        <v>32017</v>
      </c>
      <c r="C365" s="6" t="s">
        <v>144</v>
      </c>
      <c r="D365" s="6">
        <v>20500</v>
      </c>
      <c r="E365" s="6" t="s">
        <v>31</v>
      </c>
      <c r="F365" s="6" t="s">
        <v>326</v>
      </c>
      <c r="G365" s="6"/>
    </row>
    <row r="366" spans="2:7">
      <c r="B366" s="6">
        <v>32017</v>
      </c>
      <c r="C366" s="6" t="s">
        <v>144</v>
      </c>
      <c r="D366" s="6">
        <v>20902</v>
      </c>
      <c r="E366" s="6" t="s">
        <v>53</v>
      </c>
      <c r="F366" s="6" t="s">
        <v>740</v>
      </c>
      <c r="G366" s="6"/>
    </row>
    <row r="367" spans="2:7">
      <c r="B367" s="6">
        <v>32018</v>
      </c>
      <c r="C367" s="6" t="s">
        <v>145</v>
      </c>
      <c r="D367" s="6">
        <v>20500</v>
      </c>
      <c r="E367" s="6" t="s">
        <v>31</v>
      </c>
      <c r="F367" s="6" t="s">
        <v>326</v>
      </c>
      <c r="G367" s="6"/>
    </row>
    <row r="368" spans="2:7">
      <c r="B368" s="6">
        <v>32018</v>
      </c>
      <c r="C368" s="6" t="s">
        <v>145</v>
      </c>
      <c r="D368" s="6">
        <v>20706</v>
      </c>
      <c r="E368" s="6" t="s">
        <v>52</v>
      </c>
      <c r="F368" s="6" t="s">
        <v>432</v>
      </c>
      <c r="G368" s="6"/>
    </row>
    <row r="369" spans="2:7">
      <c r="B369" s="6">
        <v>32018</v>
      </c>
      <c r="C369" s="6" t="s">
        <v>145</v>
      </c>
      <c r="D369" s="6">
        <v>20902</v>
      </c>
      <c r="E369" s="6" t="s">
        <v>53</v>
      </c>
      <c r="F369" s="6" t="s">
        <v>665</v>
      </c>
      <c r="G369" s="6" t="s">
        <v>1405</v>
      </c>
    </row>
    <row r="370" spans="2:7">
      <c r="B370" s="6">
        <v>32019</v>
      </c>
      <c r="C370" s="6" t="s">
        <v>146</v>
      </c>
      <c r="D370" s="6">
        <v>20500</v>
      </c>
      <c r="E370" s="6" t="s">
        <v>31</v>
      </c>
      <c r="F370" s="6" t="s">
        <v>326</v>
      </c>
      <c r="G370" s="6"/>
    </row>
    <row r="371" spans="2:7">
      <c r="B371" s="6">
        <v>32019</v>
      </c>
      <c r="C371" s="6" t="s">
        <v>146</v>
      </c>
      <c r="D371" s="6">
        <v>20706</v>
      </c>
      <c r="E371" s="6" t="s">
        <v>52</v>
      </c>
      <c r="F371" s="6" t="s">
        <v>432</v>
      </c>
      <c r="G371" s="6" t="s">
        <v>410</v>
      </c>
    </row>
    <row r="372" spans="2:7">
      <c r="B372" s="6">
        <v>32019</v>
      </c>
      <c r="C372" s="6" t="s">
        <v>146</v>
      </c>
      <c r="D372" s="6">
        <v>20902</v>
      </c>
      <c r="E372" s="6" t="s">
        <v>53</v>
      </c>
      <c r="F372" s="6" t="s">
        <v>1406</v>
      </c>
      <c r="G372" s="6" t="s">
        <v>710</v>
      </c>
    </row>
    <row r="373" spans="2:7">
      <c r="B373" s="6">
        <v>32022</v>
      </c>
      <c r="C373" s="6" t="s">
        <v>236</v>
      </c>
      <c r="D373" s="6">
        <v>12400</v>
      </c>
      <c r="E373" s="6" t="s">
        <v>217</v>
      </c>
      <c r="F373" s="6" t="s">
        <v>338</v>
      </c>
      <c r="G373" s="6"/>
    </row>
    <row r="374" spans="2:7">
      <c r="B374" s="6">
        <v>32022</v>
      </c>
      <c r="C374" s="6" t="s">
        <v>236</v>
      </c>
      <c r="D374" s="6">
        <v>20500</v>
      </c>
      <c r="E374" s="6" t="s">
        <v>31</v>
      </c>
      <c r="F374" s="6" t="s">
        <v>760</v>
      </c>
      <c r="G374" s="6"/>
    </row>
    <row r="375" spans="2:7">
      <c r="B375" s="6">
        <v>32022</v>
      </c>
      <c r="C375" s="6" t="s">
        <v>236</v>
      </c>
      <c r="D375" s="6">
        <v>20904</v>
      </c>
      <c r="E375" s="6" t="s">
        <v>156</v>
      </c>
      <c r="F375" s="6" t="s">
        <v>759</v>
      </c>
      <c r="G375" s="6"/>
    </row>
    <row r="376" spans="2:7">
      <c r="B376" s="6">
        <v>32023</v>
      </c>
      <c r="C376" s="6" t="s">
        <v>237</v>
      </c>
      <c r="D376" s="6">
        <v>12400</v>
      </c>
      <c r="E376" s="6" t="s">
        <v>217</v>
      </c>
      <c r="F376" s="6" t="s">
        <v>899</v>
      </c>
      <c r="G376" s="6" t="s">
        <v>486</v>
      </c>
    </row>
    <row r="377" spans="2:7">
      <c r="B377" s="6">
        <v>32023</v>
      </c>
      <c r="C377" s="6" t="s">
        <v>237</v>
      </c>
      <c r="D377" s="6">
        <v>20500</v>
      </c>
      <c r="E377" s="6" t="s">
        <v>31</v>
      </c>
      <c r="F377" s="6" t="s">
        <v>876</v>
      </c>
      <c r="G377" s="6"/>
    </row>
    <row r="378" spans="2:7">
      <c r="B378" s="6">
        <v>32041</v>
      </c>
      <c r="C378" s="6" t="s">
        <v>238</v>
      </c>
      <c r="D378" s="6">
        <v>12400</v>
      </c>
      <c r="E378" s="6" t="s">
        <v>217</v>
      </c>
      <c r="F378" s="6" t="s">
        <v>338</v>
      </c>
      <c r="G378" s="6"/>
    </row>
    <row r="379" spans="2:7">
      <c r="B379" s="6">
        <v>32041</v>
      </c>
      <c r="C379" s="6" t="s">
        <v>238</v>
      </c>
      <c r="D379" s="6">
        <v>20500</v>
      </c>
      <c r="E379" s="6" t="s">
        <v>31</v>
      </c>
      <c r="F379" s="6" t="s">
        <v>876</v>
      </c>
      <c r="G379" s="6"/>
    </row>
    <row r="380" spans="2:7">
      <c r="B380" s="6">
        <v>32048</v>
      </c>
      <c r="C380" s="6" t="s">
        <v>58</v>
      </c>
      <c r="D380" s="6">
        <v>20902</v>
      </c>
      <c r="E380" s="6" t="s">
        <v>53</v>
      </c>
      <c r="F380" s="6" t="s">
        <v>595</v>
      </c>
      <c r="G380" s="6"/>
    </row>
    <row r="381" spans="2:7">
      <c r="B381" s="6">
        <v>32048</v>
      </c>
      <c r="C381" s="6" t="s">
        <v>58</v>
      </c>
      <c r="D381" s="6">
        <v>23100</v>
      </c>
      <c r="E381" s="6" t="s">
        <v>54</v>
      </c>
      <c r="F381" s="6" t="s">
        <v>359</v>
      </c>
      <c r="G381" s="6"/>
    </row>
    <row r="382" spans="2:7">
      <c r="B382" s="6">
        <v>32064</v>
      </c>
      <c r="C382" s="6" t="s">
        <v>239</v>
      </c>
      <c r="D382" s="6">
        <v>20500</v>
      </c>
      <c r="E382" s="6" t="s">
        <v>31</v>
      </c>
      <c r="F382" s="6" t="s">
        <v>1407</v>
      </c>
      <c r="G382" s="6" t="s">
        <v>1408</v>
      </c>
    </row>
    <row r="383" spans="2:7">
      <c r="B383" s="6">
        <v>32075</v>
      </c>
      <c r="C383" s="6" t="s">
        <v>1064</v>
      </c>
      <c r="D383" s="6">
        <v>20902</v>
      </c>
      <c r="E383" s="6" t="s">
        <v>53</v>
      </c>
      <c r="F383" s="6" t="s">
        <v>1409</v>
      </c>
      <c r="G383" s="6"/>
    </row>
    <row r="384" spans="2:7">
      <c r="B384" s="6">
        <v>32076</v>
      </c>
      <c r="C384" s="6" t="s">
        <v>1050</v>
      </c>
      <c r="D384" s="6">
        <v>20500</v>
      </c>
      <c r="E384" s="6" t="s">
        <v>31</v>
      </c>
      <c r="F384" s="6" t="s">
        <v>423</v>
      </c>
      <c r="G384" s="6"/>
    </row>
    <row r="385" spans="2:7">
      <c r="B385" s="6">
        <v>32076</v>
      </c>
      <c r="C385" s="6" t="s">
        <v>1050</v>
      </c>
      <c r="D385" s="6">
        <v>20713</v>
      </c>
      <c r="E385" s="6" t="s">
        <v>147</v>
      </c>
      <c r="F385" s="6" t="s">
        <v>444</v>
      </c>
      <c r="G385" s="6"/>
    </row>
    <row r="386" spans="2:7">
      <c r="B386" s="6">
        <v>32076</v>
      </c>
      <c r="C386" s="6" t="s">
        <v>1050</v>
      </c>
      <c r="D386" s="6">
        <v>20902</v>
      </c>
      <c r="E386" s="6" t="s">
        <v>53</v>
      </c>
      <c r="F386" s="6" t="s">
        <v>1410</v>
      </c>
      <c r="G386" s="6"/>
    </row>
    <row r="387" spans="2:7">
      <c r="B387" s="6">
        <v>32077</v>
      </c>
      <c r="C387" s="6" t="s">
        <v>1084</v>
      </c>
      <c r="D387" s="6">
        <v>20500</v>
      </c>
      <c r="E387" s="6" t="s">
        <v>31</v>
      </c>
      <c r="F387" s="6" t="s">
        <v>423</v>
      </c>
      <c r="G387" s="6"/>
    </row>
    <row r="388" spans="2:7">
      <c r="B388" s="6">
        <v>32077</v>
      </c>
      <c r="C388" s="6" t="s">
        <v>1084</v>
      </c>
      <c r="D388" s="6">
        <v>20713</v>
      </c>
      <c r="E388" s="6" t="s">
        <v>147</v>
      </c>
      <c r="F388" s="6" t="s">
        <v>444</v>
      </c>
      <c r="G388" s="6"/>
    </row>
    <row r="389" spans="2:7">
      <c r="B389" s="6">
        <v>32077</v>
      </c>
      <c r="C389" s="6" t="s">
        <v>1084</v>
      </c>
      <c r="D389" s="6">
        <v>20902</v>
      </c>
      <c r="E389" s="6" t="s">
        <v>53</v>
      </c>
      <c r="F389" s="6" t="s">
        <v>1411</v>
      </c>
      <c r="G389" s="6"/>
    </row>
    <row r="390" spans="2:7">
      <c r="B390" s="6">
        <v>32079</v>
      </c>
      <c r="C390" s="6" t="s">
        <v>1158</v>
      </c>
      <c r="D390" s="6">
        <v>21000</v>
      </c>
      <c r="E390" s="6" t="s">
        <v>276</v>
      </c>
      <c r="F390" s="6" t="s">
        <v>1412</v>
      </c>
      <c r="G390" s="6"/>
    </row>
    <row r="391" spans="2:7">
      <c r="B391" s="6">
        <v>32079</v>
      </c>
      <c r="C391" s="6" t="s">
        <v>1158</v>
      </c>
      <c r="D391" s="6">
        <v>23500</v>
      </c>
      <c r="E391" s="6" t="s">
        <v>37</v>
      </c>
      <c r="F391" s="6" t="s">
        <v>1413</v>
      </c>
      <c r="G391" s="6" t="s">
        <v>1412</v>
      </c>
    </row>
    <row r="392" spans="2:7">
      <c r="B392" s="6">
        <v>32089</v>
      </c>
      <c r="C392" s="6" t="s">
        <v>240</v>
      </c>
      <c r="D392" s="6">
        <v>23500</v>
      </c>
      <c r="E392" s="6" t="s">
        <v>37</v>
      </c>
      <c r="F392" s="6" t="s">
        <v>335</v>
      </c>
      <c r="G392" s="6"/>
    </row>
    <row r="393" spans="2:7">
      <c r="B393" s="6">
        <v>32090</v>
      </c>
      <c r="C393" s="6" t="s">
        <v>36</v>
      </c>
      <c r="D393" s="6">
        <v>23500</v>
      </c>
      <c r="E393" s="6" t="s">
        <v>37</v>
      </c>
      <c r="F393" s="6" t="s">
        <v>335</v>
      </c>
      <c r="G393" s="6"/>
    </row>
    <row r="394" spans="2:7">
      <c r="B394" s="6">
        <v>32105</v>
      </c>
      <c r="C394" s="6" t="s">
        <v>1008</v>
      </c>
      <c r="D394" s="6">
        <v>12400</v>
      </c>
      <c r="E394" s="6" t="s">
        <v>217</v>
      </c>
      <c r="F394" s="6" t="s">
        <v>469</v>
      </c>
      <c r="G394" s="6"/>
    </row>
    <row r="395" spans="2:7">
      <c r="B395" s="6">
        <v>32105</v>
      </c>
      <c r="C395" s="6" t="s">
        <v>1008</v>
      </c>
      <c r="D395" s="6">
        <v>20904</v>
      </c>
      <c r="E395" s="6" t="s">
        <v>156</v>
      </c>
      <c r="F395" s="6" t="s">
        <v>1414</v>
      </c>
      <c r="G395" s="6"/>
    </row>
    <row r="396" spans="2:7">
      <c r="B396" s="6">
        <v>32105</v>
      </c>
      <c r="C396" s="6" t="s">
        <v>1008</v>
      </c>
      <c r="D396" s="6">
        <v>23311</v>
      </c>
      <c r="E396" s="6" t="s">
        <v>221</v>
      </c>
      <c r="F396" s="6" t="s">
        <v>760</v>
      </c>
      <c r="G396" s="6"/>
    </row>
    <row r="397" spans="2:7">
      <c r="B397" s="6">
        <v>32108</v>
      </c>
      <c r="C397" s="6" t="s">
        <v>1122</v>
      </c>
      <c r="D397" s="6">
        <v>12400</v>
      </c>
      <c r="E397" s="6" t="s">
        <v>217</v>
      </c>
      <c r="F397" s="6" t="s">
        <v>1415</v>
      </c>
      <c r="G397" s="6"/>
    </row>
    <row r="398" spans="2:7">
      <c r="B398" s="6">
        <v>32108</v>
      </c>
      <c r="C398" s="6" t="s">
        <v>1122</v>
      </c>
      <c r="D398" s="6">
        <v>20500</v>
      </c>
      <c r="E398" s="6" t="s">
        <v>31</v>
      </c>
      <c r="F398" s="6" t="s">
        <v>370</v>
      </c>
      <c r="G398" s="6"/>
    </row>
    <row r="399" spans="2:7">
      <c r="B399" s="6">
        <v>32108</v>
      </c>
      <c r="C399" s="6" t="s">
        <v>1122</v>
      </c>
      <c r="D399" s="6">
        <v>23312</v>
      </c>
      <c r="E399" s="6" t="s">
        <v>215</v>
      </c>
      <c r="F399" s="6" t="s">
        <v>1416</v>
      </c>
      <c r="G399" s="6"/>
    </row>
    <row r="400" spans="2:7">
      <c r="B400" s="6">
        <v>32111</v>
      </c>
      <c r="C400" s="6" t="s">
        <v>241</v>
      </c>
      <c r="D400" s="6">
        <v>12400</v>
      </c>
      <c r="E400" s="6" t="s">
        <v>217</v>
      </c>
      <c r="F400" s="6" t="s">
        <v>899</v>
      </c>
      <c r="G400" s="6"/>
    </row>
    <row r="401" spans="2:7">
      <c r="B401" s="6">
        <v>32111</v>
      </c>
      <c r="C401" s="6" t="s">
        <v>241</v>
      </c>
      <c r="D401" s="6">
        <v>20904</v>
      </c>
      <c r="E401" s="6" t="s">
        <v>156</v>
      </c>
      <c r="F401" s="6" t="s">
        <v>894</v>
      </c>
      <c r="G401" s="6"/>
    </row>
    <row r="402" spans="2:7">
      <c r="B402" s="6">
        <v>32111</v>
      </c>
      <c r="C402" s="6" t="s">
        <v>241</v>
      </c>
      <c r="D402" s="6">
        <v>23311</v>
      </c>
      <c r="E402" s="6" t="s">
        <v>221</v>
      </c>
      <c r="F402" s="6" t="s">
        <v>760</v>
      </c>
      <c r="G402" s="6"/>
    </row>
    <row r="403" spans="2:7">
      <c r="B403" s="6">
        <v>32118</v>
      </c>
      <c r="C403" s="6" t="s">
        <v>148</v>
      </c>
      <c r="D403" s="6">
        <v>20902</v>
      </c>
      <c r="E403" s="6" t="s">
        <v>53</v>
      </c>
      <c r="F403" s="6" t="s">
        <v>396</v>
      </c>
      <c r="G403" s="6"/>
    </row>
    <row r="404" spans="2:7">
      <c r="B404" s="6">
        <v>32160</v>
      </c>
      <c r="C404" s="6" t="s">
        <v>462</v>
      </c>
      <c r="D404" s="6">
        <v>20902</v>
      </c>
      <c r="E404" s="6" t="s">
        <v>53</v>
      </c>
      <c r="F404" s="6" t="s">
        <v>463</v>
      </c>
      <c r="G404" s="6"/>
    </row>
    <row r="405" spans="2:7">
      <c r="B405" s="6">
        <v>32160</v>
      </c>
      <c r="C405" s="6" t="s">
        <v>462</v>
      </c>
      <c r="D405" s="6">
        <v>23100</v>
      </c>
      <c r="E405" s="6" t="s">
        <v>54</v>
      </c>
      <c r="F405" s="6" t="s">
        <v>359</v>
      </c>
      <c r="G405" s="6"/>
    </row>
    <row r="406" spans="2:7">
      <c r="B406" s="6">
        <v>32166</v>
      </c>
      <c r="C406" s="6" t="s">
        <v>149</v>
      </c>
      <c r="D406" s="6">
        <v>20500</v>
      </c>
      <c r="E406" s="6" t="s">
        <v>31</v>
      </c>
      <c r="F406" s="6" t="s">
        <v>423</v>
      </c>
      <c r="G406" s="6"/>
    </row>
    <row r="407" spans="2:7">
      <c r="B407" s="6">
        <v>32166</v>
      </c>
      <c r="C407" s="6" t="s">
        <v>149</v>
      </c>
      <c r="D407" s="6">
        <v>20902</v>
      </c>
      <c r="E407" s="6" t="s">
        <v>53</v>
      </c>
      <c r="F407" s="6" t="s">
        <v>631</v>
      </c>
      <c r="G407" s="6" t="s">
        <v>1417</v>
      </c>
    </row>
    <row r="408" spans="2:7">
      <c r="B408" s="6">
        <v>32167</v>
      </c>
      <c r="C408" s="6" t="s">
        <v>150</v>
      </c>
      <c r="D408" s="6">
        <v>20500</v>
      </c>
      <c r="E408" s="6" t="s">
        <v>31</v>
      </c>
      <c r="F408" s="6" t="s">
        <v>423</v>
      </c>
      <c r="G408" s="6"/>
    </row>
    <row r="409" spans="2:7">
      <c r="B409" s="6">
        <v>32167</v>
      </c>
      <c r="C409" s="6" t="s">
        <v>150</v>
      </c>
      <c r="D409" s="6">
        <v>20705</v>
      </c>
      <c r="E409" s="6" t="s">
        <v>59</v>
      </c>
      <c r="F409" s="6" t="s">
        <v>513</v>
      </c>
      <c r="G409" s="6" t="s">
        <v>497</v>
      </c>
    </row>
    <row r="410" spans="2:7">
      <c r="B410" s="6">
        <v>32167</v>
      </c>
      <c r="C410" s="6" t="s">
        <v>150</v>
      </c>
      <c r="D410" s="6">
        <v>20902</v>
      </c>
      <c r="E410" s="6" t="s">
        <v>53</v>
      </c>
      <c r="F410" s="6" t="s">
        <v>537</v>
      </c>
      <c r="G410" s="6"/>
    </row>
    <row r="411" spans="2:7">
      <c r="B411" s="6">
        <v>32168</v>
      </c>
      <c r="C411" s="6" t="s">
        <v>1072</v>
      </c>
      <c r="D411" s="6">
        <v>20902</v>
      </c>
      <c r="E411" s="6" t="s">
        <v>53</v>
      </c>
      <c r="F411" s="6" t="s">
        <v>1418</v>
      </c>
      <c r="G411" s="6"/>
    </row>
    <row r="412" spans="2:7">
      <c r="B412" s="6">
        <v>32169</v>
      </c>
      <c r="C412" s="6" t="s">
        <v>1056</v>
      </c>
      <c r="D412" s="6">
        <v>20500</v>
      </c>
      <c r="E412" s="6" t="s">
        <v>31</v>
      </c>
      <c r="F412" s="6" t="s">
        <v>423</v>
      </c>
      <c r="G412" s="6"/>
    </row>
    <row r="413" spans="2:7">
      <c r="B413" s="6">
        <v>32169</v>
      </c>
      <c r="C413" s="6" t="s">
        <v>1056</v>
      </c>
      <c r="D413" s="6">
        <v>20713</v>
      </c>
      <c r="E413" s="6" t="s">
        <v>147</v>
      </c>
      <c r="F413" s="6" t="s">
        <v>444</v>
      </c>
      <c r="G413" s="6"/>
    </row>
    <row r="414" spans="2:7">
      <c r="B414" s="6">
        <v>32169</v>
      </c>
      <c r="C414" s="6" t="s">
        <v>1056</v>
      </c>
      <c r="D414" s="6">
        <v>20902</v>
      </c>
      <c r="E414" s="6" t="s">
        <v>53</v>
      </c>
      <c r="F414" s="6" t="s">
        <v>1419</v>
      </c>
      <c r="G414" s="6"/>
    </row>
    <row r="415" spans="2:7">
      <c r="B415" s="6">
        <v>32170</v>
      </c>
      <c r="C415" s="6" t="s">
        <v>1045</v>
      </c>
      <c r="D415" s="6">
        <v>20500</v>
      </c>
      <c r="E415" s="6" t="s">
        <v>31</v>
      </c>
      <c r="F415" s="6" t="s">
        <v>423</v>
      </c>
      <c r="G415" s="6"/>
    </row>
    <row r="416" spans="2:7">
      <c r="B416" s="6">
        <v>32170</v>
      </c>
      <c r="C416" s="6" t="s">
        <v>1045</v>
      </c>
      <c r="D416" s="6">
        <v>20713</v>
      </c>
      <c r="E416" s="6" t="s">
        <v>147</v>
      </c>
      <c r="F416" s="6" t="s">
        <v>444</v>
      </c>
      <c r="G416" s="6"/>
    </row>
    <row r="417" spans="2:7">
      <c r="B417" s="6">
        <v>32170</v>
      </c>
      <c r="C417" s="6" t="s">
        <v>1045</v>
      </c>
      <c r="D417" s="6">
        <v>20902</v>
      </c>
      <c r="E417" s="6" t="s">
        <v>53</v>
      </c>
      <c r="F417" s="6" t="s">
        <v>1420</v>
      </c>
      <c r="G417" s="6"/>
    </row>
    <row r="418" spans="2:7">
      <c r="B418" s="6">
        <v>32172</v>
      </c>
      <c r="C418" s="6" t="s">
        <v>1123</v>
      </c>
      <c r="D418" s="6">
        <v>20713</v>
      </c>
      <c r="E418" s="6" t="s">
        <v>147</v>
      </c>
      <c r="F418" s="6" t="s">
        <v>444</v>
      </c>
      <c r="G418" s="6"/>
    </row>
    <row r="419" spans="2:7">
      <c r="B419" s="6">
        <v>32172</v>
      </c>
      <c r="C419" s="6" t="s">
        <v>1123</v>
      </c>
      <c r="D419" s="6">
        <v>20902</v>
      </c>
      <c r="E419" s="6" t="s">
        <v>53</v>
      </c>
      <c r="F419" s="6" t="s">
        <v>1421</v>
      </c>
      <c r="G419" s="6"/>
    </row>
    <row r="420" spans="2:7">
      <c r="B420" s="6">
        <v>32173</v>
      </c>
      <c r="C420" s="6" t="s">
        <v>1124</v>
      </c>
      <c r="D420" s="6">
        <v>20500</v>
      </c>
      <c r="E420" s="6" t="s">
        <v>31</v>
      </c>
      <c r="F420" s="6" t="s">
        <v>423</v>
      </c>
      <c r="G420" s="6"/>
    </row>
    <row r="421" spans="2:7">
      <c r="B421" s="6">
        <v>32173</v>
      </c>
      <c r="C421" s="6" t="s">
        <v>1124</v>
      </c>
      <c r="D421" s="6">
        <v>20902</v>
      </c>
      <c r="E421" s="6" t="s">
        <v>53</v>
      </c>
      <c r="F421" s="6" t="s">
        <v>1422</v>
      </c>
      <c r="G421" s="6"/>
    </row>
    <row r="422" spans="2:7">
      <c r="B422" s="6">
        <v>32174</v>
      </c>
      <c r="C422" s="6" t="s">
        <v>242</v>
      </c>
      <c r="D422" s="6">
        <v>12400</v>
      </c>
      <c r="E422" s="6" t="s">
        <v>217</v>
      </c>
      <c r="F422" s="6" t="s">
        <v>334</v>
      </c>
      <c r="G422" s="6"/>
    </row>
    <row r="423" spans="2:7">
      <c r="B423" s="6">
        <v>32174</v>
      </c>
      <c r="C423" s="6" t="s">
        <v>242</v>
      </c>
      <c r="D423" s="6">
        <v>20920</v>
      </c>
      <c r="E423" s="6" t="s">
        <v>231</v>
      </c>
      <c r="F423" s="6" t="s">
        <v>362</v>
      </c>
      <c r="G423" s="6"/>
    </row>
    <row r="424" spans="2:7">
      <c r="B424" s="6">
        <v>32198</v>
      </c>
      <c r="C424" s="6" t="s">
        <v>243</v>
      </c>
      <c r="D424" s="6">
        <v>12400</v>
      </c>
      <c r="E424" s="6" t="s">
        <v>217</v>
      </c>
      <c r="F424" s="6" t="s">
        <v>338</v>
      </c>
      <c r="G424" s="6"/>
    </row>
    <row r="425" spans="2:7">
      <c r="B425" s="6">
        <v>32198</v>
      </c>
      <c r="C425" s="6" t="s">
        <v>243</v>
      </c>
      <c r="D425" s="6">
        <v>23311</v>
      </c>
      <c r="E425" s="6" t="s">
        <v>221</v>
      </c>
      <c r="F425" s="6" t="s">
        <v>876</v>
      </c>
      <c r="G425" s="6"/>
    </row>
    <row r="426" spans="2:7">
      <c r="B426" s="6">
        <v>32199</v>
      </c>
      <c r="C426" s="6" t="s">
        <v>244</v>
      </c>
      <c r="D426" s="6">
        <v>12400</v>
      </c>
      <c r="E426" s="6" t="s">
        <v>217</v>
      </c>
      <c r="F426" s="6" t="s">
        <v>334</v>
      </c>
      <c r="G426" s="6"/>
    </row>
    <row r="427" spans="2:7">
      <c r="B427" s="6">
        <v>32199</v>
      </c>
      <c r="C427" s="6" t="s">
        <v>244</v>
      </c>
      <c r="D427" s="6">
        <v>20904</v>
      </c>
      <c r="E427" s="6" t="s">
        <v>156</v>
      </c>
      <c r="F427" s="6" t="s">
        <v>894</v>
      </c>
      <c r="G427" s="6"/>
    </row>
    <row r="428" spans="2:7">
      <c r="B428" s="6">
        <v>32199</v>
      </c>
      <c r="C428" s="6" t="s">
        <v>244</v>
      </c>
      <c r="D428" s="6">
        <v>23311</v>
      </c>
      <c r="E428" s="6" t="s">
        <v>221</v>
      </c>
      <c r="F428" s="6" t="s">
        <v>760</v>
      </c>
      <c r="G428" s="6"/>
    </row>
    <row r="429" spans="2:7">
      <c r="B429" s="6">
        <v>32221</v>
      </c>
      <c r="C429" s="6" t="s">
        <v>151</v>
      </c>
      <c r="D429" s="6">
        <v>20500</v>
      </c>
      <c r="E429" s="6" t="s">
        <v>31</v>
      </c>
      <c r="F429" s="6" t="s">
        <v>326</v>
      </c>
      <c r="G429" s="6" t="s">
        <v>423</v>
      </c>
    </row>
    <row r="430" spans="2:7">
      <c r="B430" s="6">
        <v>32221</v>
      </c>
      <c r="C430" s="6" t="s">
        <v>151</v>
      </c>
      <c r="D430" s="6">
        <v>20706</v>
      </c>
      <c r="E430" s="6" t="s">
        <v>52</v>
      </c>
      <c r="F430" s="6" t="s">
        <v>788</v>
      </c>
      <c r="G430" s="6" t="s">
        <v>410</v>
      </c>
    </row>
    <row r="431" spans="2:7">
      <c r="B431" s="6">
        <v>32221</v>
      </c>
      <c r="C431" s="6" t="s">
        <v>151</v>
      </c>
      <c r="D431" s="6">
        <v>20902</v>
      </c>
      <c r="E431" s="6" t="s">
        <v>53</v>
      </c>
      <c r="F431" s="6" t="s">
        <v>1423</v>
      </c>
      <c r="G431" s="6" t="s">
        <v>1424</v>
      </c>
    </row>
    <row r="432" spans="2:7">
      <c r="B432" s="6">
        <v>32222</v>
      </c>
      <c r="C432" s="6" t="s">
        <v>152</v>
      </c>
      <c r="D432" s="6">
        <v>20500</v>
      </c>
      <c r="E432" s="6" t="s">
        <v>31</v>
      </c>
      <c r="F432" s="6" t="s">
        <v>326</v>
      </c>
      <c r="G432" s="6" t="s">
        <v>423</v>
      </c>
    </row>
    <row r="433" spans="2:7">
      <c r="B433" s="6">
        <v>32222</v>
      </c>
      <c r="C433" s="6" t="s">
        <v>152</v>
      </c>
      <c r="D433" s="6">
        <v>20706</v>
      </c>
      <c r="E433" s="6" t="s">
        <v>52</v>
      </c>
      <c r="F433" s="6" t="s">
        <v>432</v>
      </c>
      <c r="G433" s="6" t="s">
        <v>410</v>
      </c>
    </row>
    <row r="434" spans="2:7">
      <c r="B434" s="6">
        <v>32222</v>
      </c>
      <c r="C434" s="6" t="s">
        <v>152</v>
      </c>
      <c r="D434" s="6">
        <v>20902</v>
      </c>
      <c r="E434" s="6" t="s">
        <v>53</v>
      </c>
      <c r="F434" s="6" t="s">
        <v>841</v>
      </c>
      <c r="G434" s="6"/>
    </row>
    <row r="435" spans="2:7">
      <c r="B435" s="6">
        <v>32223</v>
      </c>
      <c r="C435" s="6" t="s">
        <v>153</v>
      </c>
      <c r="D435" s="6">
        <v>20500</v>
      </c>
      <c r="E435" s="6" t="s">
        <v>31</v>
      </c>
      <c r="F435" s="6" t="s">
        <v>326</v>
      </c>
      <c r="G435" s="6" t="s">
        <v>423</v>
      </c>
    </row>
    <row r="436" spans="2:7">
      <c r="B436" s="6">
        <v>32223</v>
      </c>
      <c r="C436" s="6" t="s">
        <v>153</v>
      </c>
      <c r="D436" s="6">
        <v>20706</v>
      </c>
      <c r="E436" s="6" t="s">
        <v>52</v>
      </c>
      <c r="F436" s="6" t="s">
        <v>432</v>
      </c>
      <c r="G436" s="6" t="s">
        <v>410</v>
      </c>
    </row>
    <row r="437" spans="2:7">
      <c r="B437" s="6">
        <v>32223</v>
      </c>
      <c r="C437" s="6" t="s">
        <v>153</v>
      </c>
      <c r="D437" s="6">
        <v>20902</v>
      </c>
      <c r="E437" s="6" t="s">
        <v>53</v>
      </c>
      <c r="F437" s="6" t="s">
        <v>812</v>
      </c>
      <c r="G437" s="6"/>
    </row>
    <row r="438" spans="2:7">
      <c r="B438" s="6">
        <v>32224</v>
      </c>
      <c r="C438" s="6" t="s">
        <v>154</v>
      </c>
      <c r="D438" s="6">
        <v>20500</v>
      </c>
      <c r="E438" s="6" t="s">
        <v>31</v>
      </c>
      <c r="F438" s="6" t="s">
        <v>326</v>
      </c>
      <c r="G438" s="6" t="s">
        <v>423</v>
      </c>
    </row>
    <row r="439" spans="2:7">
      <c r="B439" s="6">
        <v>32224</v>
      </c>
      <c r="C439" s="6" t="s">
        <v>154</v>
      </c>
      <c r="D439" s="6">
        <v>20706</v>
      </c>
      <c r="E439" s="6" t="s">
        <v>52</v>
      </c>
      <c r="F439" s="6" t="s">
        <v>432</v>
      </c>
      <c r="G439" s="6"/>
    </row>
    <row r="440" spans="2:7">
      <c r="B440" s="6">
        <v>32224</v>
      </c>
      <c r="C440" s="6" t="s">
        <v>154</v>
      </c>
      <c r="D440" s="6">
        <v>20902</v>
      </c>
      <c r="E440" s="6" t="s">
        <v>53</v>
      </c>
      <c r="F440" s="6" t="s">
        <v>620</v>
      </c>
      <c r="G440" s="6"/>
    </row>
    <row r="441" spans="2:7">
      <c r="B441" s="6">
        <v>32225</v>
      </c>
      <c r="C441" s="6" t="s">
        <v>155</v>
      </c>
      <c r="D441" s="6">
        <v>20500</v>
      </c>
      <c r="E441" s="6" t="s">
        <v>31</v>
      </c>
      <c r="F441" s="6" t="s">
        <v>423</v>
      </c>
      <c r="G441" s="6"/>
    </row>
    <row r="442" spans="2:7">
      <c r="B442" s="6">
        <v>32225</v>
      </c>
      <c r="C442" s="6" t="s">
        <v>155</v>
      </c>
      <c r="D442" s="6">
        <v>20706</v>
      </c>
      <c r="E442" s="6" t="s">
        <v>52</v>
      </c>
      <c r="F442" s="6" t="s">
        <v>432</v>
      </c>
      <c r="G442" s="6"/>
    </row>
    <row r="443" spans="2:7">
      <c r="B443" s="6">
        <v>32225</v>
      </c>
      <c r="C443" s="6" t="s">
        <v>155</v>
      </c>
      <c r="D443" s="6">
        <v>20902</v>
      </c>
      <c r="E443" s="6" t="s">
        <v>53</v>
      </c>
      <c r="F443" s="6" t="s">
        <v>637</v>
      </c>
      <c r="G443" s="6"/>
    </row>
    <row r="444" spans="2:7">
      <c r="B444" s="6">
        <v>32238</v>
      </c>
      <c r="C444" s="6" t="s">
        <v>1089</v>
      </c>
      <c r="D444" s="6">
        <v>20706</v>
      </c>
      <c r="E444" s="6" t="s">
        <v>52</v>
      </c>
      <c r="F444" s="6" t="s">
        <v>432</v>
      </c>
      <c r="G444" s="6"/>
    </row>
    <row r="445" spans="2:7">
      <c r="B445" s="6">
        <v>32238</v>
      </c>
      <c r="C445" s="6" t="s">
        <v>1089</v>
      </c>
      <c r="D445" s="6">
        <v>20904</v>
      </c>
      <c r="E445" s="6" t="s">
        <v>156</v>
      </c>
      <c r="F445" s="6" t="s">
        <v>1425</v>
      </c>
      <c r="G445" s="6"/>
    </row>
    <row r="446" spans="2:7">
      <c r="B446" s="6">
        <v>32240</v>
      </c>
      <c r="C446" s="6" t="s">
        <v>1058</v>
      </c>
      <c r="D446" s="6">
        <v>20904</v>
      </c>
      <c r="E446" s="6" t="s">
        <v>156</v>
      </c>
      <c r="F446" s="6" t="s">
        <v>1426</v>
      </c>
      <c r="G446" s="6"/>
    </row>
    <row r="447" spans="2:7">
      <c r="B447" s="6">
        <v>32241</v>
      </c>
      <c r="C447" s="6" t="s">
        <v>1113</v>
      </c>
      <c r="D447" s="6">
        <v>20706</v>
      </c>
      <c r="E447" s="6" t="s">
        <v>52</v>
      </c>
      <c r="F447" s="6" t="s">
        <v>432</v>
      </c>
      <c r="G447" s="6"/>
    </row>
    <row r="448" spans="2:7">
      <c r="B448" s="6">
        <v>32241</v>
      </c>
      <c r="C448" s="6" t="s">
        <v>1113</v>
      </c>
      <c r="D448" s="6">
        <v>20904</v>
      </c>
      <c r="E448" s="6" t="s">
        <v>156</v>
      </c>
      <c r="F448" s="6" t="s">
        <v>1427</v>
      </c>
      <c r="G448" s="6"/>
    </row>
    <row r="449" spans="2:7">
      <c r="B449" s="6">
        <v>32242</v>
      </c>
      <c r="C449" s="6" t="s">
        <v>1079</v>
      </c>
      <c r="D449" s="6">
        <v>20904</v>
      </c>
      <c r="E449" s="6" t="s">
        <v>156</v>
      </c>
      <c r="F449" s="6" t="s">
        <v>1428</v>
      </c>
      <c r="G449" s="6"/>
    </row>
    <row r="450" spans="2:7">
      <c r="B450" s="6">
        <v>32244</v>
      </c>
      <c r="C450" s="6" t="s">
        <v>157</v>
      </c>
      <c r="D450" s="6">
        <v>20500</v>
      </c>
      <c r="E450" s="6" t="s">
        <v>31</v>
      </c>
      <c r="F450" s="6" t="s">
        <v>326</v>
      </c>
      <c r="G450" s="6"/>
    </row>
    <row r="451" spans="2:7">
      <c r="B451" s="6">
        <v>32244</v>
      </c>
      <c r="C451" s="6" t="s">
        <v>157</v>
      </c>
      <c r="D451" s="6">
        <v>20702</v>
      </c>
      <c r="E451" s="6" t="s">
        <v>44</v>
      </c>
      <c r="F451" s="6" t="s">
        <v>347</v>
      </c>
      <c r="G451" s="6"/>
    </row>
    <row r="452" spans="2:7">
      <c r="B452" s="6">
        <v>32244</v>
      </c>
      <c r="C452" s="6" t="s">
        <v>157</v>
      </c>
      <c r="D452" s="6">
        <v>20902</v>
      </c>
      <c r="E452" s="6" t="s">
        <v>53</v>
      </c>
      <c r="F452" s="6" t="s">
        <v>863</v>
      </c>
      <c r="G452" s="6"/>
    </row>
    <row r="453" spans="2:7">
      <c r="B453" s="6">
        <v>32247</v>
      </c>
      <c r="C453" s="6" t="s">
        <v>158</v>
      </c>
      <c r="D453" s="6">
        <v>20500</v>
      </c>
      <c r="E453" s="6" t="s">
        <v>31</v>
      </c>
      <c r="F453" s="6" t="s">
        <v>326</v>
      </c>
      <c r="G453" s="6" t="s">
        <v>423</v>
      </c>
    </row>
    <row r="454" spans="2:7">
      <c r="B454" s="6">
        <v>32247</v>
      </c>
      <c r="C454" s="6" t="s">
        <v>158</v>
      </c>
      <c r="D454" s="6">
        <v>20706</v>
      </c>
      <c r="E454" s="6" t="s">
        <v>52</v>
      </c>
      <c r="F454" s="6" t="s">
        <v>432</v>
      </c>
      <c r="G454" s="6"/>
    </row>
    <row r="455" spans="2:7">
      <c r="B455" s="6">
        <v>32247</v>
      </c>
      <c r="C455" s="6" t="s">
        <v>158</v>
      </c>
      <c r="D455" s="6">
        <v>20902</v>
      </c>
      <c r="E455" s="6" t="s">
        <v>53</v>
      </c>
      <c r="F455" s="6" t="s">
        <v>776</v>
      </c>
      <c r="G455" s="6"/>
    </row>
    <row r="456" spans="2:7">
      <c r="B456" s="6">
        <v>32252</v>
      </c>
      <c r="C456" s="6" t="s">
        <v>336</v>
      </c>
      <c r="D456" s="6">
        <v>12400</v>
      </c>
      <c r="E456" s="6" t="s">
        <v>217</v>
      </c>
      <c r="F456" s="6" t="s">
        <v>338</v>
      </c>
      <c r="G456" s="6"/>
    </row>
    <row r="457" spans="2:7">
      <c r="B457" s="6">
        <v>32252</v>
      </c>
      <c r="C457" s="6" t="s">
        <v>336</v>
      </c>
      <c r="D457" s="6">
        <v>20920</v>
      </c>
      <c r="E457" s="6" t="s">
        <v>231</v>
      </c>
      <c r="F457" s="6" t="s">
        <v>333</v>
      </c>
      <c r="G457" s="6"/>
    </row>
    <row r="458" spans="2:7">
      <c r="B458" s="6">
        <v>32252</v>
      </c>
      <c r="C458" s="6" t="s">
        <v>336</v>
      </c>
      <c r="D458" s="6">
        <v>23311</v>
      </c>
      <c r="E458" s="6" t="s">
        <v>221</v>
      </c>
      <c r="F458" s="6" t="s">
        <v>321</v>
      </c>
      <c r="G458" s="6"/>
    </row>
    <row r="459" spans="2:7">
      <c r="B459" s="6">
        <v>32252</v>
      </c>
      <c r="C459" s="6" t="s">
        <v>336</v>
      </c>
      <c r="D459" s="6">
        <v>23315</v>
      </c>
      <c r="E459" s="6" t="s">
        <v>246</v>
      </c>
      <c r="F459" s="6" t="s">
        <v>337</v>
      </c>
      <c r="G459" s="6"/>
    </row>
    <row r="460" spans="2:7">
      <c r="B460" s="6">
        <v>32254</v>
      </c>
      <c r="C460" s="6" t="s">
        <v>245</v>
      </c>
      <c r="D460" s="6">
        <v>23311</v>
      </c>
      <c r="E460" s="6" t="s">
        <v>221</v>
      </c>
      <c r="F460" s="6" t="s">
        <v>321</v>
      </c>
      <c r="G460" s="6"/>
    </row>
    <row r="461" spans="2:7">
      <c r="B461" s="6">
        <v>32254</v>
      </c>
      <c r="C461" s="6" t="s">
        <v>245</v>
      </c>
      <c r="D461" s="6">
        <v>23312</v>
      </c>
      <c r="E461" s="6" t="s">
        <v>215</v>
      </c>
      <c r="F461" s="6" t="s">
        <v>875</v>
      </c>
      <c r="G461" s="6"/>
    </row>
    <row r="462" spans="2:7">
      <c r="B462" s="6">
        <v>32257</v>
      </c>
      <c r="C462" s="6" t="s">
        <v>545</v>
      </c>
      <c r="D462" s="6">
        <v>20702</v>
      </c>
      <c r="E462" s="6" t="s">
        <v>44</v>
      </c>
      <c r="F462" s="6" t="s">
        <v>347</v>
      </c>
      <c r="G462" s="6"/>
    </row>
    <row r="463" spans="2:7">
      <c r="B463" s="6">
        <v>32257</v>
      </c>
      <c r="C463" s="6" t="s">
        <v>545</v>
      </c>
      <c r="D463" s="6">
        <v>20902</v>
      </c>
      <c r="E463" s="6" t="s">
        <v>53</v>
      </c>
      <c r="F463" s="6" t="s">
        <v>546</v>
      </c>
      <c r="G463" s="6"/>
    </row>
    <row r="464" spans="2:7">
      <c r="B464" s="6">
        <v>32259</v>
      </c>
      <c r="C464" s="6" t="s">
        <v>159</v>
      </c>
      <c r="D464" s="6">
        <v>20902</v>
      </c>
      <c r="E464" s="6" t="s">
        <v>53</v>
      </c>
      <c r="F464" s="6" t="s">
        <v>515</v>
      </c>
      <c r="G464" s="6"/>
    </row>
    <row r="465" spans="2:7">
      <c r="B465" s="6">
        <v>32260</v>
      </c>
      <c r="C465" s="6" t="s">
        <v>160</v>
      </c>
      <c r="D465" s="6">
        <v>20500</v>
      </c>
      <c r="E465" s="6" t="s">
        <v>31</v>
      </c>
      <c r="F465" s="6" t="s">
        <v>326</v>
      </c>
      <c r="G465" s="6"/>
    </row>
    <row r="466" spans="2:7">
      <c r="B466" s="6">
        <v>32260</v>
      </c>
      <c r="C466" s="6" t="s">
        <v>160</v>
      </c>
      <c r="D466" s="6">
        <v>20702</v>
      </c>
      <c r="E466" s="6" t="s">
        <v>44</v>
      </c>
      <c r="F466" s="6" t="s">
        <v>347</v>
      </c>
      <c r="G466" s="6"/>
    </row>
    <row r="467" spans="2:7">
      <c r="B467" s="6">
        <v>32260</v>
      </c>
      <c r="C467" s="6" t="s">
        <v>160</v>
      </c>
      <c r="D467" s="6">
        <v>20902</v>
      </c>
      <c r="E467" s="6" t="s">
        <v>53</v>
      </c>
      <c r="F467" s="6" t="s">
        <v>1429</v>
      </c>
      <c r="G467" s="6" t="s">
        <v>663</v>
      </c>
    </row>
    <row r="468" spans="2:7">
      <c r="B468" s="6">
        <v>32261</v>
      </c>
      <c r="C468" s="6" t="s">
        <v>161</v>
      </c>
      <c r="D468" s="6">
        <v>20500</v>
      </c>
      <c r="E468" s="6" t="s">
        <v>31</v>
      </c>
      <c r="F468" s="6" t="s">
        <v>1347</v>
      </c>
      <c r="G468" s="6" t="s">
        <v>326</v>
      </c>
    </row>
    <row r="469" spans="2:7">
      <c r="B469" s="6">
        <v>32261</v>
      </c>
      <c r="C469" s="6" t="s">
        <v>161</v>
      </c>
      <c r="D469" s="6">
        <v>20702</v>
      </c>
      <c r="E469" s="6" t="s">
        <v>44</v>
      </c>
      <c r="F469" s="6" t="s">
        <v>381</v>
      </c>
      <c r="G469" s="6" t="s">
        <v>347</v>
      </c>
    </row>
    <row r="470" spans="2:7">
      <c r="B470" s="6">
        <v>32261</v>
      </c>
      <c r="C470" s="6" t="s">
        <v>161</v>
      </c>
      <c r="D470" s="6">
        <v>20902</v>
      </c>
      <c r="E470" s="6" t="s">
        <v>53</v>
      </c>
      <c r="F470" s="6" t="s">
        <v>1430</v>
      </c>
      <c r="G470" s="6" t="s">
        <v>1431</v>
      </c>
    </row>
    <row r="471" spans="2:7">
      <c r="B471" s="6">
        <v>32262</v>
      </c>
      <c r="C471" s="6" t="s">
        <v>162</v>
      </c>
      <c r="D471" s="6">
        <v>20500</v>
      </c>
      <c r="E471" s="6" t="s">
        <v>31</v>
      </c>
      <c r="F471" s="6" t="s">
        <v>326</v>
      </c>
      <c r="G471" s="6"/>
    </row>
    <row r="472" spans="2:7">
      <c r="B472" s="6">
        <v>32262</v>
      </c>
      <c r="C472" s="6" t="s">
        <v>162</v>
      </c>
      <c r="D472" s="6">
        <v>20902</v>
      </c>
      <c r="E472" s="6" t="s">
        <v>53</v>
      </c>
      <c r="F472" s="6" t="s">
        <v>609</v>
      </c>
      <c r="G472" s="6"/>
    </row>
    <row r="473" spans="2:7">
      <c r="B473" s="6">
        <v>32263</v>
      </c>
      <c r="C473" s="6" t="s">
        <v>163</v>
      </c>
      <c r="D473" s="6">
        <v>20500</v>
      </c>
      <c r="E473" s="6" t="s">
        <v>31</v>
      </c>
      <c r="F473" s="6" t="s">
        <v>1347</v>
      </c>
      <c r="G473" s="6" t="s">
        <v>326</v>
      </c>
    </row>
    <row r="474" spans="2:7">
      <c r="B474" s="6">
        <v>32263</v>
      </c>
      <c r="C474" s="6" t="s">
        <v>163</v>
      </c>
      <c r="D474" s="6">
        <v>20702</v>
      </c>
      <c r="E474" s="6" t="s">
        <v>44</v>
      </c>
      <c r="F474" s="6" t="s">
        <v>381</v>
      </c>
      <c r="G474" s="6" t="s">
        <v>347</v>
      </c>
    </row>
    <row r="475" spans="2:7">
      <c r="B475" s="6">
        <v>32263</v>
      </c>
      <c r="C475" s="6" t="s">
        <v>163</v>
      </c>
      <c r="D475" s="6">
        <v>20902</v>
      </c>
      <c r="E475" s="6" t="s">
        <v>53</v>
      </c>
      <c r="F475" s="6" t="s">
        <v>1432</v>
      </c>
      <c r="G475" s="6" t="s">
        <v>1433</v>
      </c>
    </row>
    <row r="476" spans="2:7">
      <c r="B476" s="6">
        <v>32264</v>
      </c>
      <c r="C476" s="6" t="s">
        <v>164</v>
      </c>
      <c r="D476" s="6">
        <v>20500</v>
      </c>
      <c r="E476" s="6" t="s">
        <v>31</v>
      </c>
      <c r="F476" s="6" t="s">
        <v>326</v>
      </c>
      <c r="G476" s="6"/>
    </row>
    <row r="477" spans="2:7">
      <c r="B477" s="6">
        <v>32264</v>
      </c>
      <c r="C477" s="6" t="s">
        <v>164</v>
      </c>
      <c r="D477" s="6">
        <v>20702</v>
      </c>
      <c r="E477" s="6" t="s">
        <v>44</v>
      </c>
      <c r="F477" s="6" t="s">
        <v>381</v>
      </c>
      <c r="G477" s="6"/>
    </row>
    <row r="478" spans="2:7">
      <c r="B478" s="6">
        <v>32264</v>
      </c>
      <c r="C478" s="6" t="s">
        <v>164</v>
      </c>
      <c r="D478" s="6">
        <v>20902</v>
      </c>
      <c r="E478" s="6" t="s">
        <v>53</v>
      </c>
      <c r="F478" s="6" t="s">
        <v>1434</v>
      </c>
      <c r="G478" s="6" t="s">
        <v>652</v>
      </c>
    </row>
    <row r="479" spans="2:7">
      <c r="B479" s="6">
        <v>32265</v>
      </c>
      <c r="C479" s="6" t="s">
        <v>165</v>
      </c>
      <c r="D479" s="6">
        <v>20500</v>
      </c>
      <c r="E479" s="6" t="s">
        <v>31</v>
      </c>
      <c r="F479" s="6" t="s">
        <v>326</v>
      </c>
      <c r="G479" s="6"/>
    </row>
    <row r="480" spans="2:7">
      <c r="B480" s="6">
        <v>32265</v>
      </c>
      <c r="C480" s="6" t="s">
        <v>165</v>
      </c>
      <c r="D480" s="6">
        <v>20702</v>
      </c>
      <c r="E480" s="6" t="s">
        <v>44</v>
      </c>
      <c r="F480" s="6" t="s">
        <v>381</v>
      </c>
      <c r="G480" s="6" t="s">
        <v>347</v>
      </c>
    </row>
    <row r="481" spans="2:7">
      <c r="B481" s="6">
        <v>32265</v>
      </c>
      <c r="C481" s="6" t="s">
        <v>165</v>
      </c>
      <c r="D481" s="6">
        <v>20902</v>
      </c>
      <c r="E481" s="6" t="s">
        <v>53</v>
      </c>
      <c r="F481" s="6" t="s">
        <v>1435</v>
      </c>
      <c r="G481" s="6" t="s">
        <v>638</v>
      </c>
    </row>
    <row r="482" spans="2:7">
      <c r="B482" s="6">
        <v>32266</v>
      </c>
      <c r="C482" s="6" t="s">
        <v>166</v>
      </c>
      <c r="D482" s="6">
        <v>20500</v>
      </c>
      <c r="E482" s="6" t="s">
        <v>31</v>
      </c>
      <c r="F482" s="6" t="s">
        <v>326</v>
      </c>
      <c r="G482" s="6"/>
    </row>
    <row r="483" spans="2:7">
      <c r="B483" s="6">
        <v>32266</v>
      </c>
      <c r="C483" s="6" t="s">
        <v>166</v>
      </c>
      <c r="D483" s="6">
        <v>20702</v>
      </c>
      <c r="E483" s="6" t="s">
        <v>44</v>
      </c>
      <c r="F483" s="6" t="s">
        <v>347</v>
      </c>
      <c r="G483" s="6" t="s">
        <v>381</v>
      </c>
    </row>
    <row r="484" spans="2:7">
      <c r="B484" s="6">
        <v>32266</v>
      </c>
      <c r="C484" s="6" t="s">
        <v>166</v>
      </c>
      <c r="D484" s="6">
        <v>20902</v>
      </c>
      <c r="E484" s="6" t="s">
        <v>53</v>
      </c>
      <c r="F484" s="6" t="s">
        <v>1436</v>
      </c>
      <c r="G484" s="6" t="s">
        <v>507</v>
      </c>
    </row>
    <row r="485" spans="2:7">
      <c r="B485" s="6">
        <v>32267</v>
      </c>
      <c r="C485" s="6" t="s">
        <v>167</v>
      </c>
      <c r="D485" s="6">
        <v>20500</v>
      </c>
      <c r="E485" s="6" t="s">
        <v>31</v>
      </c>
      <c r="F485" s="6" t="s">
        <v>326</v>
      </c>
      <c r="G485" s="6"/>
    </row>
    <row r="486" spans="2:7">
      <c r="B486" s="6">
        <v>32267</v>
      </c>
      <c r="C486" s="6" t="s">
        <v>167</v>
      </c>
      <c r="D486" s="6">
        <v>20702</v>
      </c>
      <c r="E486" s="6" t="s">
        <v>44</v>
      </c>
      <c r="F486" s="6" t="s">
        <v>381</v>
      </c>
      <c r="G486" s="6" t="s">
        <v>347</v>
      </c>
    </row>
    <row r="487" spans="2:7">
      <c r="B487" s="6">
        <v>32267</v>
      </c>
      <c r="C487" s="6" t="s">
        <v>167</v>
      </c>
      <c r="D487" s="6">
        <v>20902</v>
      </c>
      <c r="E487" s="6" t="s">
        <v>53</v>
      </c>
      <c r="F487" s="6" t="s">
        <v>1437</v>
      </c>
      <c r="G487" s="6" t="s">
        <v>1438</v>
      </c>
    </row>
    <row r="488" spans="2:7">
      <c r="B488" s="6">
        <v>32276</v>
      </c>
      <c r="C488" s="6" t="s">
        <v>168</v>
      </c>
      <c r="D488" s="6">
        <v>20500</v>
      </c>
      <c r="E488" s="6" t="s">
        <v>31</v>
      </c>
      <c r="F488" s="6" t="s">
        <v>326</v>
      </c>
      <c r="G488" s="6"/>
    </row>
    <row r="489" spans="2:7">
      <c r="B489" s="6">
        <v>32276</v>
      </c>
      <c r="C489" s="6" t="s">
        <v>168</v>
      </c>
      <c r="D489" s="6">
        <v>20706</v>
      </c>
      <c r="E489" s="6" t="s">
        <v>52</v>
      </c>
      <c r="F489" s="6" t="s">
        <v>432</v>
      </c>
      <c r="G489" s="6"/>
    </row>
    <row r="490" spans="2:7">
      <c r="B490" s="6">
        <v>32276</v>
      </c>
      <c r="C490" s="6" t="s">
        <v>168</v>
      </c>
      <c r="D490" s="6">
        <v>20902</v>
      </c>
      <c r="E490" s="6" t="s">
        <v>53</v>
      </c>
      <c r="F490" s="6" t="s">
        <v>431</v>
      </c>
      <c r="G490" s="6"/>
    </row>
    <row r="491" spans="2:7">
      <c r="B491" s="6">
        <v>32277</v>
      </c>
      <c r="C491" s="6" t="s">
        <v>1207</v>
      </c>
      <c r="D491" s="6">
        <v>80012</v>
      </c>
      <c r="E491" s="6" t="s">
        <v>1230</v>
      </c>
      <c r="F491" s="6" t="s">
        <v>1439</v>
      </c>
      <c r="G491" s="6" t="s">
        <v>1440</v>
      </c>
    </row>
    <row r="492" spans="2:7">
      <c r="B492" s="6">
        <v>32281</v>
      </c>
      <c r="C492" s="6" t="s">
        <v>169</v>
      </c>
      <c r="D492" s="6">
        <v>20500</v>
      </c>
      <c r="E492" s="6" t="s">
        <v>31</v>
      </c>
      <c r="F492" s="6" t="s">
        <v>326</v>
      </c>
      <c r="G492" s="6"/>
    </row>
    <row r="493" spans="2:7">
      <c r="B493" s="6">
        <v>32281</v>
      </c>
      <c r="C493" s="6" t="s">
        <v>169</v>
      </c>
      <c r="D493" s="6">
        <v>20706</v>
      </c>
      <c r="E493" s="6" t="s">
        <v>52</v>
      </c>
      <c r="F493" s="6" t="s">
        <v>432</v>
      </c>
      <c r="G493" s="6"/>
    </row>
    <row r="494" spans="2:7">
      <c r="B494" s="6">
        <v>32281</v>
      </c>
      <c r="C494" s="6" t="s">
        <v>169</v>
      </c>
      <c r="D494" s="6">
        <v>20902</v>
      </c>
      <c r="E494" s="6" t="s">
        <v>53</v>
      </c>
      <c r="F494" s="6" t="s">
        <v>581</v>
      </c>
      <c r="G494" s="6"/>
    </row>
    <row r="495" spans="2:7">
      <c r="B495" s="6">
        <v>32282</v>
      </c>
      <c r="C495" s="6" t="s">
        <v>170</v>
      </c>
      <c r="D495" s="6">
        <v>20902</v>
      </c>
      <c r="E495" s="6" t="s">
        <v>53</v>
      </c>
      <c r="F495" s="6" t="s">
        <v>624</v>
      </c>
      <c r="G495" s="6"/>
    </row>
    <row r="496" spans="2:7">
      <c r="B496" s="6">
        <v>32303</v>
      </c>
      <c r="C496" s="6" t="s">
        <v>171</v>
      </c>
      <c r="D496" s="6">
        <v>20500</v>
      </c>
      <c r="E496" s="6" t="s">
        <v>31</v>
      </c>
      <c r="F496" s="6" t="s">
        <v>326</v>
      </c>
      <c r="G496" s="6"/>
    </row>
    <row r="497" spans="2:7">
      <c r="B497" s="6">
        <v>32303</v>
      </c>
      <c r="C497" s="6" t="s">
        <v>171</v>
      </c>
      <c r="D497" s="6">
        <v>20902</v>
      </c>
      <c r="E497" s="6" t="s">
        <v>53</v>
      </c>
      <c r="F497" s="6" t="s">
        <v>601</v>
      </c>
      <c r="G497" s="6" t="s">
        <v>1441</v>
      </c>
    </row>
    <row r="498" spans="2:7">
      <c r="B498" s="6">
        <v>32304</v>
      </c>
      <c r="C498" s="6" t="s">
        <v>172</v>
      </c>
      <c r="D498" s="6">
        <v>20500</v>
      </c>
      <c r="E498" s="6" t="s">
        <v>31</v>
      </c>
      <c r="F498" s="6" t="s">
        <v>326</v>
      </c>
      <c r="G498" s="6"/>
    </row>
    <row r="499" spans="2:7">
      <c r="B499" s="6">
        <v>32304</v>
      </c>
      <c r="C499" s="6" t="s">
        <v>172</v>
      </c>
      <c r="D499" s="6">
        <v>20902</v>
      </c>
      <c r="E499" s="6" t="s">
        <v>53</v>
      </c>
      <c r="F499" s="6" t="s">
        <v>488</v>
      </c>
      <c r="G499" s="6"/>
    </row>
    <row r="500" spans="2:7">
      <c r="B500" s="6">
        <v>32305</v>
      </c>
      <c r="C500" s="6" t="s">
        <v>173</v>
      </c>
      <c r="D500" s="6">
        <v>20500</v>
      </c>
      <c r="E500" s="6" t="s">
        <v>31</v>
      </c>
      <c r="F500" s="6" t="s">
        <v>326</v>
      </c>
      <c r="G500" s="6"/>
    </row>
    <row r="501" spans="2:7">
      <c r="B501" s="6">
        <v>32305</v>
      </c>
      <c r="C501" s="6" t="s">
        <v>173</v>
      </c>
      <c r="D501" s="6">
        <v>20902</v>
      </c>
      <c r="E501" s="6" t="s">
        <v>53</v>
      </c>
      <c r="F501" s="6" t="s">
        <v>1442</v>
      </c>
      <c r="G501" s="6" t="s">
        <v>565</v>
      </c>
    </row>
    <row r="502" spans="2:7">
      <c r="B502" s="6">
        <v>32306</v>
      </c>
      <c r="C502" s="6" t="s">
        <v>174</v>
      </c>
      <c r="D502" s="6">
        <v>20500</v>
      </c>
      <c r="E502" s="6" t="s">
        <v>31</v>
      </c>
      <c r="F502" s="6" t="s">
        <v>326</v>
      </c>
      <c r="G502" s="6"/>
    </row>
    <row r="503" spans="2:7">
      <c r="B503" s="6">
        <v>32306</v>
      </c>
      <c r="C503" s="6" t="s">
        <v>174</v>
      </c>
      <c r="D503" s="6">
        <v>20702</v>
      </c>
      <c r="E503" s="6" t="s">
        <v>44</v>
      </c>
      <c r="F503" s="6" t="s">
        <v>381</v>
      </c>
      <c r="G503" s="6"/>
    </row>
    <row r="504" spans="2:7">
      <c r="B504" s="6">
        <v>32306</v>
      </c>
      <c r="C504" s="6" t="s">
        <v>174</v>
      </c>
      <c r="D504" s="6">
        <v>20902</v>
      </c>
      <c r="E504" s="6" t="s">
        <v>53</v>
      </c>
      <c r="F504" s="6" t="s">
        <v>610</v>
      </c>
      <c r="G504" s="6"/>
    </row>
    <row r="505" spans="2:7">
      <c r="B505" s="6">
        <v>32307</v>
      </c>
      <c r="C505" s="6" t="s">
        <v>747</v>
      </c>
      <c r="D505" s="6">
        <v>20702</v>
      </c>
      <c r="E505" s="6" t="s">
        <v>44</v>
      </c>
      <c r="F505" s="6" t="s">
        <v>381</v>
      </c>
      <c r="G505" s="6"/>
    </row>
    <row r="506" spans="2:7">
      <c r="B506" s="6">
        <v>32307</v>
      </c>
      <c r="C506" s="6" t="s">
        <v>747</v>
      </c>
      <c r="D506" s="6">
        <v>20902</v>
      </c>
      <c r="E506" s="6" t="s">
        <v>53</v>
      </c>
      <c r="F506" s="6" t="s">
        <v>748</v>
      </c>
      <c r="G506" s="6"/>
    </row>
    <row r="507" spans="2:7">
      <c r="B507" s="6">
        <v>32308</v>
      </c>
      <c r="C507" s="6" t="s">
        <v>175</v>
      </c>
      <c r="D507" s="6">
        <v>20500</v>
      </c>
      <c r="E507" s="6" t="s">
        <v>31</v>
      </c>
      <c r="F507" s="6" t="s">
        <v>326</v>
      </c>
      <c r="G507" s="6"/>
    </row>
    <row r="508" spans="2:7">
      <c r="B508" s="6">
        <v>32308</v>
      </c>
      <c r="C508" s="6" t="s">
        <v>175</v>
      </c>
      <c r="D508" s="6">
        <v>20702</v>
      </c>
      <c r="E508" s="6" t="s">
        <v>44</v>
      </c>
      <c r="F508" s="6" t="s">
        <v>381</v>
      </c>
      <c r="G508" s="6" t="s">
        <v>347</v>
      </c>
    </row>
    <row r="509" spans="2:7">
      <c r="B509" s="6">
        <v>32308</v>
      </c>
      <c r="C509" s="6" t="s">
        <v>175</v>
      </c>
      <c r="D509" s="6">
        <v>20902</v>
      </c>
      <c r="E509" s="6" t="s">
        <v>53</v>
      </c>
      <c r="F509" s="6" t="s">
        <v>601</v>
      </c>
      <c r="G509" s="6"/>
    </row>
    <row r="510" spans="2:7">
      <c r="B510" s="6">
        <v>32309</v>
      </c>
      <c r="C510" s="6" t="s">
        <v>176</v>
      </c>
      <c r="D510" s="6">
        <v>20500</v>
      </c>
      <c r="E510" s="6" t="s">
        <v>31</v>
      </c>
      <c r="F510" s="6" t="s">
        <v>1347</v>
      </c>
      <c r="G510" s="6" t="s">
        <v>326</v>
      </c>
    </row>
    <row r="511" spans="2:7">
      <c r="B511" s="6">
        <v>32309</v>
      </c>
      <c r="C511" s="6" t="s">
        <v>176</v>
      </c>
      <c r="D511" s="6">
        <v>20702</v>
      </c>
      <c r="E511" s="6" t="s">
        <v>44</v>
      </c>
      <c r="F511" s="6" t="s">
        <v>381</v>
      </c>
      <c r="G511" s="6"/>
    </row>
    <row r="512" spans="2:7">
      <c r="B512" s="6">
        <v>32309</v>
      </c>
      <c r="C512" s="6" t="s">
        <v>176</v>
      </c>
      <c r="D512" s="6">
        <v>20902</v>
      </c>
      <c r="E512" s="6" t="s">
        <v>53</v>
      </c>
      <c r="F512" s="6" t="s">
        <v>535</v>
      </c>
      <c r="G512" s="6"/>
    </row>
    <row r="513" spans="2:7">
      <c r="B513" s="6">
        <v>32310</v>
      </c>
      <c r="C513" s="6" t="s">
        <v>568</v>
      </c>
      <c r="D513" s="6">
        <v>20500</v>
      </c>
      <c r="E513" s="6" t="s">
        <v>31</v>
      </c>
      <c r="F513" s="6" t="s">
        <v>326</v>
      </c>
      <c r="G513" s="6"/>
    </row>
    <row r="514" spans="2:7">
      <c r="B514" s="6">
        <v>32310</v>
      </c>
      <c r="C514" s="6" t="s">
        <v>568</v>
      </c>
      <c r="D514" s="6">
        <v>20902</v>
      </c>
      <c r="E514" s="6" t="s">
        <v>53</v>
      </c>
      <c r="F514" s="6" t="s">
        <v>569</v>
      </c>
      <c r="G514" s="6"/>
    </row>
    <row r="515" spans="2:7">
      <c r="B515" s="6">
        <v>32311</v>
      </c>
      <c r="C515" s="6" t="s">
        <v>768</v>
      </c>
      <c r="D515" s="6">
        <v>20500</v>
      </c>
      <c r="E515" s="6" t="s">
        <v>31</v>
      </c>
      <c r="F515" s="6" t="s">
        <v>326</v>
      </c>
      <c r="G515" s="6"/>
    </row>
    <row r="516" spans="2:7">
      <c r="B516" s="6">
        <v>32311</v>
      </c>
      <c r="C516" s="6" t="s">
        <v>768</v>
      </c>
      <c r="D516" s="6">
        <v>20702</v>
      </c>
      <c r="E516" s="6" t="s">
        <v>44</v>
      </c>
      <c r="F516" s="6" t="s">
        <v>381</v>
      </c>
      <c r="G516" s="6" t="s">
        <v>347</v>
      </c>
    </row>
    <row r="517" spans="2:7">
      <c r="B517" s="6">
        <v>32311</v>
      </c>
      <c r="C517" s="6" t="s">
        <v>768</v>
      </c>
      <c r="D517" s="6">
        <v>20902</v>
      </c>
      <c r="E517" s="6" t="s">
        <v>53</v>
      </c>
      <c r="F517" s="6" t="s">
        <v>769</v>
      </c>
      <c r="G517" s="6"/>
    </row>
    <row r="518" spans="2:7">
      <c r="B518" s="6">
        <v>32312</v>
      </c>
      <c r="C518" s="6" t="s">
        <v>621</v>
      </c>
      <c r="D518" s="6">
        <v>20902</v>
      </c>
      <c r="E518" s="6" t="s">
        <v>53</v>
      </c>
      <c r="F518" s="6" t="s">
        <v>622</v>
      </c>
      <c r="G518" s="6"/>
    </row>
    <row r="519" spans="2:7">
      <c r="B519" s="6">
        <v>32313</v>
      </c>
      <c r="C519" s="6" t="s">
        <v>780</v>
      </c>
      <c r="D519" s="6">
        <v>20500</v>
      </c>
      <c r="E519" s="6" t="s">
        <v>31</v>
      </c>
      <c r="F519" s="6" t="s">
        <v>326</v>
      </c>
      <c r="G519" s="6"/>
    </row>
    <row r="520" spans="2:7">
      <c r="B520" s="6">
        <v>32313</v>
      </c>
      <c r="C520" s="6" t="s">
        <v>780</v>
      </c>
      <c r="D520" s="6">
        <v>20902</v>
      </c>
      <c r="E520" s="6" t="s">
        <v>53</v>
      </c>
      <c r="F520" s="6" t="s">
        <v>1443</v>
      </c>
      <c r="G520" s="6" t="s">
        <v>781</v>
      </c>
    </row>
    <row r="521" spans="2:7">
      <c r="B521" s="6">
        <v>32314</v>
      </c>
      <c r="C521" s="6" t="s">
        <v>177</v>
      </c>
      <c r="D521" s="6">
        <v>20500</v>
      </c>
      <c r="E521" s="6" t="s">
        <v>31</v>
      </c>
      <c r="F521" s="6" t="s">
        <v>326</v>
      </c>
      <c r="G521" s="6"/>
    </row>
    <row r="522" spans="2:7">
      <c r="B522" s="6">
        <v>32314</v>
      </c>
      <c r="C522" s="6" t="s">
        <v>177</v>
      </c>
      <c r="D522" s="6">
        <v>20902</v>
      </c>
      <c r="E522" s="6" t="s">
        <v>53</v>
      </c>
      <c r="F522" s="6" t="s">
        <v>809</v>
      </c>
      <c r="G522" s="6"/>
    </row>
    <row r="523" spans="2:7">
      <c r="B523" s="6">
        <v>32315</v>
      </c>
      <c r="C523" s="6" t="s">
        <v>178</v>
      </c>
      <c r="D523" s="6">
        <v>20702</v>
      </c>
      <c r="E523" s="6" t="s">
        <v>44</v>
      </c>
      <c r="F523" s="6" t="s">
        <v>347</v>
      </c>
      <c r="G523" s="6"/>
    </row>
    <row r="524" spans="2:7">
      <c r="B524" s="6">
        <v>32315</v>
      </c>
      <c r="C524" s="6" t="s">
        <v>178</v>
      </c>
      <c r="D524" s="6">
        <v>20902</v>
      </c>
      <c r="E524" s="6" t="s">
        <v>53</v>
      </c>
      <c r="F524" s="6" t="s">
        <v>447</v>
      </c>
      <c r="G524" s="6" t="s">
        <v>1444</v>
      </c>
    </row>
    <row r="525" spans="2:7">
      <c r="B525" s="6">
        <v>32316</v>
      </c>
      <c r="C525" s="6" t="s">
        <v>179</v>
      </c>
      <c r="D525" s="6">
        <v>20500</v>
      </c>
      <c r="E525" s="6" t="s">
        <v>31</v>
      </c>
      <c r="F525" s="6" t="s">
        <v>326</v>
      </c>
      <c r="G525" s="6"/>
    </row>
    <row r="526" spans="2:7">
      <c r="B526" s="6">
        <v>32316</v>
      </c>
      <c r="C526" s="6" t="s">
        <v>179</v>
      </c>
      <c r="D526" s="6">
        <v>20702</v>
      </c>
      <c r="E526" s="6" t="s">
        <v>44</v>
      </c>
      <c r="F526" s="6" t="s">
        <v>381</v>
      </c>
      <c r="G526" s="6"/>
    </row>
    <row r="527" spans="2:7">
      <c r="B527" s="6">
        <v>32316</v>
      </c>
      <c r="C527" s="6" t="s">
        <v>179</v>
      </c>
      <c r="D527" s="6">
        <v>20902</v>
      </c>
      <c r="E527" s="6" t="s">
        <v>53</v>
      </c>
      <c r="F527" s="6" t="s">
        <v>640</v>
      </c>
      <c r="G527" s="6" t="s">
        <v>1445</v>
      </c>
    </row>
    <row r="528" spans="2:7">
      <c r="B528" s="6">
        <v>32317</v>
      </c>
      <c r="C528" s="6" t="s">
        <v>1044</v>
      </c>
      <c r="D528" s="6">
        <v>20500</v>
      </c>
      <c r="E528" s="6" t="s">
        <v>31</v>
      </c>
      <c r="F528" s="6" t="s">
        <v>326</v>
      </c>
      <c r="G528" s="6"/>
    </row>
    <row r="529" spans="2:7">
      <c r="B529" s="6">
        <v>32317</v>
      </c>
      <c r="C529" s="6" t="s">
        <v>1044</v>
      </c>
      <c r="D529" s="6">
        <v>20702</v>
      </c>
      <c r="E529" s="6" t="s">
        <v>44</v>
      </c>
      <c r="F529" s="6" t="s">
        <v>347</v>
      </c>
      <c r="G529" s="6"/>
    </row>
    <row r="530" spans="2:7">
      <c r="B530" s="6">
        <v>32317</v>
      </c>
      <c r="C530" s="6" t="s">
        <v>1044</v>
      </c>
      <c r="D530" s="6">
        <v>20902</v>
      </c>
      <c r="E530" s="6" t="s">
        <v>53</v>
      </c>
      <c r="F530" s="6" t="s">
        <v>1446</v>
      </c>
      <c r="G530" s="6" t="s">
        <v>1447</v>
      </c>
    </row>
    <row r="531" spans="2:7">
      <c r="B531" s="6">
        <v>32318</v>
      </c>
      <c r="C531" s="6" t="s">
        <v>180</v>
      </c>
      <c r="D531" s="6">
        <v>20500</v>
      </c>
      <c r="E531" s="6" t="s">
        <v>31</v>
      </c>
      <c r="F531" s="6" t="s">
        <v>326</v>
      </c>
      <c r="G531" s="6"/>
    </row>
    <row r="532" spans="2:7">
      <c r="B532" s="6">
        <v>32318</v>
      </c>
      <c r="C532" s="6" t="s">
        <v>180</v>
      </c>
      <c r="D532" s="6">
        <v>20702</v>
      </c>
      <c r="E532" s="6" t="s">
        <v>44</v>
      </c>
      <c r="F532" s="6" t="s">
        <v>347</v>
      </c>
      <c r="G532" s="6"/>
    </row>
    <row r="533" spans="2:7">
      <c r="B533" s="6">
        <v>32318</v>
      </c>
      <c r="C533" s="6" t="s">
        <v>180</v>
      </c>
      <c r="D533" s="6">
        <v>20902</v>
      </c>
      <c r="E533" s="6" t="s">
        <v>53</v>
      </c>
      <c r="F533" s="6" t="s">
        <v>584</v>
      </c>
      <c r="G533" s="6" t="s">
        <v>1448</v>
      </c>
    </row>
    <row r="534" spans="2:7">
      <c r="B534" s="6">
        <v>32319</v>
      </c>
      <c r="C534" s="6" t="s">
        <v>181</v>
      </c>
      <c r="D534" s="6">
        <v>20902</v>
      </c>
      <c r="E534" s="6" t="s">
        <v>53</v>
      </c>
      <c r="F534" s="6" t="s">
        <v>802</v>
      </c>
      <c r="G534" s="6" t="s">
        <v>1449</v>
      </c>
    </row>
    <row r="535" spans="2:7">
      <c r="B535" s="6">
        <v>32320</v>
      </c>
      <c r="C535" s="6" t="s">
        <v>182</v>
      </c>
      <c r="D535" s="6">
        <v>20500</v>
      </c>
      <c r="E535" s="6" t="s">
        <v>31</v>
      </c>
      <c r="F535" s="6" t="s">
        <v>326</v>
      </c>
      <c r="G535" s="6"/>
    </row>
    <row r="536" spans="2:7">
      <c r="B536" s="6">
        <v>32320</v>
      </c>
      <c r="C536" s="6" t="s">
        <v>182</v>
      </c>
      <c r="D536" s="6">
        <v>20702</v>
      </c>
      <c r="E536" s="6" t="s">
        <v>44</v>
      </c>
      <c r="F536" s="6" t="s">
        <v>381</v>
      </c>
      <c r="G536" s="6" t="s">
        <v>347</v>
      </c>
    </row>
    <row r="537" spans="2:7">
      <c r="B537" s="6">
        <v>32320</v>
      </c>
      <c r="C537" s="6" t="s">
        <v>182</v>
      </c>
      <c r="D537" s="6">
        <v>20902</v>
      </c>
      <c r="E537" s="6" t="s">
        <v>53</v>
      </c>
      <c r="F537" s="6" t="s">
        <v>1450</v>
      </c>
      <c r="G537" s="6" t="s">
        <v>1451</v>
      </c>
    </row>
    <row r="538" spans="2:7">
      <c r="B538" s="6">
        <v>32321</v>
      </c>
      <c r="C538" s="6" t="s">
        <v>1104</v>
      </c>
      <c r="D538" s="6">
        <v>20902</v>
      </c>
      <c r="E538" s="6" t="s">
        <v>53</v>
      </c>
      <c r="F538" s="6" t="s">
        <v>1452</v>
      </c>
      <c r="G538" s="6"/>
    </row>
    <row r="539" spans="2:7">
      <c r="B539" s="6">
        <v>32325</v>
      </c>
      <c r="C539" s="6" t="s">
        <v>1189</v>
      </c>
      <c r="D539" s="6">
        <v>80012</v>
      </c>
      <c r="E539" s="6" t="s">
        <v>1230</v>
      </c>
      <c r="F539" s="6" t="s">
        <v>1453</v>
      </c>
      <c r="G539" s="6" t="s">
        <v>1454</v>
      </c>
    </row>
    <row r="540" spans="2:7">
      <c r="B540" s="6">
        <v>32347</v>
      </c>
      <c r="C540" s="6" t="s">
        <v>1043</v>
      </c>
      <c r="D540" s="6">
        <v>20500</v>
      </c>
      <c r="E540" s="6" t="s">
        <v>31</v>
      </c>
      <c r="F540" s="6" t="s">
        <v>1407</v>
      </c>
      <c r="G540" s="6"/>
    </row>
    <row r="541" spans="2:7">
      <c r="B541" s="6">
        <v>32359</v>
      </c>
      <c r="C541" s="6" t="s">
        <v>1132</v>
      </c>
      <c r="D541" s="6">
        <v>20500</v>
      </c>
      <c r="E541" s="6" t="s">
        <v>31</v>
      </c>
      <c r="F541" s="6" t="s">
        <v>423</v>
      </c>
      <c r="G541" s="6"/>
    </row>
    <row r="542" spans="2:7">
      <c r="B542" s="6">
        <v>32359</v>
      </c>
      <c r="C542" s="6" t="s">
        <v>1132</v>
      </c>
      <c r="D542" s="6">
        <v>20713</v>
      </c>
      <c r="E542" s="6" t="s">
        <v>147</v>
      </c>
      <c r="F542" s="6" t="s">
        <v>444</v>
      </c>
      <c r="G542" s="6"/>
    </row>
    <row r="543" spans="2:7">
      <c r="B543" s="6">
        <v>32359</v>
      </c>
      <c r="C543" s="6" t="s">
        <v>1132</v>
      </c>
      <c r="D543" s="6">
        <v>20902</v>
      </c>
      <c r="E543" s="6" t="s">
        <v>53</v>
      </c>
      <c r="F543" s="6" t="s">
        <v>1455</v>
      </c>
      <c r="G543" s="6"/>
    </row>
    <row r="544" spans="2:7">
      <c r="B544" s="6">
        <v>32360</v>
      </c>
      <c r="C544" s="6" t="s">
        <v>183</v>
      </c>
      <c r="D544" s="6">
        <v>20706</v>
      </c>
      <c r="E544" s="6" t="s">
        <v>52</v>
      </c>
      <c r="F544" s="6" t="s">
        <v>432</v>
      </c>
      <c r="G544" s="6"/>
    </row>
    <row r="545" spans="2:7">
      <c r="B545" s="6">
        <v>32360</v>
      </c>
      <c r="C545" s="6" t="s">
        <v>183</v>
      </c>
      <c r="D545" s="6">
        <v>20902</v>
      </c>
      <c r="E545" s="6" t="s">
        <v>53</v>
      </c>
      <c r="F545" s="6" t="s">
        <v>1456</v>
      </c>
      <c r="G545" s="6" t="s">
        <v>470</v>
      </c>
    </row>
    <row r="546" spans="2:7">
      <c r="B546" s="6">
        <v>32361</v>
      </c>
      <c r="C546" s="6" t="s">
        <v>184</v>
      </c>
      <c r="D546" s="6">
        <v>20500</v>
      </c>
      <c r="E546" s="6" t="s">
        <v>31</v>
      </c>
      <c r="F546" s="6" t="s">
        <v>326</v>
      </c>
      <c r="G546" s="6"/>
    </row>
    <row r="547" spans="2:7">
      <c r="B547" s="6">
        <v>32361</v>
      </c>
      <c r="C547" s="6" t="s">
        <v>184</v>
      </c>
      <c r="D547" s="6">
        <v>20706</v>
      </c>
      <c r="E547" s="6" t="s">
        <v>52</v>
      </c>
      <c r="F547" s="6" t="s">
        <v>410</v>
      </c>
      <c r="G547" s="6"/>
    </row>
    <row r="548" spans="2:7">
      <c r="B548" s="6">
        <v>32361</v>
      </c>
      <c r="C548" s="6" t="s">
        <v>184</v>
      </c>
      <c r="D548" s="6">
        <v>20902</v>
      </c>
      <c r="E548" s="6" t="s">
        <v>53</v>
      </c>
      <c r="F548" s="6" t="s">
        <v>694</v>
      </c>
      <c r="G548" s="6" t="s">
        <v>1457</v>
      </c>
    </row>
    <row r="549" spans="2:7">
      <c r="B549" s="6">
        <v>32362</v>
      </c>
      <c r="C549" s="6" t="s">
        <v>1118</v>
      </c>
      <c r="D549" s="6">
        <v>20706</v>
      </c>
      <c r="E549" s="6" t="s">
        <v>52</v>
      </c>
      <c r="F549" s="6" t="s">
        <v>432</v>
      </c>
      <c r="G549" s="6"/>
    </row>
    <row r="550" spans="2:7">
      <c r="B550" s="6">
        <v>32362</v>
      </c>
      <c r="C550" s="6" t="s">
        <v>1118</v>
      </c>
      <c r="D550" s="6">
        <v>20902</v>
      </c>
      <c r="E550" s="6" t="s">
        <v>53</v>
      </c>
      <c r="F550" s="6" t="s">
        <v>1458</v>
      </c>
      <c r="G550" s="6"/>
    </row>
    <row r="551" spans="2:7">
      <c r="B551" s="6">
        <v>32363</v>
      </c>
      <c r="C551" s="6" t="s">
        <v>185</v>
      </c>
      <c r="D551" s="6">
        <v>20500</v>
      </c>
      <c r="E551" s="6" t="s">
        <v>31</v>
      </c>
      <c r="F551" s="6" t="s">
        <v>326</v>
      </c>
      <c r="G551" s="6"/>
    </row>
    <row r="552" spans="2:7">
      <c r="B552" s="6">
        <v>32363</v>
      </c>
      <c r="C552" s="6" t="s">
        <v>185</v>
      </c>
      <c r="D552" s="6">
        <v>20706</v>
      </c>
      <c r="E552" s="6" t="s">
        <v>52</v>
      </c>
      <c r="F552" s="6" t="s">
        <v>410</v>
      </c>
      <c r="G552" s="6"/>
    </row>
    <row r="553" spans="2:7">
      <c r="B553" s="6">
        <v>32363</v>
      </c>
      <c r="C553" s="6" t="s">
        <v>185</v>
      </c>
      <c r="D553" s="6">
        <v>20902</v>
      </c>
      <c r="E553" s="6" t="s">
        <v>53</v>
      </c>
      <c r="F553" s="6" t="s">
        <v>1459</v>
      </c>
      <c r="G553" s="6" t="s">
        <v>645</v>
      </c>
    </row>
    <row r="554" spans="2:7">
      <c r="B554" s="6">
        <v>32369</v>
      </c>
      <c r="C554" s="6" t="s">
        <v>1119</v>
      </c>
      <c r="D554" s="6">
        <v>20902</v>
      </c>
      <c r="E554" s="6" t="s">
        <v>53</v>
      </c>
      <c r="F554" s="6" t="s">
        <v>1460</v>
      </c>
      <c r="G554" s="6"/>
    </row>
    <row r="555" spans="2:7">
      <c r="B555" s="6">
        <v>32371</v>
      </c>
      <c r="C555" s="6" t="s">
        <v>1085</v>
      </c>
      <c r="D555" s="6">
        <v>20902</v>
      </c>
      <c r="E555" s="6" t="s">
        <v>53</v>
      </c>
      <c r="F555" s="6" t="s">
        <v>1461</v>
      </c>
      <c r="G555" s="6"/>
    </row>
    <row r="556" spans="2:7">
      <c r="B556" s="6">
        <v>32372</v>
      </c>
      <c r="C556" s="6" t="s">
        <v>1120</v>
      </c>
      <c r="D556" s="6">
        <v>20902</v>
      </c>
      <c r="E556" s="6" t="s">
        <v>53</v>
      </c>
      <c r="F556" s="6" t="s">
        <v>1462</v>
      </c>
      <c r="G556" s="6"/>
    </row>
    <row r="557" spans="2:7">
      <c r="B557" s="6">
        <v>32373</v>
      </c>
      <c r="C557" s="6" t="s">
        <v>186</v>
      </c>
      <c r="D557" s="6">
        <v>20902</v>
      </c>
      <c r="E557" s="6" t="s">
        <v>53</v>
      </c>
      <c r="F557" s="6" t="s">
        <v>667</v>
      </c>
      <c r="G557" s="6"/>
    </row>
    <row r="558" spans="2:7">
      <c r="B558" s="6">
        <v>32376</v>
      </c>
      <c r="C558" s="6" t="s">
        <v>187</v>
      </c>
      <c r="D558" s="6">
        <v>20500</v>
      </c>
      <c r="E558" s="6" t="s">
        <v>31</v>
      </c>
      <c r="F558" s="6" t="s">
        <v>326</v>
      </c>
      <c r="G558" s="6"/>
    </row>
    <row r="559" spans="2:7">
      <c r="B559" s="6">
        <v>32376</v>
      </c>
      <c r="C559" s="6" t="s">
        <v>187</v>
      </c>
      <c r="D559" s="6">
        <v>20714</v>
      </c>
      <c r="E559" s="6" t="s">
        <v>188</v>
      </c>
      <c r="F559" s="6" t="s">
        <v>450</v>
      </c>
      <c r="G559" s="6"/>
    </row>
    <row r="560" spans="2:7">
      <c r="B560" s="6">
        <v>32376</v>
      </c>
      <c r="C560" s="6" t="s">
        <v>187</v>
      </c>
      <c r="D560" s="6">
        <v>20902</v>
      </c>
      <c r="E560" s="6" t="s">
        <v>53</v>
      </c>
      <c r="F560" s="6" t="s">
        <v>448</v>
      </c>
      <c r="G560" s="6" t="s">
        <v>1463</v>
      </c>
    </row>
    <row r="561" spans="2:7">
      <c r="B561" s="6">
        <v>32377</v>
      </c>
      <c r="C561" s="6" t="s">
        <v>189</v>
      </c>
      <c r="D561" s="6">
        <v>20500</v>
      </c>
      <c r="E561" s="6" t="s">
        <v>31</v>
      </c>
      <c r="F561" s="6" t="s">
        <v>326</v>
      </c>
      <c r="G561" s="6"/>
    </row>
    <row r="562" spans="2:7">
      <c r="B562" s="6">
        <v>32377</v>
      </c>
      <c r="C562" s="6" t="s">
        <v>189</v>
      </c>
      <c r="D562" s="6">
        <v>20714</v>
      </c>
      <c r="E562" s="6" t="s">
        <v>188</v>
      </c>
      <c r="F562" s="6" t="s">
        <v>450</v>
      </c>
      <c r="G562" s="6"/>
    </row>
    <row r="563" spans="2:7">
      <c r="B563" s="6">
        <v>32377</v>
      </c>
      <c r="C563" s="6" t="s">
        <v>189</v>
      </c>
      <c r="D563" s="6">
        <v>20902</v>
      </c>
      <c r="E563" s="6" t="s">
        <v>53</v>
      </c>
      <c r="F563" s="6" t="s">
        <v>642</v>
      </c>
      <c r="G563" s="6" t="s">
        <v>1464</v>
      </c>
    </row>
    <row r="564" spans="2:7">
      <c r="B564" s="6">
        <v>32378</v>
      </c>
      <c r="C564" s="6" t="s">
        <v>190</v>
      </c>
      <c r="D564" s="6">
        <v>20500</v>
      </c>
      <c r="E564" s="6" t="s">
        <v>31</v>
      </c>
      <c r="F564" s="6" t="s">
        <v>1347</v>
      </c>
      <c r="G564" s="6" t="s">
        <v>326</v>
      </c>
    </row>
    <row r="565" spans="2:7">
      <c r="B565" s="6">
        <v>32378</v>
      </c>
      <c r="C565" s="6" t="s">
        <v>190</v>
      </c>
      <c r="D565" s="6">
        <v>20714</v>
      </c>
      <c r="E565" s="6" t="s">
        <v>188</v>
      </c>
      <c r="F565" s="6" t="s">
        <v>450</v>
      </c>
      <c r="G565" s="6"/>
    </row>
    <row r="566" spans="2:7">
      <c r="B566" s="6">
        <v>32378</v>
      </c>
      <c r="C566" s="6" t="s">
        <v>190</v>
      </c>
      <c r="D566" s="6">
        <v>20902</v>
      </c>
      <c r="E566" s="6" t="s">
        <v>53</v>
      </c>
      <c r="F566" s="6" t="s">
        <v>1465</v>
      </c>
      <c r="G566" s="6" t="s">
        <v>1466</v>
      </c>
    </row>
    <row r="567" spans="2:7">
      <c r="B567" s="6">
        <v>32379</v>
      </c>
      <c r="C567" s="6" t="s">
        <v>1117</v>
      </c>
      <c r="D567" s="6">
        <v>20902</v>
      </c>
      <c r="E567" s="6" t="s">
        <v>53</v>
      </c>
      <c r="F567" s="6" t="s">
        <v>1467</v>
      </c>
      <c r="G567" s="6"/>
    </row>
    <row r="568" spans="2:7">
      <c r="B568" s="6">
        <v>32385</v>
      </c>
      <c r="C568" s="6" t="s">
        <v>39</v>
      </c>
      <c r="D568" s="6">
        <v>20700</v>
      </c>
      <c r="E568" s="6" t="s">
        <v>15</v>
      </c>
      <c r="F568" s="6" t="s">
        <v>808</v>
      </c>
      <c r="G568" s="6"/>
    </row>
    <row r="569" spans="2:7">
      <c r="B569" s="6">
        <v>32389</v>
      </c>
      <c r="C569" s="6" t="s">
        <v>1051</v>
      </c>
      <c r="D569" s="6">
        <v>20902</v>
      </c>
      <c r="E569" s="6" t="s">
        <v>53</v>
      </c>
      <c r="F569" s="6" t="s">
        <v>1468</v>
      </c>
      <c r="G569" s="6"/>
    </row>
    <row r="570" spans="2:7">
      <c r="B570" s="6">
        <v>32389</v>
      </c>
      <c r="C570" s="6" t="s">
        <v>1051</v>
      </c>
      <c r="D570" s="6">
        <v>23100</v>
      </c>
      <c r="E570" s="6" t="s">
        <v>54</v>
      </c>
      <c r="F570" s="6" t="s">
        <v>359</v>
      </c>
      <c r="G570" s="6"/>
    </row>
    <row r="571" spans="2:7">
      <c r="B571" s="6">
        <v>32405</v>
      </c>
      <c r="C571" s="6" t="s">
        <v>216</v>
      </c>
      <c r="D571" s="6">
        <v>12400</v>
      </c>
      <c r="E571" s="6" t="s">
        <v>217</v>
      </c>
      <c r="F571" s="6" t="s">
        <v>328</v>
      </c>
      <c r="G571" s="6" t="s">
        <v>851</v>
      </c>
    </row>
    <row r="572" spans="2:7">
      <c r="B572" s="6">
        <v>32405</v>
      </c>
      <c r="C572" s="6" t="s">
        <v>216</v>
      </c>
      <c r="D572" s="6">
        <v>20500</v>
      </c>
      <c r="E572" s="6" t="s">
        <v>31</v>
      </c>
      <c r="F572" s="6" t="s">
        <v>330</v>
      </c>
      <c r="G572" s="6" t="s">
        <v>370</v>
      </c>
    </row>
    <row r="573" spans="2:7">
      <c r="B573" s="6">
        <v>32405</v>
      </c>
      <c r="C573" s="6" t="s">
        <v>216</v>
      </c>
      <c r="D573" s="6">
        <v>20600</v>
      </c>
      <c r="E573" s="6" t="s">
        <v>32</v>
      </c>
      <c r="F573" s="6" t="s">
        <v>329</v>
      </c>
      <c r="G573" s="6" t="s">
        <v>1469</v>
      </c>
    </row>
    <row r="574" spans="2:7">
      <c r="B574" s="6">
        <v>32407</v>
      </c>
      <c r="C574" s="6" t="s">
        <v>1012</v>
      </c>
      <c r="D574" s="6">
        <v>12400</v>
      </c>
      <c r="E574" s="6" t="s">
        <v>217</v>
      </c>
      <c r="F574" s="6" t="s">
        <v>469</v>
      </c>
      <c r="G574" s="6"/>
    </row>
    <row r="575" spans="2:7">
      <c r="B575" s="6">
        <v>32407</v>
      </c>
      <c r="C575" s="6" t="s">
        <v>1012</v>
      </c>
      <c r="D575" s="6">
        <v>20920</v>
      </c>
      <c r="E575" s="6" t="s">
        <v>231</v>
      </c>
      <c r="F575" s="6" t="s">
        <v>333</v>
      </c>
      <c r="G575" s="6"/>
    </row>
    <row r="576" spans="2:7">
      <c r="B576" s="6">
        <v>32407</v>
      </c>
      <c r="C576" s="6" t="s">
        <v>1012</v>
      </c>
      <c r="D576" s="6">
        <v>23311</v>
      </c>
      <c r="E576" s="6" t="s">
        <v>221</v>
      </c>
      <c r="F576" s="6" t="s">
        <v>321</v>
      </c>
      <c r="G576" s="6"/>
    </row>
    <row r="577" spans="2:7">
      <c r="B577" s="6">
        <v>32407</v>
      </c>
      <c r="C577" s="6" t="s">
        <v>1012</v>
      </c>
      <c r="D577" s="6">
        <v>23315</v>
      </c>
      <c r="E577" s="6" t="s">
        <v>246</v>
      </c>
      <c r="F577" s="6" t="s">
        <v>1470</v>
      </c>
      <c r="G577" s="6"/>
    </row>
    <row r="578" spans="2:7">
      <c r="B578" s="6">
        <v>32409</v>
      </c>
      <c r="C578" s="6" t="s">
        <v>71</v>
      </c>
      <c r="D578" s="6">
        <v>23100</v>
      </c>
      <c r="E578" s="6" t="s">
        <v>54</v>
      </c>
      <c r="F578" s="6" t="s">
        <v>370</v>
      </c>
      <c r="G578" s="6"/>
    </row>
    <row r="579" spans="2:7">
      <c r="B579" s="6">
        <v>32409</v>
      </c>
      <c r="C579" s="6" t="s">
        <v>71</v>
      </c>
      <c r="D579" s="6">
        <v>24000</v>
      </c>
      <c r="E579" s="6" t="s">
        <v>72</v>
      </c>
      <c r="F579" s="6" t="s">
        <v>752</v>
      </c>
      <c r="G579" s="6"/>
    </row>
    <row r="580" spans="2:7">
      <c r="B580" s="6">
        <v>32413</v>
      </c>
      <c r="C580" s="6" t="s">
        <v>247</v>
      </c>
      <c r="D580" s="6">
        <v>12400</v>
      </c>
      <c r="E580" s="6" t="s">
        <v>217</v>
      </c>
      <c r="F580" s="6" t="s">
        <v>882</v>
      </c>
      <c r="G580" s="6" t="s">
        <v>874</v>
      </c>
    </row>
    <row r="581" spans="2:7">
      <c r="B581" s="6">
        <v>32413</v>
      </c>
      <c r="C581" s="6" t="s">
        <v>247</v>
      </c>
      <c r="D581" s="6">
        <v>23311</v>
      </c>
      <c r="E581" s="6" t="s">
        <v>221</v>
      </c>
      <c r="F581" s="6" t="s">
        <v>876</v>
      </c>
      <c r="G581" s="6"/>
    </row>
    <row r="582" spans="2:7">
      <c r="B582" s="6">
        <v>32414</v>
      </c>
      <c r="C582" s="6" t="s">
        <v>248</v>
      </c>
      <c r="D582" s="6">
        <v>12400</v>
      </c>
      <c r="E582" s="6" t="s">
        <v>217</v>
      </c>
      <c r="F582" s="6" t="s">
        <v>1471</v>
      </c>
      <c r="G582" s="6" t="s">
        <v>334</v>
      </c>
    </row>
    <row r="583" spans="2:7">
      <c r="B583" s="6">
        <v>32414</v>
      </c>
      <c r="C583" s="6" t="s">
        <v>248</v>
      </c>
      <c r="D583" s="6">
        <v>23311</v>
      </c>
      <c r="E583" s="6" t="s">
        <v>221</v>
      </c>
      <c r="F583" s="6" t="s">
        <v>910</v>
      </c>
      <c r="G583" s="6"/>
    </row>
    <row r="584" spans="2:7">
      <c r="B584" s="6">
        <v>32415</v>
      </c>
      <c r="C584" s="6" t="s">
        <v>249</v>
      </c>
      <c r="D584" s="6">
        <v>12400</v>
      </c>
      <c r="E584" s="6" t="s">
        <v>217</v>
      </c>
      <c r="F584" s="6" t="s">
        <v>334</v>
      </c>
      <c r="G584" s="6"/>
    </row>
    <row r="585" spans="2:7">
      <c r="B585" s="6">
        <v>32415</v>
      </c>
      <c r="C585" s="6" t="s">
        <v>249</v>
      </c>
      <c r="D585" s="6">
        <v>23311</v>
      </c>
      <c r="E585" s="6" t="s">
        <v>221</v>
      </c>
      <c r="F585" s="6" t="s">
        <v>910</v>
      </c>
      <c r="G585" s="6" t="s">
        <v>876</v>
      </c>
    </row>
    <row r="586" spans="2:7">
      <c r="B586" s="6">
        <v>32416</v>
      </c>
      <c r="C586" s="6" t="s">
        <v>1009</v>
      </c>
      <c r="D586" s="6">
        <v>12400</v>
      </c>
      <c r="E586" s="6" t="s">
        <v>217</v>
      </c>
      <c r="F586" s="6" t="s">
        <v>338</v>
      </c>
      <c r="G586" s="6"/>
    </row>
    <row r="587" spans="2:7">
      <c r="B587" s="6">
        <v>32416</v>
      </c>
      <c r="C587" s="6" t="s">
        <v>1009</v>
      </c>
      <c r="D587" s="6">
        <v>20920</v>
      </c>
      <c r="E587" s="6" t="s">
        <v>231</v>
      </c>
      <c r="F587" s="6" t="s">
        <v>1472</v>
      </c>
      <c r="G587" s="6"/>
    </row>
    <row r="588" spans="2:7">
      <c r="B588" s="6">
        <v>32416</v>
      </c>
      <c r="C588" s="6" t="s">
        <v>1009</v>
      </c>
      <c r="D588" s="6">
        <v>23311</v>
      </c>
      <c r="E588" s="6" t="s">
        <v>221</v>
      </c>
      <c r="F588" s="6" t="s">
        <v>321</v>
      </c>
      <c r="G588" s="6"/>
    </row>
    <row r="589" spans="2:7">
      <c r="B589" s="6">
        <v>32416</v>
      </c>
      <c r="C589" s="6" t="s">
        <v>1009</v>
      </c>
      <c r="D589" s="6">
        <v>23312</v>
      </c>
      <c r="E589" s="6" t="s">
        <v>215</v>
      </c>
      <c r="F589" s="6" t="s">
        <v>1473</v>
      </c>
      <c r="G589" s="6"/>
    </row>
    <row r="590" spans="2:7">
      <c r="B590" s="6">
        <v>32418</v>
      </c>
      <c r="C590" s="6" t="s">
        <v>1021</v>
      </c>
      <c r="D590" s="6">
        <v>23312</v>
      </c>
      <c r="E590" s="6" t="s">
        <v>215</v>
      </c>
      <c r="F590" s="6" t="s">
        <v>1474</v>
      </c>
      <c r="G590" s="6"/>
    </row>
    <row r="591" spans="2:7">
      <c r="B591" s="6">
        <v>32423</v>
      </c>
      <c r="C591" s="6" t="s">
        <v>723</v>
      </c>
      <c r="D591" s="6">
        <v>20500</v>
      </c>
      <c r="E591" s="6" t="s">
        <v>31</v>
      </c>
      <c r="F591" s="6" t="s">
        <v>326</v>
      </c>
      <c r="G591" s="6"/>
    </row>
    <row r="592" spans="2:7">
      <c r="B592" s="6">
        <v>32423</v>
      </c>
      <c r="C592" s="6" t="s">
        <v>723</v>
      </c>
      <c r="D592" s="6">
        <v>20705</v>
      </c>
      <c r="E592" s="6" t="s">
        <v>59</v>
      </c>
      <c r="F592" s="6" t="s">
        <v>513</v>
      </c>
      <c r="G592" s="6"/>
    </row>
    <row r="593" spans="2:7">
      <c r="B593" s="6">
        <v>32423</v>
      </c>
      <c r="C593" s="6" t="s">
        <v>723</v>
      </c>
      <c r="D593" s="6">
        <v>20902</v>
      </c>
      <c r="E593" s="6" t="s">
        <v>53</v>
      </c>
      <c r="F593" s="6" t="s">
        <v>724</v>
      </c>
      <c r="G593" s="6"/>
    </row>
    <row r="594" spans="2:7">
      <c r="B594" s="6">
        <v>32425</v>
      </c>
      <c r="C594" s="6" t="s">
        <v>669</v>
      </c>
      <c r="D594" s="6">
        <v>20500</v>
      </c>
      <c r="E594" s="6" t="s">
        <v>31</v>
      </c>
      <c r="F594" s="6" t="s">
        <v>326</v>
      </c>
      <c r="G594" s="6"/>
    </row>
    <row r="595" spans="2:7">
      <c r="B595" s="6">
        <v>32425</v>
      </c>
      <c r="C595" s="6" t="s">
        <v>669</v>
      </c>
      <c r="D595" s="6">
        <v>20902</v>
      </c>
      <c r="E595" s="6" t="s">
        <v>53</v>
      </c>
      <c r="F595" s="6" t="s">
        <v>670</v>
      </c>
      <c r="G595" s="6"/>
    </row>
    <row r="596" spans="2:7">
      <c r="B596" s="6">
        <v>32426</v>
      </c>
      <c r="C596" s="6" t="s">
        <v>866</v>
      </c>
      <c r="D596" s="6">
        <v>20705</v>
      </c>
      <c r="E596" s="6" t="s">
        <v>59</v>
      </c>
      <c r="F596" s="6" t="s">
        <v>513</v>
      </c>
      <c r="G596" s="6"/>
    </row>
    <row r="597" spans="2:7">
      <c r="B597" s="6">
        <v>32426</v>
      </c>
      <c r="C597" s="6" t="s">
        <v>866</v>
      </c>
      <c r="D597" s="6">
        <v>20902</v>
      </c>
      <c r="E597" s="6" t="s">
        <v>53</v>
      </c>
      <c r="F597" s="6" t="s">
        <v>867</v>
      </c>
      <c r="G597" s="6"/>
    </row>
    <row r="598" spans="2:7">
      <c r="B598" s="6">
        <v>32427</v>
      </c>
      <c r="C598" s="6" t="s">
        <v>749</v>
      </c>
      <c r="D598" s="6">
        <v>20705</v>
      </c>
      <c r="E598" s="6" t="s">
        <v>59</v>
      </c>
      <c r="F598" s="6" t="s">
        <v>513</v>
      </c>
      <c r="G598" s="6"/>
    </row>
    <row r="599" spans="2:7">
      <c r="B599" s="6">
        <v>32427</v>
      </c>
      <c r="C599" s="6" t="s">
        <v>749</v>
      </c>
      <c r="D599" s="6">
        <v>20902</v>
      </c>
      <c r="E599" s="6" t="s">
        <v>53</v>
      </c>
      <c r="F599" s="6" t="s">
        <v>750</v>
      </c>
      <c r="G599" s="6"/>
    </row>
    <row r="600" spans="2:7">
      <c r="B600" s="6">
        <v>32429</v>
      </c>
      <c r="C600" s="6" t="s">
        <v>40</v>
      </c>
      <c r="D600" s="6">
        <v>20600</v>
      </c>
      <c r="E600" s="6" t="s">
        <v>32</v>
      </c>
      <c r="F600" s="6" t="s">
        <v>616</v>
      </c>
      <c r="G600" s="6"/>
    </row>
    <row r="601" spans="2:7">
      <c r="B601" s="6">
        <v>32430</v>
      </c>
      <c r="C601" s="6" t="s">
        <v>41</v>
      </c>
      <c r="D601" s="6">
        <v>20600</v>
      </c>
      <c r="E601" s="6" t="s">
        <v>32</v>
      </c>
      <c r="F601" s="6" t="s">
        <v>616</v>
      </c>
      <c r="G601" s="6"/>
    </row>
    <row r="602" spans="2:7">
      <c r="B602" s="6">
        <v>32431</v>
      </c>
      <c r="C602" s="6" t="s">
        <v>251</v>
      </c>
      <c r="D602" s="6">
        <v>12400</v>
      </c>
      <c r="E602" s="6" t="s">
        <v>217</v>
      </c>
      <c r="F602" s="6" t="s">
        <v>334</v>
      </c>
      <c r="G602" s="6"/>
    </row>
    <row r="603" spans="2:7">
      <c r="B603" s="6">
        <v>32431</v>
      </c>
      <c r="C603" s="6" t="s">
        <v>251</v>
      </c>
      <c r="D603" s="6">
        <v>23311</v>
      </c>
      <c r="E603" s="6" t="s">
        <v>221</v>
      </c>
      <c r="F603" s="6" t="s">
        <v>321</v>
      </c>
      <c r="G603" s="6"/>
    </row>
    <row r="604" spans="2:7">
      <c r="B604" s="6">
        <v>32433</v>
      </c>
      <c r="C604" s="6" t="s">
        <v>1002</v>
      </c>
      <c r="D604" s="6">
        <v>20904</v>
      </c>
      <c r="E604" s="6" t="s">
        <v>156</v>
      </c>
      <c r="F604" s="6" t="s">
        <v>1475</v>
      </c>
      <c r="G604" s="6"/>
    </row>
    <row r="605" spans="2:7">
      <c r="B605" s="6">
        <v>32433</v>
      </c>
      <c r="C605" s="6" t="s">
        <v>1002</v>
      </c>
      <c r="D605" s="6">
        <v>23311</v>
      </c>
      <c r="E605" s="6" t="s">
        <v>221</v>
      </c>
      <c r="F605" s="6" t="s">
        <v>760</v>
      </c>
      <c r="G605" s="6"/>
    </row>
    <row r="606" spans="2:7">
      <c r="B606" s="6">
        <v>32434</v>
      </c>
      <c r="C606" s="6" t="s">
        <v>1003</v>
      </c>
      <c r="D606" s="6">
        <v>12400</v>
      </c>
      <c r="E606" s="6" t="s">
        <v>217</v>
      </c>
      <c r="F606" s="6" t="s">
        <v>338</v>
      </c>
      <c r="G606" s="6"/>
    </row>
    <row r="607" spans="2:7">
      <c r="B607" s="6">
        <v>32434</v>
      </c>
      <c r="C607" s="6" t="s">
        <v>1003</v>
      </c>
      <c r="D607" s="6">
        <v>20904</v>
      </c>
      <c r="E607" s="6" t="s">
        <v>156</v>
      </c>
      <c r="F607" s="6" t="s">
        <v>1476</v>
      </c>
      <c r="G607" s="6"/>
    </row>
    <row r="608" spans="2:7">
      <c r="B608" s="6">
        <v>32435</v>
      </c>
      <c r="C608" s="6" t="s">
        <v>1087</v>
      </c>
      <c r="D608" s="6">
        <v>20600</v>
      </c>
      <c r="E608" s="6" t="s">
        <v>32</v>
      </c>
      <c r="F608" s="6" t="s">
        <v>329</v>
      </c>
      <c r="G608" s="6" t="s">
        <v>1477</v>
      </c>
    </row>
    <row r="609" spans="2:7">
      <c r="B609" s="6">
        <v>32435</v>
      </c>
      <c r="C609" s="6" t="s">
        <v>1087</v>
      </c>
      <c r="D609" s="6">
        <v>23100</v>
      </c>
      <c r="E609" s="6" t="s">
        <v>54</v>
      </c>
      <c r="F609" s="6" t="s">
        <v>330</v>
      </c>
      <c r="G609" s="6"/>
    </row>
    <row r="610" spans="2:7">
      <c r="B610" s="6">
        <v>32438</v>
      </c>
      <c r="C610" s="6" t="s">
        <v>1004</v>
      </c>
      <c r="D610" s="6">
        <v>12400</v>
      </c>
      <c r="E610" s="6" t="s">
        <v>217</v>
      </c>
      <c r="F610" s="6" t="s">
        <v>1478</v>
      </c>
      <c r="G610" s="6"/>
    </row>
    <row r="611" spans="2:7">
      <c r="B611" s="6">
        <v>32442</v>
      </c>
      <c r="C611" s="6" t="s">
        <v>1170</v>
      </c>
      <c r="D611" s="6">
        <v>25006</v>
      </c>
      <c r="E611" s="6" t="s">
        <v>1235</v>
      </c>
      <c r="F611" s="6" t="s">
        <v>1479</v>
      </c>
      <c r="G611" s="6"/>
    </row>
    <row r="612" spans="2:7">
      <c r="B612" s="6">
        <v>32450</v>
      </c>
      <c r="C612" s="6" t="s">
        <v>1190</v>
      </c>
      <c r="D612" s="6">
        <v>23317</v>
      </c>
      <c r="E612" s="6" t="s">
        <v>1234</v>
      </c>
      <c r="F612" s="6" t="s">
        <v>1480</v>
      </c>
      <c r="G612" s="6"/>
    </row>
    <row r="613" spans="2:7">
      <c r="B613" s="6">
        <v>32450</v>
      </c>
      <c r="C613" s="6" t="s">
        <v>1190</v>
      </c>
      <c r="D613" s="6">
        <v>41202</v>
      </c>
      <c r="E613" s="6" t="s">
        <v>1162</v>
      </c>
      <c r="F613" s="6" t="s">
        <v>1481</v>
      </c>
      <c r="G613" s="6"/>
    </row>
    <row r="614" spans="2:7">
      <c r="B614" s="6">
        <v>32453</v>
      </c>
      <c r="C614" s="6" t="s">
        <v>255</v>
      </c>
      <c r="D614" s="6">
        <v>12400</v>
      </c>
      <c r="E614" s="6" t="s">
        <v>217</v>
      </c>
      <c r="F614" s="6" t="s">
        <v>896</v>
      </c>
      <c r="G614" s="6"/>
    </row>
    <row r="615" spans="2:7">
      <c r="B615" s="6">
        <v>32453</v>
      </c>
      <c r="C615" s="6" t="s">
        <v>255</v>
      </c>
      <c r="D615" s="6">
        <v>23311</v>
      </c>
      <c r="E615" s="6" t="s">
        <v>221</v>
      </c>
      <c r="F615" s="6" t="s">
        <v>876</v>
      </c>
      <c r="G615" s="6" t="s">
        <v>910</v>
      </c>
    </row>
    <row r="616" spans="2:7">
      <c r="B616" s="6">
        <v>32454</v>
      </c>
      <c r="C616" s="6" t="s">
        <v>356</v>
      </c>
      <c r="D616" s="6">
        <v>20601</v>
      </c>
      <c r="E616" s="6" t="s">
        <v>43</v>
      </c>
      <c r="F616" s="6" t="s">
        <v>357</v>
      </c>
      <c r="G616" s="6"/>
    </row>
    <row r="617" spans="2:7">
      <c r="B617" s="6">
        <v>32456</v>
      </c>
      <c r="C617" s="6" t="s">
        <v>1159</v>
      </c>
      <c r="D617" s="6">
        <v>21000</v>
      </c>
      <c r="E617" s="6" t="s">
        <v>276</v>
      </c>
      <c r="F617" s="6" t="s">
        <v>1412</v>
      </c>
      <c r="G617" s="6"/>
    </row>
    <row r="618" spans="2:7">
      <c r="B618" s="6">
        <v>32456</v>
      </c>
      <c r="C618" s="6" t="s">
        <v>1159</v>
      </c>
      <c r="D618" s="6">
        <v>23500</v>
      </c>
      <c r="E618" s="6" t="s">
        <v>37</v>
      </c>
      <c r="F618" s="6" t="s">
        <v>1482</v>
      </c>
      <c r="G618" s="6"/>
    </row>
    <row r="619" spans="2:7">
      <c r="B619" s="6">
        <v>32457</v>
      </c>
      <c r="C619" s="6" t="s">
        <v>1027</v>
      </c>
      <c r="D619" s="6">
        <v>20920</v>
      </c>
      <c r="E619" s="6" t="s">
        <v>231</v>
      </c>
      <c r="F619" s="6" t="s">
        <v>1472</v>
      </c>
      <c r="G619" s="6"/>
    </row>
    <row r="620" spans="2:7">
      <c r="B620" s="6">
        <v>32457</v>
      </c>
      <c r="C620" s="6" t="s">
        <v>1027</v>
      </c>
      <c r="D620" s="6">
        <v>23311</v>
      </c>
      <c r="E620" s="6" t="s">
        <v>221</v>
      </c>
      <c r="F620" s="6" t="s">
        <v>321</v>
      </c>
      <c r="G620" s="6"/>
    </row>
    <row r="621" spans="2:7">
      <c r="B621" s="6">
        <v>32457</v>
      </c>
      <c r="C621" s="6" t="s">
        <v>1027</v>
      </c>
      <c r="D621" s="6">
        <v>23312</v>
      </c>
      <c r="E621" s="6" t="s">
        <v>215</v>
      </c>
      <c r="F621" s="6" t="s">
        <v>1483</v>
      </c>
      <c r="G621" s="6" t="s">
        <v>1484</v>
      </c>
    </row>
    <row r="622" spans="2:7">
      <c r="B622" s="6">
        <v>32460</v>
      </c>
      <c r="C622" s="6" t="s">
        <v>191</v>
      </c>
      <c r="D622" s="6">
        <v>20500</v>
      </c>
      <c r="E622" s="6" t="s">
        <v>31</v>
      </c>
      <c r="F622" s="6" t="s">
        <v>326</v>
      </c>
      <c r="G622" s="6"/>
    </row>
    <row r="623" spans="2:7">
      <c r="B623" s="6">
        <v>32460</v>
      </c>
      <c r="C623" s="6" t="s">
        <v>191</v>
      </c>
      <c r="D623" s="6">
        <v>20706</v>
      </c>
      <c r="E623" s="6" t="s">
        <v>52</v>
      </c>
      <c r="F623" s="6" t="s">
        <v>432</v>
      </c>
      <c r="G623" s="6"/>
    </row>
    <row r="624" spans="2:7">
      <c r="B624" s="6">
        <v>32460</v>
      </c>
      <c r="C624" s="6" t="s">
        <v>191</v>
      </c>
      <c r="D624" s="6">
        <v>20902</v>
      </c>
      <c r="E624" s="6" t="s">
        <v>53</v>
      </c>
      <c r="F624" s="6" t="s">
        <v>753</v>
      </c>
      <c r="G624" s="6"/>
    </row>
    <row r="625" spans="2:7">
      <c r="B625" s="6">
        <v>32461</v>
      </c>
      <c r="C625" s="6" t="s">
        <v>192</v>
      </c>
      <c r="D625" s="6">
        <v>20500</v>
      </c>
      <c r="E625" s="6" t="s">
        <v>31</v>
      </c>
      <c r="F625" s="6" t="s">
        <v>326</v>
      </c>
      <c r="G625" s="6"/>
    </row>
    <row r="626" spans="2:7">
      <c r="B626" s="6">
        <v>32461</v>
      </c>
      <c r="C626" s="6" t="s">
        <v>192</v>
      </c>
      <c r="D626" s="6">
        <v>20902</v>
      </c>
      <c r="E626" s="6" t="s">
        <v>53</v>
      </c>
      <c r="F626" s="6" t="s">
        <v>386</v>
      </c>
      <c r="G626" s="6"/>
    </row>
    <row r="627" spans="2:7">
      <c r="B627" s="6">
        <v>32463</v>
      </c>
      <c r="C627" s="6" t="s">
        <v>1178</v>
      </c>
      <c r="D627" s="6">
        <v>25007</v>
      </c>
      <c r="E627" s="6" t="s">
        <v>1236</v>
      </c>
      <c r="F627" s="6" t="s">
        <v>1485</v>
      </c>
      <c r="G627" s="6"/>
    </row>
    <row r="628" spans="2:7">
      <c r="B628" s="6">
        <v>32463</v>
      </c>
      <c r="C628" s="6" t="s">
        <v>1178</v>
      </c>
      <c r="D628" s="6">
        <v>26000</v>
      </c>
      <c r="E628" s="6" t="s">
        <v>1228</v>
      </c>
      <c r="F628" s="6" t="s">
        <v>1486</v>
      </c>
      <c r="G628" s="6"/>
    </row>
    <row r="629" spans="2:7">
      <c r="B629" s="6">
        <v>32466</v>
      </c>
      <c r="C629" s="6" t="s">
        <v>1022</v>
      </c>
      <c r="D629" s="6">
        <v>20904</v>
      </c>
      <c r="E629" s="6" t="s">
        <v>156</v>
      </c>
      <c r="F629" s="6" t="s">
        <v>1487</v>
      </c>
      <c r="G629" s="6"/>
    </row>
    <row r="630" spans="2:7">
      <c r="B630" s="6">
        <v>32466</v>
      </c>
      <c r="C630" s="6" t="s">
        <v>1022</v>
      </c>
      <c r="D630" s="6">
        <v>23118</v>
      </c>
      <c r="E630" s="6" t="s">
        <v>252</v>
      </c>
      <c r="F630" s="6" t="s">
        <v>434</v>
      </c>
      <c r="G630" s="6"/>
    </row>
    <row r="631" spans="2:7">
      <c r="B631" s="6">
        <v>32466</v>
      </c>
      <c r="C631" s="6" t="s">
        <v>1022</v>
      </c>
      <c r="D631" s="6">
        <v>23311</v>
      </c>
      <c r="E631" s="6" t="s">
        <v>221</v>
      </c>
      <c r="F631" s="6" t="s">
        <v>435</v>
      </c>
      <c r="G631" s="6"/>
    </row>
    <row r="632" spans="2:7">
      <c r="B632" s="6">
        <v>32467</v>
      </c>
      <c r="C632" s="6" t="s">
        <v>715</v>
      </c>
      <c r="D632" s="6">
        <v>20904</v>
      </c>
      <c r="E632" s="6" t="s">
        <v>156</v>
      </c>
      <c r="F632" s="6" t="s">
        <v>716</v>
      </c>
      <c r="G632" s="6"/>
    </row>
    <row r="633" spans="2:7">
      <c r="B633" s="6">
        <v>32467</v>
      </c>
      <c r="C633" s="6" t="s">
        <v>715</v>
      </c>
      <c r="D633" s="6">
        <v>23311</v>
      </c>
      <c r="E633" s="6" t="s">
        <v>221</v>
      </c>
      <c r="F633" s="6" t="s">
        <v>435</v>
      </c>
      <c r="G633" s="6"/>
    </row>
    <row r="634" spans="2:7">
      <c r="B634" s="6">
        <v>32469</v>
      </c>
      <c r="C634" s="6" t="s">
        <v>256</v>
      </c>
      <c r="D634" s="6">
        <v>12400</v>
      </c>
      <c r="E634" s="6" t="s">
        <v>217</v>
      </c>
      <c r="F634" s="6" t="s">
        <v>338</v>
      </c>
      <c r="G634" s="6"/>
    </row>
    <row r="635" spans="2:7">
      <c r="B635" s="6">
        <v>32469</v>
      </c>
      <c r="C635" s="6" t="s">
        <v>256</v>
      </c>
      <c r="D635" s="6">
        <v>20904</v>
      </c>
      <c r="E635" s="6" t="s">
        <v>156</v>
      </c>
      <c r="F635" s="6" t="s">
        <v>433</v>
      </c>
      <c r="G635" s="6"/>
    </row>
    <row r="636" spans="2:7">
      <c r="B636" s="6">
        <v>32469</v>
      </c>
      <c r="C636" s="6" t="s">
        <v>256</v>
      </c>
      <c r="D636" s="6">
        <v>23118</v>
      </c>
      <c r="E636" s="6" t="s">
        <v>252</v>
      </c>
      <c r="F636" s="6" t="s">
        <v>434</v>
      </c>
      <c r="G636" s="6"/>
    </row>
    <row r="637" spans="2:7">
      <c r="B637" s="6">
        <v>32469</v>
      </c>
      <c r="C637" s="6" t="s">
        <v>256</v>
      </c>
      <c r="D637" s="6">
        <v>23311</v>
      </c>
      <c r="E637" s="6" t="s">
        <v>221</v>
      </c>
      <c r="F637" s="6" t="s">
        <v>435</v>
      </c>
      <c r="G637" s="6"/>
    </row>
    <row r="638" spans="2:7">
      <c r="B638" s="6">
        <v>32470</v>
      </c>
      <c r="C638" s="6" t="s">
        <v>257</v>
      </c>
      <c r="D638" s="6">
        <v>12400</v>
      </c>
      <c r="E638" s="6" t="s">
        <v>217</v>
      </c>
      <c r="F638" s="6" t="s">
        <v>915</v>
      </c>
      <c r="G638" s="6"/>
    </row>
    <row r="639" spans="2:7">
      <c r="B639" s="6">
        <v>32470</v>
      </c>
      <c r="C639" s="6" t="s">
        <v>257</v>
      </c>
      <c r="D639" s="6">
        <v>23311</v>
      </c>
      <c r="E639" s="6" t="s">
        <v>221</v>
      </c>
      <c r="F639" s="6" t="s">
        <v>876</v>
      </c>
      <c r="G639" s="6"/>
    </row>
    <row r="640" spans="2:7">
      <c r="B640" s="6">
        <v>32471</v>
      </c>
      <c r="C640" s="6" t="s">
        <v>193</v>
      </c>
      <c r="D640" s="6">
        <v>20500</v>
      </c>
      <c r="E640" s="6" t="s">
        <v>31</v>
      </c>
      <c r="F640" s="6" t="s">
        <v>326</v>
      </c>
      <c r="G640" s="6"/>
    </row>
    <row r="641" spans="2:7">
      <c r="B641" s="6">
        <v>32471</v>
      </c>
      <c r="C641" s="6" t="s">
        <v>193</v>
      </c>
      <c r="D641" s="6">
        <v>20702</v>
      </c>
      <c r="E641" s="6" t="s">
        <v>44</v>
      </c>
      <c r="F641" s="6" t="s">
        <v>347</v>
      </c>
      <c r="G641" s="6"/>
    </row>
    <row r="642" spans="2:7">
      <c r="B642" s="6">
        <v>32471</v>
      </c>
      <c r="C642" s="6" t="s">
        <v>193</v>
      </c>
      <c r="D642" s="6">
        <v>20902</v>
      </c>
      <c r="E642" s="6" t="s">
        <v>53</v>
      </c>
      <c r="F642" s="6" t="s">
        <v>395</v>
      </c>
      <c r="G642" s="6"/>
    </row>
    <row r="643" spans="2:7">
      <c r="B643" s="6">
        <v>32472</v>
      </c>
      <c r="C643" s="6" t="s">
        <v>258</v>
      </c>
      <c r="D643" s="6">
        <v>12400</v>
      </c>
      <c r="E643" s="6" t="s">
        <v>217</v>
      </c>
      <c r="F643" s="6" t="s">
        <v>882</v>
      </c>
      <c r="G643" s="6"/>
    </row>
    <row r="644" spans="2:7">
      <c r="B644" s="6">
        <v>32472</v>
      </c>
      <c r="C644" s="6" t="s">
        <v>258</v>
      </c>
      <c r="D644" s="6">
        <v>20920</v>
      </c>
      <c r="E644" s="6" t="s">
        <v>231</v>
      </c>
      <c r="F644" s="6" t="s">
        <v>362</v>
      </c>
      <c r="G644" s="6"/>
    </row>
    <row r="645" spans="2:7">
      <c r="B645" s="6">
        <v>32472</v>
      </c>
      <c r="C645" s="6" t="s">
        <v>258</v>
      </c>
      <c r="D645" s="6">
        <v>23311</v>
      </c>
      <c r="E645" s="6" t="s">
        <v>221</v>
      </c>
      <c r="F645" s="6" t="s">
        <v>321</v>
      </c>
      <c r="G645" s="6"/>
    </row>
    <row r="646" spans="2:7">
      <c r="B646" s="6">
        <v>32474</v>
      </c>
      <c r="C646" s="6" t="s">
        <v>259</v>
      </c>
      <c r="D646" s="6">
        <v>12400</v>
      </c>
      <c r="E646" s="6" t="s">
        <v>217</v>
      </c>
      <c r="F646" s="6" t="s">
        <v>896</v>
      </c>
      <c r="G646" s="6"/>
    </row>
    <row r="647" spans="2:7">
      <c r="B647" s="6">
        <v>32474</v>
      </c>
      <c r="C647" s="6" t="s">
        <v>259</v>
      </c>
      <c r="D647" s="6">
        <v>20904</v>
      </c>
      <c r="E647" s="6" t="s">
        <v>156</v>
      </c>
      <c r="F647" s="6" t="s">
        <v>894</v>
      </c>
      <c r="G647" s="6"/>
    </row>
    <row r="648" spans="2:7">
      <c r="B648" s="6">
        <v>32474</v>
      </c>
      <c r="C648" s="6" t="s">
        <v>259</v>
      </c>
      <c r="D648" s="6">
        <v>23311</v>
      </c>
      <c r="E648" s="6" t="s">
        <v>221</v>
      </c>
      <c r="F648" s="6" t="s">
        <v>760</v>
      </c>
      <c r="G648" s="6"/>
    </row>
    <row r="649" spans="2:7">
      <c r="B649" s="6">
        <v>32487</v>
      </c>
      <c r="C649" s="6" t="s">
        <v>1007</v>
      </c>
      <c r="D649" s="6">
        <v>12400</v>
      </c>
      <c r="E649" s="6" t="s">
        <v>217</v>
      </c>
      <c r="F649" s="6" t="s">
        <v>469</v>
      </c>
      <c r="G649" s="6"/>
    </row>
    <row r="650" spans="2:7">
      <c r="B650" s="6">
        <v>32487</v>
      </c>
      <c r="C650" s="6" t="s">
        <v>1007</v>
      </c>
      <c r="D650" s="6">
        <v>20500</v>
      </c>
      <c r="E650" s="6" t="s">
        <v>31</v>
      </c>
      <c r="F650" s="6" t="s">
        <v>321</v>
      </c>
      <c r="G650" s="6"/>
    </row>
    <row r="651" spans="2:7">
      <c r="B651" s="6">
        <v>32487</v>
      </c>
      <c r="C651" s="6" t="s">
        <v>1007</v>
      </c>
      <c r="D651" s="6">
        <v>23118</v>
      </c>
      <c r="E651" s="6" t="s">
        <v>252</v>
      </c>
      <c r="F651" s="6" t="s">
        <v>1488</v>
      </c>
      <c r="G651" s="6"/>
    </row>
    <row r="652" spans="2:7">
      <c r="B652" s="6">
        <v>32487</v>
      </c>
      <c r="C652" s="6" t="s">
        <v>1007</v>
      </c>
      <c r="D652" s="6">
        <v>23316</v>
      </c>
      <c r="E652" s="6" t="s">
        <v>260</v>
      </c>
      <c r="F652" s="6" t="s">
        <v>1489</v>
      </c>
      <c r="G652" s="6" t="s">
        <v>1490</v>
      </c>
    </row>
    <row r="653" spans="2:7">
      <c r="B653" s="6">
        <v>32489</v>
      </c>
      <c r="C653" s="6" t="s">
        <v>194</v>
      </c>
      <c r="D653" s="6">
        <v>20500</v>
      </c>
      <c r="E653" s="6" t="s">
        <v>31</v>
      </c>
      <c r="F653" s="6" t="s">
        <v>326</v>
      </c>
      <c r="G653" s="6"/>
    </row>
    <row r="654" spans="2:7">
      <c r="B654" s="6">
        <v>32489</v>
      </c>
      <c r="C654" s="6" t="s">
        <v>194</v>
      </c>
      <c r="D654" s="6">
        <v>20706</v>
      </c>
      <c r="E654" s="6" t="s">
        <v>52</v>
      </c>
      <c r="F654" s="6" t="s">
        <v>432</v>
      </c>
      <c r="G654" s="6" t="s">
        <v>410</v>
      </c>
    </row>
    <row r="655" spans="2:7">
      <c r="B655" s="6">
        <v>32489</v>
      </c>
      <c r="C655" s="6" t="s">
        <v>194</v>
      </c>
      <c r="D655" s="6">
        <v>20902</v>
      </c>
      <c r="E655" s="6" t="s">
        <v>53</v>
      </c>
      <c r="F655" s="6" t="s">
        <v>712</v>
      </c>
      <c r="G655" s="6"/>
    </row>
    <row r="656" spans="2:7">
      <c r="B656" s="6">
        <v>32495</v>
      </c>
      <c r="C656" s="6" t="s">
        <v>195</v>
      </c>
      <c r="D656" s="6">
        <v>20500</v>
      </c>
      <c r="E656" s="6" t="s">
        <v>31</v>
      </c>
      <c r="F656" s="6" t="s">
        <v>326</v>
      </c>
      <c r="G656" s="6"/>
    </row>
    <row r="657" spans="2:7">
      <c r="B657" s="6">
        <v>32495</v>
      </c>
      <c r="C657" s="6" t="s">
        <v>195</v>
      </c>
      <c r="D657" s="6">
        <v>20902</v>
      </c>
      <c r="E657" s="6" t="s">
        <v>53</v>
      </c>
      <c r="F657" s="6" t="s">
        <v>473</v>
      </c>
      <c r="G657" s="6"/>
    </row>
    <row r="658" spans="2:7">
      <c r="B658" s="6">
        <v>32496</v>
      </c>
      <c r="C658" s="6" t="s">
        <v>196</v>
      </c>
      <c r="D658" s="6">
        <v>20500</v>
      </c>
      <c r="E658" s="6" t="s">
        <v>31</v>
      </c>
      <c r="F658" s="6" t="s">
        <v>326</v>
      </c>
      <c r="G658" s="6" t="s">
        <v>423</v>
      </c>
    </row>
    <row r="659" spans="2:7">
      <c r="B659" s="6">
        <v>32496</v>
      </c>
      <c r="C659" s="6" t="s">
        <v>196</v>
      </c>
      <c r="D659" s="6">
        <v>20714</v>
      </c>
      <c r="E659" s="6" t="s">
        <v>188</v>
      </c>
      <c r="F659" s="6" t="s">
        <v>450</v>
      </c>
      <c r="G659" s="6"/>
    </row>
    <row r="660" spans="2:7">
      <c r="B660" s="6">
        <v>32496</v>
      </c>
      <c r="C660" s="6" t="s">
        <v>196</v>
      </c>
      <c r="D660" s="6">
        <v>20902</v>
      </c>
      <c r="E660" s="6" t="s">
        <v>53</v>
      </c>
      <c r="F660" s="6" t="s">
        <v>657</v>
      </c>
      <c r="G660" s="6" t="s">
        <v>1491</v>
      </c>
    </row>
    <row r="661" spans="2:7">
      <c r="B661" s="6">
        <v>32497</v>
      </c>
      <c r="C661" s="6" t="s">
        <v>197</v>
      </c>
      <c r="D661" s="6">
        <v>20714</v>
      </c>
      <c r="E661" s="6" t="s">
        <v>188</v>
      </c>
      <c r="F661" s="6" t="s">
        <v>450</v>
      </c>
      <c r="G661" s="6"/>
    </row>
    <row r="662" spans="2:7">
      <c r="B662" s="6">
        <v>32497</v>
      </c>
      <c r="C662" s="6" t="s">
        <v>197</v>
      </c>
      <c r="D662" s="6">
        <v>20902</v>
      </c>
      <c r="E662" s="6" t="s">
        <v>53</v>
      </c>
      <c r="F662" s="6" t="s">
        <v>737</v>
      </c>
      <c r="G662" s="6" t="s">
        <v>1492</v>
      </c>
    </row>
    <row r="663" spans="2:7">
      <c r="B663" s="6">
        <v>32498</v>
      </c>
      <c r="C663" s="6" t="s">
        <v>1010</v>
      </c>
      <c r="D663" s="6">
        <v>12400</v>
      </c>
      <c r="E663" s="6" t="s">
        <v>217</v>
      </c>
      <c r="F663" s="6" t="s">
        <v>469</v>
      </c>
      <c r="G663" s="6"/>
    </row>
    <row r="664" spans="2:7">
      <c r="B664" s="6">
        <v>32498</v>
      </c>
      <c r="C664" s="6" t="s">
        <v>1010</v>
      </c>
      <c r="D664" s="6">
        <v>23315</v>
      </c>
      <c r="E664" s="6" t="s">
        <v>246</v>
      </c>
      <c r="F664" s="6" t="s">
        <v>1493</v>
      </c>
      <c r="G664" s="6"/>
    </row>
    <row r="665" spans="2:7">
      <c r="B665" s="6">
        <v>32500</v>
      </c>
      <c r="C665" s="6" t="s">
        <v>1024</v>
      </c>
      <c r="D665" s="6">
        <v>12400</v>
      </c>
      <c r="E665" s="6" t="s">
        <v>217</v>
      </c>
      <c r="F665" s="6" t="s">
        <v>469</v>
      </c>
      <c r="G665" s="6"/>
    </row>
    <row r="666" spans="2:7">
      <c r="B666" s="6">
        <v>32500</v>
      </c>
      <c r="C666" s="6" t="s">
        <v>1024</v>
      </c>
      <c r="D666" s="6">
        <v>20920</v>
      </c>
      <c r="E666" s="6" t="s">
        <v>231</v>
      </c>
      <c r="F666" s="6" t="s">
        <v>333</v>
      </c>
      <c r="G666" s="6"/>
    </row>
    <row r="667" spans="2:7">
      <c r="B667" s="6">
        <v>32500</v>
      </c>
      <c r="C667" s="6" t="s">
        <v>1024</v>
      </c>
      <c r="D667" s="6">
        <v>23315</v>
      </c>
      <c r="E667" s="6" t="s">
        <v>246</v>
      </c>
      <c r="F667" s="6" t="s">
        <v>1494</v>
      </c>
      <c r="G667" s="6"/>
    </row>
    <row r="668" spans="2:7">
      <c r="B668" s="6">
        <v>32501</v>
      </c>
      <c r="C668" s="6" t="s">
        <v>1011</v>
      </c>
      <c r="D668" s="6">
        <v>12400</v>
      </c>
      <c r="E668" s="6" t="s">
        <v>217</v>
      </c>
      <c r="F668" s="6" t="s">
        <v>469</v>
      </c>
      <c r="G668" s="6"/>
    </row>
    <row r="669" spans="2:7">
      <c r="B669" s="6">
        <v>32501</v>
      </c>
      <c r="C669" s="6" t="s">
        <v>1011</v>
      </c>
      <c r="D669" s="6">
        <v>20500</v>
      </c>
      <c r="E669" s="6" t="s">
        <v>31</v>
      </c>
      <c r="F669" s="6" t="s">
        <v>321</v>
      </c>
      <c r="G669" s="6"/>
    </row>
    <row r="670" spans="2:7">
      <c r="B670" s="6">
        <v>32501</v>
      </c>
      <c r="C670" s="6" t="s">
        <v>1011</v>
      </c>
      <c r="D670" s="6">
        <v>20920</v>
      </c>
      <c r="E670" s="6" t="s">
        <v>231</v>
      </c>
      <c r="F670" s="6" t="s">
        <v>333</v>
      </c>
      <c r="G670" s="6"/>
    </row>
    <row r="671" spans="2:7">
      <c r="B671" s="6">
        <v>32501</v>
      </c>
      <c r="C671" s="6" t="s">
        <v>1011</v>
      </c>
      <c r="D671" s="6">
        <v>23315</v>
      </c>
      <c r="E671" s="6" t="s">
        <v>246</v>
      </c>
      <c r="F671" s="6" t="s">
        <v>1495</v>
      </c>
      <c r="G671" s="6"/>
    </row>
    <row r="672" spans="2:7">
      <c r="B672" s="6">
        <v>32502</v>
      </c>
      <c r="C672" s="6" t="s">
        <v>261</v>
      </c>
      <c r="D672" s="6">
        <v>12400</v>
      </c>
      <c r="E672" s="6" t="s">
        <v>217</v>
      </c>
      <c r="F672" s="6" t="s">
        <v>469</v>
      </c>
      <c r="G672" s="6"/>
    </row>
    <row r="673" spans="2:7">
      <c r="B673" s="6">
        <v>32502</v>
      </c>
      <c r="C673" s="6" t="s">
        <v>261</v>
      </c>
      <c r="D673" s="6">
        <v>20500</v>
      </c>
      <c r="E673" s="6" t="s">
        <v>31</v>
      </c>
      <c r="F673" s="6" t="s">
        <v>321</v>
      </c>
      <c r="G673" s="6"/>
    </row>
    <row r="674" spans="2:7">
      <c r="B674" s="6">
        <v>32502</v>
      </c>
      <c r="C674" s="6" t="s">
        <v>261</v>
      </c>
      <c r="D674" s="6">
        <v>20920</v>
      </c>
      <c r="E674" s="6" t="s">
        <v>231</v>
      </c>
      <c r="F674" s="6" t="s">
        <v>333</v>
      </c>
      <c r="G674" s="6"/>
    </row>
    <row r="675" spans="2:7">
      <c r="B675" s="6">
        <v>32502</v>
      </c>
      <c r="C675" s="6" t="s">
        <v>261</v>
      </c>
      <c r="D675" s="6">
        <v>23315</v>
      </c>
      <c r="E675" s="6" t="s">
        <v>246</v>
      </c>
      <c r="F675" s="6" t="s">
        <v>879</v>
      </c>
      <c r="G675" s="6"/>
    </row>
    <row r="676" spans="2:7">
      <c r="B676" s="6">
        <v>32503</v>
      </c>
      <c r="C676" s="6" t="s">
        <v>996</v>
      </c>
      <c r="D676" s="6">
        <v>23315</v>
      </c>
      <c r="E676" s="6" t="s">
        <v>246</v>
      </c>
      <c r="F676" s="6" t="s">
        <v>1496</v>
      </c>
      <c r="G676" s="6"/>
    </row>
    <row r="677" spans="2:7">
      <c r="B677" s="6">
        <v>32504</v>
      </c>
      <c r="C677" s="6" t="s">
        <v>1006</v>
      </c>
      <c r="D677" s="6">
        <v>23311</v>
      </c>
      <c r="E677" s="6" t="s">
        <v>221</v>
      </c>
      <c r="F677" s="6" t="s">
        <v>321</v>
      </c>
      <c r="G677" s="6"/>
    </row>
    <row r="678" spans="2:7">
      <c r="B678" s="6">
        <v>32504</v>
      </c>
      <c r="C678" s="6" t="s">
        <v>1006</v>
      </c>
      <c r="D678" s="6">
        <v>23316</v>
      </c>
      <c r="E678" s="6" t="s">
        <v>260</v>
      </c>
      <c r="F678" s="6" t="s">
        <v>1497</v>
      </c>
      <c r="G678" s="6"/>
    </row>
    <row r="679" spans="2:7">
      <c r="B679" s="6">
        <v>32507</v>
      </c>
      <c r="C679" s="6" t="s">
        <v>218</v>
      </c>
      <c r="D679" s="6">
        <v>12400</v>
      </c>
      <c r="E679" s="6" t="s">
        <v>217</v>
      </c>
      <c r="F679" s="6" t="s">
        <v>372</v>
      </c>
      <c r="G679" s="6" t="s">
        <v>367</v>
      </c>
    </row>
    <row r="680" spans="2:7">
      <c r="B680" s="6">
        <v>32507</v>
      </c>
      <c r="C680" s="6" t="s">
        <v>218</v>
      </c>
      <c r="D680" s="6">
        <v>20500</v>
      </c>
      <c r="E680" s="6" t="s">
        <v>31</v>
      </c>
      <c r="F680" s="6" t="s">
        <v>370</v>
      </c>
      <c r="G680" s="6"/>
    </row>
    <row r="681" spans="2:7">
      <c r="B681" s="6">
        <v>32508</v>
      </c>
      <c r="C681" s="6" t="s">
        <v>1140</v>
      </c>
      <c r="D681" s="6">
        <v>20500</v>
      </c>
      <c r="E681" s="6" t="s">
        <v>31</v>
      </c>
      <c r="F681" s="6" t="s">
        <v>326</v>
      </c>
      <c r="G681" s="6"/>
    </row>
    <row r="682" spans="2:7">
      <c r="B682" s="6">
        <v>32508</v>
      </c>
      <c r="C682" s="6" t="s">
        <v>1140</v>
      </c>
      <c r="D682" s="6">
        <v>20902</v>
      </c>
      <c r="E682" s="6" t="s">
        <v>53</v>
      </c>
      <c r="F682" s="6" t="s">
        <v>1498</v>
      </c>
      <c r="G682" s="6"/>
    </row>
    <row r="683" spans="2:7">
      <c r="B683" s="6">
        <v>32510</v>
      </c>
      <c r="C683" s="6" t="s">
        <v>1046</v>
      </c>
      <c r="D683" s="6">
        <v>20500</v>
      </c>
      <c r="E683" s="6" t="s">
        <v>31</v>
      </c>
      <c r="F683" s="6" t="s">
        <v>326</v>
      </c>
      <c r="G683" s="6"/>
    </row>
    <row r="684" spans="2:7">
      <c r="B684" s="6">
        <v>32510</v>
      </c>
      <c r="C684" s="6" t="s">
        <v>1046</v>
      </c>
      <c r="D684" s="6">
        <v>20702</v>
      </c>
      <c r="E684" s="6" t="s">
        <v>44</v>
      </c>
      <c r="F684" s="6" t="s">
        <v>347</v>
      </c>
      <c r="G684" s="6"/>
    </row>
    <row r="685" spans="2:7">
      <c r="B685" s="6">
        <v>32510</v>
      </c>
      <c r="C685" s="6" t="s">
        <v>1046</v>
      </c>
      <c r="D685" s="6">
        <v>20902</v>
      </c>
      <c r="E685" s="6" t="s">
        <v>53</v>
      </c>
      <c r="F685" s="6" t="s">
        <v>1499</v>
      </c>
      <c r="G685" s="6"/>
    </row>
    <row r="686" spans="2:7">
      <c r="B686" s="6">
        <v>32513</v>
      </c>
      <c r="C686" s="6" t="s">
        <v>1080</v>
      </c>
      <c r="D686" s="6">
        <v>20500</v>
      </c>
      <c r="E686" s="6" t="s">
        <v>31</v>
      </c>
      <c r="F686" s="6" t="s">
        <v>326</v>
      </c>
      <c r="G686" s="6"/>
    </row>
    <row r="687" spans="2:7">
      <c r="B687" s="6">
        <v>32513</v>
      </c>
      <c r="C687" s="6" t="s">
        <v>1080</v>
      </c>
      <c r="D687" s="6">
        <v>20902</v>
      </c>
      <c r="E687" s="6" t="s">
        <v>53</v>
      </c>
      <c r="F687" s="6" t="s">
        <v>1500</v>
      </c>
      <c r="G687" s="6"/>
    </row>
    <row r="688" spans="2:7">
      <c r="B688" s="6">
        <v>32521</v>
      </c>
      <c r="C688" s="6" t="s">
        <v>1114</v>
      </c>
      <c r="D688" s="6">
        <v>20500</v>
      </c>
      <c r="E688" s="6" t="s">
        <v>31</v>
      </c>
      <c r="F688" s="6" t="s">
        <v>1347</v>
      </c>
      <c r="G688" s="6" t="s">
        <v>326</v>
      </c>
    </row>
    <row r="689" spans="2:7">
      <c r="B689" s="6">
        <v>32521</v>
      </c>
      <c r="C689" s="6" t="s">
        <v>1114</v>
      </c>
      <c r="D689" s="6">
        <v>20706</v>
      </c>
      <c r="E689" s="6" t="s">
        <v>52</v>
      </c>
      <c r="F689" s="6" t="s">
        <v>432</v>
      </c>
      <c r="G689" s="6"/>
    </row>
    <row r="690" spans="2:7">
      <c r="B690" s="6">
        <v>32521</v>
      </c>
      <c r="C690" s="6" t="s">
        <v>1114</v>
      </c>
      <c r="D690" s="6">
        <v>20902</v>
      </c>
      <c r="E690" s="6" t="s">
        <v>53</v>
      </c>
      <c r="F690" s="6" t="s">
        <v>1501</v>
      </c>
      <c r="G690" s="6" t="s">
        <v>674</v>
      </c>
    </row>
    <row r="691" spans="2:7">
      <c r="B691" s="6">
        <v>32522</v>
      </c>
      <c r="C691" s="6" t="s">
        <v>1138</v>
      </c>
      <c r="D691" s="6">
        <v>20500</v>
      </c>
      <c r="E691" s="6" t="s">
        <v>31</v>
      </c>
      <c r="F691" s="6" t="s">
        <v>326</v>
      </c>
      <c r="G691" s="6"/>
    </row>
    <row r="692" spans="2:7">
      <c r="B692" s="6">
        <v>32522</v>
      </c>
      <c r="C692" s="6" t="s">
        <v>1138</v>
      </c>
      <c r="D692" s="6">
        <v>20706</v>
      </c>
      <c r="E692" s="6" t="s">
        <v>52</v>
      </c>
      <c r="F692" s="6" t="s">
        <v>432</v>
      </c>
      <c r="G692" s="6" t="s">
        <v>410</v>
      </c>
    </row>
    <row r="693" spans="2:7">
      <c r="B693" s="6">
        <v>32522</v>
      </c>
      <c r="C693" s="6" t="s">
        <v>1138</v>
      </c>
      <c r="D693" s="6">
        <v>20902</v>
      </c>
      <c r="E693" s="6" t="s">
        <v>53</v>
      </c>
      <c r="F693" s="6" t="s">
        <v>1502</v>
      </c>
      <c r="G693" s="6" t="s">
        <v>525</v>
      </c>
    </row>
    <row r="694" spans="2:7">
      <c r="B694" s="6">
        <v>32523</v>
      </c>
      <c r="C694" s="6" t="s">
        <v>1126</v>
      </c>
      <c r="D694" s="6">
        <v>20902</v>
      </c>
      <c r="E694" s="6" t="s">
        <v>53</v>
      </c>
      <c r="F694" s="6" t="s">
        <v>714</v>
      </c>
      <c r="G694" s="6"/>
    </row>
    <row r="695" spans="2:7">
      <c r="B695" s="6">
        <v>32524</v>
      </c>
      <c r="C695" s="6" t="s">
        <v>1059</v>
      </c>
      <c r="D695" s="6">
        <v>20500</v>
      </c>
      <c r="E695" s="6" t="s">
        <v>31</v>
      </c>
      <c r="F695" s="6" t="s">
        <v>326</v>
      </c>
      <c r="G695" s="6"/>
    </row>
    <row r="696" spans="2:7">
      <c r="B696" s="6">
        <v>32524</v>
      </c>
      <c r="C696" s="6" t="s">
        <v>1059</v>
      </c>
      <c r="D696" s="6">
        <v>20706</v>
      </c>
      <c r="E696" s="6" t="s">
        <v>52</v>
      </c>
      <c r="F696" s="6" t="s">
        <v>432</v>
      </c>
      <c r="G696" s="6" t="s">
        <v>450</v>
      </c>
    </row>
    <row r="697" spans="2:7">
      <c r="B697" s="6">
        <v>32524</v>
      </c>
      <c r="C697" s="6" t="s">
        <v>1059</v>
      </c>
      <c r="D697" s="6">
        <v>20902</v>
      </c>
      <c r="E697" s="6" t="s">
        <v>53</v>
      </c>
      <c r="F697" s="6" t="s">
        <v>668</v>
      </c>
      <c r="G697" s="6" t="s">
        <v>1503</v>
      </c>
    </row>
    <row r="698" spans="2:7">
      <c r="B698" s="6">
        <v>32528</v>
      </c>
      <c r="C698" s="6" t="s">
        <v>74</v>
      </c>
      <c r="D698" s="6">
        <v>20700</v>
      </c>
      <c r="E698" s="6" t="s">
        <v>15</v>
      </c>
      <c r="F698" s="6" t="s">
        <v>432</v>
      </c>
      <c r="G698" s="6" t="s">
        <v>808</v>
      </c>
    </row>
    <row r="699" spans="2:7">
      <c r="B699" s="6">
        <v>32528</v>
      </c>
      <c r="C699" s="6" t="s">
        <v>74</v>
      </c>
      <c r="D699" s="6">
        <v>23100</v>
      </c>
      <c r="E699" s="6" t="s">
        <v>54</v>
      </c>
      <c r="F699" s="6" t="s">
        <v>370</v>
      </c>
      <c r="G699" s="6"/>
    </row>
    <row r="700" spans="2:7">
      <c r="B700" s="6">
        <v>32530</v>
      </c>
      <c r="C700" s="6" t="s">
        <v>202</v>
      </c>
      <c r="D700" s="6">
        <v>20500</v>
      </c>
      <c r="E700" s="6" t="s">
        <v>31</v>
      </c>
      <c r="F700" s="6" t="s">
        <v>326</v>
      </c>
      <c r="G700" s="6"/>
    </row>
    <row r="701" spans="2:7">
      <c r="B701" s="6">
        <v>32530</v>
      </c>
      <c r="C701" s="6" t="s">
        <v>202</v>
      </c>
      <c r="D701" s="6">
        <v>20902</v>
      </c>
      <c r="E701" s="6" t="s">
        <v>53</v>
      </c>
      <c r="F701" s="6" t="s">
        <v>782</v>
      </c>
      <c r="G701" s="6"/>
    </row>
    <row r="702" spans="2:7">
      <c r="B702" s="6">
        <v>32532</v>
      </c>
      <c r="C702" s="6" t="s">
        <v>218</v>
      </c>
      <c r="D702" s="6">
        <v>12400</v>
      </c>
      <c r="E702" s="6" t="s">
        <v>217</v>
      </c>
      <c r="F702" s="6" t="s">
        <v>370</v>
      </c>
      <c r="G702" s="6" t="s">
        <v>372</v>
      </c>
    </row>
    <row r="703" spans="2:7">
      <c r="B703" s="6">
        <v>32532</v>
      </c>
      <c r="C703" s="6" t="s">
        <v>218</v>
      </c>
      <c r="D703" s="6">
        <v>20500</v>
      </c>
      <c r="E703" s="6" t="s">
        <v>31</v>
      </c>
      <c r="F703" s="6" t="s">
        <v>370</v>
      </c>
      <c r="G703" s="6"/>
    </row>
    <row r="704" spans="2:7">
      <c r="B704" s="6">
        <v>32537</v>
      </c>
      <c r="C704" s="6" t="s">
        <v>1098</v>
      </c>
      <c r="D704" s="6">
        <v>20902</v>
      </c>
      <c r="E704" s="6" t="s">
        <v>53</v>
      </c>
      <c r="F704" s="6" t="s">
        <v>1504</v>
      </c>
      <c r="G704" s="6"/>
    </row>
    <row r="705" spans="2:7">
      <c r="B705" s="6">
        <v>32539</v>
      </c>
      <c r="C705" s="6" t="s">
        <v>204</v>
      </c>
      <c r="D705" s="6">
        <v>20902</v>
      </c>
      <c r="E705" s="6" t="s">
        <v>53</v>
      </c>
      <c r="F705" s="6" t="s">
        <v>498</v>
      </c>
      <c r="G705" s="6"/>
    </row>
    <row r="706" spans="2:7">
      <c r="B706" s="6">
        <v>32540</v>
      </c>
      <c r="C706" s="6" t="s">
        <v>205</v>
      </c>
      <c r="D706" s="6">
        <v>20902</v>
      </c>
      <c r="E706" s="6" t="s">
        <v>53</v>
      </c>
      <c r="F706" s="6" t="s">
        <v>1505</v>
      </c>
      <c r="G706" s="6" t="s">
        <v>322</v>
      </c>
    </row>
    <row r="707" spans="2:7">
      <c r="B707" s="6">
        <v>32541</v>
      </c>
      <c r="C707" s="6" t="s">
        <v>206</v>
      </c>
      <c r="D707" s="6">
        <v>20500</v>
      </c>
      <c r="E707" s="6" t="s">
        <v>31</v>
      </c>
      <c r="F707" s="6" t="s">
        <v>326</v>
      </c>
      <c r="G707" s="6"/>
    </row>
    <row r="708" spans="2:7">
      <c r="B708" s="6">
        <v>32541</v>
      </c>
      <c r="C708" s="6" t="s">
        <v>206</v>
      </c>
      <c r="D708" s="6">
        <v>20705</v>
      </c>
      <c r="E708" s="6" t="s">
        <v>59</v>
      </c>
      <c r="F708" s="6" t="s">
        <v>497</v>
      </c>
      <c r="G708" s="6"/>
    </row>
    <row r="709" spans="2:7">
      <c r="B709" s="6">
        <v>32541</v>
      </c>
      <c r="C709" s="6" t="s">
        <v>206</v>
      </c>
      <c r="D709" s="6">
        <v>20902</v>
      </c>
      <c r="E709" s="6" t="s">
        <v>53</v>
      </c>
      <c r="F709" s="6" t="s">
        <v>496</v>
      </c>
      <c r="G709" s="6"/>
    </row>
    <row r="710" spans="2:7">
      <c r="B710" s="6">
        <v>32556</v>
      </c>
      <c r="C710" s="6" t="s">
        <v>219</v>
      </c>
      <c r="D710" s="6">
        <v>20710</v>
      </c>
      <c r="E710" s="6" t="s">
        <v>214</v>
      </c>
      <c r="F710" s="6" t="s">
        <v>851</v>
      </c>
      <c r="G710" s="6"/>
    </row>
    <row r="711" spans="2:7">
      <c r="B711" s="6">
        <v>32556</v>
      </c>
      <c r="C711" s="6" t="s">
        <v>219</v>
      </c>
      <c r="D711" s="6">
        <v>23100</v>
      </c>
      <c r="E711" s="6" t="s">
        <v>54</v>
      </c>
      <c r="F711" s="6" t="s">
        <v>330</v>
      </c>
      <c r="G711" s="6"/>
    </row>
    <row r="712" spans="2:7">
      <c r="B712" s="6">
        <v>32557</v>
      </c>
      <c r="C712" s="6" t="s">
        <v>1028</v>
      </c>
      <c r="D712" s="6">
        <v>12400</v>
      </c>
      <c r="E712" s="6" t="s">
        <v>217</v>
      </c>
      <c r="F712" s="6" t="s">
        <v>334</v>
      </c>
      <c r="G712" s="6"/>
    </row>
    <row r="713" spans="2:7">
      <c r="B713" s="6">
        <v>32557</v>
      </c>
      <c r="C713" s="6" t="s">
        <v>1028</v>
      </c>
      <c r="D713" s="6">
        <v>20904</v>
      </c>
      <c r="E713" s="6" t="s">
        <v>156</v>
      </c>
      <c r="F713" s="6" t="s">
        <v>1506</v>
      </c>
      <c r="G713" s="6" t="s">
        <v>1507</v>
      </c>
    </row>
    <row r="714" spans="2:7">
      <c r="B714" s="6">
        <v>32558</v>
      </c>
      <c r="C714" s="6" t="s">
        <v>1026</v>
      </c>
      <c r="D714" s="6">
        <v>20500</v>
      </c>
      <c r="E714" s="6" t="s">
        <v>31</v>
      </c>
      <c r="F714" s="6" t="s">
        <v>435</v>
      </c>
      <c r="G714" s="6"/>
    </row>
    <row r="715" spans="2:7">
      <c r="B715" s="6">
        <v>32558</v>
      </c>
      <c r="C715" s="6" t="s">
        <v>1026</v>
      </c>
      <c r="D715" s="6">
        <v>20904</v>
      </c>
      <c r="E715" s="6" t="s">
        <v>156</v>
      </c>
      <c r="F715" s="6" t="s">
        <v>1508</v>
      </c>
      <c r="G715" s="6"/>
    </row>
    <row r="716" spans="2:7">
      <c r="B716" s="6">
        <v>32565</v>
      </c>
      <c r="C716" s="6" t="s">
        <v>1173</v>
      </c>
      <c r="D716" s="6">
        <v>25006</v>
      </c>
      <c r="E716" s="6" t="s">
        <v>1235</v>
      </c>
      <c r="F716" s="6" t="s">
        <v>1509</v>
      </c>
      <c r="G716" s="6" t="s">
        <v>1510</v>
      </c>
    </row>
    <row r="717" spans="2:7">
      <c r="B717" s="6">
        <v>32565</v>
      </c>
      <c r="C717" s="6" t="s">
        <v>1173</v>
      </c>
      <c r="D717" s="6">
        <v>80016</v>
      </c>
      <c r="E717" s="6" t="s">
        <v>1239</v>
      </c>
      <c r="F717" s="6" t="s">
        <v>1486</v>
      </c>
      <c r="G717" s="6"/>
    </row>
    <row r="718" spans="2:7">
      <c r="B718" s="6">
        <v>32568</v>
      </c>
      <c r="C718" s="6" t="s">
        <v>1199</v>
      </c>
      <c r="D718" s="6">
        <v>80012</v>
      </c>
      <c r="E718" s="6" t="s">
        <v>1230</v>
      </c>
      <c r="F718" s="6" t="s">
        <v>1439</v>
      </c>
      <c r="G718" s="6"/>
    </row>
    <row r="719" spans="2:7">
      <c r="B719" s="6">
        <v>32570</v>
      </c>
      <c r="C719" s="6" t="s">
        <v>999</v>
      </c>
      <c r="D719" s="6">
        <v>12400</v>
      </c>
      <c r="E719" s="6" t="s">
        <v>217</v>
      </c>
      <c r="F719" s="6" t="s">
        <v>899</v>
      </c>
      <c r="G719" s="6"/>
    </row>
    <row r="720" spans="2:7">
      <c r="B720" s="6">
        <v>32570</v>
      </c>
      <c r="C720" s="6" t="s">
        <v>999</v>
      </c>
      <c r="D720" s="6">
        <v>20500</v>
      </c>
      <c r="E720" s="6" t="s">
        <v>31</v>
      </c>
      <c r="F720" s="6" t="s">
        <v>321</v>
      </c>
      <c r="G720" s="6"/>
    </row>
    <row r="721" spans="2:7">
      <c r="B721" s="6">
        <v>32570</v>
      </c>
      <c r="C721" s="6" t="s">
        <v>999</v>
      </c>
      <c r="D721" s="6">
        <v>23118</v>
      </c>
      <c r="E721" s="6" t="s">
        <v>252</v>
      </c>
      <c r="F721" s="6" t="s">
        <v>1488</v>
      </c>
      <c r="G721" s="6" t="s">
        <v>1511</v>
      </c>
    </row>
    <row r="722" spans="2:7">
      <c r="B722" s="6">
        <v>32570</v>
      </c>
      <c r="C722" s="6" t="s">
        <v>999</v>
      </c>
      <c r="D722" s="6">
        <v>23316</v>
      </c>
      <c r="E722" s="6" t="s">
        <v>260</v>
      </c>
      <c r="F722" s="6" t="s">
        <v>1489</v>
      </c>
      <c r="G722" s="6"/>
    </row>
    <row r="723" spans="2:7">
      <c r="B723" s="6">
        <v>32571</v>
      </c>
      <c r="C723" s="6" t="s">
        <v>263</v>
      </c>
      <c r="D723" s="6">
        <v>12400</v>
      </c>
      <c r="E723" s="6" t="s">
        <v>217</v>
      </c>
      <c r="F723" s="6" t="s">
        <v>899</v>
      </c>
      <c r="G723" s="6"/>
    </row>
    <row r="724" spans="2:7">
      <c r="B724" s="6">
        <v>32571</v>
      </c>
      <c r="C724" s="6" t="s">
        <v>263</v>
      </c>
      <c r="D724" s="6">
        <v>20500</v>
      </c>
      <c r="E724" s="6" t="s">
        <v>31</v>
      </c>
      <c r="F724" s="6" t="s">
        <v>321</v>
      </c>
      <c r="G724" s="6"/>
    </row>
    <row r="725" spans="2:7">
      <c r="B725" s="6">
        <v>32571</v>
      </c>
      <c r="C725" s="6" t="s">
        <v>263</v>
      </c>
      <c r="D725" s="6">
        <v>23312</v>
      </c>
      <c r="E725" s="6" t="s">
        <v>215</v>
      </c>
      <c r="F725" s="6" t="s">
        <v>916</v>
      </c>
      <c r="G725" s="6"/>
    </row>
    <row r="726" spans="2:7">
      <c r="B726" s="6">
        <v>32571</v>
      </c>
      <c r="C726" s="6" t="s">
        <v>263</v>
      </c>
      <c r="D726" s="6">
        <v>23316</v>
      </c>
      <c r="E726" s="6" t="s">
        <v>260</v>
      </c>
      <c r="F726" s="6" t="s">
        <v>917</v>
      </c>
      <c r="G726" s="6"/>
    </row>
    <row r="727" spans="2:7">
      <c r="B727" s="6">
        <v>32572</v>
      </c>
      <c r="C727" s="6" t="s">
        <v>1193</v>
      </c>
      <c r="D727" s="6">
        <v>20500</v>
      </c>
      <c r="E727" s="6" t="s">
        <v>31</v>
      </c>
      <c r="F727" s="6" t="s">
        <v>1512</v>
      </c>
      <c r="G727" s="6" t="s">
        <v>1513</v>
      </c>
    </row>
    <row r="728" spans="2:7">
      <c r="B728" s="6">
        <v>32572</v>
      </c>
      <c r="C728" s="6" t="s">
        <v>1193</v>
      </c>
      <c r="D728" s="6">
        <v>21300</v>
      </c>
      <c r="E728" s="6" t="s">
        <v>1218</v>
      </c>
      <c r="F728" s="6" t="s">
        <v>1514</v>
      </c>
      <c r="G728" s="6" t="s">
        <v>1515</v>
      </c>
    </row>
    <row r="729" spans="2:7">
      <c r="B729" s="6">
        <v>32572</v>
      </c>
      <c r="C729" s="6" t="s">
        <v>1193</v>
      </c>
      <c r="D729" s="6">
        <v>21400</v>
      </c>
      <c r="E729" s="6" t="s">
        <v>1220</v>
      </c>
      <c r="F729" s="6" t="s">
        <v>1516</v>
      </c>
      <c r="G729" s="6" t="s">
        <v>1517</v>
      </c>
    </row>
    <row r="730" spans="2:7">
      <c r="B730" s="6">
        <v>32574</v>
      </c>
      <c r="C730" s="6" t="s">
        <v>1155</v>
      </c>
      <c r="D730" s="6">
        <v>23500</v>
      </c>
      <c r="E730" s="6" t="s">
        <v>37</v>
      </c>
      <c r="F730" s="6" t="s">
        <v>1518</v>
      </c>
      <c r="G730" s="6"/>
    </row>
    <row r="731" spans="2:7">
      <c r="B731" s="6">
        <v>32579</v>
      </c>
      <c r="C731" s="6" t="s">
        <v>1204</v>
      </c>
      <c r="D731" s="6">
        <v>21300</v>
      </c>
      <c r="E731" s="6" t="s">
        <v>1218</v>
      </c>
      <c r="F731" s="6" t="s">
        <v>1519</v>
      </c>
      <c r="G731" s="6" t="s">
        <v>1520</v>
      </c>
    </row>
    <row r="732" spans="2:7">
      <c r="B732" s="6">
        <v>32582</v>
      </c>
      <c r="C732" s="6" t="s">
        <v>1000</v>
      </c>
      <c r="D732" s="6">
        <v>20500</v>
      </c>
      <c r="E732" s="6" t="s">
        <v>31</v>
      </c>
      <c r="F732" s="6" t="s">
        <v>435</v>
      </c>
      <c r="G732" s="6"/>
    </row>
    <row r="733" spans="2:7">
      <c r="B733" s="6">
        <v>32582</v>
      </c>
      <c r="C733" s="6" t="s">
        <v>1000</v>
      </c>
      <c r="D733" s="6">
        <v>20904</v>
      </c>
      <c r="E733" s="6" t="s">
        <v>156</v>
      </c>
      <c r="F733" s="6" t="s">
        <v>1521</v>
      </c>
      <c r="G733" s="6" t="s">
        <v>1522</v>
      </c>
    </row>
    <row r="734" spans="2:7">
      <c r="B734" s="6">
        <v>32584</v>
      </c>
      <c r="C734" s="6" t="s">
        <v>1014</v>
      </c>
      <c r="D734" s="6">
        <v>23312</v>
      </c>
      <c r="E734" s="6" t="s">
        <v>215</v>
      </c>
      <c r="F734" s="6" t="s">
        <v>1523</v>
      </c>
      <c r="G734" s="6"/>
    </row>
    <row r="735" spans="2:7">
      <c r="B735" s="6">
        <v>32584</v>
      </c>
      <c r="C735" s="6" t="s">
        <v>1014</v>
      </c>
      <c r="D735" s="6">
        <v>23316</v>
      </c>
      <c r="E735" s="6" t="s">
        <v>260</v>
      </c>
      <c r="F735" s="6" t="s">
        <v>1497</v>
      </c>
      <c r="G735" s="6"/>
    </row>
    <row r="736" spans="2:7">
      <c r="B736" s="6">
        <v>32585</v>
      </c>
      <c r="C736" s="6" t="s">
        <v>1001</v>
      </c>
      <c r="D736" s="6">
        <v>20904</v>
      </c>
      <c r="E736" s="6" t="s">
        <v>156</v>
      </c>
      <c r="F736" s="6" t="s">
        <v>434</v>
      </c>
      <c r="G736" s="6" t="s">
        <v>1524</v>
      </c>
    </row>
    <row r="737" spans="2:7">
      <c r="B737" s="6">
        <v>32586</v>
      </c>
      <c r="C737" s="6" t="s">
        <v>1052</v>
      </c>
      <c r="D737" s="6">
        <v>20500</v>
      </c>
      <c r="E737" s="6" t="s">
        <v>31</v>
      </c>
      <c r="F737" s="6" t="s">
        <v>326</v>
      </c>
      <c r="G737" s="6"/>
    </row>
    <row r="738" spans="2:7">
      <c r="B738" s="6">
        <v>32586</v>
      </c>
      <c r="C738" s="6" t="s">
        <v>1052</v>
      </c>
      <c r="D738" s="6">
        <v>20702</v>
      </c>
      <c r="E738" s="6" t="s">
        <v>44</v>
      </c>
      <c r="F738" s="6" t="s">
        <v>1525</v>
      </c>
      <c r="G738" s="6"/>
    </row>
    <row r="739" spans="2:7">
      <c r="B739" s="6">
        <v>32586</v>
      </c>
      <c r="C739" s="6" t="s">
        <v>1052</v>
      </c>
      <c r="D739" s="6">
        <v>20902</v>
      </c>
      <c r="E739" s="6" t="s">
        <v>53</v>
      </c>
      <c r="F739" s="6" t="s">
        <v>1526</v>
      </c>
      <c r="G739" s="6"/>
    </row>
    <row r="740" spans="2:7">
      <c r="B740" s="6">
        <v>32587</v>
      </c>
      <c r="C740" s="6" t="s">
        <v>1105</v>
      </c>
      <c r="D740" s="6">
        <v>20702</v>
      </c>
      <c r="E740" s="6" t="s">
        <v>44</v>
      </c>
      <c r="F740" s="6" t="s">
        <v>381</v>
      </c>
      <c r="G740" s="6"/>
    </row>
    <row r="741" spans="2:7">
      <c r="B741" s="6">
        <v>32587</v>
      </c>
      <c r="C741" s="6" t="s">
        <v>1105</v>
      </c>
      <c r="D741" s="6">
        <v>20902</v>
      </c>
      <c r="E741" s="6" t="s">
        <v>53</v>
      </c>
      <c r="F741" s="6" t="s">
        <v>1527</v>
      </c>
      <c r="G741" s="6" t="s">
        <v>1528</v>
      </c>
    </row>
    <row r="742" spans="2:7">
      <c r="B742" s="6">
        <v>32588</v>
      </c>
      <c r="C742" s="6" t="s">
        <v>1066</v>
      </c>
      <c r="D742" s="6">
        <v>20500</v>
      </c>
      <c r="E742" s="6" t="s">
        <v>31</v>
      </c>
      <c r="F742" s="6" t="s">
        <v>326</v>
      </c>
      <c r="G742" s="6"/>
    </row>
    <row r="743" spans="2:7">
      <c r="B743" s="6">
        <v>32588</v>
      </c>
      <c r="C743" s="6" t="s">
        <v>1066</v>
      </c>
      <c r="D743" s="6">
        <v>20902</v>
      </c>
      <c r="E743" s="6" t="s">
        <v>53</v>
      </c>
      <c r="F743" s="6" t="s">
        <v>1529</v>
      </c>
      <c r="G743" s="6"/>
    </row>
    <row r="744" spans="2:7">
      <c r="B744" s="6">
        <v>32589</v>
      </c>
      <c r="C744" s="6" t="s">
        <v>1133</v>
      </c>
      <c r="D744" s="6">
        <v>20902</v>
      </c>
      <c r="E744" s="6" t="s">
        <v>53</v>
      </c>
      <c r="F744" s="6" t="s">
        <v>1530</v>
      </c>
      <c r="G744" s="6"/>
    </row>
    <row r="745" spans="2:7">
      <c r="B745" s="6">
        <v>32590</v>
      </c>
      <c r="C745" s="6" t="s">
        <v>1134</v>
      </c>
      <c r="D745" s="6">
        <v>20702</v>
      </c>
      <c r="E745" s="6" t="s">
        <v>44</v>
      </c>
      <c r="F745" s="6" t="s">
        <v>381</v>
      </c>
      <c r="G745" s="6"/>
    </row>
    <row r="746" spans="2:7">
      <c r="B746" s="6">
        <v>32590</v>
      </c>
      <c r="C746" s="6" t="s">
        <v>1134</v>
      </c>
      <c r="D746" s="6">
        <v>20902</v>
      </c>
      <c r="E746" s="6" t="s">
        <v>53</v>
      </c>
      <c r="F746" s="6" t="s">
        <v>1531</v>
      </c>
      <c r="G746" s="6" t="s">
        <v>1532</v>
      </c>
    </row>
    <row r="747" spans="2:7">
      <c r="B747" s="6">
        <v>32591</v>
      </c>
      <c r="C747" s="6" t="s">
        <v>1067</v>
      </c>
      <c r="D747" s="6">
        <v>20500</v>
      </c>
      <c r="E747" s="6" t="s">
        <v>31</v>
      </c>
      <c r="F747" s="6" t="s">
        <v>326</v>
      </c>
      <c r="G747" s="6"/>
    </row>
    <row r="748" spans="2:7">
      <c r="B748" s="6">
        <v>32591</v>
      </c>
      <c r="C748" s="6" t="s">
        <v>1067</v>
      </c>
      <c r="D748" s="6">
        <v>20902</v>
      </c>
      <c r="E748" s="6" t="s">
        <v>53</v>
      </c>
      <c r="F748" s="6" t="s">
        <v>1533</v>
      </c>
      <c r="G748" s="6"/>
    </row>
    <row r="749" spans="2:7">
      <c r="B749" s="6">
        <v>32592</v>
      </c>
      <c r="C749" s="6" t="s">
        <v>1068</v>
      </c>
      <c r="D749" s="6">
        <v>20702</v>
      </c>
      <c r="E749" s="6" t="s">
        <v>44</v>
      </c>
      <c r="F749" s="6" t="s">
        <v>1534</v>
      </c>
      <c r="G749" s="6" t="s">
        <v>1525</v>
      </c>
    </row>
    <row r="750" spans="2:7">
      <c r="B750" s="6">
        <v>32592</v>
      </c>
      <c r="C750" s="6" t="s">
        <v>1068</v>
      </c>
      <c r="D750" s="6">
        <v>20902</v>
      </c>
      <c r="E750" s="6" t="s">
        <v>53</v>
      </c>
      <c r="F750" s="6" t="s">
        <v>1535</v>
      </c>
      <c r="G750" s="6"/>
    </row>
    <row r="751" spans="2:7">
      <c r="B751" s="6">
        <v>32593</v>
      </c>
      <c r="C751" s="6" t="s">
        <v>1086</v>
      </c>
      <c r="D751" s="6">
        <v>20702</v>
      </c>
      <c r="E751" s="6" t="s">
        <v>44</v>
      </c>
      <c r="F751" s="6" t="s">
        <v>1525</v>
      </c>
      <c r="G751" s="6"/>
    </row>
    <row r="752" spans="2:7">
      <c r="B752" s="6">
        <v>32593</v>
      </c>
      <c r="C752" s="6" t="s">
        <v>1086</v>
      </c>
      <c r="D752" s="6">
        <v>20902</v>
      </c>
      <c r="E752" s="6" t="s">
        <v>53</v>
      </c>
      <c r="F752" s="6" t="s">
        <v>1536</v>
      </c>
      <c r="G752" s="6"/>
    </row>
    <row r="753" spans="2:7">
      <c r="B753" s="6">
        <v>32594</v>
      </c>
      <c r="C753" s="6" t="s">
        <v>1106</v>
      </c>
      <c r="D753" s="6">
        <v>20902</v>
      </c>
      <c r="E753" s="6" t="s">
        <v>53</v>
      </c>
      <c r="F753" s="6" t="s">
        <v>1537</v>
      </c>
      <c r="G753" s="6"/>
    </row>
    <row r="754" spans="2:7">
      <c r="B754" s="6">
        <v>32602</v>
      </c>
      <c r="C754" s="6" t="s">
        <v>1071</v>
      </c>
      <c r="D754" s="6">
        <v>20500</v>
      </c>
      <c r="E754" s="6" t="s">
        <v>31</v>
      </c>
      <c r="F754" s="6" t="s">
        <v>326</v>
      </c>
      <c r="G754" s="6"/>
    </row>
    <row r="755" spans="2:7">
      <c r="B755" s="6">
        <v>32602</v>
      </c>
      <c r="C755" s="6" t="s">
        <v>1071</v>
      </c>
      <c r="D755" s="6">
        <v>20706</v>
      </c>
      <c r="E755" s="6" t="s">
        <v>52</v>
      </c>
      <c r="F755" s="6" t="s">
        <v>410</v>
      </c>
      <c r="G755" s="6"/>
    </row>
    <row r="756" spans="2:7">
      <c r="B756" s="6">
        <v>32602</v>
      </c>
      <c r="C756" s="6" t="s">
        <v>1071</v>
      </c>
      <c r="D756" s="6">
        <v>20902</v>
      </c>
      <c r="E756" s="6" t="s">
        <v>53</v>
      </c>
      <c r="F756" s="6" t="s">
        <v>1538</v>
      </c>
      <c r="G756" s="6"/>
    </row>
    <row r="757" spans="2:7">
      <c r="B757" s="6">
        <v>32603</v>
      </c>
      <c r="C757" s="6" t="s">
        <v>1109</v>
      </c>
      <c r="D757" s="6">
        <v>20702</v>
      </c>
      <c r="E757" s="6" t="s">
        <v>44</v>
      </c>
      <c r="F757" s="6" t="s">
        <v>410</v>
      </c>
      <c r="G757" s="6"/>
    </row>
    <row r="758" spans="2:7">
      <c r="B758" s="6">
        <v>32603</v>
      </c>
      <c r="C758" s="6" t="s">
        <v>1109</v>
      </c>
      <c r="D758" s="6">
        <v>20706</v>
      </c>
      <c r="E758" s="6" t="s">
        <v>52</v>
      </c>
      <c r="F758" s="6" t="s">
        <v>410</v>
      </c>
      <c r="G758" s="6"/>
    </row>
    <row r="759" spans="2:7">
      <c r="B759" s="6">
        <v>32603</v>
      </c>
      <c r="C759" s="6" t="s">
        <v>1109</v>
      </c>
      <c r="D759" s="6">
        <v>20902</v>
      </c>
      <c r="E759" s="6" t="s">
        <v>53</v>
      </c>
      <c r="F759" s="6" t="s">
        <v>1539</v>
      </c>
      <c r="G759" s="6"/>
    </row>
    <row r="760" spans="2:7">
      <c r="B760" s="6">
        <v>32605</v>
      </c>
      <c r="C760" s="6" t="s">
        <v>1065</v>
      </c>
      <c r="D760" s="6">
        <v>20500</v>
      </c>
      <c r="E760" s="6" t="s">
        <v>31</v>
      </c>
      <c r="F760" s="6" t="s">
        <v>326</v>
      </c>
      <c r="G760" s="6"/>
    </row>
    <row r="761" spans="2:7">
      <c r="B761" s="6">
        <v>32605</v>
      </c>
      <c r="C761" s="6" t="s">
        <v>1065</v>
      </c>
      <c r="D761" s="6">
        <v>20902</v>
      </c>
      <c r="E761" s="6" t="s">
        <v>53</v>
      </c>
      <c r="F761" s="6" t="s">
        <v>1540</v>
      </c>
      <c r="G761" s="6"/>
    </row>
    <row r="762" spans="2:7">
      <c r="B762" s="6">
        <v>32606</v>
      </c>
      <c r="C762" s="6" t="s">
        <v>1054</v>
      </c>
      <c r="D762" s="6">
        <v>20500</v>
      </c>
      <c r="E762" s="6" t="s">
        <v>31</v>
      </c>
      <c r="F762" s="6" t="s">
        <v>326</v>
      </c>
      <c r="G762" s="6"/>
    </row>
    <row r="763" spans="2:7">
      <c r="B763" s="6">
        <v>32606</v>
      </c>
      <c r="C763" s="6" t="s">
        <v>1054</v>
      </c>
      <c r="D763" s="6">
        <v>20902</v>
      </c>
      <c r="E763" s="6" t="s">
        <v>53</v>
      </c>
      <c r="F763" s="6" t="s">
        <v>1541</v>
      </c>
      <c r="G763" s="6"/>
    </row>
    <row r="764" spans="2:7">
      <c r="B764" s="6">
        <v>32607</v>
      </c>
      <c r="C764" s="6" t="s">
        <v>1192</v>
      </c>
      <c r="D764" s="6">
        <v>21000</v>
      </c>
      <c r="E764" s="6" t="s">
        <v>276</v>
      </c>
      <c r="F764" s="6" t="s">
        <v>1481</v>
      </c>
      <c r="G764" s="6"/>
    </row>
    <row r="765" spans="2:7">
      <c r="B765" s="6">
        <v>32608</v>
      </c>
      <c r="C765" s="6" t="s">
        <v>1017</v>
      </c>
      <c r="D765" s="6">
        <v>12400</v>
      </c>
      <c r="E765" s="6" t="s">
        <v>217</v>
      </c>
      <c r="F765" s="6" t="s">
        <v>334</v>
      </c>
      <c r="G765" s="6"/>
    </row>
    <row r="766" spans="2:7">
      <c r="B766" s="6">
        <v>32608</v>
      </c>
      <c r="C766" s="6" t="s">
        <v>1017</v>
      </c>
      <c r="D766" s="6">
        <v>20500</v>
      </c>
      <c r="E766" s="6" t="s">
        <v>31</v>
      </c>
      <c r="F766" s="6" t="s">
        <v>435</v>
      </c>
      <c r="G766" s="6"/>
    </row>
    <row r="767" spans="2:7">
      <c r="B767" s="6">
        <v>32608</v>
      </c>
      <c r="C767" s="6" t="s">
        <v>1017</v>
      </c>
      <c r="D767" s="6">
        <v>20904</v>
      </c>
      <c r="E767" s="6" t="s">
        <v>156</v>
      </c>
      <c r="F767" s="6" t="s">
        <v>1542</v>
      </c>
      <c r="G767" s="6" t="s">
        <v>1543</v>
      </c>
    </row>
    <row r="768" spans="2:7">
      <c r="B768" s="6">
        <v>32608</v>
      </c>
      <c r="C768" s="6" t="s">
        <v>1017</v>
      </c>
      <c r="D768" s="6">
        <v>23315</v>
      </c>
      <c r="E768" s="6" t="s">
        <v>246</v>
      </c>
      <c r="F768" s="6" t="s">
        <v>1544</v>
      </c>
      <c r="G768" s="6"/>
    </row>
    <row r="769" spans="2:7">
      <c r="B769" s="6">
        <v>32609</v>
      </c>
      <c r="C769" s="6" t="s">
        <v>264</v>
      </c>
      <c r="D769" s="6">
        <v>12400</v>
      </c>
      <c r="E769" s="6" t="s">
        <v>217</v>
      </c>
      <c r="F769" s="6" t="s">
        <v>469</v>
      </c>
      <c r="G769" s="6"/>
    </row>
    <row r="770" spans="2:7">
      <c r="B770" s="6">
        <v>32609</v>
      </c>
      <c r="C770" s="6" t="s">
        <v>264</v>
      </c>
      <c r="D770" s="6">
        <v>20500</v>
      </c>
      <c r="E770" s="6" t="s">
        <v>31</v>
      </c>
      <c r="F770" s="6" t="s">
        <v>321</v>
      </c>
      <c r="G770" s="6"/>
    </row>
    <row r="771" spans="2:7">
      <c r="B771" s="6">
        <v>32609</v>
      </c>
      <c r="C771" s="6" t="s">
        <v>264</v>
      </c>
      <c r="D771" s="6">
        <v>20920</v>
      </c>
      <c r="E771" s="6" t="s">
        <v>231</v>
      </c>
      <c r="F771" s="6" t="s">
        <v>333</v>
      </c>
      <c r="G771" s="6" t="s">
        <v>1472</v>
      </c>
    </row>
    <row r="772" spans="2:7">
      <c r="B772" s="6">
        <v>32609</v>
      </c>
      <c r="C772" s="6" t="s">
        <v>264</v>
      </c>
      <c r="D772" s="6">
        <v>23320</v>
      </c>
      <c r="E772" s="6" t="s">
        <v>265</v>
      </c>
      <c r="F772" s="6" t="s">
        <v>1545</v>
      </c>
      <c r="G772" s="6" t="s">
        <v>419</v>
      </c>
    </row>
    <row r="773" spans="2:7">
      <c r="B773" s="6">
        <v>32609</v>
      </c>
      <c r="C773" s="6" t="s">
        <v>264</v>
      </c>
      <c r="D773" s="6">
        <v>25005</v>
      </c>
      <c r="E773" s="6" t="s">
        <v>232</v>
      </c>
      <c r="F773" s="6" t="s">
        <v>321</v>
      </c>
      <c r="G773" s="6"/>
    </row>
    <row r="774" spans="2:7">
      <c r="B774" s="6">
        <v>32610</v>
      </c>
      <c r="C774" s="6" t="s">
        <v>897</v>
      </c>
      <c r="D774" s="6">
        <v>12400</v>
      </c>
      <c r="E774" s="6" t="s">
        <v>217</v>
      </c>
      <c r="F774" s="6" t="s">
        <v>334</v>
      </c>
      <c r="G774" s="6"/>
    </row>
    <row r="775" spans="2:7">
      <c r="B775" s="6">
        <v>32610</v>
      </c>
      <c r="C775" s="6" t="s">
        <v>897</v>
      </c>
      <c r="D775" s="6">
        <v>23311</v>
      </c>
      <c r="E775" s="6" t="s">
        <v>221</v>
      </c>
      <c r="F775" s="6" t="s">
        <v>876</v>
      </c>
      <c r="G775" s="6"/>
    </row>
    <row r="776" spans="2:7">
      <c r="B776" s="6">
        <v>32611</v>
      </c>
      <c r="C776" s="6" t="s">
        <v>1025</v>
      </c>
      <c r="D776" s="6">
        <v>20500</v>
      </c>
      <c r="E776" s="6" t="s">
        <v>31</v>
      </c>
      <c r="F776" s="6" t="s">
        <v>435</v>
      </c>
      <c r="G776" s="6"/>
    </row>
    <row r="777" spans="2:7">
      <c r="B777" s="6">
        <v>32611</v>
      </c>
      <c r="C777" s="6" t="s">
        <v>1025</v>
      </c>
      <c r="D777" s="6">
        <v>20904</v>
      </c>
      <c r="E777" s="6" t="s">
        <v>156</v>
      </c>
      <c r="F777" s="6" t="s">
        <v>1546</v>
      </c>
      <c r="G777" s="6"/>
    </row>
    <row r="778" spans="2:7">
      <c r="B778" s="6">
        <v>32611</v>
      </c>
      <c r="C778" s="6" t="s">
        <v>1025</v>
      </c>
      <c r="D778" s="6">
        <v>23315</v>
      </c>
      <c r="E778" s="6" t="s">
        <v>246</v>
      </c>
      <c r="F778" s="6" t="s">
        <v>1547</v>
      </c>
      <c r="G778" s="6"/>
    </row>
    <row r="779" spans="2:7">
      <c r="B779" s="6">
        <v>32614</v>
      </c>
      <c r="C779" s="6" t="s">
        <v>1161</v>
      </c>
      <c r="D779" s="6">
        <v>20600</v>
      </c>
      <c r="E779" s="6" t="s">
        <v>32</v>
      </c>
      <c r="F779" s="6" t="s">
        <v>1548</v>
      </c>
      <c r="G779" s="6" t="s">
        <v>1549</v>
      </c>
    </row>
    <row r="780" spans="2:7">
      <c r="B780" s="6">
        <v>32615</v>
      </c>
      <c r="C780" s="6" t="s">
        <v>1164</v>
      </c>
      <c r="D780" s="6">
        <v>20600</v>
      </c>
      <c r="E780" s="6" t="s">
        <v>32</v>
      </c>
      <c r="F780" s="6" t="s">
        <v>1550</v>
      </c>
      <c r="G780" s="6" t="s">
        <v>1551</v>
      </c>
    </row>
    <row r="781" spans="2:7">
      <c r="B781" s="6">
        <v>32616</v>
      </c>
      <c r="C781" s="6" t="s">
        <v>1013</v>
      </c>
      <c r="D781" s="6">
        <v>12400</v>
      </c>
      <c r="E781" s="6" t="s">
        <v>217</v>
      </c>
      <c r="F781" s="6" t="s">
        <v>899</v>
      </c>
      <c r="G781" s="6"/>
    </row>
    <row r="782" spans="2:7">
      <c r="B782" s="6">
        <v>32616</v>
      </c>
      <c r="C782" s="6" t="s">
        <v>1013</v>
      </c>
      <c r="D782" s="6">
        <v>20500</v>
      </c>
      <c r="E782" s="6" t="s">
        <v>31</v>
      </c>
      <c r="F782" s="6" t="s">
        <v>760</v>
      </c>
      <c r="G782" s="6"/>
    </row>
    <row r="783" spans="2:7">
      <c r="B783" s="6">
        <v>32616</v>
      </c>
      <c r="C783" s="6" t="s">
        <v>1013</v>
      </c>
      <c r="D783" s="6">
        <v>20904</v>
      </c>
      <c r="E783" s="6" t="s">
        <v>156</v>
      </c>
      <c r="F783" s="6" t="s">
        <v>1552</v>
      </c>
      <c r="G783" s="6" t="s">
        <v>1553</v>
      </c>
    </row>
    <row r="784" spans="2:7">
      <c r="B784" s="6">
        <v>32617</v>
      </c>
      <c r="C784" s="6" t="s">
        <v>1018</v>
      </c>
      <c r="D784" s="6">
        <v>20920</v>
      </c>
      <c r="E784" s="6" t="s">
        <v>231</v>
      </c>
      <c r="F784" s="6" t="s">
        <v>333</v>
      </c>
      <c r="G784" s="6"/>
    </row>
    <row r="785" spans="2:7">
      <c r="B785" s="6">
        <v>32617</v>
      </c>
      <c r="C785" s="6" t="s">
        <v>1018</v>
      </c>
      <c r="D785" s="6">
        <v>23315</v>
      </c>
      <c r="E785" s="6" t="s">
        <v>246</v>
      </c>
      <c r="F785" s="6" t="s">
        <v>1470</v>
      </c>
      <c r="G785" s="6"/>
    </row>
    <row r="786" spans="2:7">
      <c r="B786" s="6">
        <v>32618</v>
      </c>
      <c r="C786" s="6" t="s">
        <v>1060</v>
      </c>
      <c r="D786" s="6">
        <v>20700</v>
      </c>
      <c r="E786" s="6" t="s">
        <v>15</v>
      </c>
      <c r="F786" s="6" t="s">
        <v>808</v>
      </c>
      <c r="G786" s="6"/>
    </row>
    <row r="787" spans="2:7">
      <c r="B787" s="6">
        <v>32621</v>
      </c>
      <c r="C787" s="6" t="s">
        <v>42</v>
      </c>
      <c r="D787" s="6">
        <v>20500</v>
      </c>
      <c r="E787" s="6" t="s">
        <v>31</v>
      </c>
      <c r="F787" s="6" t="s">
        <v>1408</v>
      </c>
      <c r="G787" s="6" t="s">
        <v>398</v>
      </c>
    </row>
    <row r="788" spans="2:7">
      <c r="B788" s="6">
        <v>32622</v>
      </c>
      <c r="C788" s="6" t="s">
        <v>1049</v>
      </c>
      <c r="D788" s="6">
        <v>20500</v>
      </c>
      <c r="E788" s="6" t="s">
        <v>31</v>
      </c>
      <c r="F788" s="6" t="s">
        <v>326</v>
      </c>
      <c r="G788" s="6"/>
    </row>
    <row r="789" spans="2:7">
      <c r="B789" s="6">
        <v>32622</v>
      </c>
      <c r="C789" s="6" t="s">
        <v>1049</v>
      </c>
      <c r="D789" s="6">
        <v>20706</v>
      </c>
      <c r="E789" s="6" t="s">
        <v>52</v>
      </c>
      <c r="F789" s="6" t="s">
        <v>410</v>
      </c>
      <c r="G789" s="6"/>
    </row>
    <row r="790" spans="2:7">
      <c r="B790" s="6">
        <v>32622</v>
      </c>
      <c r="C790" s="6" t="s">
        <v>1049</v>
      </c>
      <c r="D790" s="6">
        <v>20902</v>
      </c>
      <c r="E790" s="6" t="s">
        <v>53</v>
      </c>
      <c r="F790" s="6" t="s">
        <v>1554</v>
      </c>
      <c r="G790" s="6"/>
    </row>
    <row r="791" spans="2:7">
      <c r="B791" s="6">
        <v>32623</v>
      </c>
      <c r="C791" s="6" t="s">
        <v>1131</v>
      </c>
      <c r="D791" s="6">
        <v>20902</v>
      </c>
      <c r="E791" s="6" t="s">
        <v>53</v>
      </c>
      <c r="F791" s="6" t="s">
        <v>1555</v>
      </c>
      <c r="G791" s="6"/>
    </row>
    <row r="792" spans="2:7">
      <c r="B792" s="6">
        <v>32624</v>
      </c>
      <c r="C792" s="6" t="s">
        <v>1137</v>
      </c>
      <c r="D792" s="6">
        <v>20902</v>
      </c>
      <c r="E792" s="6" t="s">
        <v>53</v>
      </c>
      <c r="F792" s="6" t="s">
        <v>1556</v>
      </c>
      <c r="G792" s="6"/>
    </row>
    <row r="793" spans="2:7">
      <c r="B793" s="6">
        <v>32625</v>
      </c>
      <c r="C793" s="6" t="s">
        <v>1088</v>
      </c>
      <c r="D793" s="6">
        <v>20500</v>
      </c>
      <c r="E793" s="6" t="s">
        <v>31</v>
      </c>
      <c r="F793" s="6" t="s">
        <v>326</v>
      </c>
      <c r="G793" s="6"/>
    </row>
    <row r="794" spans="2:7">
      <c r="B794" s="6">
        <v>32625</v>
      </c>
      <c r="C794" s="6" t="s">
        <v>1088</v>
      </c>
      <c r="D794" s="6">
        <v>20902</v>
      </c>
      <c r="E794" s="6" t="s">
        <v>53</v>
      </c>
      <c r="F794" s="6" t="s">
        <v>1557</v>
      </c>
      <c r="G794" s="6"/>
    </row>
    <row r="795" spans="2:7">
      <c r="B795" s="6">
        <v>32626</v>
      </c>
      <c r="C795" s="6" t="s">
        <v>1074</v>
      </c>
      <c r="D795" s="6">
        <v>20500</v>
      </c>
      <c r="E795" s="6" t="s">
        <v>31</v>
      </c>
      <c r="F795" s="6" t="s">
        <v>326</v>
      </c>
      <c r="G795" s="6"/>
    </row>
    <row r="796" spans="2:7">
      <c r="B796" s="6">
        <v>32626</v>
      </c>
      <c r="C796" s="6" t="s">
        <v>1074</v>
      </c>
      <c r="D796" s="6">
        <v>20902</v>
      </c>
      <c r="E796" s="6" t="s">
        <v>53</v>
      </c>
      <c r="F796" s="6" t="s">
        <v>1558</v>
      </c>
      <c r="G796" s="6"/>
    </row>
    <row r="797" spans="2:7">
      <c r="B797" s="6">
        <v>32628</v>
      </c>
      <c r="C797" s="6" t="s">
        <v>207</v>
      </c>
      <c r="D797" s="6">
        <v>20500</v>
      </c>
      <c r="E797" s="6" t="s">
        <v>31</v>
      </c>
      <c r="F797" s="6" t="s">
        <v>326</v>
      </c>
      <c r="G797" s="6"/>
    </row>
    <row r="798" spans="2:7">
      <c r="B798" s="6">
        <v>32628</v>
      </c>
      <c r="C798" s="6" t="s">
        <v>207</v>
      </c>
      <c r="D798" s="6">
        <v>20706</v>
      </c>
      <c r="E798" s="6" t="s">
        <v>52</v>
      </c>
      <c r="F798" s="6" t="s">
        <v>432</v>
      </c>
      <c r="G798" s="6" t="s">
        <v>410</v>
      </c>
    </row>
    <row r="799" spans="2:7">
      <c r="B799" s="6">
        <v>32628</v>
      </c>
      <c r="C799" s="6" t="s">
        <v>207</v>
      </c>
      <c r="D799" s="6">
        <v>20902</v>
      </c>
      <c r="E799" s="6" t="s">
        <v>53</v>
      </c>
      <c r="F799" s="6" t="s">
        <v>832</v>
      </c>
      <c r="G799" s="6"/>
    </row>
    <row r="800" spans="2:7">
      <c r="B800" s="6">
        <v>32631</v>
      </c>
      <c r="C800" s="6" t="s">
        <v>1075</v>
      </c>
      <c r="D800" s="6">
        <v>20902</v>
      </c>
      <c r="E800" s="6" t="s">
        <v>53</v>
      </c>
      <c r="F800" s="6" t="s">
        <v>1559</v>
      </c>
      <c r="G800" s="6"/>
    </row>
    <row r="801" spans="2:7">
      <c r="B801" s="6">
        <v>32632</v>
      </c>
      <c r="C801" s="6" t="s">
        <v>1179</v>
      </c>
      <c r="D801" s="6">
        <v>23317</v>
      </c>
      <c r="E801" s="6" t="s">
        <v>1234</v>
      </c>
      <c r="F801" s="6" t="s">
        <v>1560</v>
      </c>
      <c r="G801" s="6"/>
    </row>
    <row r="802" spans="2:7">
      <c r="B802" s="6">
        <v>32632</v>
      </c>
      <c r="C802" s="6" t="s">
        <v>1179</v>
      </c>
      <c r="D802" s="6">
        <v>24000</v>
      </c>
      <c r="E802" s="6" t="s">
        <v>72</v>
      </c>
      <c r="F802" s="6" t="s">
        <v>1561</v>
      </c>
      <c r="G802" s="6"/>
    </row>
    <row r="803" spans="2:7">
      <c r="B803" s="6">
        <v>32633</v>
      </c>
      <c r="C803" s="6" t="s">
        <v>1174</v>
      </c>
      <c r="D803" s="6">
        <v>23317</v>
      </c>
      <c r="E803" s="6" t="s">
        <v>1234</v>
      </c>
      <c r="F803" s="6" t="s">
        <v>1562</v>
      </c>
      <c r="G803" s="6"/>
    </row>
    <row r="804" spans="2:7">
      <c r="B804" s="6">
        <v>32633</v>
      </c>
      <c r="C804" s="6" t="s">
        <v>1174</v>
      </c>
      <c r="D804" s="6">
        <v>24000</v>
      </c>
      <c r="E804" s="6" t="s">
        <v>72</v>
      </c>
      <c r="F804" s="6" t="s">
        <v>1561</v>
      </c>
      <c r="G804" s="6"/>
    </row>
    <row r="805" spans="2:7">
      <c r="B805" s="6">
        <v>32634</v>
      </c>
      <c r="C805" s="6" t="s">
        <v>1180</v>
      </c>
      <c r="D805" s="6">
        <v>25006</v>
      </c>
      <c r="E805" s="6" t="s">
        <v>1235</v>
      </c>
      <c r="F805" s="6" t="s">
        <v>1509</v>
      </c>
      <c r="G805" s="6" t="s">
        <v>1563</v>
      </c>
    </row>
    <row r="806" spans="2:7">
      <c r="B806" s="6">
        <v>32634</v>
      </c>
      <c r="C806" s="6" t="s">
        <v>1180</v>
      </c>
      <c r="D806" s="6">
        <v>25007</v>
      </c>
      <c r="E806" s="6" t="s">
        <v>1236</v>
      </c>
      <c r="F806" s="6" t="s">
        <v>1485</v>
      </c>
      <c r="G806" s="6"/>
    </row>
    <row r="807" spans="2:7">
      <c r="B807" s="6">
        <v>32634</v>
      </c>
      <c r="C807" s="6" t="s">
        <v>1180</v>
      </c>
      <c r="D807" s="6">
        <v>26000</v>
      </c>
      <c r="E807" s="6" t="s">
        <v>1228</v>
      </c>
      <c r="F807" s="6" t="s">
        <v>1486</v>
      </c>
      <c r="G807" s="6" t="s">
        <v>1564</v>
      </c>
    </row>
    <row r="808" spans="2:7">
      <c r="B808" s="6">
        <v>32636</v>
      </c>
      <c r="C808" s="6" t="s">
        <v>1112</v>
      </c>
      <c r="D808" s="6">
        <v>20902</v>
      </c>
      <c r="E808" s="6" t="s">
        <v>53</v>
      </c>
      <c r="F808" s="6" t="s">
        <v>1565</v>
      </c>
      <c r="G808" s="6"/>
    </row>
    <row r="809" spans="2:7">
      <c r="B809" s="6">
        <v>32637</v>
      </c>
      <c r="C809" s="6" t="s">
        <v>208</v>
      </c>
      <c r="D809" s="6">
        <v>20500</v>
      </c>
      <c r="E809" s="6" t="s">
        <v>31</v>
      </c>
      <c r="F809" s="6" t="s">
        <v>1347</v>
      </c>
      <c r="G809" s="6" t="s">
        <v>326</v>
      </c>
    </row>
    <row r="810" spans="2:7">
      <c r="B810" s="6">
        <v>32637</v>
      </c>
      <c r="C810" s="6" t="s">
        <v>208</v>
      </c>
      <c r="D810" s="6">
        <v>20706</v>
      </c>
      <c r="E810" s="6" t="s">
        <v>52</v>
      </c>
      <c r="F810" s="6" t="s">
        <v>432</v>
      </c>
      <c r="G810" s="6"/>
    </row>
    <row r="811" spans="2:7">
      <c r="B811" s="6">
        <v>32637</v>
      </c>
      <c r="C811" s="6" t="s">
        <v>208</v>
      </c>
      <c r="D811" s="6">
        <v>20902</v>
      </c>
      <c r="E811" s="6" t="s">
        <v>53</v>
      </c>
      <c r="F811" s="6" t="s">
        <v>1566</v>
      </c>
      <c r="G811" s="6" t="s">
        <v>918</v>
      </c>
    </row>
    <row r="812" spans="2:7">
      <c r="B812" s="6">
        <v>32638</v>
      </c>
      <c r="C812" s="6" t="s">
        <v>209</v>
      </c>
      <c r="D812" s="6">
        <v>20500</v>
      </c>
      <c r="E812" s="6" t="s">
        <v>31</v>
      </c>
      <c r="F812" s="6" t="s">
        <v>326</v>
      </c>
      <c r="G812" s="6"/>
    </row>
    <row r="813" spans="2:7">
      <c r="B813" s="6">
        <v>32638</v>
      </c>
      <c r="C813" s="6" t="s">
        <v>209</v>
      </c>
      <c r="D813" s="6">
        <v>20902</v>
      </c>
      <c r="E813" s="6" t="s">
        <v>53</v>
      </c>
      <c r="F813" s="6" t="s">
        <v>366</v>
      </c>
      <c r="G813" s="6"/>
    </row>
    <row r="814" spans="2:7">
      <c r="B814" s="6">
        <v>32639</v>
      </c>
      <c r="C814" s="6" t="s">
        <v>1073</v>
      </c>
      <c r="D814" s="6">
        <v>20500</v>
      </c>
      <c r="E814" s="6" t="s">
        <v>31</v>
      </c>
      <c r="F814" s="6" t="s">
        <v>326</v>
      </c>
      <c r="G814" s="6"/>
    </row>
    <row r="815" spans="2:7">
      <c r="B815" s="6">
        <v>32639</v>
      </c>
      <c r="C815" s="6" t="s">
        <v>1073</v>
      </c>
      <c r="D815" s="6">
        <v>20902</v>
      </c>
      <c r="E815" s="6" t="s">
        <v>53</v>
      </c>
      <c r="F815" s="6" t="s">
        <v>1567</v>
      </c>
      <c r="G815" s="6"/>
    </row>
    <row r="816" spans="2:7">
      <c r="B816" s="6">
        <v>32640</v>
      </c>
      <c r="C816" s="6" t="s">
        <v>210</v>
      </c>
      <c r="D816" s="6">
        <v>20500</v>
      </c>
      <c r="E816" s="6" t="s">
        <v>31</v>
      </c>
      <c r="F816" s="6" t="s">
        <v>326</v>
      </c>
      <c r="G816" s="6"/>
    </row>
    <row r="817" spans="2:7">
      <c r="B817" s="6">
        <v>32640</v>
      </c>
      <c r="C817" s="6" t="s">
        <v>210</v>
      </c>
      <c r="D817" s="6">
        <v>20902</v>
      </c>
      <c r="E817" s="6" t="s">
        <v>53</v>
      </c>
      <c r="F817" s="6" t="s">
        <v>461</v>
      </c>
      <c r="G817" s="6"/>
    </row>
    <row r="818" spans="2:7">
      <c r="B818" s="6">
        <v>32642</v>
      </c>
      <c r="C818" s="6" t="s">
        <v>211</v>
      </c>
      <c r="D818" s="6">
        <v>20500</v>
      </c>
      <c r="E818" s="6" t="s">
        <v>31</v>
      </c>
      <c r="F818" s="6" t="s">
        <v>326</v>
      </c>
      <c r="G818" s="6"/>
    </row>
    <row r="819" spans="2:7">
      <c r="B819" s="6">
        <v>32642</v>
      </c>
      <c r="C819" s="6" t="s">
        <v>211</v>
      </c>
      <c r="D819" s="6">
        <v>20902</v>
      </c>
      <c r="E819" s="6" t="s">
        <v>53</v>
      </c>
      <c r="F819" s="6" t="s">
        <v>405</v>
      </c>
      <c r="G819" s="6"/>
    </row>
    <row r="820" spans="2:7">
      <c r="B820" s="6">
        <v>32643</v>
      </c>
      <c r="C820" s="6" t="s">
        <v>212</v>
      </c>
      <c r="D820" s="6">
        <v>20902</v>
      </c>
      <c r="E820" s="6" t="s">
        <v>53</v>
      </c>
      <c r="F820" s="6" t="s">
        <v>708</v>
      </c>
      <c r="G820" s="6"/>
    </row>
    <row r="821" spans="2:7">
      <c r="B821" s="6">
        <v>32655</v>
      </c>
      <c r="C821" s="6" t="s">
        <v>1136</v>
      </c>
      <c r="D821" s="6">
        <v>20705</v>
      </c>
      <c r="E821" s="6" t="s">
        <v>59</v>
      </c>
      <c r="F821" s="6" t="s">
        <v>497</v>
      </c>
      <c r="G821" s="6"/>
    </row>
    <row r="822" spans="2:7">
      <c r="B822" s="6">
        <v>32655</v>
      </c>
      <c r="C822" s="6" t="s">
        <v>1136</v>
      </c>
      <c r="D822" s="6">
        <v>20902</v>
      </c>
      <c r="E822" s="6" t="s">
        <v>53</v>
      </c>
      <c r="F822" s="6" t="s">
        <v>1568</v>
      </c>
      <c r="G822" s="6"/>
    </row>
    <row r="823" spans="2:7">
      <c r="B823" s="6">
        <v>32657</v>
      </c>
      <c r="C823" s="6" t="s">
        <v>1196</v>
      </c>
      <c r="D823" s="6">
        <v>10900</v>
      </c>
      <c r="E823" s="6" t="s">
        <v>1222</v>
      </c>
      <c r="F823" s="6" t="s">
        <v>1480</v>
      </c>
      <c r="G823" s="6"/>
    </row>
    <row r="824" spans="2:7">
      <c r="B824" s="6">
        <v>32658</v>
      </c>
      <c r="C824" s="6" t="s">
        <v>1197</v>
      </c>
      <c r="D824" s="6">
        <v>10900</v>
      </c>
      <c r="E824" s="6" t="s">
        <v>1222</v>
      </c>
      <c r="F824" s="6" t="s">
        <v>1480</v>
      </c>
      <c r="G824" s="6"/>
    </row>
    <row r="825" spans="2:7">
      <c r="B825" s="6">
        <v>32658</v>
      </c>
      <c r="C825" s="6" t="s">
        <v>1197</v>
      </c>
      <c r="D825" s="6">
        <v>21000</v>
      </c>
      <c r="E825" s="6" t="s">
        <v>276</v>
      </c>
      <c r="F825" s="6" t="s">
        <v>1440</v>
      </c>
      <c r="G825" s="6" t="s">
        <v>1569</v>
      </c>
    </row>
    <row r="826" spans="2:7">
      <c r="B826" s="6">
        <v>32658</v>
      </c>
      <c r="C826" s="6" t="s">
        <v>1197</v>
      </c>
      <c r="D826" s="6">
        <v>23500</v>
      </c>
      <c r="E826" s="6" t="s">
        <v>37</v>
      </c>
      <c r="F826" s="6" t="s">
        <v>1570</v>
      </c>
      <c r="G826" s="6" t="s">
        <v>1571</v>
      </c>
    </row>
    <row r="827" spans="2:7">
      <c r="B827" s="6">
        <v>32659</v>
      </c>
      <c r="C827" s="6" t="s">
        <v>266</v>
      </c>
      <c r="D827" s="6">
        <v>12400</v>
      </c>
      <c r="E827" s="6" t="s">
        <v>217</v>
      </c>
      <c r="F827" s="6" t="s">
        <v>469</v>
      </c>
      <c r="G827" s="6" t="s">
        <v>338</v>
      </c>
    </row>
    <row r="828" spans="2:7">
      <c r="B828" s="6">
        <v>32659</v>
      </c>
      <c r="C828" s="6" t="s">
        <v>266</v>
      </c>
      <c r="D828" s="6">
        <v>20500</v>
      </c>
      <c r="E828" s="6" t="s">
        <v>31</v>
      </c>
      <c r="F828" s="6" t="s">
        <v>845</v>
      </c>
      <c r="G828" s="6"/>
    </row>
    <row r="829" spans="2:7">
      <c r="B829" s="6">
        <v>32659</v>
      </c>
      <c r="C829" s="6" t="s">
        <v>266</v>
      </c>
      <c r="D829" s="6">
        <v>20904</v>
      </c>
      <c r="E829" s="6" t="s">
        <v>156</v>
      </c>
      <c r="F829" s="6" t="s">
        <v>843</v>
      </c>
      <c r="G829" s="6" t="s">
        <v>1572</v>
      </c>
    </row>
    <row r="830" spans="2:7">
      <c r="B830" s="6">
        <v>32660</v>
      </c>
      <c r="C830" s="6" t="s">
        <v>643</v>
      </c>
      <c r="D830" s="6">
        <v>20902</v>
      </c>
      <c r="E830" s="6" t="s">
        <v>53</v>
      </c>
      <c r="F830" s="6" t="s">
        <v>644</v>
      </c>
      <c r="G830" s="6"/>
    </row>
    <row r="831" spans="2:7">
      <c r="B831" s="6">
        <v>32661</v>
      </c>
      <c r="C831" s="6" t="s">
        <v>408</v>
      </c>
      <c r="D831" s="6">
        <v>20500</v>
      </c>
      <c r="E831" s="6" t="s">
        <v>31</v>
      </c>
      <c r="F831" s="6" t="s">
        <v>326</v>
      </c>
      <c r="G831" s="6"/>
    </row>
    <row r="832" spans="2:7">
      <c r="B832" s="6">
        <v>32661</v>
      </c>
      <c r="C832" s="6" t="s">
        <v>408</v>
      </c>
      <c r="D832" s="6">
        <v>20706</v>
      </c>
      <c r="E832" s="6" t="s">
        <v>52</v>
      </c>
      <c r="F832" s="6" t="s">
        <v>410</v>
      </c>
      <c r="G832" s="6"/>
    </row>
    <row r="833" spans="2:7">
      <c r="B833" s="6">
        <v>32661</v>
      </c>
      <c r="C833" s="6" t="s">
        <v>408</v>
      </c>
      <c r="D833" s="6">
        <v>20902</v>
      </c>
      <c r="E833" s="6" t="s">
        <v>53</v>
      </c>
      <c r="F833" s="6" t="s">
        <v>409</v>
      </c>
      <c r="G833" s="6"/>
    </row>
    <row r="834" spans="2:7">
      <c r="B834" s="6">
        <v>32662</v>
      </c>
      <c r="C834" s="6" t="s">
        <v>406</v>
      </c>
      <c r="D834" s="6">
        <v>20500</v>
      </c>
      <c r="E834" s="6" t="s">
        <v>31</v>
      </c>
      <c r="F834" s="6" t="s">
        <v>326</v>
      </c>
      <c r="G834" s="6"/>
    </row>
    <row r="835" spans="2:7">
      <c r="B835" s="6">
        <v>32662</v>
      </c>
      <c r="C835" s="6" t="s">
        <v>406</v>
      </c>
      <c r="D835" s="6">
        <v>20902</v>
      </c>
      <c r="E835" s="6" t="s">
        <v>53</v>
      </c>
      <c r="F835" s="6" t="s">
        <v>407</v>
      </c>
      <c r="G835" s="6"/>
    </row>
    <row r="836" spans="2:7">
      <c r="B836" s="6">
        <v>32663</v>
      </c>
      <c r="C836" s="6" t="s">
        <v>438</v>
      </c>
      <c r="D836" s="6">
        <v>20902</v>
      </c>
      <c r="E836" s="6" t="s">
        <v>53</v>
      </c>
      <c r="F836" s="6" t="s">
        <v>439</v>
      </c>
      <c r="G836" s="6"/>
    </row>
    <row r="837" spans="2:7">
      <c r="B837" s="6">
        <v>32664</v>
      </c>
      <c r="C837" s="6" t="s">
        <v>593</v>
      </c>
      <c r="D837" s="6">
        <v>23119</v>
      </c>
      <c r="E837" s="6" t="s">
        <v>281</v>
      </c>
      <c r="F837" s="6" t="s">
        <v>468</v>
      </c>
      <c r="G837" s="6"/>
    </row>
    <row r="838" spans="2:7">
      <c r="B838" s="6">
        <v>32664</v>
      </c>
      <c r="C838" s="6" t="s">
        <v>593</v>
      </c>
      <c r="D838" s="6">
        <v>23311</v>
      </c>
      <c r="E838" s="6" t="s">
        <v>221</v>
      </c>
      <c r="F838" s="6" t="s">
        <v>321</v>
      </c>
      <c r="G838" s="6"/>
    </row>
    <row r="839" spans="2:7">
      <c r="B839" s="6">
        <v>32664</v>
      </c>
      <c r="C839" s="6" t="s">
        <v>593</v>
      </c>
      <c r="D839" s="6">
        <v>23315</v>
      </c>
      <c r="E839" s="6" t="s">
        <v>246</v>
      </c>
      <c r="F839" s="6" t="s">
        <v>594</v>
      </c>
      <c r="G839" s="6"/>
    </row>
    <row r="840" spans="2:7">
      <c r="B840" s="6">
        <v>32665</v>
      </c>
      <c r="C840" s="6" t="s">
        <v>702</v>
      </c>
      <c r="D840" s="6">
        <v>23315</v>
      </c>
      <c r="E840" s="6" t="s">
        <v>246</v>
      </c>
      <c r="F840" s="6" t="s">
        <v>703</v>
      </c>
      <c r="G840" s="6"/>
    </row>
    <row r="841" spans="2:7">
      <c r="B841" s="6">
        <v>32669</v>
      </c>
      <c r="C841" s="6" t="s">
        <v>800</v>
      </c>
      <c r="D841" s="6">
        <v>12400</v>
      </c>
      <c r="E841" s="6" t="s">
        <v>217</v>
      </c>
      <c r="F841" s="6" t="s">
        <v>334</v>
      </c>
      <c r="G841" s="6"/>
    </row>
    <row r="842" spans="2:7">
      <c r="B842" s="6">
        <v>32671</v>
      </c>
      <c r="C842" s="6" t="s">
        <v>1205</v>
      </c>
      <c r="D842" s="6">
        <v>24000</v>
      </c>
      <c r="E842" s="6" t="s">
        <v>72</v>
      </c>
      <c r="F842" s="6" t="s">
        <v>1573</v>
      </c>
      <c r="G842" s="6"/>
    </row>
    <row r="843" spans="2:7">
      <c r="B843" s="6">
        <v>32672</v>
      </c>
      <c r="C843" s="6" t="s">
        <v>555</v>
      </c>
      <c r="D843" s="6">
        <v>20500</v>
      </c>
      <c r="E843" s="6" t="s">
        <v>31</v>
      </c>
      <c r="F843" s="6" t="s">
        <v>326</v>
      </c>
      <c r="G843" s="6" t="s">
        <v>423</v>
      </c>
    </row>
    <row r="844" spans="2:7">
      <c r="B844" s="6">
        <v>32672</v>
      </c>
      <c r="C844" s="6" t="s">
        <v>555</v>
      </c>
      <c r="D844" s="6">
        <v>20713</v>
      </c>
      <c r="E844" s="6" t="s">
        <v>147</v>
      </c>
      <c r="F844" s="6" t="s">
        <v>376</v>
      </c>
      <c r="G844" s="6" t="s">
        <v>444</v>
      </c>
    </row>
    <row r="845" spans="2:7">
      <c r="B845" s="6">
        <v>32672</v>
      </c>
      <c r="C845" s="6" t="s">
        <v>555</v>
      </c>
      <c r="D845" s="6">
        <v>20902</v>
      </c>
      <c r="E845" s="6" t="s">
        <v>53</v>
      </c>
      <c r="F845" s="6" t="s">
        <v>556</v>
      </c>
      <c r="G845" s="6"/>
    </row>
    <row r="846" spans="2:7">
      <c r="B846" s="6">
        <v>32673</v>
      </c>
      <c r="C846" s="6" t="s">
        <v>820</v>
      </c>
      <c r="D846" s="6">
        <v>20500</v>
      </c>
      <c r="E846" s="6" t="s">
        <v>31</v>
      </c>
      <c r="F846" s="6" t="s">
        <v>1347</v>
      </c>
      <c r="G846" s="6" t="s">
        <v>326</v>
      </c>
    </row>
    <row r="847" spans="2:7">
      <c r="B847" s="6">
        <v>32673</v>
      </c>
      <c r="C847" s="6" t="s">
        <v>820</v>
      </c>
      <c r="D847" s="6">
        <v>20713</v>
      </c>
      <c r="E847" s="6" t="s">
        <v>147</v>
      </c>
      <c r="F847" s="6" t="s">
        <v>1574</v>
      </c>
      <c r="G847" s="6" t="s">
        <v>376</v>
      </c>
    </row>
    <row r="848" spans="2:7">
      <c r="B848" s="6">
        <v>32673</v>
      </c>
      <c r="C848" s="6" t="s">
        <v>820</v>
      </c>
      <c r="D848" s="6">
        <v>20902</v>
      </c>
      <c r="E848" s="6" t="s">
        <v>53</v>
      </c>
      <c r="F848" s="6" t="s">
        <v>821</v>
      </c>
      <c r="G848" s="6" t="s">
        <v>1575</v>
      </c>
    </row>
    <row r="849" spans="2:7">
      <c r="B849" s="6">
        <v>32674</v>
      </c>
      <c r="C849" s="6" t="s">
        <v>725</v>
      </c>
      <c r="D849" s="6">
        <v>20500</v>
      </c>
      <c r="E849" s="6" t="s">
        <v>31</v>
      </c>
      <c r="F849" s="6" t="s">
        <v>326</v>
      </c>
      <c r="G849" s="6" t="s">
        <v>423</v>
      </c>
    </row>
    <row r="850" spans="2:7">
      <c r="B850" s="6">
        <v>32674</v>
      </c>
      <c r="C850" s="6" t="s">
        <v>725</v>
      </c>
      <c r="D850" s="6">
        <v>20713</v>
      </c>
      <c r="E850" s="6" t="s">
        <v>147</v>
      </c>
      <c r="F850" s="6" t="s">
        <v>1574</v>
      </c>
      <c r="G850" s="6" t="s">
        <v>376</v>
      </c>
    </row>
    <row r="851" spans="2:7">
      <c r="B851" s="6">
        <v>32674</v>
      </c>
      <c r="C851" s="6" t="s">
        <v>725</v>
      </c>
      <c r="D851" s="6">
        <v>20902</v>
      </c>
      <c r="E851" s="6" t="s">
        <v>53</v>
      </c>
      <c r="F851" s="6" t="s">
        <v>1576</v>
      </c>
      <c r="G851" s="6" t="s">
        <v>726</v>
      </c>
    </row>
    <row r="852" spans="2:7">
      <c r="B852" s="6">
        <v>32675</v>
      </c>
      <c r="C852" s="6" t="s">
        <v>661</v>
      </c>
      <c r="D852" s="6">
        <v>20902</v>
      </c>
      <c r="E852" s="6" t="s">
        <v>53</v>
      </c>
      <c r="F852" s="6" t="s">
        <v>662</v>
      </c>
      <c r="G852" s="6"/>
    </row>
    <row r="853" spans="2:7">
      <c r="B853" s="6">
        <v>32676</v>
      </c>
      <c r="C853" s="6" t="s">
        <v>1078</v>
      </c>
      <c r="D853" s="6">
        <v>20600</v>
      </c>
      <c r="E853" s="6" t="s">
        <v>32</v>
      </c>
      <c r="F853" s="6" t="s">
        <v>1577</v>
      </c>
      <c r="G853" s="6"/>
    </row>
    <row r="854" spans="2:7">
      <c r="B854" s="6">
        <v>32677</v>
      </c>
      <c r="C854" s="6" t="s">
        <v>1097</v>
      </c>
      <c r="D854" s="6">
        <v>20710</v>
      </c>
      <c r="E854" s="6" t="s">
        <v>214</v>
      </c>
      <c r="F854" s="6" t="s">
        <v>851</v>
      </c>
      <c r="G854" s="6"/>
    </row>
    <row r="855" spans="2:7">
      <c r="B855" s="6">
        <v>32678</v>
      </c>
      <c r="C855" s="6" t="s">
        <v>1202</v>
      </c>
      <c r="D855" s="6">
        <v>23314</v>
      </c>
      <c r="E855" s="6" t="s">
        <v>1233</v>
      </c>
      <c r="F855" s="6" t="s">
        <v>1571</v>
      </c>
      <c r="G855" s="6"/>
    </row>
    <row r="856" spans="2:7">
      <c r="B856" s="6">
        <v>32678</v>
      </c>
      <c r="C856" s="6" t="s">
        <v>1202</v>
      </c>
      <c r="D856" s="6">
        <v>23500</v>
      </c>
      <c r="E856" s="6" t="s">
        <v>37</v>
      </c>
      <c r="F856" s="6" t="s">
        <v>1570</v>
      </c>
      <c r="G856" s="6"/>
    </row>
    <row r="857" spans="2:7">
      <c r="B857" s="6">
        <v>32680</v>
      </c>
      <c r="C857" s="6" t="s">
        <v>1187</v>
      </c>
      <c r="D857" s="6">
        <v>25006</v>
      </c>
      <c r="E857" s="6" t="s">
        <v>1235</v>
      </c>
      <c r="F857" s="6" t="s">
        <v>1509</v>
      </c>
      <c r="G857" s="6"/>
    </row>
    <row r="858" spans="2:7">
      <c r="B858" s="6">
        <v>32681</v>
      </c>
      <c r="C858" s="6" t="s">
        <v>1146</v>
      </c>
      <c r="D858" s="6">
        <v>23500</v>
      </c>
      <c r="E858" s="6" t="s">
        <v>37</v>
      </c>
      <c r="F858" s="6" t="s">
        <v>1518</v>
      </c>
      <c r="G858" s="6"/>
    </row>
    <row r="859" spans="2:7">
      <c r="B859" s="6">
        <v>32683</v>
      </c>
      <c r="C859" s="6" t="s">
        <v>1151</v>
      </c>
      <c r="D859" s="6">
        <v>25006</v>
      </c>
      <c r="E859" s="6" t="s">
        <v>1235</v>
      </c>
      <c r="F859" s="6" t="s">
        <v>1578</v>
      </c>
      <c r="G859" s="6"/>
    </row>
    <row r="860" spans="2:7">
      <c r="B860" s="6">
        <v>32687</v>
      </c>
      <c r="C860" s="6" t="s">
        <v>834</v>
      </c>
      <c r="D860" s="6">
        <v>20500</v>
      </c>
      <c r="E860" s="6" t="s">
        <v>31</v>
      </c>
      <c r="F860" s="6" t="s">
        <v>326</v>
      </c>
      <c r="G860" s="6"/>
    </row>
    <row r="861" spans="2:7">
      <c r="B861" s="6">
        <v>32687</v>
      </c>
      <c r="C861" s="6" t="s">
        <v>834</v>
      </c>
      <c r="D861" s="6">
        <v>20713</v>
      </c>
      <c r="E861" s="6" t="s">
        <v>147</v>
      </c>
      <c r="F861" s="6" t="s">
        <v>376</v>
      </c>
      <c r="G861" s="6"/>
    </row>
    <row r="862" spans="2:7">
      <c r="B862" s="6">
        <v>32687</v>
      </c>
      <c r="C862" s="6" t="s">
        <v>834</v>
      </c>
      <c r="D862" s="6">
        <v>20902</v>
      </c>
      <c r="E862" s="6" t="s">
        <v>53</v>
      </c>
      <c r="F862" s="6" t="s">
        <v>835</v>
      </c>
      <c r="G862" s="6" t="s">
        <v>1579</v>
      </c>
    </row>
    <row r="863" spans="2:7">
      <c r="B863" s="6">
        <v>32688</v>
      </c>
      <c r="C863" s="6" t="s">
        <v>795</v>
      </c>
      <c r="D863" s="6">
        <v>20500</v>
      </c>
      <c r="E863" s="6" t="s">
        <v>31</v>
      </c>
      <c r="F863" s="6" t="s">
        <v>326</v>
      </c>
      <c r="G863" s="6"/>
    </row>
    <row r="864" spans="2:7">
      <c r="B864" s="6">
        <v>32688</v>
      </c>
      <c r="C864" s="6" t="s">
        <v>795</v>
      </c>
      <c r="D864" s="6">
        <v>20713</v>
      </c>
      <c r="E864" s="6" t="s">
        <v>147</v>
      </c>
      <c r="F864" s="6" t="s">
        <v>376</v>
      </c>
      <c r="G864" s="6"/>
    </row>
    <row r="865" spans="2:7">
      <c r="B865" s="6">
        <v>32688</v>
      </c>
      <c r="C865" s="6" t="s">
        <v>795</v>
      </c>
      <c r="D865" s="6">
        <v>20902</v>
      </c>
      <c r="E865" s="6" t="s">
        <v>53</v>
      </c>
      <c r="F865" s="6" t="s">
        <v>1580</v>
      </c>
      <c r="G865" s="6" t="s">
        <v>796</v>
      </c>
    </row>
    <row r="866" spans="2:7">
      <c r="B866" s="6">
        <v>32689</v>
      </c>
      <c r="C866" s="6" t="s">
        <v>696</v>
      </c>
      <c r="D866" s="6">
        <v>20500</v>
      </c>
      <c r="E866" s="6" t="s">
        <v>31</v>
      </c>
      <c r="F866" s="6" t="s">
        <v>1347</v>
      </c>
      <c r="G866" s="6" t="s">
        <v>326</v>
      </c>
    </row>
    <row r="867" spans="2:7">
      <c r="B867" s="6">
        <v>32689</v>
      </c>
      <c r="C867" s="6" t="s">
        <v>696</v>
      </c>
      <c r="D867" s="6">
        <v>20713</v>
      </c>
      <c r="E867" s="6" t="s">
        <v>147</v>
      </c>
      <c r="F867" s="6" t="s">
        <v>1574</v>
      </c>
      <c r="G867" s="6" t="s">
        <v>376</v>
      </c>
    </row>
    <row r="868" spans="2:7">
      <c r="B868" s="6">
        <v>32689</v>
      </c>
      <c r="C868" s="6" t="s">
        <v>696</v>
      </c>
      <c r="D868" s="6">
        <v>20902</v>
      </c>
      <c r="E868" s="6" t="s">
        <v>53</v>
      </c>
      <c r="F868" s="6" t="s">
        <v>1581</v>
      </c>
      <c r="G868" s="6" t="s">
        <v>697</v>
      </c>
    </row>
    <row r="869" spans="2:7">
      <c r="B869" s="6">
        <v>32690</v>
      </c>
      <c r="C869" s="6" t="s">
        <v>625</v>
      </c>
      <c r="D869" s="6">
        <v>20500</v>
      </c>
      <c r="E869" s="6" t="s">
        <v>31</v>
      </c>
      <c r="F869" s="6" t="s">
        <v>1347</v>
      </c>
      <c r="G869" s="6" t="s">
        <v>326</v>
      </c>
    </row>
    <row r="870" spans="2:7">
      <c r="B870" s="6">
        <v>32690</v>
      </c>
      <c r="C870" s="6" t="s">
        <v>625</v>
      </c>
      <c r="D870" s="6">
        <v>20713</v>
      </c>
      <c r="E870" s="6" t="s">
        <v>147</v>
      </c>
      <c r="F870" s="6" t="s">
        <v>1574</v>
      </c>
      <c r="G870" s="6" t="s">
        <v>444</v>
      </c>
    </row>
    <row r="871" spans="2:7">
      <c r="B871" s="6">
        <v>32690</v>
      </c>
      <c r="C871" s="6" t="s">
        <v>625</v>
      </c>
      <c r="D871" s="6">
        <v>20902</v>
      </c>
      <c r="E871" s="6" t="s">
        <v>53</v>
      </c>
      <c r="F871" s="6" t="s">
        <v>1582</v>
      </c>
      <c r="G871" s="6" t="s">
        <v>626</v>
      </c>
    </row>
    <row r="872" spans="2:7">
      <c r="B872" s="6">
        <v>32691</v>
      </c>
      <c r="C872" s="6" t="s">
        <v>1077</v>
      </c>
      <c r="D872" s="6">
        <v>20500</v>
      </c>
      <c r="E872" s="6" t="s">
        <v>31</v>
      </c>
      <c r="F872" s="6" t="s">
        <v>326</v>
      </c>
      <c r="G872" s="6"/>
    </row>
    <row r="873" spans="2:7">
      <c r="B873" s="6">
        <v>32691</v>
      </c>
      <c r="C873" s="6" t="s">
        <v>1077</v>
      </c>
      <c r="D873" s="6">
        <v>20713</v>
      </c>
      <c r="E873" s="6" t="s">
        <v>147</v>
      </c>
      <c r="F873" s="6" t="s">
        <v>376</v>
      </c>
      <c r="G873" s="6"/>
    </row>
    <row r="874" spans="2:7">
      <c r="B874" s="6">
        <v>32692</v>
      </c>
      <c r="C874" s="6" t="s">
        <v>646</v>
      </c>
      <c r="D874" s="6">
        <v>20500</v>
      </c>
      <c r="E874" s="6" t="s">
        <v>31</v>
      </c>
      <c r="F874" s="6" t="s">
        <v>1347</v>
      </c>
      <c r="G874" s="6" t="s">
        <v>326</v>
      </c>
    </row>
    <row r="875" spans="2:7">
      <c r="B875" s="6">
        <v>32692</v>
      </c>
      <c r="C875" s="6" t="s">
        <v>646</v>
      </c>
      <c r="D875" s="6">
        <v>20713</v>
      </c>
      <c r="E875" s="6" t="s">
        <v>147</v>
      </c>
      <c r="F875" s="6" t="s">
        <v>1574</v>
      </c>
      <c r="G875" s="6"/>
    </row>
    <row r="876" spans="2:7">
      <c r="B876" s="6">
        <v>32692</v>
      </c>
      <c r="C876" s="6" t="s">
        <v>646</v>
      </c>
      <c r="D876" s="6">
        <v>20902</v>
      </c>
      <c r="E876" s="6" t="s">
        <v>53</v>
      </c>
      <c r="F876" s="6" t="s">
        <v>1583</v>
      </c>
      <c r="G876" s="6" t="s">
        <v>647</v>
      </c>
    </row>
    <row r="877" spans="2:7">
      <c r="B877" s="6">
        <v>32693</v>
      </c>
      <c r="C877" s="6" t="s">
        <v>516</v>
      </c>
      <c r="D877" s="6">
        <v>20500</v>
      </c>
      <c r="E877" s="6" t="s">
        <v>31</v>
      </c>
      <c r="F877" s="6" t="s">
        <v>326</v>
      </c>
      <c r="G877" s="6"/>
    </row>
    <row r="878" spans="2:7">
      <c r="B878" s="6">
        <v>32693</v>
      </c>
      <c r="C878" s="6" t="s">
        <v>516</v>
      </c>
      <c r="D878" s="6">
        <v>20713</v>
      </c>
      <c r="E878" s="6" t="s">
        <v>147</v>
      </c>
      <c r="F878" s="6" t="s">
        <v>376</v>
      </c>
      <c r="G878" s="6"/>
    </row>
    <row r="879" spans="2:7">
      <c r="B879" s="6">
        <v>32693</v>
      </c>
      <c r="C879" s="6" t="s">
        <v>516</v>
      </c>
      <c r="D879" s="6">
        <v>20902</v>
      </c>
      <c r="E879" s="6" t="s">
        <v>53</v>
      </c>
      <c r="F879" s="6" t="s">
        <v>1584</v>
      </c>
      <c r="G879" s="6" t="s">
        <v>517</v>
      </c>
    </row>
    <row r="880" spans="2:7">
      <c r="B880" s="6">
        <v>32694</v>
      </c>
      <c r="C880" s="6" t="s">
        <v>719</v>
      </c>
      <c r="D880" s="6">
        <v>20500</v>
      </c>
      <c r="E880" s="6" t="s">
        <v>31</v>
      </c>
      <c r="F880" s="6" t="s">
        <v>326</v>
      </c>
      <c r="G880" s="6"/>
    </row>
    <row r="881" spans="2:7">
      <c r="B881" s="6">
        <v>32694</v>
      </c>
      <c r="C881" s="6" t="s">
        <v>719</v>
      </c>
      <c r="D881" s="6">
        <v>20713</v>
      </c>
      <c r="E881" s="6" t="s">
        <v>147</v>
      </c>
      <c r="F881" s="6" t="s">
        <v>376</v>
      </c>
      <c r="G881" s="6" t="s">
        <v>444</v>
      </c>
    </row>
    <row r="882" spans="2:7">
      <c r="B882" s="6">
        <v>32694</v>
      </c>
      <c r="C882" s="6" t="s">
        <v>719</v>
      </c>
      <c r="D882" s="6">
        <v>20902</v>
      </c>
      <c r="E882" s="6" t="s">
        <v>53</v>
      </c>
      <c r="F882" s="6" t="s">
        <v>720</v>
      </c>
      <c r="G882" s="6"/>
    </row>
    <row r="883" spans="2:7">
      <c r="B883" s="6">
        <v>32695</v>
      </c>
      <c r="C883" s="6" t="s">
        <v>717</v>
      </c>
      <c r="D883" s="6">
        <v>20500</v>
      </c>
      <c r="E883" s="6" t="s">
        <v>31</v>
      </c>
      <c r="F883" s="6" t="s">
        <v>326</v>
      </c>
      <c r="G883" s="6"/>
    </row>
    <row r="884" spans="2:7">
      <c r="B884" s="6">
        <v>32695</v>
      </c>
      <c r="C884" s="6" t="s">
        <v>717</v>
      </c>
      <c r="D884" s="6">
        <v>20713</v>
      </c>
      <c r="E884" s="6" t="s">
        <v>147</v>
      </c>
      <c r="F884" s="6" t="s">
        <v>1574</v>
      </c>
      <c r="G884" s="6" t="s">
        <v>444</v>
      </c>
    </row>
    <row r="885" spans="2:7">
      <c r="B885" s="6">
        <v>32695</v>
      </c>
      <c r="C885" s="6" t="s">
        <v>717</v>
      </c>
      <c r="D885" s="6">
        <v>20902</v>
      </c>
      <c r="E885" s="6" t="s">
        <v>53</v>
      </c>
      <c r="F885" s="6" t="s">
        <v>1585</v>
      </c>
      <c r="G885" s="6" t="s">
        <v>718</v>
      </c>
    </row>
    <row r="886" spans="2:7">
      <c r="B886" s="6">
        <v>32696</v>
      </c>
      <c r="C886" s="6" t="s">
        <v>505</v>
      </c>
      <c r="D886" s="6">
        <v>20902</v>
      </c>
      <c r="E886" s="6" t="s">
        <v>53</v>
      </c>
      <c r="F886" s="6" t="s">
        <v>506</v>
      </c>
      <c r="G886" s="6"/>
    </row>
    <row r="887" spans="2:7">
      <c r="B887" s="6">
        <v>32698</v>
      </c>
      <c r="C887" s="6" t="s">
        <v>699</v>
      </c>
      <c r="D887" s="6">
        <v>20500</v>
      </c>
      <c r="E887" s="6" t="s">
        <v>31</v>
      </c>
      <c r="F887" s="6" t="s">
        <v>1347</v>
      </c>
      <c r="G887" s="6"/>
    </row>
    <row r="888" spans="2:7">
      <c r="B888" s="6">
        <v>32698</v>
      </c>
      <c r="C888" s="6" t="s">
        <v>699</v>
      </c>
      <c r="D888" s="6">
        <v>20713</v>
      </c>
      <c r="E888" s="6" t="s">
        <v>147</v>
      </c>
      <c r="F888" s="6" t="s">
        <v>444</v>
      </c>
      <c r="G888" s="6"/>
    </row>
    <row r="889" spans="2:7">
      <c r="B889" s="6">
        <v>32698</v>
      </c>
      <c r="C889" s="6" t="s">
        <v>699</v>
      </c>
      <c r="D889" s="6">
        <v>20902</v>
      </c>
      <c r="E889" s="6" t="s">
        <v>53</v>
      </c>
      <c r="F889" s="6" t="s">
        <v>1586</v>
      </c>
      <c r="G889" s="6" t="s">
        <v>1587</v>
      </c>
    </row>
    <row r="890" spans="2:7">
      <c r="B890" s="6">
        <v>32700</v>
      </c>
      <c r="C890" s="6" t="s">
        <v>442</v>
      </c>
      <c r="D890" s="6">
        <v>20500</v>
      </c>
      <c r="E890" s="6" t="s">
        <v>31</v>
      </c>
      <c r="F890" s="6" t="s">
        <v>326</v>
      </c>
      <c r="G890" s="6"/>
    </row>
    <row r="891" spans="2:7">
      <c r="B891" s="6">
        <v>32700</v>
      </c>
      <c r="C891" s="6" t="s">
        <v>442</v>
      </c>
      <c r="D891" s="6">
        <v>20713</v>
      </c>
      <c r="E891" s="6" t="s">
        <v>147</v>
      </c>
      <c r="F891" s="6" t="s">
        <v>444</v>
      </c>
      <c r="G891" s="6"/>
    </row>
    <row r="892" spans="2:7">
      <c r="B892" s="6">
        <v>32700</v>
      </c>
      <c r="C892" s="6" t="s">
        <v>442</v>
      </c>
      <c r="D892" s="6">
        <v>20902</v>
      </c>
      <c r="E892" s="6" t="s">
        <v>53</v>
      </c>
      <c r="F892" s="6" t="s">
        <v>1588</v>
      </c>
      <c r="G892" s="6" t="s">
        <v>396</v>
      </c>
    </row>
    <row r="893" spans="2:7">
      <c r="B893" s="6">
        <v>32701</v>
      </c>
      <c r="C893" s="6" t="s">
        <v>1115</v>
      </c>
      <c r="D893" s="6">
        <v>20600</v>
      </c>
      <c r="E893" s="6" t="s">
        <v>32</v>
      </c>
      <c r="F893" s="6" t="s">
        <v>326</v>
      </c>
      <c r="G893" s="6"/>
    </row>
    <row r="894" spans="2:7">
      <c r="B894" s="6">
        <v>32701</v>
      </c>
      <c r="C894" s="6" t="s">
        <v>1115</v>
      </c>
      <c r="D894" s="6">
        <v>20706</v>
      </c>
      <c r="E894" s="6" t="s">
        <v>52</v>
      </c>
      <c r="F894" s="6" t="s">
        <v>432</v>
      </c>
      <c r="G894" s="6"/>
    </row>
    <row r="895" spans="2:7">
      <c r="B895" s="6">
        <v>32701</v>
      </c>
      <c r="C895" s="6" t="s">
        <v>1115</v>
      </c>
      <c r="D895" s="6">
        <v>20902</v>
      </c>
      <c r="E895" s="6" t="s">
        <v>53</v>
      </c>
      <c r="F895" s="6" t="s">
        <v>581</v>
      </c>
      <c r="G895" s="6" t="s">
        <v>1589</v>
      </c>
    </row>
    <row r="896" spans="2:7">
      <c r="B896" s="6">
        <v>32701</v>
      </c>
      <c r="C896" s="6" t="s">
        <v>1115</v>
      </c>
      <c r="D896" s="6">
        <v>23312</v>
      </c>
      <c r="E896" s="6" t="s">
        <v>215</v>
      </c>
      <c r="F896" s="6" t="s">
        <v>1590</v>
      </c>
      <c r="G896" s="6" t="s">
        <v>1591</v>
      </c>
    </row>
    <row r="897" spans="2:7">
      <c r="B897" s="6">
        <v>32702</v>
      </c>
      <c r="C897" s="6" t="s">
        <v>1203</v>
      </c>
      <c r="D897" s="6">
        <v>20500</v>
      </c>
      <c r="E897" s="6" t="s">
        <v>31</v>
      </c>
      <c r="F897" s="6" t="s">
        <v>1592</v>
      </c>
      <c r="G897" s="6"/>
    </row>
    <row r="898" spans="2:7">
      <c r="B898" s="6">
        <v>32703</v>
      </c>
      <c r="C898" s="6" t="s">
        <v>1183</v>
      </c>
      <c r="D898" s="6">
        <v>25000</v>
      </c>
      <c r="E898" s="6" t="s">
        <v>1226</v>
      </c>
      <c r="F898" s="6" t="s">
        <v>1593</v>
      </c>
      <c r="G898" s="6"/>
    </row>
    <row r="899" spans="2:7">
      <c r="B899" s="6">
        <v>32704</v>
      </c>
      <c r="C899" s="6" t="s">
        <v>1184</v>
      </c>
      <c r="D899" s="6">
        <v>25006</v>
      </c>
      <c r="E899" s="6" t="s">
        <v>1235</v>
      </c>
      <c r="F899" s="6" t="s">
        <v>1594</v>
      </c>
      <c r="G899" s="6"/>
    </row>
    <row r="900" spans="2:7">
      <c r="B900" s="6">
        <v>32707</v>
      </c>
      <c r="C900" s="6" t="s">
        <v>403</v>
      </c>
      <c r="D900" s="6">
        <v>20500</v>
      </c>
      <c r="E900" s="6" t="s">
        <v>31</v>
      </c>
      <c r="F900" s="6" t="s">
        <v>1347</v>
      </c>
      <c r="G900" s="6" t="s">
        <v>326</v>
      </c>
    </row>
    <row r="901" spans="2:7">
      <c r="B901" s="6">
        <v>32707</v>
      </c>
      <c r="C901" s="6" t="s">
        <v>403</v>
      </c>
      <c r="D901" s="6">
        <v>20706</v>
      </c>
      <c r="E901" s="6" t="s">
        <v>52</v>
      </c>
      <c r="F901" s="6" t="s">
        <v>432</v>
      </c>
      <c r="G901" s="6"/>
    </row>
    <row r="902" spans="2:7">
      <c r="B902" s="6">
        <v>32707</v>
      </c>
      <c r="C902" s="6" t="s">
        <v>403</v>
      </c>
      <c r="D902" s="6">
        <v>20902</v>
      </c>
      <c r="E902" s="6" t="s">
        <v>53</v>
      </c>
      <c r="F902" s="6" t="s">
        <v>1595</v>
      </c>
      <c r="G902" s="6" t="s">
        <v>404</v>
      </c>
    </row>
    <row r="903" spans="2:7">
      <c r="B903" s="6">
        <v>32708</v>
      </c>
      <c r="C903" s="6" t="s">
        <v>399</v>
      </c>
      <c r="D903" s="6">
        <v>20500</v>
      </c>
      <c r="E903" s="6" t="s">
        <v>31</v>
      </c>
      <c r="F903" s="6" t="s">
        <v>1347</v>
      </c>
      <c r="G903" s="6"/>
    </row>
    <row r="904" spans="2:7">
      <c r="B904" s="6">
        <v>32708</v>
      </c>
      <c r="C904" s="6" t="s">
        <v>399</v>
      </c>
      <c r="D904" s="6">
        <v>20902</v>
      </c>
      <c r="E904" s="6" t="s">
        <v>53</v>
      </c>
      <c r="F904" s="6" t="s">
        <v>1596</v>
      </c>
      <c r="G904" s="6" t="s">
        <v>400</v>
      </c>
    </row>
    <row r="905" spans="2:7">
      <c r="B905" s="6">
        <v>32709</v>
      </c>
      <c r="C905" s="6" t="s">
        <v>650</v>
      </c>
      <c r="D905" s="6">
        <v>20500</v>
      </c>
      <c r="E905" s="6" t="s">
        <v>31</v>
      </c>
      <c r="F905" s="6" t="s">
        <v>1347</v>
      </c>
      <c r="G905" s="6"/>
    </row>
    <row r="906" spans="2:7">
      <c r="B906" s="6">
        <v>32709</v>
      </c>
      <c r="C906" s="6" t="s">
        <v>650</v>
      </c>
      <c r="D906" s="6">
        <v>20706</v>
      </c>
      <c r="E906" s="6" t="s">
        <v>52</v>
      </c>
      <c r="F906" s="6" t="s">
        <v>432</v>
      </c>
      <c r="G906" s="6"/>
    </row>
    <row r="907" spans="2:7">
      <c r="B907" s="6">
        <v>32709</v>
      </c>
      <c r="C907" s="6" t="s">
        <v>650</v>
      </c>
      <c r="D907" s="6">
        <v>20902</v>
      </c>
      <c r="E907" s="6" t="s">
        <v>53</v>
      </c>
      <c r="F907" s="6" t="s">
        <v>1597</v>
      </c>
      <c r="G907" s="6" t="s">
        <v>651</v>
      </c>
    </row>
    <row r="908" spans="2:7">
      <c r="B908" s="6">
        <v>32710</v>
      </c>
      <c r="C908" s="6" t="s">
        <v>706</v>
      </c>
      <c r="D908" s="6">
        <v>20706</v>
      </c>
      <c r="E908" s="6" t="s">
        <v>52</v>
      </c>
      <c r="F908" s="6" t="s">
        <v>410</v>
      </c>
      <c r="G908" s="6"/>
    </row>
    <row r="909" spans="2:7">
      <c r="B909" s="6">
        <v>32710</v>
      </c>
      <c r="C909" s="6" t="s">
        <v>706</v>
      </c>
      <c r="D909" s="6">
        <v>20902</v>
      </c>
      <c r="E909" s="6" t="s">
        <v>53</v>
      </c>
      <c r="F909" s="6" t="s">
        <v>1598</v>
      </c>
      <c r="G909" s="6" t="s">
        <v>707</v>
      </c>
    </row>
    <row r="910" spans="2:7">
      <c r="B910" s="6">
        <v>32711</v>
      </c>
      <c r="C910" s="6" t="s">
        <v>440</v>
      </c>
      <c r="D910" s="6">
        <v>20500</v>
      </c>
      <c r="E910" s="6" t="s">
        <v>31</v>
      </c>
      <c r="F910" s="6" t="s">
        <v>326</v>
      </c>
      <c r="G910" s="6"/>
    </row>
    <row r="911" spans="2:7">
      <c r="B911" s="6">
        <v>32711</v>
      </c>
      <c r="C911" s="6" t="s">
        <v>440</v>
      </c>
      <c r="D911" s="6">
        <v>20902</v>
      </c>
      <c r="E911" s="6" t="s">
        <v>53</v>
      </c>
      <c r="F911" s="6" t="s">
        <v>441</v>
      </c>
      <c r="G911" s="6"/>
    </row>
    <row r="912" spans="2:7">
      <c r="B912" s="6">
        <v>32712</v>
      </c>
      <c r="C912" s="6" t="s">
        <v>1139</v>
      </c>
      <c r="D912" s="6">
        <v>20902</v>
      </c>
      <c r="E912" s="6" t="s">
        <v>53</v>
      </c>
      <c r="F912" s="6" t="s">
        <v>1599</v>
      </c>
      <c r="G912" s="6"/>
    </row>
    <row r="913" spans="2:7">
      <c r="B913" s="6">
        <v>32713</v>
      </c>
      <c r="C913" s="6" t="s">
        <v>1200</v>
      </c>
      <c r="D913" s="6">
        <v>20500</v>
      </c>
      <c r="E913" s="6" t="s">
        <v>31</v>
      </c>
      <c r="F913" s="6" t="s">
        <v>1512</v>
      </c>
      <c r="G913" s="6"/>
    </row>
    <row r="914" spans="2:7">
      <c r="B914" s="6">
        <v>32713</v>
      </c>
      <c r="C914" s="6" t="s">
        <v>1200</v>
      </c>
      <c r="D914" s="6">
        <v>21400</v>
      </c>
      <c r="E914" s="6" t="s">
        <v>1220</v>
      </c>
      <c r="F914" s="6" t="s">
        <v>1517</v>
      </c>
      <c r="G914" s="6"/>
    </row>
    <row r="915" spans="2:7">
      <c r="B915" s="6">
        <v>32715</v>
      </c>
      <c r="C915" s="6" t="s">
        <v>1198</v>
      </c>
      <c r="D915" s="6">
        <v>23318</v>
      </c>
      <c r="E915" s="6" t="s">
        <v>1237</v>
      </c>
      <c r="F915" s="6" t="s">
        <v>1480</v>
      </c>
      <c r="G915" s="6"/>
    </row>
    <row r="916" spans="2:7">
      <c r="B916" s="6">
        <v>32715</v>
      </c>
      <c r="C916" s="6" t="s">
        <v>1198</v>
      </c>
      <c r="D916" s="6">
        <v>23500</v>
      </c>
      <c r="E916" s="6" t="s">
        <v>37</v>
      </c>
      <c r="F916" s="6" t="s">
        <v>1570</v>
      </c>
      <c r="G916" s="6"/>
    </row>
    <row r="917" spans="2:7">
      <c r="B917" s="6">
        <v>32715</v>
      </c>
      <c r="C917" s="6" t="s">
        <v>1198</v>
      </c>
      <c r="D917" s="6">
        <v>41202</v>
      </c>
      <c r="E917" s="6" t="s">
        <v>1162</v>
      </c>
      <c r="F917" s="6" t="s">
        <v>1481</v>
      </c>
      <c r="G917" s="6"/>
    </row>
    <row r="918" spans="2:7">
      <c r="B918" s="6">
        <v>32716</v>
      </c>
      <c r="C918" s="6" t="s">
        <v>354</v>
      </c>
      <c r="D918" s="6">
        <v>12400</v>
      </c>
      <c r="E918" s="6" t="s">
        <v>217</v>
      </c>
      <c r="F918" s="6" t="s">
        <v>334</v>
      </c>
      <c r="G918" s="6"/>
    </row>
    <row r="919" spans="2:7">
      <c r="B919" s="6">
        <v>32716</v>
      </c>
      <c r="C919" s="6" t="s">
        <v>354</v>
      </c>
      <c r="D919" s="6">
        <v>23311</v>
      </c>
      <c r="E919" s="6" t="s">
        <v>221</v>
      </c>
      <c r="F919" s="6" t="s">
        <v>355</v>
      </c>
      <c r="G919" s="6"/>
    </row>
    <row r="920" spans="2:7">
      <c r="B920" s="6">
        <v>32717</v>
      </c>
      <c r="C920" s="6" t="s">
        <v>635</v>
      </c>
      <c r="D920" s="6">
        <v>20500</v>
      </c>
      <c r="E920" s="6" t="s">
        <v>31</v>
      </c>
      <c r="F920" s="6" t="s">
        <v>326</v>
      </c>
      <c r="G920" s="6"/>
    </row>
    <row r="921" spans="2:7">
      <c r="B921" s="6">
        <v>32717</v>
      </c>
      <c r="C921" s="6" t="s">
        <v>635</v>
      </c>
      <c r="D921" s="6">
        <v>20706</v>
      </c>
      <c r="E921" s="6" t="s">
        <v>52</v>
      </c>
      <c r="F921" s="6" t="s">
        <v>432</v>
      </c>
      <c r="G921" s="6"/>
    </row>
    <row r="922" spans="2:7">
      <c r="B922" s="6">
        <v>32718</v>
      </c>
      <c r="C922" s="6" t="s">
        <v>675</v>
      </c>
      <c r="D922" s="6">
        <v>20902</v>
      </c>
      <c r="E922" s="6" t="s">
        <v>53</v>
      </c>
      <c r="F922" s="6" t="s">
        <v>676</v>
      </c>
      <c r="G922" s="6"/>
    </row>
    <row r="923" spans="2:7">
      <c r="B923" s="6">
        <v>32719</v>
      </c>
      <c r="C923" s="6" t="s">
        <v>754</v>
      </c>
      <c r="D923" s="6">
        <v>20500</v>
      </c>
      <c r="E923" s="6" t="s">
        <v>31</v>
      </c>
      <c r="F923" s="6" t="s">
        <v>326</v>
      </c>
      <c r="G923" s="6"/>
    </row>
    <row r="924" spans="2:7">
      <c r="B924" s="6">
        <v>32719</v>
      </c>
      <c r="C924" s="6" t="s">
        <v>754</v>
      </c>
      <c r="D924" s="6">
        <v>20902</v>
      </c>
      <c r="E924" s="6" t="s">
        <v>53</v>
      </c>
      <c r="F924" s="6" t="s">
        <v>755</v>
      </c>
      <c r="G924" s="6"/>
    </row>
    <row r="925" spans="2:7">
      <c r="B925" s="6">
        <v>32725</v>
      </c>
      <c r="C925" s="6" t="s">
        <v>1208</v>
      </c>
      <c r="D925" s="6">
        <v>80012</v>
      </c>
      <c r="E925" s="6" t="s">
        <v>1230</v>
      </c>
      <c r="F925" s="6" t="s">
        <v>1600</v>
      </c>
      <c r="G925" s="6"/>
    </row>
    <row r="926" spans="2:7">
      <c r="B926" s="6">
        <v>32728</v>
      </c>
      <c r="C926" s="6" t="s">
        <v>612</v>
      </c>
      <c r="D926" s="6">
        <v>20704</v>
      </c>
      <c r="E926" s="6" t="s">
        <v>47</v>
      </c>
      <c r="F926" s="6" t="s">
        <v>614</v>
      </c>
      <c r="G926" s="6"/>
    </row>
    <row r="927" spans="2:7">
      <c r="B927" s="6">
        <v>32728</v>
      </c>
      <c r="C927" s="6" t="s">
        <v>612</v>
      </c>
      <c r="D927" s="6">
        <v>20902</v>
      </c>
      <c r="E927" s="6" t="s">
        <v>53</v>
      </c>
      <c r="F927" s="6" t="s">
        <v>613</v>
      </c>
      <c r="G927" s="6"/>
    </row>
    <row r="928" spans="2:7">
      <c r="B928" s="6">
        <v>32730</v>
      </c>
      <c r="C928" s="6" t="s">
        <v>671</v>
      </c>
      <c r="D928" s="6">
        <v>20500</v>
      </c>
      <c r="E928" s="6" t="s">
        <v>31</v>
      </c>
      <c r="F928" s="6" t="s">
        <v>423</v>
      </c>
      <c r="G928" s="6"/>
    </row>
    <row r="929" spans="2:7">
      <c r="B929" s="6">
        <v>32730</v>
      </c>
      <c r="C929" s="6" t="s">
        <v>671</v>
      </c>
      <c r="D929" s="6">
        <v>20902</v>
      </c>
      <c r="E929" s="6" t="s">
        <v>53</v>
      </c>
      <c r="F929" s="6" t="s">
        <v>1601</v>
      </c>
      <c r="G929" s="6" t="s">
        <v>672</v>
      </c>
    </row>
    <row r="930" spans="2:7">
      <c r="B930" s="6">
        <v>32731</v>
      </c>
      <c r="C930" s="6" t="s">
        <v>536</v>
      </c>
      <c r="D930" s="6">
        <v>20500</v>
      </c>
      <c r="E930" s="6" t="s">
        <v>31</v>
      </c>
      <c r="F930" s="6" t="s">
        <v>423</v>
      </c>
      <c r="G930" s="6"/>
    </row>
    <row r="931" spans="2:7">
      <c r="B931" s="6">
        <v>32731</v>
      </c>
      <c r="C931" s="6" t="s">
        <v>536</v>
      </c>
      <c r="D931" s="6">
        <v>20705</v>
      </c>
      <c r="E931" s="6" t="s">
        <v>59</v>
      </c>
      <c r="F931" s="6" t="s">
        <v>513</v>
      </c>
      <c r="G931" s="6"/>
    </row>
    <row r="932" spans="2:7">
      <c r="B932" s="6">
        <v>32731</v>
      </c>
      <c r="C932" s="6" t="s">
        <v>536</v>
      </c>
      <c r="D932" s="6">
        <v>20902</v>
      </c>
      <c r="E932" s="6" t="s">
        <v>53</v>
      </c>
      <c r="F932" s="6" t="s">
        <v>537</v>
      </c>
      <c r="G932" s="6"/>
    </row>
    <row r="933" spans="2:7">
      <c r="B933" s="6">
        <v>32732</v>
      </c>
      <c r="C933" s="6" t="s">
        <v>1148</v>
      </c>
      <c r="D933" s="6">
        <v>23500</v>
      </c>
      <c r="E933" s="6" t="s">
        <v>37</v>
      </c>
      <c r="F933" s="6" t="s">
        <v>1602</v>
      </c>
      <c r="G933" s="6"/>
    </row>
    <row r="934" spans="2:7">
      <c r="B934" s="6">
        <v>32736</v>
      </c>
      <c r="C934" s="6" t="s">
        <v>735</v>
      </c>
      <c r="D934" s="6">
        <v>20902</v>
      </c>
      <c r="E934" s="6" t="s">
        <v>53</v>
      </c>
      <c r="F934" s="6" t="s">
        <v>736</v>
      </c>
      <c r="G934" s="6"/>
    </row>
    <row r="935" spans="2:7">
      <c r="B935" s="6">
        <v>32737</v>
      </c>
      <c r="C935" s="6" t="s">
        <v>738</v>
      </c>
      <c r="D935" s="6">
        <v>20902</v>
      </c>
      <c r="E935" s="6" t="s">
        <v>53</v>
      </c>
      <c r="F935" s="6" t="s">
        <v>739</v>
      </c>
      <c r="G935" s="6"/>
    </row>
    <row r="936" spans="2:7">
      <c r="B936" s="6">
        <v>32739</v>
      </c>
      <c r="C936" s="6" t="s">
        <v>912</v>
      </c>
      <c r="D936" s="6">
        <v>12400</v>
      </c>
      <c r="E936" s="6" t="s">
        <v>217</v>
      </c>
      <c r="F936" s="6" t="s">
        <v>1603</v>
      </c>
      <c r="G936" s="6" t="s">
        <v>910</v>
      </c>
    </row>
    <row r="937" spans="2:7">
      <c r="B937" s="6">
        <v>32739</v>
      </c>
      <c r="C937" s="6" t="s">
        <v>912</v>
      </c>
      <c r="D937" s="6">
        <v>23311</v>
      </c>
      <c r="E937" s="6" t="s">
        <v>221</v>
      </c>
      <c r="F937" s="6" t="s">
        <v>910</v>
      </c>
      <c r="G937" s="6"/>
    </row>
    <row r="938" spans="2:7">
      <c r="B938" s="6">
        <v>32741</v>
      </c>
      <c r="C938" s="6" t="s">
        <v>682</v>
      </c>
      <c r="D938" s="6">
        <v>20500</v>
      </c>
      <c r="E938" s="6" t="s">
        <v>31</v>
      </c>
      <c r="F938" s="6" t="s">
        <v>326</v>
      </c>
      <c r="G938" s="6"/>
    </row>
    <row r="939" spans="2:7">
      <c r="B939" s="6">
        <v>32741</v>
      </c>
      <c r="C939" s="6" t="s">
        <v>682</v>
      </c>
      <c r="D939" s="6">
        <v>20702</v>
      </c>
      <c r="E939" s="6" t="s">
        <v>44</v>
      </c>
      <c r="F939" s="6" t="s">
        <v>381</v>
      </c>
      <c r="G939" s="6"/>
    </row>
    <row r="940" spans="2:7">
      <c r="B940" s="6">
        <v>32741</v>
      </c>
      <c r="C940" s="6" t="s">
        <v>682</v>
      </c>
      <c r="D940" s="6">
        <v>20902</v>
      </c>
      <c r="E940" s="6" t="s">
        <v>53</v>
      </c>
      <c r="F940" s="6" t="s">
        <v>683</v>
      </c>
      <c r="G940" s="6"/>
    </row>
    <row r="941" spans="2:7">
      <c r="B941" s="6">
        <v>32742</v>
      </c>
      <c r="C941" s="6" t="s">
        <v>721</v>
      </c>
      <c r="D941" s="6">
        <v>20902</v>
      </c>
      <c r="E941" s="6" t="s">
        <v>53</v>
      </c>
      <c r="F941" s="6" t="s">
        <v>722</v>
      </c>
      <c r="G941" s="6"/>
    </row>
    <row r="942" spans="2:7">
      <c r="B942" s="6">
        <v>32743</v>
      </c>
      <c r="C942" s="6" t="s">
        <v>489</v>
      </c>
      <c r="D942" s="6">
        <v>20702</v>
      </c>
      <c r="E942" s="6" t="s">
        <v>44</v>
      </c>
      <c r="F942" s="6" t="s">
        <v>381</v>
      </c>
      <c r="G942" s="6"/>
    </row>
    <row r="943" spans="2:7">
      <c r="B943" s="6">
        <v>32743</v>
      </c>
      <c r="C943" s="6" t="s">
        <v>489</v>
      </c>
      <c r="D943" s="6">
        <v>20902</v>
      </c>
      <c r="E943" s="6" t="s">
        <v>53</v>
      </c>
      <c r="F943" s="6" t="s">
        <v>490</v>
      </c>
      <c r="G943" s="6"/>
    </row>
    <row r="944" spans="2:7">
      <c r="B944" s="6">
        <v>32744</v>
      </c>
      <c r="C944" s="6" t="s">
        <v>1206</v>
      </c>
      <c r="D944" s="6">
        <v>20500</v>
      </c>
      <c r="E944" s="6" t="s">
        <v>31</v>
      </c>
      <c r="F944" s="6" t="s">
        <v>1592</v>
      </c>
      <c r="G944" s="6"/>
    </row>
    <row r="945" spans="2:7">
      <c r="B945" s="6">
        <v>32745</v>
      </c>
      <c r="C945" s="6" t="s">
        <v>552</v>
      </c>
      <c r="D945" s="6">
        <v>20904</v>
      </c>
      <c r="E945" s="6" t="s">
        <v>156</v>
      </c>
      <c r="F945" s="6" t="s">
        <v>553</v>
      </c>
      <c r="G945" s="6" t="s">
        <v>554</v>
      </c>
    </row>
    <row r="946" spans="2:7">
      <c r="B946" s="6">
        <v>32745</v>
      </c>
      <c r="C946" s="6" t="s">
        <v>552</v>
      </c>
      <c r="D946" s="6">
        <v>23311</v>
      </c>
      <c r="E946" s="6" t="s">
        <v>221</v>
      </c>
      <c r="F946" s="6" t="s">
        <v>435</v>
      </c>
      <c r="G946" s="6"/>
    </row>
    <row r="947" spans="2:7">
      <c r="B947" s="6">
        <v>32746</v>
      </c>
      <c r="C947" s="6" t="s">
        <v>331</v>
      </c>
      <c r="D947" s="6">
        <v>12400</v>
      </c>
      <c r="E947" s="6" t="s">
        <v>217</v>
      </c>
      <c r="F947" s="6" t="s">
        <v>334</v>
      </c>
      <c r="G947" s="6"/>
    </row>
    <row r="948" spans="2:7">
      <c r="B948" s="6">
        <v>32746</v>
      </c>
      <c r="C948" s="6" t="s">
        <v>331</v>
      </c>
      <c r="D948" s="6">
        <v>20920</v>
      </c>
      <c r="E948" s="6" t="s">
        <v>231</v>
      </c>
      <c r="F948" s="6" t="s">
        <v>333</v>
      </c>
      <c r="G948" s="6"/>
    </row>
    <row r="949" spans="2:7">
      <c r="B949" s="6">
        <v>32746</v>
      </c>
      <c r="C949" s="6" t="s">
        <v>331</v>
      </c>
      <c r="D949" s="6">
        <v>23311</v>
      </c>
      <c r="E949" s="6" t="s">
        <v>221</v>
      </c>
      <c r="F949" s="6" t="s">
        <v>321</v>
      </c>
      <c r="G949" s="6"/>
    </row>
    <row r="950" spans="2:7">
      <c r="B950" s="6">
        <v>32746</v>
      </c>
      <c r="C950" s="6" t="s">
        <v>331</v>
      </c>
      <c r="D950" s="6">
        <v>23315</v>
      </c>
      <c r="E950" s="6" t="s">
        <v>246</v>
      </c>
      <c r="F950" s="6" t="s">
        <v>332</v>
      </c>
      <c r="G950" s="6"/>
    </row>
    <row r="951" spans="2:7">
      <c r="B951" s="6">
        <v>32752</v>
      </c>
      <c r="C951" s="6" t="s">
        <v>1116</v>
      </c>
      <c r="D951" s="6">
        <v>20902</v>
      </c>
      <c r="E951" s="6" t="s">
        <v>53</v>
      </c>
      <c r="F951" s="6" t="s">
        <v>1604</v>
      </c>
      <c r="G951" s="6"/>
    </row>
    <row r="952" spans="2:7">
      <c r="B952" s="6">
        <v>32753</v>
      </c>
      <c r="C952" s="6" t="s">
        <v>1605</v>
      </c>
      <c r="D952" s="6">
        <v>20600</v>
      </c>
      <c r="E952" s="6" t="s">
        <v>32</v>
      </c>
      <c r="F952" s="6" t="s">
        <v>1606</v>
      </c>
      <c r="G952" s="6"/>
    </row>
    <row r="953" spans="2:7">
      <c r="B953" s="6">
        <v>32753</v>
      </c>
      <c r="C953" s="6" t="s">
        <v>1605</v>
      </c>
      <c r="D953" s="6">
        <v>20601</v>
      </c>
      <c r="E953" s="6" t="s">
        <v>43</v>
      </c>
      <c r="F953" s="6" t="s">
        <v>1607</v>
      </c>
      <c r="G953" s="6"/>
    </row>
    <row r="954" spans="2:7">
      <c r="B954" s="6">
        <v>32754</v>
      </c>
      <c r="C954" s="6" t="s">
        <v>1142</v>
      </c>
      <c r="D954" s="6">
        <v>20902</v>
      </c>
      <c r="E954" s="6" t="s">
        <v>53</v>
      </c>
      <c r="F954" s="6" t="s">
        <v>1608</v>
      </c>
      <c r="G954" s="6"/>
    </row>
    <row r="955" spans="2:7">
      <c r="B955" s="6">
        <v>32755</v>
      </c>
      <c r="C955" s="6" t="s">
        <v>1182</v>
      </c>
      <c r="D955" s="6">
        <v>12300</v>
      </c>
      <c r="E955" s="6" t="s">
        <v>1223</v>
      </c>
      <c r="F955" s="6" t="s">
        <v>1609</v>
      </c>
      <c r="G955" s="6"/>
    </row>
    <row r="956" spans="2:7">
      <c r="B956" s="6">
        <v>32756</v>
      </c>
      <c r="C956" s="6" t="s">
        <v>1100</v>
      </c>
      <c r="D956" s="6">
        <v>20500</v>
      </c>
      <c r="E956" s="6" t="s">
        <v>31</v>
      </c>
      <c r="F956" s="6" t="s">
        <v>326</v>
      </c>
      <c r="G956" s="6"/>
    </row>
    <row r="957" spans="2:7">
      <c r="B957" s="6">
        <v>32756</v>
      </c>
      <c r="C957" s="6" t="s">
        <v>1100</v>
      </c>
      <c r="D957" s="6">
        <v>20902</v>
      </c>
      <c r="E957" s="6" t="s">
        <v>53</v>
      </c>
      <c r="F957" s="6" t="s">
        <v>1610</v>
      </c>
      <c r="G957" s="6"/>
    </row>
    <row r="958" spans="2:7">
      <c r="B958" s="6">
        <v>32758</v>
      </c>
      <c r="C958" s="6" t="s">
        <v>1141</v>
      </c>
      <c r="D958" s="6">
        <v>20902</v>
      </c>
      <c r="E958" s="6" t="s">
        <v>53</v>
      </c>
      <c r="F958" s="6" t="s">
        <v>1611</v>
      </c>
      <c r="G958" s="6"/>
    </row>
    <row r="959" spans="2:7">
      <c r="B959" s="6">
        <v>32760</v>
      </c>
      <c r="C959" s="6" t="s">
        <v>1047</v>
      </c>
      <c r="D959" s="6">
        <v>20902</v>
      </c>
      <c r="E959" s="6" t="s">
        <v>53</v>
      </c>
      <c r="F959" s="6" t="s">
        <v>1612</v>
      </c>
      <c r="G959" s="6"/>
    </row>
    <row r="960" spans="2:7">
      <c r="B960" s="6">
        <v>32762</v>
      </c>
      <c r="C960" s="6" t="s">
        <v>1081</v>
      </c>
      <c r="D960" s="6">
        <v>20500</v>
      </c>
      <c r="E960" s="6" t="s">
        <v>31</v>
      </c>
      <c r="F960" s="6" t="s">
        <v>326</v>
      </c>
      <c r="G960" s="6"/>
    </row>
    <row r="961" spans="2:7">
      <c r="B961" s="6">
        <v>32762</v>
      </c>
      <c r="C961" s="6" t="s">
        <v>1081</v>
      </c>
      <c r="D961" s="6">
        <v>20902</v>
      </c>
      <c r="E961" s="6" t="s">
        <v>53</v>
      </c>
      <c r="F961" s="6" t="s">
        <v>1613</v>
      </c>
      <c r="G961" s="6"/>
    </row>
    <row r="962" spans="2:7">
      <c r="B962" s="6">
        <v>32763</v>
      </c>
      <c r="C962" s="6" t="s">
        <v>1090</v>
      </c>
      <c r="D962" s="6">
        <v>20601</v>
      </c>
      <c r="E962" s="6" t="s">
        <v>43</v>
      </c>
      <c r="F962" s="6" t="s">
        <v>1614</v>
      </c>
      <c r="G962" s="6"/>
    </row>
    <row r="963" spans="2:7">
      <c r="B963" s="6">
        <v>32763</v>
      </c>
      <c r="C963" s="6" t="s">
        <v>1090</v>
      </c>
      <c r="D963" s="6">
        <v>23100</v>
      </c>
      <c r="E963" s="6" t="s">
        <v>54</v>
      </c>
      <c r="F963" s="6" t="s">
        <v>359</v>
      </c>
      <c r="G963" s="6"/>
    </row>
    <row r="964" spans="2:7">
      <c r="B964" s="6">
        <v>32764</v>
      </c>
      <c r="C964" s="6" t="s">
        <v>1091</v>
      </c>
      <c r="D964" s="6">
        <v>20601</v>
      </c>
      <c r="E964" s="6" t="s">
        <v>43</v>
      </c>
      <c r="F964" s="6" t="s">
        <v>1615</v>
      </c>
      <c r="G964" s="6" t="s">
        <v>1616</v>
      </c>
    </row>
    <row r="965" spans="2:7">
      <c r="B965" s="6">
        <v>32768</v>
      </c>
      <c r="C965" s="6" t="s">
        <v>1617</v>
      </c>
      <c r="D965" s="6">
        <v>20500</v>
      </c>
      <c r="E965" s="6" t="s">
        <v>31</v>
      </c>
      <c r="F965" s="6" t="s">
        <v>1618</v>
      </c>
      <c r="G965" s="6"/>
    </row>
  </sheetData>
  <autoFilter ref="A6:G965" xr:uid="{00000000-0001-0000-0700-000000000000}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9"/>
  <sheetViews>
    <sheetView workbookViewId="0">
      <selection activeCell="C3" sqref="C3"/>
    </sheetView>
  </sheetViews>
  <sheetFormatPr defaultRowHeight="16.5"/>
  <cols>
    <col min="1" max="2" width="19.75" bestFit="1" customWidth="1"/>
    <col min="3" max="3" width="17.5" bestFit="1" customWidth="1"/>
  </cols>
  <sheetData>
    <row r="1" spans="1:3" ht="16.899999999999999" customHeight="1">
      <c r="A1" s="4" t="s">
        <v>947</v>
      </c>
      <c r="B1" s="4" t="s">
        <v>948</v>
      </c>
      <c r="C1" s="4" t="s">
        <v>949</v>
      </c>
    </row>
    <row r="2" spans="1:3" ht="16.899999999999999" customHeight="1">
      <c r="A2" s="44" t="s">
        <v>1662</v>
      </c>
      <c r="B2" s="4" t="s">
        <v>1663</v>
      </c>
      <c r="C2" s="44" t="s">
        <v>1664</v>
      </c>
    </row>
    <row r="3" spans="1:3">
      <c r="A3" s="24" t="s">
        <v>273</v>
      </c>
      <c r="B3" s="2" t="s">
        <v>273</v>
      </c>
      <c r="C3" s="24">
        <v>2</v>
      </c>
    </row>
    <row r="4" spans="1:3">
      <c r="A4" s="24" t="s">
        <v>273</v>
      </c>
      <c r="B4" s="2" t="s">
        <v>271</v>
      </c>
      <c r="C4" s="24">
        <v>2</v>
      </c>
    </row>
    <row r="5" spans="1:3">
      <c r="A5" s="24" t="s">
        <v>273</v>
      </c>
      <c r="B5" s="2" t="s">
        <v>282</v>
      </c>
      <c r="C5" s="24">
        <v>2</v>
      </c>
    </row>
    <row r="6" spans="1:3">
      <c r="A6" s="24" t="s">
        <v>273</v>
      </c>
      <c r="B6" s="2" t="s">
        <v>280</v>
      </c>
      <c r="C6" s="24">
        <v>2</v>
      </c>
    </row>
    <row r="7" spans="1:3">
      <c r="A7" s="24" t="s">
        <v>273</v>
      </c>
      <c r="B7" s="2" t="s">
        <v>283</v>
      </c>
      <c r="C7" s="24">
        <v>2</v>
      </c>
    </row>
    <row r="8" spans="1:3">
      <c r="A8" s="24" t="s">
        <v>273</v>
      </c>
      <c r="B8" s="2" t="s">
        <v>284</v>
      </c>
      <c r="C8" s="24">
        <v>2</v>
      </c>
    </row>
    <row r="9" spans="1:3">
      <c r="A9" s="24" t="s">
        <v>271</v>
      </c>
      <c r="B9" s="2" t="s">
        <v>273</v>
      </c>
      <c r="C9" s="24">
        <v>4</v>
      </c>
    </row>
    <row r="10" spans="1:3">
      <c r="A10" s="24" t="s">
        <v>271</v>
      </c>
      <c r="B10" s="2" t="s">
        <v>271</v>
      </c>
      <c r="C10" s="24">
        <v>4</v>
      </c>
    </row>
    <row r="11" spans="1:3">
      <c r="A11" s="24" t="s">
        <v>271</v>
      </c>
      <c r="B11" s="2" t="s">
        <v>282</v>
      </c>
      <c r="C11" s="24">
        <v>4</v>
      </c>
    </row>
    <row r="12" spans="1:3">
      <c r="A12" s="24" t="s">
        <v>271</v>
      </c>
      <c r="B12" s="2" t="s">
        <v>280</v>
      </c>
      <c r="C12" s="24">
        <v>4</v>
      </c>
    </row>
    <row r="13" spans="1:3">
      <c r="A13" s="24" t="s">
        <v>271</v>
      </c>
      <c r="B13" s="2" t="s">
        <v>283</v>
      </c>
      <c r="C13" s="24">
        <v>4</v>
      </c>
    </row>
    <row r="14" spans="1:3">
      <c r="A14" s="24" t="s">
        <v>271</v>
      </c>
      <c r="B14" s="2" t="s">
        <v>284</v>
      </c>
      <c r="C14" s="24">
        <v>4</v>
      </c>
    </row>
    <row r="15" spans="1:3">
      <c r="A15" s="24" t="s">
        <v>282</v>
      </c>
      <c r="B15" s="2" t="s">
        <v>273</v>
      </c>
      <c r="C15" s="24">
        <v>4</v>
      </c>
    </row>
    <row r="16" spans="1:3">
      <c r="A16" s="24" t="s">
        <v>282</v>
      </c>
      <c r="B16" s="2" t="s">
        <v>271</v>
      </c>
      <c r="C16" s="24">
        <v>4</v>
      </c>
    </row>
    <row r="17" spans="1:3">
      <c r="A17" s="24" t="s">
        <v>282</v>
      </c>
      <c r="B17" s="2" t="s">
        <v>282</v>
      </c>
      <c r="C17" s="24">
        <v>4</v>
      </c>
    </row>
    <row r="18" spans="1:3">
      <c r="A18" s="24" t="s">
        <v>282</v>
      </c>
      <c r="B18" s="2" t="s">
        <v>280</v>
      </c>
      <c r="C18" s="24">
        <v>4</v>
      </c>
    </row>
    <row r="19" spans="1:3">
      <c r="A19" s="24" t="s">
        <v>282</v>
      </c>
      <c r="B19" s="2" t="s">
        <v>283</v>
      </c>
      <c r="C19" s="24">
        <v>4</v>
      </c>
    </row>
    <row r="20" spans="1:3">
      <c r="A20" s="24" t="s">
        <v>282</v>
      </c>
      <c r="B20" s="2" t="s">
        <v>284</v>
      </c>
      <c r="C20" s="24">
        <v>4</v>
      </c>
    </row>
    <row r="21" spans="1:3">
      <c r="A21" s="24" t="s">
        <v>280</v>
      </c>
      <c r="B21" s="2" t="s">
        <v>273</v>
      </c>
      <c r="C21" s="24">
        <v>4</v>
      </c>
    </row>
    <row r="22" spans="1:3">
      <c r="A22" s="24" t="s">
        <v>280</v>
      </c>
      <c r="B22" s="2" t="s">
        <v>271</v>
      </c>
      <c r="C22" s="24">
        <v>4</v>
      </c>
    </row>
    <row r="23" spans="1:3">
      <c r="A23" s="24" t="s">
        <v>280</v>
      </c>
      <c r="B23" s="2" t="s">
        <v>282</v>
      </c>
      <c r="C23" s="24">
        <v>4</v>
      </c>
    </row>
    <row r="24" spans="1:3">
      <c r="A24" s="24" t="s">
        <v>280</v>
      </c>
      <c r="B24" s="2" t="s">
        <v>280</v>
      </c>
      <c r="C24" s="24">
        <v>4</v>
      </c>
    </row>
    <row r="25" spans="1:3">
      <c r="A25" s="24" t="s">
        <v>280</v>
      </c>
      <c r="B25" s="2" t="s">
        <v>283</v>
      </c>
      <c r="C25" s="24">
        <v>4</v>
      </c>
    </row>
    <row r="26" spans="1:3">
      <c r="A26" s="24" t="s">
        <v>280</v>
      </c>
      <c r="B26" s="2" t="s">
        <v>284</v>
      </c>
      <c r="C26" s="24">
        <v>4</v>
      </c>
    </row>
    <row r="27" spans="1:3">
      <c r="A27" s="24" t="s">
        <v>283</v>
      </c>
      <c r="B27" s="2" t="s">
        <v>273</v>
      </c>
      <c r="C27" s="24">
        <v>4</v>
      </c>
    </row>
    <row r="28" spans="1:3">
      <c r="A28" s="24" t="s">
        <v>283</v>
      </c>
      <c r="B28" s="2" t="s">
        <v>271</v>
      </c>
      <c r="C28" s="24">
        <v>4</v>
      </c>
    </row>
    <row r="29" spans="1:3">
      <c r="A29" s="24" t="s">
        <v>283</v>
      </c>
      <c r="B29" s="2" t="s">
        <v>282</v>
      </c>
      <c r="C29" s="24">
        <v>4</v>
      </c>
    </row>
    <row r="30" spans="1:3">
      <c r="A30" s="24" t="s">
        <v>283</v>
      </c>
      <c r="B30" s="2" t="s">
        <v>280</v>
      </c>
      <c r="C30" s="24">
        <v>4</v>
      </c>
    </row>
    <row r="31" spans="1:3">
      <c r="A31" s="24" t="s">
        <v>283</v>
      </c>
      <c r="B31" s="2" t="s">
        <v>283</v>
      </c>
      <c r="C31" s="24">
        <v>4</v>
      </c>
    </row>
    <row r="32" spans="1:3">
      <c r="A32" s="24" t="s">
        <v>283</v>
      </c>
      <c r="B32" s="2" t="s">
        <v>284</v>
      </c>
      <c r="C32" s="24">
        <v>4</v>
      </c>
    </row>
    <row r="33" spans="1:3">
      <c r="A33" s="24" t="s">
        <v>284</v>
      </c>
      <c r="B33" s="2" t="s">
        <v>273</v>
      </c>
      <c r="C33" s="24">
        <v>2</v>
      </c>
    </row>
    <row r="34" spans="1:3">
      <c r="A34" s="24" t="s">
        <v>284</v>
      </c>
      <c r="B34" s="2" t="s">
        <v>271</v>
      </c>
      <c r="C34" s="24">
        <v>2</v>
      </c>
    </row>
    <row r="35" spans="1:3">
      <c r="A35" s="24" t="s">
        <v>284</v>
      </c>
      <c r="B35" s="2" t="s">
        <v>282</v>
      </c>
      <c r="C35" s="24">
        <v>2</v>
      </c>
    </row>
    <row r="36" spans="1:3">
      <c r="A36" s="24" t="s">
        <v>284</v>
      </c>
      <c r="B36" s="2" t="s">
        <v>280</v>
      </c>
      <c r="C36" s="24">
        <v>2</v>
      </c>
    </row>
    <row r="37" spans="1:3">
      <c r="A37" s="24" t="s">
        <v>284</v>
      </c>
      <c r="B37" s="2" t="s">
        <v>283</v>
      </c>
      <c r="C37" s="24">
        <v>2</v>
      </c>
    </row>
    <row r="38" spans="1:3">
      <c r="A38" s="24" t="s">
        <v>284</v>
      </c>
      <c r="B38" s="2" t="s">
        <v>284</v>
      </c>
      <c r="C38" s="24">
        <v>2</v>
      </c>
    </row>
    <row r="39" spans="1:3">
      <c r="A39" s="21" t="s">
        <v>285</v>
      </c>
      <c r="B39" s="2" t="s">
        <v>285</v>
      </c>
      <c r="C39" s="2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5"/>
  <sheetViews>
    <sheetView workbookViewId="0">
      <selection activeCell="A2" sqref="A2"/>
    </sheetView>
  </sheetViews>
  <sheetFormatPr defaultRowHeight="16.5"/>
  <cols>
    <col min="1" max="1" width="10.5" bestFit="1" customWidth="1"/>
    <col min="2" max="3" width="14" bestFit="1" customWidth="1"/>
  </cols>
  <sheetData>
    <row r="2" spans="1:3">
      <c r="A2" t="s">
        <v>1290</v>
      </c>
      <c r="B2" s="19" t="s">
        <v>950</v>
      </c>
      <c r="C2" s="19" t="s">
        <v>951</v>
      </c>
    </row>
    <row r="3" spans="1:3">
      <c r="A3" t="s">
        <v>1659</v>
      </c>
      <c r="B3">
        <v>2</v>
      </c>
      <c r="C3">
        <v>2</v>
      </c>
    </row>
    <row r="4" spans="1:3">
      <c r="A4" t="s">
        <v>1660</v>
      </c>
      <c r="B4">
        <v>4</v>
      </c>
      <c r="C4">
        <v>4</v>
      </c>
    </row>
    <row r="5" spans="1:3">
      <c r="A5" t="s">
        <v>1661</v>
      </c>
      <c r="B5">
        <v>2</v>
      </c>
      <c r="C5">
        <v>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-0.499984740745262"/>
  </sheetPr>
  <dimension ref="A1:Q59"/>
  <sheetViews>
    <sheetView tabSelected="1" workbookViewId="0">
      <selection activeCell="D9" sqref="D9"/>
    </sheetView>
  </sheetViews>
  <sheetFormatPr defaultRowHeight="16.5"/>
  <cols>
    <col min="1" max="1" width="11.25" bestFit="1" customWidth="1"/>
    <col min="2" max="2" width="11.625" bestFit="1" customWidth="1"/>
    <col min="3" max="3" width="14.75" bestFit="1" customWidth="1"/>
    <col min="4" max="5" width="26.875" bestFit="1" customWidth="1"/>
    <col min="7" max="7" width="26.375" customWidth="1"/>
    <col min="9" max="9" width="30.375" customWidth="1"/>
    <col min="10" max="10" width="14" customWidth="1"/>
    <col min="14" max="14" width="15.25" bestFit="1" customWidth="1"/>
    <col min="15" max="15" width="21.25" bestFit="1" customWidth="1"/>
    <col min="17" max="17" width="37" bestFit="1" customWidth="1"/>
  </cols>
  <sheetData>
    <row r="1" spans="1:17">
      <c r="A1" s="37" t="s">
        <v>963</v>
      </c>
      <c r="B1" s="37" t="s">
        <v>964</v>
      </c>
      <c r="C1" s="37" t="s">
        <v>965</v>
      </c>
      <c r="D1" s="37" t="s">
        <v>966</v>
      </c>
      <c r="E1" s="37" t="s">
        <v>967</v>
      </c>
      <c r="F1" s="37" t="s">
        <v>4</v>
      </c>
      <c r="G1" s="37" t="s">
        <v>5</v>
      </c>
      <c r="H1" s="37" t="s">
        <v>968</v>
      </c>
      <c r="I1" s="37" t="s">
        <v>293</v>
      </c>
      <c r="J1" s="37" t="s">
        <v>295</v>
      </c>
      <c r="K1" s="37" t="s">
        <v>969</v>
      </c>
      <c r="L1" s="37" t="s">
        <v>970</v>
      </c>
      <c r="M1" s="37" t="s">
        <v>971</v>
      </c>
      <c r="N1" s="37" t="s">
        <v>972</v>
      </c>
      <c r="O1" s="37" t="s">
        <v>973</v>
      </c>
      <c r="P1" s="37" t="s">
        <v>974</v>
      </c>
      <c r="Q1" s="37" t="s">
        <v>975</v>
      </c>
    </row>
    <row r="2" spans="1:17" ht="17.25" thickBot="1">
      <c r="A2" s="33" t="s">
        <v>1628</v>
      </c>
      <c r="B2" s="33" t="s">
        <v>1629</v>
      </c>
      <c r="C2" s="33" t="s">
        <v>1627</v>
      </c>
      <c r="D2" s="33" t="s">
        <v>1630</v>
      </c>
      <c r="E2" s="33" t="s">
        <v>1631</v>
      </c>
      <c r="F2" s="33" t="s">
        <v>1245</v>
      </c>
      <c r="G2" s="33" t="s">
        <v>1672</v>
      </c>
      <c r="H2" s="33" t="s">
        <v>1632</v>
      </c>
      <c r="I2" s="33" t="s">
        <v>1633</v>
      </c>
      <c r="J2" s="33" t="s">
        <v>993</v>
      </c>
      <c r="K2" s="33" t="s">
        <v>1634</v>
      </c>
      <c r="L2" s="33" t="s">
        <v>1635</v>
      </c>
      <c r="M2" s="33" t="s">
        <v>1636</v>
      </c>
      <c r="N2" s="33" t="s">
        <v>1637</v>
      </c>
      <c r="O2" s="33" t="s">
        <v>1638</v>
      </c>
      <c r="P2" s="33" t="s">
        <v>1639</v>
      </c>
      <c r="Q2" s="33" t="s">
        <v>1640</v>
      </c>
    </row>
    <row r="3" spans="1:17" ht="17.25" thickBot="1">
      <c r="A3" s="1"/>
      <c r="B3" s="38"/>
      <c r="C3" s="42" t="s">
        <v>1641</v>
      </c>
      <c r="D3" s="1"/>
      <c r="E3" s="1"/>
      <c r="F3" s="39">
        <v>31704</v>
      </c>
      <c r="G3" s="42" t="s">
        <v>225</v>
      </c>
      <c r="H3" s="39"/>
      <c r="I3" s="39"/>
      <c r="J3" s="1" t="s">
        <v>1653</v>
      </c>
      <c r="K3" s="1"/>
      <c r="L3" s="39">
        <v>20</v>
      </c>
      <c r="M3" s="1"/>
      <c r="N3" s="43">
        <v>45798</v>
      </c>
      <c r="O3" s="1"/>
      <c r="P3" s="1"/>
      <c r="Q3" s="1"/>
    </row>
    <row r="4" spans="1:17" ht="33.75" thickBot="1">
      <c r="A4" s="1"/>
      <c r="B4" s="38"/>
      <c r="C4" s="42" t="s">
        <v>1642</v>
      </c>
      <c r="D4" s="1"/>
      <c r="E4" s="1"/>
      <c r="F4" s="39">
        <v>31798</v>
      </c>
      <c r="G4" s="42" t="s">
        <v>132</v>
      </c>
      <c r="H4" s="39"/>
      <c r="I4" s="39"/>
      <c r="J4" s="1" t="s">
        <v>1654</v>
      </c>
      <c r="K4" s="1"/>
      <c r="L4" s="39">
        <v>60</v>
      </c>
      <c r="M4" s="1"/>
      <c r="N4" s="43">
        <v>45839</v>
      </c>
      <c r="O4" s="1"/>
      <c r="P4" s="1"/>
      <c r="Q4" s="1"/>
    </row>
    <row r="5" spans="1:17" ht="33.75" thickBot="1">
      <c r="A5" s="1"/>
      <c r="B5" s="38"/>
      <c r="C5" s="42" t="s">
        <v>1643</v>
      </c>
      <c r="D5" s="1"/>
      <c r="E5" s="1"/>
      <c r="F5" s="39">
        <v>31800</v>
      </c>
      <c r="G5" s="42" t="s">
        <v>134</v>
      </c>
      <c r="H5" s="39"/>
      <c r="I5" s="39"/>
      <c r="J5" s="1" t="s">
        <v>1654</v>
      </c>
      <c r="K5" s="1"/>
      <c r="L5" s="39">
        <v>120</v>
      </c>
      <c r="M5" s="1"/>
      <c r="N5" s="43">
        <v>45839</v>
      </c>
      <c r="O5" s="1"/>
      <c r="P5" s="1"/>
      <c r="Q5" s="1"/>
    </row>
    <row r="6" spans="1:17" ht="33.75" thickBot="1">
      <c r="A6" s="1"/>
      <c r="B6" s="38"/>
      <c r="C6" s="42" t="s">
        <v>1644</v>
      </c>
      <c r="D6" s="1"/>
      <c r="E6" s="1"/>
      <c r="F6" s="39">
        <v>31802</v>
      </c>
      <c r="G6" s="42" t="s">
        <v>135</v>
      </c>
      <c r="H6" s="39"/>
      <c r="I6" s="39"/>
      <c r="J6" s="1" t="s">
        <v>1654</v>
      </c>
      <c r="K6" s="1"/>
      <c r="L6" s="39">
        <v>120</v>
      </c>
      <c r="M6" s="1"/>
      <c r="N6" s="43">
        <v>45839</v>
      </c>
      <c r="O6" s="1"/>
      <c r="P6" s="1"/>
      <c r="Q6" s="1"/>
    </row>
    <row r="7" spans="1:17" ht="17.25" thickBot="1">
      <c r="A7" s="1"/>
      <c r="B7" s="38"/>
      <c r="C7" s="42" t="s">
        <v>1645</v>
      </c>
      <c r="D7" s="1"/>
      <c r="E7" s="1"/>
      <c r="F7" s="39">
        <v>31864</v>
      </c>
      <c r="G7" s="42" t="s">
        <v>29</v>
      </c>
      <c r="H7" s="39"/>
      <c r="I7" s="39"/>
      <c r="J7" s="1" t="s">
        <v>1655</v>
      </c>
      <c r="K7" s="1"/>
      <c r="L7" s="39">
        <v>360</v>
      </c>
      <c r="M7" s="1"/>
      <c r="N7" s="43">
        <v>45805</v>
      </c>
      <c r="O7" s="1"/>
      <c r="P7" s="1"/>
      <c r="Q7" s="1"/>
    </row>
    <row r="8" spans="1:17" ht="17.25" thickBot="1">
      <c r="A8" s="1"/>
      <c r="B8" s="38"/>
      <c r="C8" s="42" t="s">
        <v>1646</v>
      </c>
      <c r="D8" s="1"/>
      <c r="E8" s="1"/>
      <c r="F8" s="39">
        <v>31864</v>
      </c>
      <c r="G8" s="42" t="s">
        <v>29</v>
      </c>
      <c r="H8" s="39"/>
      <c r="I8" s="39"/>
      <c r="J8" s="1" t="s">
        <v>1656</v>
      </c>
      <c r="K8" s="1"/>
      <c r="L8" s="39">
        <v>120</v>
      </c>
      <c r="M8" s="1"/>
      <c r="N8" s="43">
        <v>45805</v>
      </c>
      <c r="O8" s="1"/>
      <c r="P8" s="1"/>
      <c r="Q8" s="1"/>
    </row>
    <row r="9" spans="1:17" ht="17.25" thickBot="1">
      <c r="A9" s="1"/>
      <c r="B9" s="38"/>
      <c r="C9" s="42" t="s">
        <v>1647</v>
      </c>
      <c r="D9" s="1"/>
      <c r="E9" s="1"/>
      <c r="F9" s="39">
        <v>31864</v>
      </c>
      <c r="G9" s="42" t="s">
        <v>29</v>
      </c>
      <c r="H9" s="39"/>
      <c r="I9" s="39"/>
      <c r="J9" s="1" t="s">
        <v>1657</v>
      </c>
      <c r="K9" s="1"/>
      <c r="L9" s="39">
        <v>120</v>
      </c>
      <c r="M9" s="1"/>
      <c r="N9" s="43">
        <v>45805</v>
      </c>
      <c r="O9" s="1"/>
      <c r="P9" s="1"/>
      <c r="Q9" s="1"/>
    </row>
    <row r="10" spans="1:17" ht="17.25" thickBot="1">
      <c r="A10" s="1"/>
      <c r="B10" s="38"/>
      <c r="C10" s="42" t="s">
        <v>1648</v>
      </c>
      <c r="D10" s="1"/>
      <c r="E10" s="1"/>
      <c r="F10" s="39">
        <v>31864</v>
      </c>
      <c r="G10" s="42" t="s">
        <v>29</v>
      </c>
      <c r="H10" s="39"/>
      <c r="I10" s="39"/>
      <c r="J10" s="1" t="s">
        <v>1658</v>
      </c>
      <c r="K10" s="1"/>
      <c r="L10" s="39">
        <v>120</v>
      </c>
      <c r="M10" s="1"/>
      <c r="N10" s="43">
        <v>45805</v>
      </c>
      <c r="O10" s="1"/>
      <c r="P10" s="1"/>
      <c r="Q10" s="1"/>
    </row>
    <row r="11" spans="1:17" ht="17.25" thickBot="1">
      <c r="A11" s="1"/>
      <c r="B11" s="38"/>
      <c r="C11" s="42" t="s">
        <v>1649</v>
      </c>
      <c r="D11" s="1"/>
      <c r="E11" s="1"/>
      <c r="F11" s="39">
        <v>31540</v>
      </c>
      <c r="G11" s="42" t="s">
        <v>27</v>
      </c>
      <c r="H11" s="39"/>
      <c r="I11" s="39"/>
      <c r="J11" s="1" t="s">
        <v>1655</v>
      </c>
      <c r="K11" s="1"/>
      <c r="L11" s="39">
        <v>480</v>
      </c>
      <c r="M11" s="1"/>
      <c r="N11" s="43">
        <v>45805</v>
      </c>
      <c r="O11" s="1"/>
      <c r="P11" s="1"/>
      <c r="Q11" s="1"/>
    </row>
    <row r="12" spans="1:17" ht="17.25" thickBot="1">
      <c r="A12" s="1"/>
      <c r="B12" s="38"/>
      <c r="C12" s="42" t="s">
        <v>1650</v>
      </c>
      <c r="D12" s="1"/>
      <c r="E12" s="1"/>
      <c r="F12" s="39">
        <v>31540</v>
      </c>
      <c r="G12" s="42" t="s">
        <v>27</v>
      </c>
      <c r="H12" s="39"/>
      <c r="I12" s="39"/>
      <c r="J12" s="1" t="s">
        <v>1656</v>
      </c>
      <c r="K12" s="1"/>
      <c r="L12" s="39">
        <v>120</v>
      </c>
      <c r="M12" s="1"/>
      <c r="N12" s="43">
        <v>45805</v>
      </c>
      <c r="O12" s="1"/>
      <c r="P12" s="1"/>
      <c r="Q12" s="1"/>
    </row>
    <row r="13" spans="1:17" ht="17.25" thickBot="1">
      <c r="A13" s="1"/>
      <c r="B13" s="38"/>
      <c r="C13" s="42" t="s">
        <v>1651</v>
      </c>
      <c r="D13" s="1"/>
      <c r="E13" s="1"/>
      <c r="F13" s="39">
        <v>31540</v>
      </c>
      <c r="G13" s="42" t="s">
        <v>27</v>
      </c>
      <c r="H13" s="39"/>
      <c r="I13" s="39"/>
      <c r="J13" s="1" t="s">
        <v>1657</v>
      </c>
      <c r="K13" s="1"/>
      <c r="L13" s="39">
        <v>240</v>
      </c>
      <c r="M13" s="1"/>
      <c r="N13" s="43">
        <v>45805</v>
      </c>
      <c r="O13" s="1"/>
      <c r="P13" s="1"/>
      <c r="Q13" s="1"/>
    </row>
    <row r="14" spans="1:17" ht="17.25" thickBot="1">
      <c r="A14" s="1"/>
      <c r="B14" s="38"/>
      <c r="C14" s="42" t="s">
        <v>1652</v>
      </c>
      <c r="D14" s="1"/>
      <c r="E14" s="1"/>
      <c r="F14" s="39">
        <v>31540</v>
      </c>
      <c r="G14" s="42" t="s">
        <v>27</v>
      </c>
      <c r="H14" s="39"/>
      <c r="I14" s="39"/>
      <c r="J14" s="1" t="s">
        <v>1658</v>
      </c>
      <c r="K14" s="1"/>
      <c r="L14" s="39">
        <v>240</v>
      </c>
      <c r="M14" s="1"/>
      <c r="N14" s="43">
        <v>45805</v>
      </c>
      <c r="O14" s="1"/>
      <c r="P14" s="1"/>
      <c r="Q14" s="1"/>
    </row>
    <row r="15" spans="1:17">
      <c r="A15" s="1"/>
      <c r="B15" s="3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38"/>
      <c r="O15" s="1"/>
      <c r="P15" s="1"/>
      <c r="Q15" s="1"/>
    </row>
    <row r="16" spans="1:17">
      <c r="A16" s="1"/>
      <c r="B16" s="38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38"/>
      <c r="O16" s="1"/>
      <c r="P16" s="1"/>
      <c r="Q16" s="1"/>
    </row>
    <row r="17" spans="1:17">
      <c r="A17" s="1"/>
      <c r="B17" s="38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38"/>
      <c r="O17" s="1"/>
      <c r="P17" s="1"/>
      <c r="Q17" s="1"/>
    </row>
    <row r="18" spans="1:17">
      <c r="A18" s="1"/>
      <c r="B18" s="38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38"/>
      <c r="O18" s="1"/>
      <c r="P18" s="1"/>
      <c r="Q18" s="1"/>
    </row>
    <row r="19" spans="1:17">
      <c r="A19" s="1"/>
      <c r="B19" s="38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38"/>
      <c r="O19" s="1"/>
      <c r="P19" s="1"/>
      <c r="Q19" s="1"/>
    </row>
    <row r="20" spans="1:17">
      <c r="A20" s="1"/>
      <c r="B20" s="3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38"/>
      <c r="O20" s="1"/>
      <c r="P20" s="1"/>
      <c r="Q20" s="1"/>
    </row>
    <row r="21" spans="1:17">
      <c r="A21" s="1"/>
      <c r="B21" s="38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38"/>
      <c r="O21" s="1"/>
      <c r="P21" s="1"/>
      <c r="Q21" s="1"/>
    </row>
    <row r="22" spans="1:17">
      <c r="A22" s="1"/>
      <c r="B22" s="38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8"/>
      <c r="O22" s="1"/>
      <c r="P22" s="1"/>
      <c r="Q22" s="1"/>
    </row>
    <row r="23" spans="1:17">
      <c r="A23" s="1"/>
      <c r="B23" s="38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8"/>
      <c r="O23" s="1"/>
      <c r="P23" s="1"/>
      <c r="Q23" s="1"/>
    </row>
    <row r="24" spans="1:17">
      <c r="A24" s="1"/>
      <c r="B24" s="38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38"/>
      <c r="O24" s="1"/>
      <c r="P24" s="1"/>
      <c r="Q24" s="1"/>
    </row>
    <row r="25" spans="1:17">
      <c r="A25" s="1"/>
      <c r="B25" s="38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38"/>
      <c r="O25" s="1"/>
      <c r="P25" s="1"/>
      <c r="Q25" s="1"/>
    </row>
    <row r="26" spans="1:17">
      <c r="A26" s="1"/>
      <c r="B26" s="38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38"/>
      <c r="O26" s="1"/>
      <c r="P26" s="1"/>
      <c r="Q26" s="1"/>
    </row>
    <row r="27" spans="1:17">
      <c r="A27" s="1"/>
      <c r="B27" s="38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38"/>
      <c r="O27" s="1"/>
      <c r="P27" s="1"/>
      <c r="Q27" s="1"/>
    </row>
    <row r="28" spans="1:17">
      <c r="A28" s="1"/>
      <c r="B28" s="38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38"/>
      <c r="O28" s="1"/>
      <c r="P28" s="1"/>
      <c r="Q28" s="1"/>
    </row>
    <row r="29" spans="1:17">
      <c r="A29" s="1"/>
      <c r="B29" s="3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38"/>
      <c r="O29" s="1"/>
      <c r="P29" s="1"/>
      <c r="Q29" s="1"/>
    </row>
    <row r="30" spans="1:17">
      <c r="A30" s="1"/>
      <c r="B30" s="38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38"/>
      <c r="O30" s="1"/>
      <c r="P30" s="1"/>
      <c r="Q30" s="1"/>
    </row>
    <row r="31" spans="1:17">
      <c r="A31" s="1"/>
      <c r="B31" s="3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38"/>
      <c r="O31" s="1"/>
      <c r="P31" s="1"/>
      <c r="Q31" s="1"/>
    </row>
    <row r="32" spans="1:17">
      <c r="A32" s="1"/>
      <c r="B32" s="3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38"/>
      <c r="O32" s="1"/>
      <c r="P32" s="1"/>
      <c r="Q32" s="1"/>
    </row>
    <row r="33" spans="1:17">
      <c r="A33" s="1"/>
      <c r="B33" s="3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38"/>
      <c r="O33" s="1"/>
      <c r="P33" s="1"/>
      <c r="Q33" s="1"/>
    </row>
    <row r="34" spans="1:17">
      <c r="A34" s="1"/>
      <c r="B34" s="3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38"/>
      <c r="O34" s="1"/>
      <c r="P34" s="1"/>
      <c r="Q34" s="1"/>
    </row>
    <row r="35" spans="1:17">
      <c r="A35" s="1"/>
      <c r="B35" s="3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38"/>
      <c r="O35" s="1"/>
      <c r="P35" s="1"/>
      <c r="Q35" s="1"/>
    </row>
    <row r="36" spans="1:17">
      <c r="A36" s="1"/>
      <c r="B36" s="3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38"/>
      <c r="O36" s="1"/>
      <c r="P36" s="1"/>
      <c r="Q36" s="1"/>
    </row>
    <row r="37" spans="1:17">
      <c r="A37" s="1"/>
      <c r="B37" s="3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38"/>
      <c r="O37" s="1"/>
      <c r="P37" s="1"/>
      <c r="Q37" s="1"/>
    </row>
    <row r="38" spans="1:17">
      <c r="A38" s="1"/>
      <c r="B38" s="3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38"/>
      <c r="O38" s="1"/>
      <c r="P38" s="1"/>
      <c r="Q38" s="1"/>
    </row>
    <row r="39" spans="1:17">
      <c r="A39" s="1"/>
      <c r="B39" s="38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38"/>
      <c r="O39" s="1"/>
      <c r="P39" s="1"/>
      <c r="Q39" s="1"/>
    </row>
    <row r="40" spans="1:17">
      <c r="A40" s="1"/>
      <c r="B40" s="38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38"/>
      <c r="O40" s="1"/>
      <c r="P40" s="1"/>
      <c r="Q40" s="1"/>
    </row>
    <row r="41" spans="1:17">
      <c r="A41" s="1"/>
      <c r="B41" s="38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38"/>
      <c r="O41" s="1"/>
      <c r="P41" s="1"/>
      <c r="Q41" s="1"/>
    </row>
    <row r="42" spans="1:17">
      <c r="A42" s="1"/>
      <c r="B42" s="38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38"/>
      <c r="O42" s="1"/>
      <c r="P42" s="1"/>
      <c r="Q42" s="1"/>
    </row>
    <row r="43" spans="1:17">
      <c r="A43" s="1"/>
      <c r="B43" s="38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38"/>
      <c r="O43" s="1"/>
      <c r="P43" s="1"/>
      <c r="Q43" s="1"/>
    </row>
    <row r="44" spans="1:17">
      <c r="A44" s="1"/>
      <c r="B44" s="38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38"/>
      <c r="O44" s="1"/>
      <c r="P44" s="1"/>
      <c r="Q44" s="1"/>
    </row>
    <row r="45" spans="1:17">
      <c r="A45" s="1"/>
      <c r="B45" s="38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38"/>
      <c r="O45" s="1"/>
      <c r="P45" s="1"/>
      <c r="Q45" s="1"/>
    </row>
    <row r="46" spans="1:17">
      <c r="A46" s="1"/>
      <c r="B46" s="38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38"/>
      <c r="O46" s="1"/>
      <c r="P46" s="1"/>
      <c r="Q46" s="1"/>
    </row>
    <row r="47" spans="1:17">
      <c r="A47" s="1"/>
      <c r="B47" s="38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38"/>
      <c r="O47" s="1"/>
      <c r="P47" s="1"/>
      <c r="Q47" s="1"/>
    </row>
    <row r="48" spans="1:17">
      <c r="A48" s="1"/>
      <c r="B48" s="38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38"/>
      <c r="O48" s="1"/>
      <c r="P48" s="1"/>
      <c r="Q48" s="1"/>
    </row>
    <row r="49" spans="1:17">
      <c r="A49" s="1"/>
      <c r="B49" s="38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38"/>
      <c r="O49" s="1"/>
      <c r="P49" s="1"/>
      <c r="Q49" s="1"/>
    </row>
    <row r="50" spans="1:17">
      <c r="A50" s="1"/>
      <c r="B50" s="38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38"/>
      <c r="O50" s="1"/>
      <c r="P50" s="1"/>
      <c r="Q50" s="1"/>
    </row>
    <row r="51" spans="1:17">
      <c r="A51" s="1"/>
      <c r="B51" s="38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38"/>
      <c r="O51" s="1"/>
      <c r="P51" s="1"/>
      <c r="Q51" s="1"/>
    </row>
    <row r="52" spans="1:17">
      <c r="A52" s="1"/>
      <c r="B52" s="38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38"/>
      <c r="O52" s="1"/>
      <c r="P52" s="1"/>
      <c r="Q52" s="1"/>
    </row>
    <row r="53" spans="1:17">
      <c r="A53" s="1"/>
      <c r="B53" s="38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38"/>
      <c r="O53" s="1"/>
      <c r="P53" s="1"/>
      <c r="Q53" s="1"/>
    </row>
    <row r="54" spans="1:17">
      <c r="A54" s="1"/>
      <c r="B54" s="38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38"/>
      <c r="O54" s="1"/>
      <c r="P54" s="1"/>
      <c r="Q54" s="1"/>
    </row>
    <row r="55" spans="1:17">
      <c r="A55" s="1"/>
      <c r="B55" s="38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38"/>
      <c r="O55" s="1"/>
      <c r="P55" s="1"/>
      <c r="Q55" s="1"/>
    </row>
    <row r="56" spans="1:17">
      <c r="A56" s="1"/>
      <c r="B56" s="38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38"/>
      <c r="O56" s="1"/>
      <c r="P56" s="1"/>
      <c r="Q56" s="1"/>
    </row>
    <row r="57" spans="1:17">
      <c r="A57" s="1"/>
      <c r="B57" s="3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38"/>
      <c r="O57" s="1"/>
      <c r="P57" s="1"/>
      <c r="Q57" s="1"/>
    </row>
    <row r="58" spans="1:17">
      <c r="A58" s="1"/>
      <c r="B58" s="3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38"/>
      <c r="O58" s="1"/>
      <c r="P58" s="1"/>
      <c r="Q58" s="1"/>
    </row>
    <row r="59" spans="1:17">
      <c r="A59" s="1"/>
      <c r="B59" s="3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38"/>
      <c r="O59" s="1"/>
      <c r="P59" s="1"/>
      <c r="Q5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종합</vt:lpstr>
      <vt:lpstr>제품군-GITEM-SITEM</vt:lpstr>
      <vt:lpstr>GITEM-공정-순서</vt:lpstr>
      <vt:lpstr>공정군</vt:lpstr>
      <vt:lpstr>25년 공정정보(1월~7월) </vt:lpstr>
      <vt:lpstr>수율-GITEM등</vt:lpstr>
      <vt:lpstr>라인스피드-GITEM등</vt:lpstr>
      <vt:lpstr>배합액정보</vt:lpstr>
      <vt:lpstr>공정교체시간</vt:lpstr>
      <vt:lpstr>폭변경</vt:lpstr>
      <vt:lpstr>PO정보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 K</dc:creator>
  <cp:lastModifiedBy>im K</cp:lastModifiedBy>
  <dcterms:created xsi:type="dcterms:W3CDTF">2025-09-08T02:17:04Z</dcterms:created>
  <dcterms:modified xsi:type="dcterms:W3CDTF">2025-10-13T01:46:09Z</dcterms:modified>
</cp:coreProperties>
</file>